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y Documents\"/>
    </mc:Choice>
  </mc:AlternateContent>
  <bookViews>
    <workbookView xWindow="0" yWindow="0" windowWidth="30720" windowHeight="14790" tabRatio="725"/>
  </bookViews>
  <sheets>
    <sheet name="Ontwikkelwijzer" sheetId="5" r:id="rId1"/>
    <sheet name="Print" sheetId="11" state="hidden" r:id="rId2"/>
    <sheet name="Hoofddocument" sheetId="10" state="hidden" r:id="rId3"/>
    <sheet name="Vergelijk" sheetId="6" state="hidden" r:id="rId4"/>
  </sheets>
  <functionGroups builtInGroupCount="18"/>
  <definedNames>
    <definedName name="_xlnm._FilterDatabase" localSheetId="2" hidden="1">Hoofddocument!$A$1:$AZ$474</definedName>
    <definedName name="_xlnm._FilterDatabase" localSheetId="0" hidden="1">Ontwikkelwijzer!$E$37</definedName>
    <definedName name="Functie1">Ontwikkelwijzer!$E$115</definedName>
    <definedName name="Functie2">Ontwikkelwijzer!$F$115</definedName>
    <definedName name="Functie3">Ontwikkelwijzer!$G$115</definedName>
    <definedName name="FunctieNiveaus">Vergelijk!$S$2:$S$4</definedName>
    <definedName name="Functies">Vergelijk!$W$2:$W$45</definedName>
    <definedName name="Functietabel">Ontwikkelwijzer!$E$37:$J$104</definedName>
    <definedName name="FunctievergelijkerSelecteer">Ontwikkelwijzer!$A$121</definedName>
    <definedName name="FunctieVergelijkerTabel">Ontwikkelwijzer!$E$121:$J$594</definedName>
    <definedName name="HoofdTabel">#REF!</definedName>
    <definedName name="Menu1Begin">Ontwikkelwijzer!$A$8</definedName>
    <definedName name="Menu1Einde">Ontwikkelwijzer!$A$18</definedName>
    <definedName name="Menu1Selecteer">Ontwikkelwijzer!$A$1</definedName>
    <definedName name="Menu2Begin">Ontwikkelwijzer!$A$20</definedName>
    <definedName name="Menu2Einde">Ontwikkelwijzer!$A$104</definedName>
    <definedName name="Menu2Selecteer">Ontwikkelwijzer!$A$21</definedName>
    <definedName name="Menu3Begin">Ontwikkelwijzer!$A$107</definedName>
    <definedName name="Menu3Einde">Ontwikkelwijzer!$A$278</definedName>
    <definedName name="Menu3Selecteer">Ontwikkelwijzer!$A$108</definedName>
    <definedName name="Menu4Begin">Ontwikkelwijzer!$B$8</definedName>
    <definedName name="Menu4Einde">Ontwikkelwijzer!$C$594</definedName>
    <definedName name="Menu4Selecteer">Ontwikkelwijzer!$B$1</definedName>
    <definedName name="Menu5Begin">Ontwikkelwijzer!$B$8</definedName>
    <definedName name="Menu5Selecteer">Ontwikkelwijzer!#REF!</definedName>
    <definedName name="Niveau1">Ontwikkelwijzer!$E$117</definedName>
    <definedName name="Niveau2">Ontwikkelwijzer!$F$117</definedName>
    <definedName name="Niveau3">Ontwikkelwijzer!$G$117</definedName>
    <definedName name="Vakgebieden">Vergelijk!$R$2:$R$20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76" i="5" l="1"/>
  <c r="G75" i="5"/>
  <c r="G74" i="5"/>
  <c r="G73" i="5"/>
  <c r="G72" i="5"/>
  <c r="G71" i="5"/>
  <c r="G70" i="5"/>
  <c r="G69" i="5"/>
  <c r="G68" i="5"/>
  <c r="G67" i="5"/>
  <c r="G66" i="5"/>
  <c r="G65" i="5"/>
  <c r="G64" i="5"/>
  <c r="G63" i="5"/>
  <c r="G62" i="5"/>
  <c r="G61" i="5"/>
  <c r="G60" i="5"/>
  <c r="G59" i="5"/>
  <c r="G58" i="5"/>
  <c r="G57" i="5"/>
  <c r="G56" i="5"/>
  <c r="G55" i="5"/>
  <c r="G54" i="5"/>
  <c r="G53" i="5"/>
  <c r="G52" i="5"/>
  <c r="G51" i="5"/>
  <c r="G50" i="5"/>
  <c r="G49" i="5"/>
  <c r="G48" i="5"/>
  <c r="G47" i="5"/>
  <c r="G46" i="5"/>
  <c r="G45" i="5"/>
  <c r="G44" i="5"/>
  <c r="G43" i="5"/>
  <c r="G42" i="5"/>
  <c r="G41" i="5"/>
  <c r="G40" i="5"/>
  <c r="K3" i="6" l="1"/>
  <c r="L3" i="6"/>
  <c r="M3" i="6"/>
  <c r="K4" i="6"/>
  <c r="L4" i="6"/>
  <c r="M4" i="6"/>
  <c r="K5" i="6"/>
  <c r="L5" i="6"/>
  <c r="M5" i="6"/>
  <c r="K6" i="6"/>
  <c r="L6" i="6"/>
  <c r="M6" i="6"/>
  <c r="K7" i="6"/>
  <c r="L7" i="6"/>
  <c r="M7" i="6"/>
  <c r="K8" i="6"/>
  <c r="L8" i="6"/>
  <c r="M8" i="6"/>
  <c r="K9" i="6"/>
  <c r="L9" i="6"/>
  <c r="M9" i="6"/>
  <c r="K10" i="6"/>
  <c r="L10" i="6"/>
  <c r="M10" i="6"/>
  <c r="K11" i="6"/>
  <c r="L11" i="6"/>
  <c r="M11" i="6"/>
  <c r="K12" i="6"/>
  <c r="L12" i="6"/>
  <c r="M12" i="6"/>
  <c r="K13" i="6"/>
  <c r="L13" i="6"/>
  <c r="M13" i="6"/>
  <c r="K14" i="6"/>
  <c r="L14" i="6"/>
  <c r="M14" i="6"/>
  <c r="K15" i="6"/>
  <c r="L15" i="6"/>
  <c r="M15" i="6"/>
  <c r="K16" i="6"/>
  <c r="L16" i="6"/>
  <c r="M16" i="6"/>
  <c r="K17" i="6"/>
  <c r="L17" i="6"/>
  <c r="M17" i="6"/>
  <c r="K18" i="6"/>
  <c r="L18" i="6"/>
  <c r="M18" i="6"/>
  <c r="K19" i="6"/>
  <c r="L19" i="6"/>
  <c r="M19" i="6"/>
  <c r="K20" i="6"/>
  <c r="L20" i="6"/>
  <c r="M20" i="6"/>
  <c r="K21" i="6"/>
  <c r="L21" i="6"/>
  <c r="M21" i="6"/>
  <c r="K22" i="6"/>
  <c r="L22" i="6"/>
  <c r="M22" i="6"/>
  <c r="K23" i="6"/>
  <c r="L23" i="6"/>
  <c r="M23" i="6"/>
  <c r="K24" i="6"/>
  <c r="L24" i="6"/>
  <c r="M24" i="6"/>
  <c r="K25" i="6"/>
  <c r="L25" i="6"/>
  <c r="M25" i="6"/>
  <c r="K26" i="6"/>
  <c r="L26" i="6"/>
  <c r="M26" i="6"/>
  <c r="K27" i="6"/>
  <c r="L27" i="6"/>
  <c r="M27" i="6"/>
  <c r="K28" i="6"/>
  <c r="L28" i="6"/>
  <c r="M28" i="6"/>
  <c r="K29" i="6"/>
  <c r="L29" i="6"/>
  <c r="M29" i="6"/>
  <c r="K30" i="6"/>
  <c r="L30" i="6"/>
  <c r="M30" i="6"/>
  <c r="K31" i="6"/>
  <c r="L31" i="6"/>
  <c r="M31" i="6"/>
  <c r="K32" i="6"/>
  <c r="L32" i="6"/>
  <c r="M32" i="6"/>
  <c r="K33" i="6"/>
  <c r="L33" i="6"/>
  <c r="M33" i="6"/>
  <c r="K34" i="6"/>
  <c r="L34" i="6"/>
  <c r="M34" i="6"/>
  <c r="K35" i="6"/>
  <c r="L35" i="6"/>
  <c r="M35" i="6"/>
  <c r="K36" i="6"/>
  <c r="L36" i="6"/>
  <c r="M36" i="6"/>
  <c r="K37" i="6"/>
  <c r="L37" i="6"/>
  <c r="M37" i="6"/>
  <c r="K38" i="6"/>
  <c r="L38" i="6"/>
  <c r="M38" i="6"/>
  <c r="K39" i="6"/>
  <c r="L39" i="6"/>
  <c r="M39" i="6"/>
  <c r="K40" i="6"/>
  <c r="L40" i="6"/>
  <c r="M40" i="6"/>
  <c r="K41" i="6"/>
  <c r="L41" i="6"/>
  <c r="M41" i="6"/>
  <c r="K42" i="6"/>
  <c r="L42" i="6"/>
  <c r="M42" i="6"/>
  <c r="K43" i="6"/>
  <c r="L43" i="6"/>
  <c r="M43" i="6"/>
  <c r="K44" i="6"/>
  <c r="L44" i="6"/>
  <c r="M44" i="6"/>
  <c r="K45" i="6"/>
  <c r="L45" i="6"/>
  <c r="M45" i="6"/>
  <c r="K46" i="6"/>
  <c r="L46" i="6"/>
  <c r="M46" i="6"/>
  <c r="K47" i="6"/>
  <c r="L47" i="6"/>
  <c r="M47" i="6"/>
  <c r="K48" i="6"/>
  <c r="L48" i="6"/>
  <c r="M48" i="6"/>
  <c r="K49" i="6"/>
  <c r="L49" i="6"/>
  <c r="M49" i="6"/>
  <c r="K50" i="6"/>
  <c r="L50" i="6"/>
  <c r="M50" i="6"/>
  <c r="K51" i="6"/>
  <c r="L51" i="6"/>
  <c r="M51" i="6"/>
  <c r="K52" i="6"/>
  <c r="L52" i="6"/>
  <c r="M52" i="6"/>
  <c r="K53" i="6"/>
  <c r="L53" i="6"/>
  <c r="M53" i="6"/>
  <c r="K54" i="6"/>
  <c r="L54" i="6"/>
  <c r="M54" i="6"/>
  <c r="K55" i="6"/>
  <c r="L55" i="6"/>
  <c r="M55" i="6"/>
  <c r="K56" i="6"/>
  <c r="L56" i="6"/>
  <c r="M56" i="6"/>
  <c r="K57" i="6"/>
  <c r="L57" i="6"/>
  <c r="M57" i="6"/>
  <c r="K58" i="6"/>
  <c r="L58" i="6"/>
  <c r="M58" i="6"/>
  <c r="K59" i="6"/>
  <c r="L59" i="6"/>
  <c r="M59" i="6"/>
  <c r="K60" i="6"/>
  <c r="L60" i="6"/>
  <c r="M60" i="6"/>
  <c r="K61" i="6"/>
  <c r="L61" i="6"/>
  <c r="M61" i="6"/>
  <c r="K62" i="6"/>
  <c r="L62" i="6"/>
  <c r="M62" i="6"/>
  <c r="K63" i="6"/>
  <c r="L63" i="6"/>
  <c r="M63" i="6"/>
  <c r="K64" i="6"/>
  <c r="L64" i="6"/>
  <c r="M64" i="6"/>
  <c r="K65" i="6"/>
  <c r="L65" i="6"/>
  <c r="M65" i="6"/>
  <c r="K66" i="6"/>
  <c r="L66" i="6"/>
  <c r="M66" i="6"/>
  <c r="K67" i="6"/>
  <c r="L67" i="6"/>
  <c r="M67" i="6"/>
  <c r="K68" i="6"/>
  <c r="L68" i="6"/>
  <c r="M68" i="6"/>
  <c r="K69" i="6"/>
  <c r="L69" i="6"/>
  <c r="M69" i="6"/>
  <c r="K70" i="6"/>
  <c r="L70" i="6"/>
  <c r="M70" i="6"/>
  <c r="K71" i="6"/>
  <c r="L71" i="6"/>
  <c r="M71" i="6"/>
  <c r="K72" i="6"/>
  <c r="L72" i="6"/>
  <c r="M72" i="6"/>
  <c r="K73" i="6"/>
  <c r="L73" i="6"/>
  <c r="M73" i="6"/>
  <c r="K74" i="6"/>
  <c r="L74" i="6"/>
  <c r="M74" i="6"/>
  <c r="K75" i="6"/>
  <c r="L75" i="6"/>
  <c r="M75" i="6"/>
  <c r="K76" i="6"/>
  <c r="L76" i="6"/>
  <c r="M76" i="6"/>
  <c r="K77" i="6"/>
  <c r="L77" i="6"/>
  <c r="M77" i="6"/>
  <c r="K78" i="6"/>
  <c r="L78" i="6"/>
  <c r="M78" i="6"/>
  <c r="K79" i="6"/>
  <c r="L79" i="6"/>
  <c r="M79" i="6"/>
  <c r="K80" i="6"/>
  <c r="L80" i="6"/>
  <c r="M80" i="6"/>
  <c r="K81" i="6"/>
  <c r="L81" i="6"/>
  <c r="M81" i="6"/>
  <c r="K82" i="6"/>
  <c r="L82" i="6"/>
  <c r="M82" i="6"/>
  <c r="K83" i="6"/>
  <c r="L83" i="6"/>
  <c r="M83" i="6"/>
  <c r="K84" i="6"/>
  <c r="L84" i="6"/>
  <c r="M84" i="6"/>
  <c r="K85" i="6"/>
  <c r="L85" i="6"/>
  <c r="M85" i="6"/>
  <c r="K86" i="6"/>
  <c r="L86" i="6"/>
  <c r="M86" i="6"/>
  <c r="K87" i="6"/>
  <c r="L87" i="6"/>
  <c r="M87" i="6"/>
  <c r="K88" i="6"/>
  <c r="L88" i="6"/>
  <c r="M88" i="6"/>
  <c r="K89" i="6"/>
  <c r="L89" i="6"/>
  <c r="M89" i="6"/>
  <c r="K90" i="6"/>
  <c r="L90" i="6"/>
  <c r="M90" i="6"/>
  <c r="K91" i="6"/>
  <c r="L91" i="6"/>
  <c r="M91" i="6"/>
  <c r="K92" i="6"/>
  <c r="L92" i="6"/>
  <c r="M92" i="6"/>
  <c r="K93" i="6"/>
  <c r="L93" i="6"/>
  <c r="M93" i="6"/>
  <c r="K94" i="6"/>
  <c r="L94" i="6"/>
  <c r="M94" i="6"/>
  <c r="K95" i="6"/>
  <c r="L95" i="6"/>
  <c r="M95" i="6"/>
  <c r="K96" i="6"/>
  <c r="L96" i="6"/>
  <c r="M96" i="6"/>
  <c r="K97" i="6"/>
  <c r="L97" i="6"/>
  <c r="M97" i="6"/>
  <c r="K98" i="6"/>
  <c r="L98" i="6"/>
  <c r="M98" i="6"/>
  <c r="K99" i="6"/>
  <c r="L99" i="6"/>
  <c r="M99" i="6"/>
  <c r="K100" i="6"/>
  <c r="L100" i="6"/>
  <c r="M100" i="6"/>
  <c r="K101" i="6"/>
  <c r="L101" i="6"/>
  <c r="M101" i="6"/>
  <c r="K102" i="6"/>
  <c r="L102" i="6"/>
  <c r="M102" i="6"/>
  <c r="K103" i="6"/>
  <c r="L103" i="6"/>
  <c r="M103" i="6"/>
  <c r="K104" i="6"/>
  <c r="L104" i="6"/>
  <c r="M104" i="6"/>
  <c r="K105" i="6"/>
  <c r="L105" i="6"/>
  <c r="M105" i="6"/>
  <c r="K106" i="6"/>
  <c r="L106" i="6"/>
  <c r="M106" i="6"/>
  <c r="K107" i="6"/>
  <c r="L107" i="6"/>
  <c r="M107" i="6"/>
  <c r="K108" i="6"/>
  <c r="L108" i="6"/>
  <c r="M108" i="6"/>
  <c r="K109" i="6"/>
  <c r="L109" i="6"/>
  <c r="M109" i="6"/>
  <c r="K110" i="6"/>
  <c r="L110" i="6"/>
  <c r="M110" i="6"/>
  <c r="K111" i="6"/>
  <c r="L111" i="6"/>
  <c r="M111" i="6"/>
  <c r="K112" i="6"/>
  <c r="L112" i="6"/>
  <c r="M112" i="6"/>
  <c r="K113" i="6"/>
  <c r="L113" i="6"/>
  <c r="M113" i="6"/>
  <c r="K114" i="6"/>
  <c r="L114" i="6"/>
  <c r="M114" i="6"/>
  <c r="K115" i="6"/>
  <c r="L115" i="6"/>
  <c r="M115" i="6"/>
  <c r="K116" i="6"/>
  <c r="L116" i="6"/>
  <c r="M116" i="6"/>
  <c r="K117" i="6"/>
  <c r="L117" i="6"/>
  <c r="M117" i="6"/>
  <c r="K118" i="6"/>
  <c r="L118" i="6"/>
  <c r="M118" i="6"/>
  <c r="K119" i="6"/>
  <c r="L119" i="6"/>
  <c r="M119" i="6"/>
  <c r="K120" i="6"/>
  <c r="L120" i="6"/>
  <c r="M120" i="6"/>
  <c r="K121" i="6"/>
  <c r="L121" i="6"/>
  <c r="M121" i="6"/>
  <c r="K122" i="6"/>
  <c r="L122" i="6"/>
  <c r="M122" i="6"/>
  <c r="K123" i="6"/>
  <c r="L123" i="6"/>
  <c r="M123" i="6"/>
  <c r="K124" i="6"/>
  <c r="L124" i="6"/>
  <c r="M124" i="6"/>
  <c r="K125" i="6"/>
  <c r="L125" i="6"/>
  <c r="M125" i="6"/>
  <c r="K126" i="6"/>
  <c r="L126" i="6"/>
  <c r="M126" i="6"/>
  <c r="K127" i="6"/>
  <c r="L127" i="6"/>
  <c r="M127" i="6"/>
  <c r="K128" i="6"/>
  <c r="L128" i="6"/>
  <c r="M128" i="6"/>
  <c r="K129" i="6"/>
  <c r="L129" i="6"/>
  <c r="M129" i="6"/>
  <c r="K130" i="6"/>
  <c r="L130" i="6"/>
  <c r="M130" i="6"/>
  <c r="K131" i="6"/>
  <c r="L131" i="6"/>
  <c r="M131" i="6"/>
  <c r="K132" i="6"/>
  <c r="L132" i="6"/>
  <c r="M132" i="6"/>
  <c r="K133" i="6"/>
  <c r="L133" i="6"/>
  <c r="M133" i="6"/>
  <c r="K134" i="6"/>
  <c r="L134" i="6"/>
  <c r="M134" i="6"/>
  <c r="K135" i="6"/>
  <c r="L135" i="6"/>
  <c r="M135" i="6"/>
  <c r="K136" i="6"/>
  <c r="L136" i="6"/>
  <c r="M136" i="6"/>
  <c r="K137" i="6"/>
  <c r="L137" i="6"/>
  <c r="M137" i="6"/>
  <c r="K138" i="6"/>
  <c r="L138" i="6"/>
  <c r="M138" i="6"/>
  <c r="K139" i="6"/>
  <c r="L139" i="6"/>
  <c r="M139" i="6"/>
  <c r="K140" i="6"/>
  <c r="L140" i="6"/>
  <c r="M140" i="6"/>
  <c r="K141" i="6"/>
  <c r="L141" i="6"/>
  <c r="M141" i="6"/>
  <c r="K142" i="6"/>
  <c r="L142" i="6"/>
  <c r="M142" i="6"/>
  <c r="K143" i="6"/>
  <c r="L143" i="6"/>
  <c r="M143" i="6"/>
  <c r="K144" i="6"/>
  <c r="L144" i="6"/>
  <c r="M144" i="6"/>
  <c r="K145" i="6"/>
  <c r="L145" i="6"/>
  <c r="M145" i="6"/>
  <c r="K146" i="6"/>
  <c r="L146" i="6"/>
  <c r="M146" i="6"/>
  <c r="K147" i="6"/>
  <c r="L147" i="6"/>
  <c r="M147" i="6"/>
  <c r="K148" i="6"/>
  <c r="L148" i="6"/>
  <c r="M148" i="6"/>
  <c r="K149" i="6"/>
  <c r="L149" i="6"/>
  <c r="M149" i="6"/>
  <c r="K150" i="6"/>
  <c r="L150" i="6"/>
  <c r="M150" i="6"/>
  <c r="K151" i="6"/>
  <c r="L151" i="6"/>
  <c r="M151" i="6"/>
  <c r="K152" i="6"/>
  <c r="L152" i="6"/>
  <c r="M152" i="6"/>
  <c r="K153" i="6"/>
  <c r="L153" i="6"/>
  <c r="M153" i="6"/>
  <c r="K154" i="6"/>
  <c r="L154" i="6"/>
  <c r="M154" i="6"/>
  <c r="K155" i="6"/>
  <c r="L155" i="6"/>
  <c r="M155" i="6"/>
  <c r="K156" i="6"/>
  <c r="L156" i="6"/>
  <c r="M156" i="6"/>
  <c r="K157" i="6"/>
  <c r="L157" i="6"/>
  <c r="M157" i="6"/>
  <c r="K158" i="6"/>
  <c r="L158" i="6"/>
  <c r="M158" i="6"/>
  <c r="K159" i="6"/>
  <c r="L159" i="6"/>
  <c r="M159" i="6"/>
  <c r="K160" i="6"/>
  <c r="L160" i="6"/>
  <c r="M160" i="6"/>
  <c r="K161" i="6"/>
  <c r="L161" i="6"/>
  <c r="M161" i="6"/>
  <c r="K162" i="6"/>
  <c r="L162" i="6"/>
  <c r="M162" i="6"/>
  <c r="K163" i="6"/>
  <c r="L163" i="6"/>
  <c r="M163" i="6"/>
  <c r="K164" i="6"/>
  <c r="L164" i="6"/>
  <c r="M164" i="6"/>
  <c r="K165" i="6"/>
  <c r="L165" i="6"/>
  <c r="M165" i="6"/>
  <c r="K166" i="6"/>
  <c r="L166" i="6"/>
  <c r="M166" i="6"/>
  <c r="K167" i="6"/>
  <c r="L167" i="6"/>
  <c r="M167" i="6"/>
  <c r="K168" i="6"/>
  <c r="L168" i="6"/>
  <c r="M168" i="6"/>
  <c r="K169" i="6"/>
  <c r="L169" i="6"/>
  <c r="M169" i="6"/>
  <c r="K170" i="6"/>
  <c r="L170" i="6"/>
  <c r="M170" i="6"/>
  <c r="K171" i="6"/>
  <c r="L171" i="6"/>
  <c r="M171" i="6"/>
  <c r="K172" i="6"/>
  <c r="L172" i="6"/>
  <c r="M172" i="6"/>
  <c r="K173" i="6"/>
  <c r="L173" i="6"/>
  <c r="M173" i="6"/>
  <c r="K174" i="6"/>
  <c r="L174" i="6"/>
  <c r="M174" i="6"/>
  <c r="K175" i="6"/>
  <c r="L175" i="6"/>
  <c r="M175" i="6"/>
  <c r="K176" i="6"/>
  <c r="L176" i="6"/>
  <c r="M176" i="6"/>
  <c r="K177" i="6"/>
  <c r="L177" i="6"/>
  <c r="M177" i="6"/>
  <c r="K178" i="6"/>
  <c r="L178" i="6"/>
  <c r="M178" i="6"/>
  <c r="K179" i="6"/>
  <c r="L179" i="6"/>
  <c r="M179" i="6"/>
  <c r="K180" i="6"/>
  <c r="L180" i="6"/>
  <c r="M180" i="6"/>
  <c r="K181" i="6"/>
  <c r="L181" i="6"/>
  <c r="M181" i="6"/>
  <c r="K182" i="6"/>
  <c r="L182" i="6"/>
  <c r="M182" i="6"/>
  <c r="K183" i="6"/>
  <c r="L183" i="6"/>
  <c r="M183" i="6"/>
  <c r="K184" i="6"/>
  <c r="L184" i="6"/>
  <c r="M184" i="6"/>
  <c r="K185" i="6"/>
  <c r="L185" i="6"/>
  <c r="M185" i="6"/>
  <c r="K186" i="6"/>
  <c r="L186" i="6"/>
  <c r="M186" i="6"/>
  <c r="K187" i="6"/>
  <c r="L187" i="6"/>
  <c r="M187" i="6"/>
  <c r="K188" i="6"/>
  <c r="L188" i="6"/>
  <c r="M188" i="6"/>
  <c r="K189" i="6"/>
  <c r="L189" i="6"/>
  <c r="M189" i="6"/>
  <c r="K190" i="6"/>
  <c r="L190" i="6"/>
  <c r="M190" i="6"/>
  <c r="K191" i="6"/>
  <c r="L191" i="6"/>
  <c r="M191" i="6"/>
  <c r="K192" i="6"/>
  <c r="L192" i="6"/>
  <c r="M192" i="6"/>
  <c r="K193" i="6"/>
  <c r="L193" i="6"/>
  <c r="M193" i="6"/>
  <c r="K194" i="6"/>
  <c r="L194" i="6"/>
  <c r="M194" i="6"/>
  <c r="K195" i="6"/>
  <c r="L195" i="6"/>
  <c r="M195" i="6"/>
  <c r="K196" i="6"/>
  <c r="L196" i="6"/>
  <c r="M196" i="6"/>
  <c r="K197" i="6"/>
  <c r="L197" i="6"/>
  <c r="M197" i="6"/>
  <c r="K198" i="6"/>
  <c r="L198" i="6"/>
  <c r="M198" i="6"/>
  <c r="K199" i="6"/>
  <c r="L199" i="6"/>
  <c r="M199" i="6"/>
  <c r="K200" i="6"/>
  <c r="L200" i="6"/>
  <c r="M200" i="6"/>
  <c r="K201" i="6"/>
  <c r="L201" i="6"/>
  <c r="M201" i="6"/>
  <c r="K202" i="6"/>
  <c r="L202" i="6"/>
  <c r="M202" i="6"/>
  <c r="K203" i="6"/>
  <c r="L203" i="6"/>
  <c r="M203" i="6"/>
  <c r="K204" i="6"/>
  <c r="L204" i="6"/>
  <c r="M204" i="6"/>
  <c r="K205" i="6"/>
  <c r="L205" i="6"/>
  <c r="M205" i="6"/>
  <c r="K206" i="6"/>
  <c r="L206" i="6"/>
  <c r="M206" i="6"/>
  <c r="K207" i="6"/>
  <c r="L207" i="6"/>
  <c r="M207" i="6"/>
  <c r="K208" i="6"/>
  <c r="L208" i="6"/>
  <c r="M208" i="6"/>
  <c r="K209" i="6"/>
  <c r="L209" i="6"/>
  <c r="M209" i="6"/>
  <c r="K210" i="6"/>
  <c r="L210" i="6"/>
  <c r="M210" i="6"/>
  <c r="K211" i="6"/>
  <c r="L211" i="6"/>
  <c r="M211" i="6"/>
  <c r="K212" i="6"/>
  <c r="L212" i="6"/>
  <c r="M212" i="6"/>
  <c r="K213" i="6"/>
  <c r="L213" i="6"/>
  <c r="M213" i="6"/>
  <c r="K214" i="6"/>
  <c r="L214" i="6"/>
  <c r="M214" i="6"/>
  <c r="K215" i="6"/>
  <c r="L215" i="6"/>
  <c r="M215" i="6"/>
  <c r="K216" i="6"/>
  <c r="L216" i="6"/>
  <c r="M216" i="6"/>
  <c r="K217" i="6"/>
  <c r="L217" i="6"/>
  <c r="M217" i="6"/>
  <c r="K218" i="6"/>
  <c r="L218" i="6"/>
  <c r="M218" i="6"/>
  <c r="K219" i="6"/>
  <c r="L219" i="6"/>
  <c r="M219" i="6"/>
  <c r="K220" i="6"/>
  <c r="L220" i="6"/>
  <c r="M220" i="6"/>
  <c r="K221" i="6"/>
  <c r="L221" i="6"/>
  <c r="M221" i="6"/>
  <c r="K222" i="6"/>
  <c r="L222" i="6"/>
  <c r="M222" i="6"/>
  <c r="K223" i="6"/>
  <c r="L223" i="6"/>
  <c r="M223" i="6"/>
  <c r="K224" i="6"/>
  <c r="L224" i="6"/>
  <c r="M224" i="6"/>
  <c r="K225" i="6"/>
  <c r="L225" i="6"/>
  <c r="M225" i="6"/>
  <c r="K226" i="6"/>
  <c r="L226" i="6"/>
  <c r="M226" i="6"/>
  <c r="K227" i="6"/>
  <c r="L227" i="6"/>
  <c r="M227" i="6"/>
  <c r="K228" i="6"/>
  <c r="L228" i="6"/>
  <c r="M228" i="6"/>
  <c r="K229" i="6"/>
  <c r="L229" i="6"/>
  <c r="M229" i="6"/>
  <c r="K230" i="6"/>
  <c r="L230" i="6"/>
  <c r="M230" i="6"/>
  <c r="K231" i="6"/>
  <c r="L231" i="6"/>
  <c r="M231" i="6"/>
  <c r="K232" i="6"/>
  <c r="L232" i="6"/>
  <c r="M232" i="6"/>
  <c r="K233" i="6"/>
  <c r="L233" i="6"/>
  <c r="M233" i="6"/>
  <c r="K234" i="6"/>
  <c r="L234" i="6"/>
  <c r="M234" i="6"/>
  <c r="K235" i="6"/>
  <c r="L235" i="6"/>
  <c r="M235" i="6"/>
  <c r="K236" i="6"/>
  <c r="L236" i="6"/>
  <c r="M236" i="6"/>
  <c r="K237" i="6"/>
  <c r="L237" i="6"/>
  <c r="M237" i="6"/>
  <c r="K238" i="6"/>
  <c r="L238" i="6"/>
  <c r="M238" i="6"/>
  <c r="K239" i="6"/>
  <c r="L239" i="6"/>
  <c r="M239" i="6"/>
  <c r="K240" i="6"/>
  <c r="L240" i="6"/>
  <c r="M240" i="6"/>
  <c r="K241" i="6"/>
  <c r="L241" i="6"/>
  <c r="M241" i="6"/>
  <c r="K242" i="6"/>
  <c r="L242" i="6"/>
  <c r="M242" i="6"/>
  <c r="K243" i="6"/>
  <c r="L243" i="6"/>
  <c r="M243" i="6"/>
  <c r="K244" i="6"/>
  <c r="L244" i="6"/>
  <c r="M244" i="6"/>
  <c r="K245" i="6"/>
  <c r="L245" i="6"/>
  <c r="M245" i="6"/>
  <c r="K246" i="6"/>
  <c r="L246" i="6"/>
  <c r="M246" i="6"/>
  <c r="K247" i="6"/>
  <c r="L247" i="6"/>
  <c r="M247" i="6"/>
  <c r="K248" i="6"/>
  <c r="L248" i="6"/>
  <c r="M248" i="6"/>
  <c r="K249" i="6"/>
  <c r="L249" i="6"/>
  <c r="M249" i="6"/>
  <c r="K250" i="6"/>
  <c r="L250" i="6"/>
  <c r="M250" i="6"/>
  <c r="K251" i="6"/>
  <c r="L251" i="6"/>
  <c r="M251" i="6"/>
  <c r="K252" i="6"/>
  <c r="L252" i="6"/>
  <c r="M252" i="6"/>
  <c r="K253" i="6"/>
  <c r="L253" i="6"/>
  <c r="M253" i="6"/>
  <c r="K254" i="6"/>
  <c r="L254" i="6"/>
  <c r="M254" i="6"/>
  <c r="K255" i="6"/>
  <c r="L255" i="6"/>
  <c r="M255" i="6"/>
  <c r="K256" i="6"/>
  <c r="L256" i="6"/>
  <c r="M256" i="6"/>
  <c r="K257" i="6"/>
  <c r="L257" i="6"/>
  <c r="M257" i="6"/>
  <c r="K258" i="6"/>
  <c r="L258" i="6"/>
  <c r="M258" i="6"/>
  <c r="K259" i="6"/>
  <c r="L259" i="6"/>
  <c r="M259" i="6"/>
  <c r="K260" i="6"/>
  <c r="L260" i="6"/>
  <c r="M260" i="6"/>
  <c r="K261" i="6"/>
  <c r="L261" i="6"/>
  <c r="M261" i="6"/>
  <c r="K262" i="6"/>
  <c r="L262" i="6"/>
  <c r="M262" i="6"/>
  <c r="K263" i="6"/>
  <c r="L263" i="6"/>
  <c r="M263" i="6"/>
  <c r="K264" i="6"/>
  <c r="L264" i="6"/>
  <c r="M264" i="6"/>
  <c r="K265" i="6"/>
  <c r="L265" i="6"/>
  <c r="M265" i="6"/>
  <c r="K266" i="6"/>
  <c r="L266" i="6"/>
  <c r="M266" i="6"/>
  <c r="K267" i="6"/>
  <c r="L267" i="6"/>
  <c r="M267" i="6"/>
  <c r="K268" i="6"/>
  <c r="L268" i="6"/>
  <c r="M268" i="6"/>
  <c r="K269" i="6"/>
  <c r="L269" i="6"/>
  <c r="M269" i="6"/>
  <c r="K270" i="6"/>
  <c r="L270" i="6"/>
  <c r="M270" i="6"/>
  <c r="K271" i="6"/>
  <c r="L271" i="6"/>
  <c r="M271" i="6"/>
  <c r="K272" i="6"/>
  <c r="L272" i="6"/>
  <c r="M272" i="6"/>
  <c r="K273" i="6"/>
  <c r="L273" i="6"/>
  <c r="M273" i="6"/>
  <c r="K274" i="6"/>
  <c r="L274" i="6"/>
  <c r="M274" i="6"/>
  <c r="K275" i="6"/>
  <c r="L275" i="6"/>
  <c r="M275" i="6"/>
  <c r="K276" i="6"/>
  <c r="L276" i="6"/>
  <c r="M276" i="6"/>
  <c r="K277" i="6"/>
  <c r="L277" i="6"/>
  <c r="M277" i="6"/>
  <c r="K278" i="6"/>
  <c r="L278" i="6"/>
  <c r="M278" i="6"/>
  <c r="K279" i="6"/>
  <c r="L279" i="6"/>
  <c r="M279" i="6"/>
  <c r="K280" i="6"/>
  <c r="L280" i="6"/>
  <c r="M280" i="6"/>
  <c r="K281" i="6"/>
  <c r="L281" i="6"/>
  <c r="M281" i="6"/>
  <c r="K282" i="6"/>
  <c r="L282" i="6"/>
  <c r="M282" i="6"/>
  <c r="K283" i="6"/>
  <c r="L283" i="6"/>
  <c r="M283" i="6"/>
  <c r="K284" i="6"/>
  <c r="L284" i="6"/>
  <c r="M284" i="6"/>
  <c r="K285" i="6"/>
  <c r="L285" i="6"/>
  <c r="M285" i="6"/>
  <c r="K286" i="6"/>
  <c r="L286" i="6"/>
  <c r="M286" i="6"/>
  <c r="K287" i="6"/>
  <c r="L287" i="6"/>
  <c r="M287" i="6"/>
  <c r="K288" i="6"/>
  <c r="L288" i="6"/>
  <c r="M288" i="6"/>
  <c r="K289" i="6"/>
  <c r="L289" i="6"/>
  <c r="M289" i="6"/>
  <c r="K290" i="6"/>
  <c r="L290" i="6"/>
  <c r="M290" i="6"/>
  <c r="K291" i="6"/>
  <c r="L291" i="6"/>
  <c r="M291" i="6"/>
  <c r="K292" i="6"/>
  <c r="L292" i="6"/>
  <c r="M292" i="6"/>
  <c r="K293" i="6"/>
  <c r="L293" i="6"/>
  <c r="M293" i="6"/>
  <c r="K294" i="6"/>
  <c r="L294" i="6"/>
  <c r="M294" i="6"/>
  <c r="K295" i="6"/>
  <c r="L295" i="6"/>
  <c r="M295" i="6"/>
  <c r="K296" i="6"/>
  <c r="L296" i="6"/>
  <c r="M296" i="6"/>
  <c r="K297" i="6"/>
  <c r="L297" i="6"/>
  <c r="M297" i="6"/>
  <c r="K298" i="6"/>
  <c r="L298" i="6"/>
  <c r="M298" i="6"/>
  <c r="K299" i="6"/>
  <c r="L299" i="6"/>
  <c r="M299" i="6"/>
  <c r="K300" i="6"/>
  <c r="L300" i="6"/>
  <c r="M300" i="6"/>
  <c r="K301" i="6"/>
  <c r="L301" i="6"/>
  <c r="M301" i="6"/>
  <c r="K302" i="6"/>
  <c r="L302" i="6"/>
  <c r="M302" i="6"/>
  <c r="K303" i="6"/>
  <c r="L303" i="6"/>
  <c r="M303" i="6"/>
  <c r="K304" i="6"/>
  <c r="L304" i="6"/>
  <c r="M304" i="6"/>
  <c r="K305" i="6"/>
  <c r="L305" i="6"/>
  <c r="M305" i="6"/>
  <c r="K306" i="6"/>
  <c r="L306" i="6"/>
  <c r="M306" i="6"/>
  <c r="K307" i="6"/>
  <c r="L307" i="6"/>
  <c r="M307" i="6"/>
  <c r="K308" i="6"/>
  <c r="L308" i="6"/>
  <c r="M308" i="6"/>
  <c r="K309" i="6"/>
  <c r="L309" i="6"/>
  <c r="M309" i="6"/>
  <c r="K310" i="6"/>
  <c r="L310" i="6"/>
  <c r="M310" i="6"/>
  <c r="K311" i="6"/>
  <c r="L311" i="6"/>
  <c r="M311" i="6"/>
  <c r="K312" i="6"/>
  <c r="L312" i="6"/>
  <c r="M312" i="6"/>
  <c r="K313" i="6"/>
  <c r="L313" i="6"/>
  <c r="M313" i="6"/>
  <c r="K314" i="6"/>
  <c r="L314" i="6"/>
  <c r="M314" i="6"/>
  <c r="K315" i="6"/>
  <c r="L315" i="6"/>
  <c r="M315" i="6"/>
  <c r="K316" i="6"/>
  <c r="L316" i="6"/>
  <c r="M316" i="6"/>
  <c r="K317" i="6"/>
  <c r="L317" i="6"/>
  <c r="M317" i="6"/>
  <c r="K318" i="6"/>
  <c r="L318" i="6"/>
  <c r="M318" i="6"/>
  <c r="K319" i="6"/>
  <c r="L319" i="6"/>
  <c r="M319" i="6"/>
  <c r="K320" i="6"/>
  <c r="L320" i="6"/>
  <c r="M320" i="6"/>
  <c r="K321" i="6"/>
  <c r="L321" i="6"/>
  <c r="M321" i="6"/>
  <c r="K322" i="6"/>
  <c r="L322" i="6"/>
  <c r="M322" i="6"/>
  <c r="K323" i="6"/>
  <c r="L323" i="6"/>
  <c r="M323" i="6"/>
  <c r="K324" i="6"/>
  <c r="L324" i="6"/>
  <c r="M324" i="6"/>
  <c r="K325" i="6"/>
  <c r="L325" i="6"/>
  <c r="M325" i="6"/>
  <c r="K326" i="6"/>
  <c r="L326" i="6"/>
  <c r="M326" i="6"/>
  <c r="K327" i="6"/>
  <c r="L327" i="6"/>
  <c r="M327" i="6"/>
  <c r="K328" i="6"/>
  <c r="L328" i="6"/>
  <c r="M328" i="6"/>
  <c r="K329" i="6"/>
  <c r="L329" i="6"/>
  <c r="M329" i="6"/>
  <c r="K330" i="6"/>
  <c r="L330" i="6"/>
  <c r="M330" i="6"/>
  <c r="K331" i="6"/>
  <c r="L331" i="6"/>
  <c r="M331" i="6"/>
  <c r="K332" i="6"/>
  <c r="L332" i="6"/>
  <c r="M332" i="6"/>
  <c r="K333" i="6"/>
  <c r="L333" i="6"/>
  <c r="M333" i="6"/>
  <c r="K334" i="6"/>
  <c r="L334" i="6"/>
  <c r="M334" i="6"/>
  <c r="K335" i="6"/>
  <c r="L335" i="6"/>
  <c r="M335" i="6"/>
  <c r="K336" i="6"/>
  <c r="L336" i="6"/>
  <c r="M336" i="6"/>
  <c r="K337" i="6"/>
  <c r="L337" i="6"/>
  <c r="M337" i="6"/>
  <c r="K338" i="6"/>
  <c r="L338" i="6"/>
  <c r="M338" i="6"/>
  <c r="K339" i="6"/>
  <c r="L339" i="6"/>
  <c r="M339" i="6"/>
  <c r="K340" i="6"/>
  <c r="L340" i="6"/>
  <c r="M340" i="6"/>
  <c r="K341" i="6"/>
  <c r="L341" i="6"/>
  <c r="M341" i="6"/>
  <c r="K342" i="6"/>
  <c r="L342" i="6"/>
  <c r="M342" i="6"/>
  <c r="K343" i="6"/>
  <c r="L343" i="6"/>
  <c r="M343" i="6"/>
  <c r="K344" i="6"/>
  <c r="L344" i="6"/>
  <c r="M344" i="6"/>
  <c r="K345" i="6"/>
  <c r="L345" i="6"/>
  <c r="M345" i="6"/>
  <c r="K346" i="6"/>
  <c r="L346" i="6"/>
  <c r="M346" i="6"/>
  <c r="K347" i="6"/>
  <c r="L347" i="6"/>
  <c r="M347" i="6"/>
  <c r="K348" i="6"/>
  <c r="L348" i="6"/>
  <c r="M348" i="6"/>
  <c r="K349" i="6"/>
  <c r="L349" i="6"/>
  <c r="M349" i="6"/>
  <c r="K350" i="6"/>
  <c r="L350" i="6"/>
  <c r="M350" i="6"/>
  <c r="K351" i="6"/>
  <c r="L351" i="6"/>
  <c r="M351" i="6"/>
  <c r="K352" i="6"/>
  <c r="L352" i="6"/>
  <c r="M352" i="6"/>
  <c r="K353" i="6"/>
  <c r="L353" i="6"/>
  <c r="M353" i="6"/>
  <c r="K354" i="6"/>
  <c r="L354" i="6"/>
  <c r="M354" i="6"/>
  <c r="K355" i="6"/>
  <c r="L355" i="6"/>
  <c r="M355" i="6"/>
  <c r="K356" i="6"/>
  <c r="L356" i="6"/>
  <c r="M356" i="6"/>
  <c r="K357" i="6"/>
  <c r="L357" i="6"/>
  <c r="M357" i="6"/>
  <c r="K358" i="6"/>
  <c r="L358" i="6"/>
  <c r="M358" i="6"/>
  <c r="K359" i="6"/>
  <c r="L359" i="6"/>
  <c r="M359" i="6"/>
  <c r="K360" i="6"/>
  <c r="L360" i="6"/>
  <c r="M360" i="6"/>
  <c r="K361" i="6"/>
  <c r="L361" i="6"/>
  <c r="M361" i="6"/>
  <c r="K362" i="6"/>
  <c r="L362" i="6"/>
  <c r="M362" i="6"/>
  <c r="K363" i="6"/>
  <c r="L363" i="6"/>
  <c r="M363" i="6"/>
  <c r="K364" i="6"/>
  <c r="L364" i="6"/>
  <c r="M364" i="6"/>
  <c r="K365" i="6"/>
  <c r="L365" i="6"/>
  <c r="M365" i="6"/>
  <c r="K366" i="6"/>
  <c r="L366" i="6"/>
  <c r="M366" i="6"/>
  <c r="K367" i="6"/>
  <c r="L367" i="6"/>
  <c r="M367" i="6"/>
  <c r="K368" i="6"/>
  <c r="L368" i="6"/>
  <c r="M368" i="6"/>
  <c r="K369" i="6"/>
  <c r="L369" i="6"/>
  <c r="M369" i="6"/>
  <c r="K370" i="6"/>
  <c r="L370" i="6"/>
  <c r="M370" i="6"/>
  <c r="K371" i="6"/>
  <c r="L371" i="6"/>
  <c r="M371" i="6"/>
  <c r="K372" i="6"/>
  <c r="L372" i="6"/>
  <c r="M372" i="6"/>
  <c r="K373" i="6"/>
  <c r="L373" i="6"/>
  <c r="M373" i="6"/>
  <c r="K374" i="6"/>
  <c r="L374" i="6"/>
  <c r="M374" i="6"/>
  <c r="K375" i="6"/>
  <c r="L375" i="6"/>
  <c r="M375" i="6"/>
  <c r="K376" i="6"/>
  <c r="L376" i="6"/>
  <c r="M376" i="6"/>
  <c r="K377" i="6"/>
  <c r="L377" i="6"/>
  <c r="M377" i="6"/>
  <c r="K378" i="6"/>
  <c r="L378" i="6"/>
  <c r="M378" i="6"/>
  <c r="K379" i="6"/>
  <c r="L379" i="6"/>
  <c r="M379" i="6"/>
  <c r="K380" i="6"/>
  <c r="L380" i="6"/>
  <c r="M380" i="6"/>
  <c r="K381" i="6"/>
  <c r="L381" i="6"/>
  <c r="M381" i="6"/>
  <c r="K382" i="6"/>
  <c r="L382" i="6"/>
  <c r="M382" i="6"/>
  <c r="K383" i="6"/>
  <c r="L383" i="6"/>
  <c r="M383" i="6"/>
  <c r="K384" i="6"/>
  <c r="L384" i="6"/>
  <c r="M384" i="6"/>
  <c r="K385" i="6"/>
  <c r="L385" i="6"/>
  <c r="M385" i="6"/>
  <c r="K386" i="6"/>
  <c r="L386" i="6"/>
  <c r="M386" i="6"/>
  <c r="K387" i="6"/>
  <c r="L387" i="6"/>
  <c r="M387" i="6"/>
  <c r="K388" i="6"/>
  <c r="L388" i="6"/>
  <c r="M388" i="6"/>
  <c r="K389" i="6"/>
  <c r="L389" i="6"/>
  <c r="M389" i="6"/>
  <c r="K390" i="6"/>
  <c r="L390" i="6"/>
  <c r="M390" i="6"/>
  <c r="K391" i="6"/>
  <c r="L391" i="6"/>
  <c r="M391" i="6"/>
  <c r="K392" i="6"/>
  <c r="L392" i="6"/>
  <c r="M392" i="6"/>
  <c r="K393" i="6"/>
  <c r="L393" i="6"/>
  <c r="M393" i="6"/>
  <c r="K394" i="6"/>
  <c r="L394" i="6"/>
  <c r="M394" i="6"/>
  <c r="K395" i="6"/>
  <c r="L395" i="6"/>
  <c r="M395" i="6"/>
  <c r="K396" i="6"/>
  <c r="L396" i="6"/>
  <c r="M396" i="6"/>
  <c r="K397" i="6"/>
  <c r="L397" i="6"/>
  <c r="M397" i="6"/>
  <c r="K398" i="6"/>
  <c r="L398" i="6"/>
  <c r="M398" i="6"/>
  <c r="K399" i="6"/>
  <c r="L399" i="6"/>
  <c r="M399" i="6"/>
  <c r="K400" i="6"/>
  <c r="L400" i="6"/>
  <c r="M400" i="6"/>
  <c r="K401" i="6"/>
  <c r="L401" i="6"/>
  <c r="M401" i="6"/>
  <c r="K402" i="6"/>
  <c r="L402" i="6"/>
  <c r="M402" i="6"/>
  <c r="K403" i="6"/>
  <c r="L403" i="6"/>
  <c r="M403" i="6"/>
  <c r="K404" i="6"/>
  <c r="L404" i="6"/>
  <c r="M404" i="6"/>
  <c r="K405" i="6"/>
  <c r="L405" i="6"/>
  <c r="M405" i="6"/>
  <c r="K406" i="6"/>
  <c r="L406" i="6"/>
  <c r="M406" i="6"/>
  <c r="K407" i="6"/>
  <c r="L407" i="6"/>
  <c r="M407" i="6"/>
  <c r="K408" i="6"/>
  <c r="L408" i="6"/>
  <c r="M408" i="6"/>
  <c r="K409" i="6"/>
  <c r="L409" i="6"/>
  <c r="M409" i="6"/>
  <c r="K410" i="6"/>
  <c r="L410" i="6"/>
  <c r="M410" i="6"/>
  <c r="K411" i="6"/>
  <c r="L411" i="6"/>
  <c r="M411" i="6"/>
  <c r="K412" i="6"/>
  <c r="L412" i="6"/>
  <c r="M412" i="6"/>
  <c r="K413" i="6"/>
  <c r="L413" i="6"/>
  <c r="M413" i="6"/>
  <c r="K414" i="6"/>
  <c r="L414" i="6"/>
  <c r="M414" i="6"/>
  <c r="K415" i="6"/>
  <c r="L415" i="6"/>
  <c r="M415" i="6"/>
  <c r="K416" i="6"/>
  <c r="L416" i="6"/>
  <c r="M416" i="6"/>
  <c r="K417" i="6"/>
  <c r="L417" i="6"/>
  <c r="M417" i="6"/>
  <c r="K418" i="6"/>
  <c r="L418" i="6"/>
  <c r="M418" i="6"/>
  <c r="K419" i="6"/>
  <c r="L419" i="6"/>
  <c r="M419" i="6"/>
  <c r="K420" i="6"/>
  <c r="L420" i="6"/>
  <c r="M420" i="6"/>
  <c r="K421" i="6"/>
  <c r="L421" i="6"/>
  <c r="M421" i="6"/>
  <c r="K422" i="6"/>
  <c r="L422" i="6"/>
  <c r="M422" i="6"/>
  <c r="K423" i="6"/>
  <c r="L423" i="6"/>
  <c r="M423" i="6"/>
  <c r="K424" i="6"/>
  <c r="L424" i="6"/>
  <c r="M424" i="6"/>
  <c r="K425" i="6"/>
  <c r="L425" i="6"/>
  <c r="M425" i="6"/>
  <c r="K426" i="6"/>
  <c r="L426" i="6"/>
  <c r="M426" i="6"/>
  <c r="K427" i="6"/>
  <c r="L427" i="6"/>
  <c r="M427" i="6"/>
  <c r="K428" i="6"/>
  <c r="L428" i="6"/>
  <c r="M428" i="6"/>
  <c r="K429" i="6"/>
  <c r="L429" i="6"/>
  <c r="M429" i="6"/>
  <c r="K430" i="6"/>
  <c r="L430" i="6"/>
  <c r="M430" i="6"/>
  <c r="K431" i="6"/>
  <c r="L431" i="6"/>
  <c r="M431" i="6"/>
  <c r="K432" i="6"/>
  <c r="L432" i="6"/>
  <c r="M432" i="6"/>
  <c r="K433" i="6"/>
  <c r="L433" i="6"/>
  <c r="M433" i="6"/>
  <c r="K434" i="6"/>
  <c r="L434" i="6"/>
  <c r="M434" i="6"/>
  <c r="K435" i="6"/>
  <c r="L435" i="6"/>
  <c r="M435" i="6"/>
  <c r="K436" i="6"/>
  <c r="L436" i="6"/>
  <c r="M436" i="6"/>
  <c r="K437" i="6"/>
  <c r="L437" i="6"/>
  <c r="M437" i="6"/>
  <c r="K438" i="6"/>
  <c r="L438" i="6"/>
  <c r="M438" i="6"/>
  <c r="K439" i="6"/>
  <c r="L439" i="6"/>
  <c r="M439" i="6"/>
  <c r="K440" i="6"/>
  <c r="L440" i="6"/>
  <c r="M440" i="6"/>
  <c r="K441" i="6"/>
  <c r="L441" i="6"/>
  <c r="M441" i="6"/>
  <c r="K442" i="6"/>
  <c r="L442" i="6"/>
  <c r="M442" i="6"/>
  <c r="K443" i="6"/>
  <c r="L443" i="6"/>
  <c r="M443" i="6"/>
  <c r="K444" i="6"/>
  <c r="L444" i="6"/>
  <c r="M444" i="6"/>
  <c r="K445" i="6"/>
  <c r="L445" i="6"/>
  <c r="M445" i="6"/>
  <c r="K446" i="6"/>
  <c r="L446" i="6"/>
  <c r="M446" i="6"/>
  <c r="K447" i="6"/>
  <c r="L447" i="6"/>
  <c r="M447" i="6"/>
  <c r="K448" i="6"/>
  <c r="L448" i="6"/>
  <c r="M448" i="6"/>
  <c r="K449" i="6"/>
  <c r="L449" i="6"/>
  <c r="M449" i="6"/>
  <c r="K450" i="6"/>
  <c r="L450" i="6"/>
  <c r="M450" i="6"/>
  <c r="K451" i="6"/>
  <c r="L451" i="6"/>
  <c r="M451" i="6"/>
  <c r="K452" i="6"/>
  <c r="L452" i="6"/>
  <c r="M452" i="6"/>
  <c r="K453" i="6"/>
  <c r="L453" i="6"/>
  <c r="M453" i="6"/>
  <c r="K454" i="6"/>
  <c r="L454" i="6"/>
  <c r="M454" i="6"/>
  <c r="K455" i="6"/>
  <c r="L455" i="6"/>
  <c r="M455" i="6"/>
  <c r="K456" i="6"/>
  <c r="L456" i="6"/>
  <c r="M456" i="6"/>
  <c r="K457" i="6"/>
  <c r="L457" i="6"/>
  <c r="M457" i="6"/>
  <c r="K458" i="6"/>
  <c r="L458" i="6"/>
  <c r="M458" i="6"/>
  <c r="K459" i="6"/>
  <c r="L459" i="6"/>
  <c r="M459" i="6"/>
  <c r="K460" i="6"/>
  <c r="L460" i="6"/>
  <c r="M460" i="6"/>
  <c r="K461" i="6"/>
  <c r="L461" i="6"/>
  <c r="M461" i="6"/>
  <c r="K462" i="6"/>
  <c r="L462" i="6"/>
  <c r="M462" i="6"/>
  <c r="K463" i="6"/>
  <c r="L463" i="6"/>
  <c r="M463" i="6"/>
  <c r="K464" i="6"/>
  <c r="L464" i="6"/>
  <c r="M464" i="6"/>
  <c r="K465" i="6"/>
  <c r="L465" i="6"/>
  <c r="M465" i="6"/>
  <c r="K466" i="6"/>
  <c r="L466" i="6"/>
  <c r="M466" i="6"/>
  <c r="K467" i="6"/>
  <c r="L467" i="6"/>
  <c r="M467" i="6"/>
  <c r="K468" i="6"/>
  <c r="L468" i="6"/>
  <c r="M468" i="6"/>
  <c r="K469" i="6"/>
  <c r="L469" i="6"/>
  <c r="M469" i="6"/>
  <c r="K470" i="6"/>
  <c r="L470" i="6"/>
  <c r="M470" i="6"/>
  <c r="K471" i="6"/>
  <c r="L471" i="6"/>
  <c r="M471" i="6"/>
  <c r="K472" i="6"/>
  <c r="L472" i="6"/>
  <c r="M472" i="6"/>
  <c r="K473" i="6"/>
  <c r="L473" i="6"/>
  <c r="M473" i="6"/>
  <c r="K474" i="6"/>
  <c r="L474" i="6"/>
  <c r="M474" i="6"/>
  <c r="M2" i="6"/>
  <c r="L2" i="6"/>
  <c r="J474" i="6"/>
  <c r="J473" i="6"/>
  <c r="J472" i="6"/>
  <c r="J471" i="6"/>
  <c r="J470" i="6"/>
  <c r="J469" i="6"/>
  <c r="J468" i="6"/>
  <c r="J467" i="6"/>
  <c r="J466" i="6"/>
  <c r="J465" i="6"/>
  <c r="J464" i="6"/>
  <c r="J463" i="6"/>
  <c r="J462" i="6"/>
  <c r="J461" i="6"/>
  <c r="J460" i="6"/>
  <c r="J459" i="6"/>
  <c r="J458" i="6"/>
  <c r="J457" i="6"/>
  <c r="J456" i="6"/>
  <c r="J455" i="6"/>
  <c r="J454" i="6"/>
  <c r="J453" i="6"/>
  <c r="J452" i="6"/>
  <c r="J451" i="6"/>
  <c r="J450" i="6"/>
  <c r="J449" i="6"/>
  <c r="J448" i="6"/>
  <c r="J447" i="6"/>
  <c r="J446" i="6"/>
  <c r="J445" i="6"/>
  <c r="J444" i="6"/>
  <c r="J443" i="6"/>
  <c r="J442" i="6"/>
  <c r="J441" i="6"/>
  <c r="J440" i="6"/>
  <c r="J439" i="6"/>
  <c r="J438" i="6"/>
  <c r="J437" i="6"/>
  <c r="J436" i="6"/>
  <c r="J435" i="6"/>
  <c r="J434" i="6"/>
  <c r="J432" i="6"/>
  <c r="J431" i="6"/>
  <c r="J430" i="6"/>
  <c r="J429" i="6"/>
  <c r="J428" i="6"/>
  <c r="J425" i="6"/>
  <c r="J424" i="6"/>
  <c r="J423" i="6"/>
  <c r="J422" i="6"/>
  <c r="J421" i="6"/>
  <c r="J420" i="6"/>
  <c r="J419" i="6"/>
  <c r="J418" i="6"/>
  <c r="J417" i="6"/>
  <c r="J416" i="6"/>
  <c r="J415" i="6"/>
  <c r="J414" i="6"/>
  <c r="J413" i="6"/>
  <c r="J412" i="6"/>
  <c r="J411" i="6"/>
  <c r="J410" i="6"/>
  <c r="J409" i="6"/>
  <c r="J408" i="6"/>
  <c r="J407" i="6"/>
  <c r="J406" i="6"/>
  <c r="J405" i="6"/>
  <c r="J404" i="6"/>
  <c r="J403" i="6"/>
  <c r="J402" i="6"/>
  <c r="J401" i="6"/>
  <c r="J400" i="6"/>
  <c r="J399" i="6"/>
  <c r="J398" i="6"/>
  <c r="J397" i="6"/>
  <c r="J396" i="6"/>
  <c r="J395" i="6"/>
  <c r="J394" i="6"/>
  <c r="J393" i="6"/>
  <c r="J392" i="6"/>
  <c r="J391" i="6"/>
  <c r="J389" i="6"/>
  <c r="J388" i="6"/>
  <c r="J387" i="6"/>
  <c r="J386" i="6"/>
  <c r="J385" i="6"/>
  <c r="J384" i="6"/>
  <c r="J383" i="6"/>
  <c r="J382" i="6"/>
  <c r="J381" i="6"/>
  <c r="J380" i="6"/>
  <c r="J379" i="6"/>
  <c r="J378" i="6"/>
  <c r="J377" i="6"/>
  <c r="J376" i="6"/>
  <c r="J375" i="6"/>
  <c r="J374" i="6"/>
  <c r="J372" i="6"/>
  <c r="J371" i="6"/>
  <c r="J370" i="6"/>
  <c r="J369" i="6"/>
  <c r="J368" i="6"/>
  <c r="J367" i="6"/>
  <c r="J366" i="6"/>
  <c r="J365" i="6"/>
  <c r="J364" i="6"/>
  <c r="J363" i="6"/>
  <c r="J362" i="6"/>
  <c r="J361" i="6"/>
  <c r="J360" i="6"/>
  <c r="J359" i="6"/>
  <c r="J358" i="6"/>
  <c r="J357" i="6"/>
  <c r="J356" i="6"/>
  <c r="J355" i="6"/>
  <c r="J354" i="6"/>
  <c r="J353" i="6"/>
  <c r="J352" i="6"/>
  <c r="J351" i="6"/>
  <c r="J350" i="6"/>
  <c r="J349" i="6"/>
  <c r="J348" i="6"/>
  <c r="J347" i="6"/>
  <c r="J346" i="6"/>
  <c r="J345" i="6"/>
  <c r="J344" i="6"/>
  <c r="J343" i="6"/>
  <c r="J342" i="6"/>
  <c r="J341" i="6"/>
  <c r="J340" i="6"/>
  <c r="J339" i="6"/>
  <c r="J338" i="6"/>
  <c r="J337" i="6"/>
  <c r="J336" i="6"/>
  <c r="J335" i="6"/>
  <c r="J334" i="6"/>
  <c r="J333" i="6"/>
  <c r="J332" i="6"/>
  <c r="J331" i="6"/>
  <c r="J330" i="6"/>
  <c r="J329" i="6"/>
  <c r="J328" i="6"/>
  <c r="J327" i="6"/>
  <c r="J326" i="6"/>
  <c r="J325" i="6"/>
  <c r="J324" i="6"/>
  <c r="J323" i="6"/>
  <c r="J322" i="6"/>
  <c r="J321" i="6"/>
  <c r="J320" i="6"/>
  <c r="J319" i="6"/>
  <c r="J318" i="6"/>
  <c r="J317" i="6"/>
  <c r="J316" i="6"/>
  <c r="J315" i="6"/>
  <c r="J314" i="6"/>
  <c r="J313" i="6"/>
  <c r="J312" i="6"/>
  <c r="J310" i="6"/>
  <c r="J309" i="6"/>
  <c r="J308" i="6"/>
  <c r="J307" i="6"/>
  <c r="J306" i="6"/>
  <c r="J305" i="6"/>
  <c r="J304" i="6"/>
  <c r="J303" i="6"/>
  <c r="J300" i="6"/>
  <c r="J299" i="6"/>
  <c r="J297" i="6"/>
  <c r="J296" i="6"/>
  <c r="J294" i="6"/>
  <c r="J293" i="6"/>
  <c r="J292" i="6"/>
  <c r="J291" i="6"/>
  <c r="J289" i="6"/>
  <c r="J288" i="6"/>
  <c r="J287" i="6"/>
  <c r="J280" i="6"/>
  <c r="J279" i="6"/>
  <c r="J278" i="6"/>
  <c r="J277" i="6"/>
  <c r="J276" i="6"/>
  <c r="J274" i="6"/>
  <c r="J273" i="6"/>
  <c r="J272" i="6"/>
  <c r="J271" i="6"/>
  <c r="J270" i="6"/>
  <c r="J269" i="6"/>
  <c r="J268" i="6"/>
  <c r="J267" i="6"/>
  <c r="J266" i="6"/>
  <c r="J265" i="6"/>
  <c r="J263" i="6"/>
  <c r="J262" i="6"/>
  <c r="J261" i="6"/>
  <c r="J260" i="6"/>
  <c r="J259" i="6"/>
  <c r="J258" i="6"/>
  <c r="J257" i="6"/>
  <c r="J256" i="6"/>
  <c r="J255" i="6"/>
  <c r="J254" i="6"/>
  <c r="J252" i="6"/>
  <c r="J251" i="6"/>
  <c r="J250" i="6"/>
  <c r="J248" i="6"/>
  <c r="J247" i="6"/>
  <c r="J246" i="6"/>
  <c r="J245" i="6"/>
  <c r="J244" i="6"/>
  <c r="J243" i="6"/>
  <c r="J242" i="6"/>
  <c r="J241" i="6"/>
  <c r="J240" i="6"/>
  <c r="J239" i="6"/>
  <c r="J238" i="6"/>
  <c r="J237" i="6"/>
  <c r="J236" i="6"/>
  <c r="J235" i="6"/>
  <c r="J234" i="6"/>
  <c r="J232" i="6"/>
  <c r="J231" i="6"/>
  <c r="J230" i="6"/>
  <c r="J229" i="6"/>
  <c r="J228" i="6"/>
  <c r="J227" i="6"/>
  <c r="J226" i="6"/>
  <c r="J224" i="6"/>
  <c r="J223" i="6"/>
  <c r="J222" i="6"/>
  <c r="J221" i="6"/>
  <c r="J220" i="6"/>
  <c r="J219" i="6"/>
  <c r="J218" i="6"/>
  <c r="J217" i="6"/>
  <c r="J216" i="6"/>
  <c r="J215" i="6"/>
  <c r="J214" i="6"/>
  <c r="J213" i="6"/>
  <c r="J212" i="6"/>
  <c r="J211" i="6"/>
  <c r="J210" i="6"/>
  <c r="J209" i="6"/>
  <c r="J208" i="6"/>
  <c r="J207" i="6"/>
  <c r="J206" i="6"/>
  <c r="J205" i="6"/>
  <c r="J204" i="6"/>
  <c r="J203" i="6"/>
  <c r="J202" i="6"/>
  <c r="J201" i="6"/>
  <c r="J200" i="6"/>
  <c r="J199" i="6"/>
  <c r="J198" i="6"/>
  <c r="J196" i="6"/>
  <c r="J195" i="6"/>
  <c r="J194" i="6"/>
  <c r="J193" i="6"/>
  <c r="J192" i="6"/>
  <c r="J191" i="6"/>
  <c r="J190" i="6"/>
  <c r="J189" i="6"/>
  <c r="J188" i="6"/>
  <c r="J187" i="6"/>
  <c r="J186" i="6"/>
  <c r="J185" i="6"/>
  <c r="J184" i="6"/>
  <c r="J183" i="6"/>
  <c r="J182" i="6"/>
  <c r="J181" i="6"/>
  <c r="J180" i="6"/>
  <c r="J179" i="6"/>
  <c r="J178" i="6"/>
  <c r="J177" i="6"/>
  <c r="J176" i="6"/>
  <c r="J175" i="6"/>
  <c r="J174" i="6"/>
  <c r="J173" i="6"/>
  <c r="J171" i="6"/>
  <c r="J170" i="6"/>
  <c r="J169" i="6"/>
  <c r="J168" i="6"/>
  <c r="J167" i="6"/>
  <c r="J166" i="6"/>
  <c r="J165" i="6"/>
  <c r="J164" i="6"/>
  <c r="J163" i="6"/>
  <c r="J162" i="6"/>
  <c r="J161" i="6"/>
  <c r="J160" i="6"/>
  <c r="J159" i="6"/>
  <c r="J158" i="6"/>
  <c r="J157" i="6"/>
  <c r="J156" i="6"/>
  <c r="J155" i="6"/>
  <c r="J154" i="6"/>
  <c r="J153" i="6"/>
  <c r="J152" i="6"/>
  <c r="J151" i="6"/>
  <c r="J150" i="6"/>
  <c r="J149" i="6"/>
  <c r="J148" i="6"/>
  <c r="J147" i="6"/>
  <c r="J146" i="6"/>
  <c r="J145" i="6"/>
  <c r="J144" i="6"/>
  <c r="J143" i="6"/>
  <c r="J142" i="6"/>
  <c r="J141" i="6"/>
  <c r="J140" i="6"/>
  <c r="J139" i="6"/>
  <c r="J138" i="6"/>
  <c r="J137" i="6"/>
  <c r="J136" i="6"/>
  <c r="J135" i="6"/>
  <c r="J133" i="6"/>
  <c r="J132" i="6"/>
  <c r="J131" i="6"/>
  <c r="J130" i="6"/>
  <c r="J111" i="6"/>
  <c r="J106" i="6"/>
  <c r="J105" i="6"/>
  <c r="J103" i="6"/>
  <c r="J100" i="6"/>
  <c r="J68" i="6"/>
  <c r="J64" i="6"/>
  <c r="J62" i="6"/>
  <c r="J61" i="6"/>
  <c r="J60" i="6"/>
  <c r="J59" i="6"/>
  <c r="J58" i="6"/>
  <c r="J57" i="6"/>
  <c r="J56" i="6"/>
  <c r="J55" i="6"/>
  <c r="J54" i="6"/>
  <c r="J53" i="6"/>
  <c r="J52" i="6"/>
  <c r="J51" i="6"/>
  <c r="J50" i="6"/>
  <c r="J49" i="6"/>
  <c r="J48" i="6"/>
  <c r="J47" i="6"/>
  <c r="J46" i="6"/>
  <c r="J44" i="6"/>
  <c r="J43" i="6"/>
  <c r="J42" i="6"/>
  <c r="J41"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J4" i="6"/>
  <c r="J3" i="6"/>
  <c r="J2" i="6"/>
  <c r="C474" i="6"/>
  <c r="C473" i="6"/>
  <c r="C472" i="6"/>
  <c r="C471" i="6"/>
  <c r="C470" i="6"/>
  <c r="C469" i="6"/>
  <c r="C468" i="6"/>
  <c r="C467" i="6"/>
  <c r="C466" i="6"/>
  <c r="C465" i="6"/>
  <c r="C464" i="6"/>
  <c r="C463" i="6"/>
  <c r="C462" i="6"/>
  <c r="C461" i="6"/>
  <c r="C460" i="6"/>
  <c r="C459" i="6"/>
  <c r="C458" i="6"/>
  <c r="C457" i="6"/>
  <c r="C456" i="6"/>
  <c r="C455" i="6"/>
  <c r="C454" i="6"/>
  <c r="C453" i="6"/>
  <c r="C452" i="6"/>
  <c r="C451" i="6"/>
  <c r="C450" i="6"/>
  <c r="C449" i="6"/>
  <c r="C448" i="6"/>
  <c r="C447" i="6"/>
  <c r="C446" i="6"/>
  <c r="C445" i="6"/>
  <c r="C444" i="6"/>
  <c r="C443" i="6"/>
  <c r="C442" i="6"/>
  <c r="C441" i="6"/>
  <c r="C440" i="6"/>
  <c r="C439" i="6"/>
  <c r="C438" i="6"/>
  <c r="C437" i="6"/>
  <c r="C436" i="6"/>
  <c r="C435" i="6"/>
  <c r="C434" i="6"/>
  <c r="C432" i="6"/>
  <c r="C431" i="6"/>
  <c r="C430" i="6"/>
  <c r="C429" i="6"/>
  <c r="C428" i="6"/>
  <c r="C425" i="6"/>
  <c r="C424" i="6"/>
  <c r="C423" i="6"/>
  <c r="C422" i="6"/>
  <c r="C421" i="6"/>
  <c r="C420" i="6"/>
  <c r="C419" i="6"/>
  <c r="C418" i="6"/>
  <c r="C417" i="6"/>
  <c r="C416" i="6"/>
  <c r="C415" i="6"/>
  <c r="C414" i="6"/>
  <c r="C413" i="6"/>
  <c r="C412" i="6"/>
  <c r="C411" i="6"/>
  <c r="C410" i="6"/>
  <c r="C409" i="6"/>
  <c r="C408" i="6"/>
  <c r="C407" i="6"/>
  <c r="C406" i="6"/>
  <c r="C405" i="6"/>
  <c r="C404" i="6"/>
  <c r="C403" i="6"/>
  <c r="C402" i="6"/>
  <c r="C401" i="6"/>
  <c r="C400" i="6"/>
  <c r="C399" i="6"/>
  <c r="C398" i="6"/>
  <c r="C397" i="6"/>
  <c r="C396" i="6"/>
  <c r="C395" i="6"/>
  <c r="C394" i="6"/>
  <c r="C393" i="6"/>
  <c r="C392" i="6"/>
  <c r="C391" i="6"/>
  <c r="C389" i="6"/>
  <c r="C388" i="6"/>
  <c r="C387" i="6"/>
  <c r="C386" i="6"/>
  <c r="C385" i="6"/>
  <c r="C384" i="6"/>
  <c r="C383" i="6"/>
  <c r="C382" i="6"/>
  <c r="C381" i="6"/>
  <c r="C380" i="6"/>
  <c r="C379" i="6"/>
  <c r="C378" i="6"/>
  <c r="C377" i="6"/>
  <c r="C376" i="6"/>
  <c r="C375" i="6"/>
  <c r="C374" i="6"/>
  <c r="C372" i="6"/>
  <c r="C371" i="6"/>
  <c r="C370" i="6"/>
  <c r="C369" i="6"/>
  <c r="C368" i="6"/>
  <c r="C367" i="6"/>
  <c r="C366" i="6"/>
  <c r="C365" i="6"/>
  <c r="C364" i="6"/>
  <c r="C363" i="6"/>
  <c r="C362" i="6"/>
  <c r="C361" i="6"/>
  <c r="C360" i="6"/>
  <c r="C359" i="6"/>
  <c r="C358" i="6"/>
  <c r="C357" i="6"/>
  <c r="C356" i="6"/>
  <c r="C355" i="6"/>
  <c r="C354" i="6"/>
  <c r="C353" i="6"/>
  <c r="C352" i="6"/>
  <c r="C351" i="6"/>
  <c r="C350" i="6"/>
  <c r="C349" i="6"/>
  <c r="C348" i="6"/>
  <c r="C347" i="6"/>
  <c r="C346" i="6"/>
  <c r="C345" i="6"/>
  <c r="C344" i="6"/>
  <c r="C343" i="6"/>
  <c r="C342" i="6"/>
  <c r="C341" i="6"/>
  <c r="C340" i="6"/>
  <c r="C339" i="6"/>
  <c r="C338" i="6"/>
  <c r="C337" i="6"/>
  <c r="C336" i="6"/>
  <c r="C335" i="6"/>
  <c r="C334" i="6"/>
  <c r="C333" i="6"/>
  <c r="C332" i="6"/>
  <c r="C331" i="6"/>
  <c r="C330" i="6"/>
  <c r="C329" i="6"/>
  <c r="C328" i="6"/>
  <c r="C327" i="6"/>
  <c r="C326" i="6"/>
  <c r="C325" i="6"/>
  <c r="C324" i="6"/>
  <c r="C323" i="6"/>
  <c r="C322" i="6"/>
  <c r="C321" i="6"/>
  <c r="C320" i="6"/>
  <c r="C319" i="6"/>
  <c r="C318" i="6"/>
  <c r="C317" i="6"/>
  <c r="C316" i="6"/>
  <c r="C315" i="6"/>
  <c r="C314" i="6"/>
  <c r="C313" i="6"/>
  <c r="C312" i="6"/>
  <c r="C310" i="6"/>
  <c r="C309" i="6"/>
  <c r="C308" i="6"/>
  <c r="C307" i="6"/>
  <c r="C306" i="6"/>
  <c r="C305" i="6"/>
  <c r="C304" i="6"/>
  <c r="C303" i="6"/>
  <c r="C300" i="6"/>
  <c r="C299" i="6"/>
  <c r="C297" i="6"/>
  <c r="C296" i="6"/>
  <c r="C294" i="6"/>
  <c r="C293" i="6"/>
  <c r="C292" i="6"/>
  <c r="C291" i="6"/>
  <c r="C289" i="6"/>
  <c r="C288" i="6"/>
  <c r="C287" i="6"/>
  <c r="C280" i="6"/>
  <c r="C279" i="6"/>
  <c r="C278" i="6"/>
  <c r="C277" i="6"/>
  <c r="C276" i="6"/>
  <c r="C274" i="6"/>
  <c r="C273" i="6"/>
  <c r="C272" i="6"/>
  <c r="C271" i="6"/>
  <c r="C270" i="6"/>
  <c r="C269" i="6"/>
  <c r="C268" i="6"/>
  <c r="C267" i="6"/>
  <c r="C266" i="6"/>
  <c r="C265" i="6"/>
  <c r="C263" i="6"/>
  <c r="C262" i="6"/>
  <c r="C261" i="6"/>
  <c r="C260" i="6"/>
  <c r="C259" i="6"/>
  <c r="C258" i="6"/>
  <c r="C257" i="6"/>
  <c r="C256" i="6"/>
  <c r="C255" i="6"/>
  <c r="C254" i="6"/>
  <c r="C252" i="6"/>
  <c r="C251" i="6"/>
  <c r="C250" i="6"/>
  <c r="C248" i="6"/>
  <c r="C247" i="6"/>
  <c r="C246" i="6"/>
  <c r="C245" i="6"/>
  <c r="C244" i="6"/>
  <c r="C243" i="6"/>
  <c r="C242" i="6"/>
  <c r="C241" i="6"/>
  <c r="C240" i="6"/>
  <c r="C239" i="6"/>
  <c r="C238" i="6"/>
  <c r="C237" i="6"/>
  <c r="C236" i="6"/>
  <c r="C235" i="6"/>
  <c r="C234" i="6"/>
  <c r="C232" i="6"/>
  <c r="C231" i="6"/>
  <c r="C230" i="6"/>
  <c r="C229" i="6"/>
  <c r="C228" i="6"/>
  <c r="C227" i="6"/>
  <c r="C226" i="6"/>
  <c r="C224" i="6"/>
  <c r="C223" i="6"/>
  <c r="C222" i="6"/>
  <c r="C221" i="6"/>
  <c r="C220" i="6"/>
  <c r="C219" i="6"/>
  <c r="C218" i="6"/>
  <c r="C217" i="6"/>
  <c r="C216" i="6"/>
  <c r="C215" i="6"/>
  <c r="C214" i="6"/>
  <c r="C213" i="6"/>
  <c r="C212" i="6"/>
  <c r="C211" i="6"/>
  <c r="C210" i="6"/>
  <c r="C209" i="6"/>
  <c r="C208" i="6"/>
  <c r="C207" i="6"/>
  <c r="C206" i="6"/>
  <c r="C205" i="6"/>
  <c r="C204" i="6"/>
  <c r="C203" i="6"/>
  <c r="C202" i="6"/>
  <c r="C201" i="6"/>
  <c r="C200" i="6"/>
  <c r="C199" i="6"/>
  <c r="C198" i="6"/>
  <c r="C196" i="6"/>
  <c r="C195" i="6"/>
  <c r="C194" i="6"/>
  <c r="C193" i="6"/>
  <c r="C192" i="6"/>
  <c r="C191" i="6"/>
  <c r="C190" i="6"/>
  <c r="C189" i="6"/>
  <c r="C188" i="6"/>
  <c r="C187" i="6"/>
  <c r="C186" i="6"/>
  <c r="C185" i="6"/>
  <c r="C184" i="6"/>
  <c r="C183" i="6"/>
  <c r="C182" i="6"/>
  <c r="C181" i="6"/>
  <c r="C180" i="6"/>
  <c r="C179" i="6"/>
  <c r="C178" i="6"/>
  <c r="C177" i="6"/>
  <c r="C176" i="6"/>
  <c r="C175" i="6"/>
  <c r="C174" i="6"/>
  <c r="C173"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3" i="6"/>
  <c r="C132" i="6"/>
  <c r="C131" i="6"/>
  <c r="C130" i="6"/>
  <c r="C111" i="6"/>
  <c r="C106" i="6"/>
  <c r="C105" i="6"/>
  <c r="C103" i="6"/>
  <c r="C100" i="6"/>
  <c r="C68" i="6"/>
  <c r="C64" i="6"/>
  <c r="C62" i="6"/>
  <c r="C61" i="6"/>
  <c r="C60" i="6"/>
  <c r="C59" i="6"/>
  <c r="C58" i="6"/>
  <c r="C57" i="6"/>
  <c r="C56" i="6"/>
  <c r="C55" i="6"/>
  <c r="C54" i="6"/>
  <c r="C53" i="6"/>
  <c r="C52" i="6"/>
  <c r="C51" i="6"/>
  <c r="C50" i="6"/>
  <c r="C49" i="6"/>
  <c r="C48" i="6"/>
  <c r="C47" i="6"/>
  <c r="C46"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2" i="10"/>
  <c r="C431" i="10"/>
  <c r="C430" i="10"/>
  <c r="C429" i="10"/>
  <c r="C428"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89" i="10"/>
  <c r="C388" i="10"/>
  <c r="C387" i="10"/>
  <c r="C386" i="10"/>
  <c r="C385" i="10"/>
  <c r="C384" i="10"/>
  <c r="C383" i="10"/>
  <c r="C382" i="10"/>
  <c r="C381" i="10"/>
  <c r="C380" i="10"/>
  <c r="C379" i="10"/>
  <c r="C378" i="10"/>
  <c r="C377" i="10"/>
  <c r="C376" i="10"/>
  <c r="C375" i="10"/>
  <c r="C374"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345" i="10"/>
  <c r="C344" i="10"/>
  <c r="C343" i="10"/>
  <c r="C342" i="10"/>
  <c r="C341" i="10"/>
  <c r="C340" i="10"/>
  <c r="C339" i="10"/>
  <c r="C338" i="10"/>
  <c r="C337" i="10"/>
  <c r="C336" i="10"/>
  <c r="C335" i="10"/>
  <c r="C334" i="10"/>
  <c r="C333" i="10"/>
  <c r="C332" i="10"/>
  <c r="C331" i="10"/>
  <c r="C330" i="10"/>
  <c r="C329" i="10"/>
  <c r="C328" i="10"/>
  <c r="C327" i="10"/>
  <c r="C326" i="10"/>
  <c r="C325" i="10"/>
  <c r="C324" i="10"/>
  <c r="C323" i="10"/>
  <c r="C322" i="10"/>
  <c r="C321" i="10"/>
  <c r="C320" i="10"/>
  <c r="C319" i="10"/>
  <c r="C318" i="10"/>
  <c r="C317" i="10"/>
  <c r="C316" i="10"/>
  <c r="C315" i="10"/>
  <c r="C314" i="10"/>
  <c r="C313" i="10"/>
  <c r="C312" i="10"/>
  <c r="C310" i="10"/>
  <c r="C309" i="10"/>
  <c r="C308" i="10"/>
  <c r="C307" i="10"/>
  <c r="C306" i="10"/>
  <c r="C305" i="10"/>
  <c r="C304" i="10"/>
  <c r="C303" i="10"/>
  <c r="C300" i="10"/>
  <c r="C299" i="10"/>
  <c r="C297" i="10"/>
  <c r="C296" i="10"/>
  <c r="C294" i="10"/>
  <c r="C293" i="10"/>
  <c r="C292" i="10"/>
  <c r="C291" i="10"/>
  <c r="C289" i="10"/>
  <c r="C288" i="10"/>
  <c r="C287" i="10"/>
  <c r="C280" i="10"/>
  <c r="C279" i="10"/>
  <c r="C278" i="10"/>
  <c r="C277" i="10"/>
  <c r="C276" i="10"/>
  <c r="C274" i="10"/>
  <c r="C273" i="10"/>
  <c r="C272" i="10"/>
  <c r="C271" i="10"/>
  <c r="C270" i="10"/>
  <c r="C269" i="10"/>
  <c r="C268" i="10"/>
  <c r="C267" i="10"/>
  <c r="C266" i="10"/>
  <c r="C265" i="10"/>
  <c r="C263" i="10"/>
  <c r="C262" i="10"/>
  <c r="C261" i="10"/>
  <c r="C260" i="10"/>
  <c r="C259" i="10"/>
  <c r="C258" i="10"/>
  <c r="C257" i="10"/>
  <c r="C256" i="10"/>
  <c r="C255" i="10"/>
  <c r="C254" i="10"/>
  <c r="C252" i="10"/>
  <c r="C251" i="10"/>
  <c r="C250" i="10"/>
  <c r="C248" i="10"/>
  <c r="C247" i="10"/>
  <c r="C246" i="10"/>
  <c r="C245" i="10"/>
  <c r="C244" i="10"/>
  <c r="C243" i="10"/>
  <c r="C242" i="10"/>
  <c r="C241" i="10"/>
  <c r="C240" i="10"/>
  <c r="C239" i="10"/>
  <c r="C238" i="10"/>
  <c r="C237" i="10"/>
  <c r="C236" i="10"/>
  <c r="C235" i="10"/>
  <c r="C234" i="10"/>
  <c r="C232" i="10"/>
  <c r="C231" i="10"/>
  <c r="C230" i="10"/>
  <c r="C229" i="10"/>
  <c r="C228" i="10"/>
  <c r="C227" i="10"/>
  <c r="C226" i="10"/>
  <c r="C224" i="10"/>
  <c r="C223" i="10"/>
  <c r="C222" i="10"/>
  <c r="C221" i="10"/>
  <c r="C220" i="10"/>
  <c r="C219" i="10"/>
  <c r="C218" i="10"/>
  <c r="C217" i="10"/>
  <c r="C216" i="10"/>
  <c r="C215" i="10"/>
  <c r="C214" i="10"/>
  <c r="C213" i="10"/>
  <c r="C212" i="10"/>
  <c r="C211" i="10"/>
  <c r="C210" i="10"/>
  <c r="C209" i="10"/>
  <c r="C208" i="10"/>
  <c r="C207" i="10"/>
  <c r="C206" i="10"/>
  <c r="C205" i="10"/>
  <c r="C204" i="10"/>
  <c r="C203" i="10"/>
  <c r="C202" i="10"/>
  <c r="C201" i="10"/>
  <c r="C200" i="10"/>
  <c r="C199" i="10"/>
  <c r="C198" i="10"/>
  <c r="C196" i="10"/>
  <c r="C195" i="10"/>
  <c r="C194" i="10"/>
  <c r="C193" i="10"/>
  <c r="C192" i="10"/>
  <c r="C191" i="10"/>
  <c r="C190" i="10"/>
  <c r="C189" i="10"/>
  <c r="C188" i="10"/>
  <c r="C187" i="10"/>
  <c r="C186" i="10"/>
  <c r="C185" i="10"/>
  <c r="C184" i="10"/>
  <c r="C183" i="10"/>
  <c r="C182" i="10"/>
  <c r="C181" i="10"/>
  <c r="C180" i="10"/>
  <c r="C179" i="10"/>
  <c r="C178" i="10"/>
  <c r="C177" i="10"/>
  <c r="C176" i="10"/>
  <c r="C175" i="10"/>
  <c r="C174" i="10"/>
  <c r="C173" i="10"/>
  <c r="C171" i="10"/>
  <c r="C170" i="10"/>
  <c r="C169" i="10"/>
  <c r="C168"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3" i="10"/>
  <c r="C132" i="10"/>
  <c r="C131" i="10"/>
  <c r="C130"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3" i="10"/>
  <c r="C2" i="10"/>
  <c r="C111" i="10"/>
  <c r="C106" i="10"/>
  <c r="C105" i="10"/>
  <c r="C103" i="10"/>
  <c r="C100" i="10"/>
  <c r="C68" i="10"/>
  <c r="C64" i="10"/>
  <c r="C46" i="10"/>
  <c r="P2" i="6" l="1"/>
  <c r="O2" i="6"/>
  <c r="N2" i="6"/>
  <c r="C62" i="10"/>
  <c r="C61" i="10"/>
  <c r="C60" i="10"/>
  <c r="C59" i="10"/>
  <c r="C58" i="10"/>
  <c r="C57" i="10"/>
  <c r="C56" i="10"/>
  <c r="C55" i="10"/>
  <c r="C54" i="10"/>
  <c r="C53" i="10"/>
  <c r="C52" i="10"/>
  <c r="C51" i="10"/>
  <c r="C50" i="10"/>
  <c r="C49" i="10"/>
  <c r="C48" i="10"/>
  <c r="C47" i="10"/>
  <c r="K2" i="6" l="1"/>
  <c r="L622" i="6" l="1"/>
  <c r="K622" i="6"/>
  <c r="M622" i="6"/>
  <c r="O8" i="6" l="1"/>
</calcChain>
</file>

<file path=xl/sharedStrings.xml><?xml version="1.0" encoding="utf-8"?>
<sst xmlns="http://schemas.openxmlformats.org/spreadsheetml/2006/main" count="6770" uniqueCount="1065">
  <si>
    <t>Leeraanbod</t>
  </si>
  <si>
    <t>Aanbieder</t>
  </si>
  <si>
    <t>Aanpassingsvermogen</t>
  </si>
  <si>
    <t>Besluitvaardigheid</t>
  </si>
  <si>
    <t>Coachen</t>
  </si>
  <si>
    <t>Creativiteit</t>
  </si>
  <si>
    <t>Groepsgericht leidinggeven</t>
  </si>
  <si>
    <t>Communicatie</t>
  </si>
  <si>
    <t>Impact</t>
  </si>
  <si>
    <t>Initiatief</t>
  </si>
  <si>
    <t>Kwaliteitsgerichtheid</t>
  </si>
  <si>
    <t>Leervermogen</t>
  </si>
  <si>
    <t>AYCL</t>
  </si>
  <si>
    <t>UWV-2486</t>
  </si>
  <si>
    <t>Luisteren</t>
  </si>
  <si>
    <t>Marktgerichtheid</t>
  </si>
  <si>
    <t>Mondelinge communicatie</t>
  </si>
  <si>
    <t>Netwerken</t>
  </si>
  <si>
    <t>Omgevingsbewustzijn</t>
  </si>
  <si>
    <t>Onafhankelijkheid</t>
  </si>
  <si>
    <t>Oordeelsvorming</t>
  </si>
  <si>
    <t>Organisatieloyaliteit</t>
  </si>
  <si>
    <t>Organisatiesensitiviteit</t>
  </si>
  <si>
    <t>Overtuigingskracht</t>
  </si>
  <si>
    <t>Plannen en organiseren</t>
  </si>
  <si>
    <t>Probleemanalyse</t>
  </si>
  <si>
    <t>Resultaatgerichtheid</t>
  </si>
  <si>
    <t>Samenwerken</t>
  </si>
  <si>
    <t>Schriftelijke communicatie</t>
  </si>
  <si>
    <t>Sensitiviteit</t>
  </si>
  <si>
    <t>Visie</t>
  </si>
  <si>
    <t>Voortgangsbewaking</t>
  </si>
  <si>
    <t>IT Architect</t>
  </si>
  <si>
    <t>Bedrijfsarchitect</t>
  </si>
  <si>
    <t>Enterprise Architect</t>
  </si>
  <si>
    <t>ICT Projectmanager</t>
  </si>
  <si>
    <t>Servicemanager SDM</t>
  </si>
  <si>
    <t>Scrummaster</t>
  </si>
  <si>
    <t>Product Owner</t>
  </si>
  <si>
    <t>Applicatieontwikkelaar</t>
  </si>
  <si>
    <t>Portfoliomanager</t>
  </si>
  <si>
    <t>IT Releasemanager</t>
  </si>
  <si>
    <t>Applicatiebeheerder</t>
  </si>
  <si>
    <t>Business Consultant</t>
  </si>
  <si>
    <t>ITIL</t>
  </si>
  <si>
    <t>Business Consultancy</t>
  </si>
  <si>
    <t>Adviseren</t>
  </si>
  <si>
    <t>Testen</t>
  </si>
  <si>
    <t>Testontwikkeling</t>
  </si>
  <si>
    <t>Tmap Suite Test Engineer</t>
  </si>
  <si>
    <t>Analyse</t>
  </si>
  <si>
    <t>Procesontwerp- en beheer</t>
  </si>
  <si>
    <t>Architectuur</t>
  </si>
  <si>
    <t>Projectmanagement</t>
  </si>
  <si>
    <t>Agile Scrum Foundation</t>
  </si>
  <si>
    <t>Information Security Management</t>
  </si>
  <si>
    <t>Information Security Foundation</t>
  </si>
  <si>
    <t>CIBIT</t>
  </si>
  <si>
    <t>Agile werken</t>
  </si>
  <si>
    <t>Gegevensmanagement</t>
  </si>
  <si>
    <t>Releasemanagement</t>
  </si>
  <si>
    <t>Servicemanagement</t>
  </si>
  <si>
    <t>DevOPS</t>
  </si>
  <si>
    <t>DevOps Fundamentals</t>
  </si>
  <si>
    <t>UWV-3476</t>
  </si>
  <si>
    <t>Management</t>
  </si>
  <si>
    <t>Productiebeheer</t>
  </si>
  <si>
    <t>Portfoliomanagement</t>
  </si>
  <si>
    <t>Leveranciersmanagement</t>
  </si>
  <si>
    <t>Requirements</t>
  </si>
  <si>
    <t>Vakgebied</t>
  </si>
  <si>
    <t>Type</t>
  </si>
  <si>
    <t>Kolomindexgetal1</t>
  </si>
  <si>
    <t>Kolomindexgetal2</t>
  </si>
  <si>
    <t>Kolomindexgetal3</t>
  </si>
  <si>
    <t>Vakgebieden</t>
  </si>
  <si>
    <t>Functie Niveau</t>
  </si>
  <si>
    <t>Basis</t>
  </si>
  <si>
    <t>Functie</t>
  </si>
  <si>
    <t>of</t>
  </si>
  <si>
    <t>●</t>
  </si>
  <si>
    <t>Selecteer hieronder</t>
  </si>
  <si>
    <t>Inleiding</t>
  </si>
  <si>
    <t>Functies</t>
  </si>
  <si>
    <t>Functievergelijker</t>
  </si>
  <si>
    <t>Selecteer functies</t>
  </si>
  <si>
    <t>Functie 1</t>
  </si>
  <si>
    <t>Functie 2</t>
  </si>
  <si>
    <t>Functie 3</t>
  </si>
  <si>
    <t>Resultaat:</t>
  </si>
  <si>
    <t>Competentie/ Vaardigheid</t>
  </si>
  <si>
    <t>Selecteer hier een functie</t>
  </si>
  <si>
    <t>Selecteer hier een niveau</t>
  </si>
  <si>
    <t>Niveau</t>
  </si>
  <si>
    <t>UWV Functiecompetentie</t>
  </si>
  <si>
    <t>Creatief</t>
  </si>
  <si>
    <t>Creatief denken en doen</t>
  </si>
  <si>
    <t>B</t>
  </si>
  <si>
    <t>https://debaak.nl/trainingen/communicatie-met-impact/</t>
  </si>
  <si>
    <t>https://www.ncoi.nl/opleiding/hbo-module-projectmanagement-en-organisatie.html?tab=studieprogramma</t>
  </si>
  <si>
    <t>Grip op processen</t>
  </si>
  <si>
    <t>Mondelinge presentatie</t>
  </si>
  <si>
    <t>Overtuigend en inspirerend presenteren</t>
  </si>
  <si>
    <t>https://www.bestuursacademie.nl/persoonlijke-ontwikkeling-en-vaardigheden/communicatie-en-presentatie/training-overtuigend-en-inspirerend-presenteren.html</t>
  </si>
  <si>
    <t>Politiek-bestuurlijke Sensitiviteit en Beïnvloeding</t>
  </si>
  <si>
    <t>Draagvlak Creëren</t>
  </si>
  <si>
    <t>BCS Stakeholder Engagement</t>
  </si>
  <si>
    <t>Organiseren van eigen werk</t>
  </si>
  <si>
    <t>Timemanagement training</t>
  </si>
  <si>
    <t>Schrijven met het piramideprincipe</t>
  </si>
  <si>
    <t>https://www.bestuursacademie.nl/persoonlijke-ontwikkeling-en-vaardigheden/communicatie-en-presentatie/training-schrijven-met-het-piramideprincipe.html</t>
  </si>
  <si>
    <t>Storytelling</t>
  </si>
  <si>
    <t>https://www.ncoi.nl/training/storytelling.html</t>
  </si>
  <si>
    <t>Masterclass Projectmanagement</t>
  </si>
  <si>
    <t>UWV Bedrijfscompetentie</t>
  </si>
  <si>
    <t>https://www.ncoi.nl/opleiding/masterclass-effectief-beinvloeden-en-overtuigen.html</t>
  </si>
  <si>
    <t>Architecture design</t>
  </si>
  <si>
    <t>DYA Fundamentals</t>
  </si>
  <si>
    <t>https://academy.sogeti.nl/training/training-dya</t>
  </si>
  <si>
    <t>https://www.computrain.nl/business-it/togaf-archimate/archimate-3-1-training-course-level-1-and-2-combined.html</t>
  </si>
  <si>
    <t>Bizzdesign Enterprise Studio</t>
  </si>
  <si>
    <t>https://bizzdesign.com/customer-success/bizzdesign-academy/?cat=10&amp;mc=1008</t>
  </si>
  <si>
    <t>Certified General Enterprise Architect (GEA©)</t>
  </si>
  <si>
    <t>https://www.solventa.nl/cursussen/certified-general-enterprise-architect-gea/</t>
  </si>
  <si>
    <t>Cloud Computing</t>
  </si>
  <si>
    <t>https://www.computrain.nl/business-it/architectuur-en-cloud/training-cloud-fundamental.html</t>
  </si>
  <si>
    <t>Architectuur en informatiebeveiliging</t>
  </si>
  <si>
    <t>https://www.cibit.nl/nl/opleidingen/opleiding-architectuur-en-informatiebeveiliging/</t>
  </si>
  <si>
    <t>https://academy.capgemini.nl/training/werken-met-business-cases</t>
  </si>
  <si>
    <t>Informatiemanagement</t>
  </si>
  <si>
    <t>Curriculum CIO Adviseur (Overheid masterclass)</t>
  </si>
  <si>
    <t>https://rijksacademie.studytube.nl/classroom-trainings/137932</t>
  </si>
  <si>
    <t>Masterclass Enterprise Architectuur (NAF)</t>
  </si>
  <si>
    <t>https://nafdan-site.e-captain.nl/professionaliseren/masterclasses</t>
  </si>
  <si>
    <t>Bedrijfsarchitectuur voor professionals</t>
  </si>
  <si>
    <t>https://novius.nl/bedrijfsarchitectuur-voor-it-professionals/</t>
  </si>
  <si>
    <t>Business Strategy Alignment</t>
  </si>
  <si>
    <t>Business Transformatie Planning</t>
  </si>
  <si>
    <t>https://novius.nl/business-transformatie-planning/</t>
  </si>
  <si>
    <t>https://www.computrain.nl/application-development/agile/leading-safe.html</t>
  </si>
  <si>
    <t>SAFe for Architects</t>
  </si>
  <si>
    <t>Functiepunt Analyse</t>
  </si>
  <si>
    <t>https://academy.capgemini.nl/training/functiepuntenanalyse?gclid=EAIaIQobChMI5Kyc6Yzx-AIVOxkGAB0zUgATEAAYASAAEgI5QfD_BwE</t>
  </si>
  <si>
    <t>COBIT</t>
  </si>
  <si>
    <t>Lean</t>
  </si>
  <si>
    <t>SABSA Foundation</t>
  </si>
  <si>
    <t>https://www.pinkacademy.nl/cursus/sabsa-foundation/</t>
  </si>
  <si>
    <t>Big Data</t>
  </si>
  <si>
    <t>Big Data Fundamentals</t>
  </si>
  <si>
    <t>https://www.computrain.nl/training/Big-Data-Fundamentals.html</t>
  </si>
  <si>
    <t>https://www.computrain.nl/business-it/big-data/dama-dmbok-data-management-fundamentals.html</t>
  </si>
  <si>
    <t>https://academy.capgemini.nl/trainingen/data-warehouse-concepts</t>
  </si>
  <si>
    <t>Master Data Management</t>
  </si>
  <si>
    <t>https://academy.capgemini.nl/trainingen/master-data-management-reference-data-management</t>
  </si>
  <si>
    <t>Software Architectuur en Ontwerp</t>
  </si>
  <si>
    <t>https://www.computrain.nl/Training/Software-Architectuur-en-Ontwerp.html?bron=autosuggest&amp;searchtext=</t>
  </si>
  <si>
    <t>Service Oriented Architecture (S0A)</t>
  </si>
  <si>
    <t>https://www.vijfhart.nl/opleidingen/service-oriented-architecture-soa-concepten/</t>
  </si>
  <si>
    <t>IT Architectuur in de praktijk</t>
  </si>
  <si>
    <t>https://www.cibit.nl/nl/opleidingen/opleiding-it-architectuur-in-de-praktijk/</t>
  </si>
  <si>
    <t>Verdiepend</t>
  </si>
  <si>
    <t>UWV code</t>
  </si>
  <si>
    <t>Leeraanbod zonder link</t>
  </si>
  <si>
    <t>Klantgericht</t>
  </si>
  <si>
    <t>UWV-3337</t>
  </si>
  <si>
    <t>Klantgericht Denken en Handelen</t>
  </si>
  <si>
    <t>Extern klassikaal</t>
  </si>
  <si>
    <t>UWV-4065</t>
  </si>
  <si>
    <t>Effectief Regie Voeren</t>
  </si>
  <si>
    <t>UWV-1839</t>
  </si>
  <si>
    <t>Resultaten Bereiken met je Team</t>
  </si>
  <si>
    <t>UWV-4484</t>
  </si>
  <si>
    <t>Powerboost Communicatie en Samenwerking</t>
  </si>
  <si>
    <t>UWV-4127</t>
  </si>
  <si>
    <t>Effectief Samenwerken in Zelfsturende Teams</t>
  </si>
  <si>
    <t>UWV-1586</t>
  </si>
  <si>
    <t>Interne Communicatie en Samenwerking</t>
  </si>
  <si>
    <t>UWV-1013</t>
  </si>
  <si>
    <t>Emotionele Intelligentie</t>
  </si>
  <si>
    <t>UWV-1639</t>
  </si>
  <si>
    <t>UWV-1598</t>
  </si>
  <si>
    <t>Grip op Processen</t>
  </si>
  <si>
    <t>UWV-3427</t>
  </si>
  <si>
    <t>Timemanagement Training</t>
  </si>
  <si>
    <t>UWV-2838</t>
  </si>
  <si>
    <t>Coachingsvaardigheden</t>
  </si>
  <si>
    <t>Scrum academy</t>
  </si>
  <si>
    <t>Agile coaching</t>
  </si>
  <si>
    <t>UWV-4504</t>
  </si>
  <si>
    <t>Powerboost Coachingsvaardigheden</t>
  </si>
  <si>
    <t>UWV-5377</t>
  </si>
  <si>
    <t>Eigenaarschap in je Team</t>
  </si>
  <si>
    <t>UWV-4613</t>
  </si>
  <si>
    <t>Bezielend Leiderschap binnen de Overheid</t>
  </si>
  <si>
    <t>UWV-904</t>
  </si>
  <si>
    <t>Het Moedige Gesprek</t>
  </si>
  <si>
    <t>UWV-1589</t>
  </si>
  <si>
    <t>Effectief Communiceren met NLP</t>
  </si>
  <si>
    <t>UWV-1087</t>
  </si>
  <si>
    <t>Effectieve Gespreksvaardigheden</t>
  </si>
  <si>
    <t>UWV-3335</t>
  </si>
  <si>
    <t>Basisvaardigheden in Communicatie</t>
  </si>
  <si>
    <t>UWV-1644</t>
  </si>
  <si>
    <t>Assertief en Zelfverzekerd Communiceren</t>
  </si>
  <si>
    <t>Agifall</t>
  </si>
  <si>
    <t>Agile Foundation</t>
  </si>
  <si>
    <t>UWV-1280</t>
  </si>
  <si>
    <t>Computrain</t>
  </si>
  <si>
    <t>Procesverbetering</t>
  </si>
  <si>
    <t>Agile en LEAN proces verbetering</t>
  </si>
  <si>
    <t>SAFe</t>
  </si>
  <si>
    <t>PSM II</t>
  </si>
  <si>
    <t>Scrum Master II | Computrain</t>
  </si>
  <si>
    <t>PSPO</t>
  </si>
  <si>
    <t>PSPO II</t>
  </si>
  <si>
    <t>PSPO Advanced</t>
  </si>
  <si>
    <t>User stories schrijven</t>
  </si>
  <si>
    <t>(Agile) Business Analyse</t>
  </si>
  <si>
    <t>Agile Business Analyst</t>
  </si>
  <si>
    <t>Business Process Management</t>
  </si>
  <si>
    <t>Business Architecture</t>
  </si>
  <si>
    <t>Enterprise architectuur</t>
  </si>
  <si>
    <t>PRINCE2 Agile® Foundation</t>
  </si>
  <si>
    <t>Verandermanagement</t>
  </si>
  <si>
    <t>Stakeholdermanagement</t>
  </si>
  <si>
    <t>Boertien Vergouwen Overduin</t>
  </si>
  <si>
    <t>Training Creativiteit en Resultaat</t>
  </si>
  <si>
    <t>https://www.bvo.nl/training/creativiteit-en-resultaat.html</t>
  </si>
  <si>
    <t>UWV-4699</t>
  </si>
  <si>
    <t>Creatief Denken en Doen</t>
  </si>
  <si>
    <t>Omgaan met complexiteit</t>
  </si>
  <si>
    <t>UWV-5319</t>
  </si>
  <si>
    <t>Invloed in Complexiteit</t>
  </si>
  <si>
    <t>Feedback Geven en Ontvangen</t>
  </si>
  <si>
    <t>UWV-4463</t>
  </si>
  <si>
    <t>Powerboost Schriftelijke Vaardigheden</t>
  </si>
  <si>
    <t>Sociale Veiligheid op het werk</t>
  </si>
  <si>
    <t>DevOPS coaching</t>
  </si>
  <si>
    <t>CTRL improve</t>
  </si>
  <si>
    <t>Devops Coaching</t>
  </si>
  <si>
    <t>DevOps Practioner Enable en Scale</t>
  </si>
  <si>
    <t>Timemanagement</t>
  </si>
  <si>
    <t>https://www.bvo.nl/training/Resultaten-Bereiken-met-je-Team.html</t>
  </si>
  <si>
    <t>UWV-4461</t>
  </si>
  <si>
    <t>Effectief Beïnvloeden</t>
  </si>
  <si>
    <t xml:space="preserve">Leervermogen </t>
  </si>
  <si>
    <t>UWV-4481</t>
  </si>
  <si>
    <t>https://www.bvo.nl/training/training-slim-leren-op-de-werkplek.html</t>
  </si>
  <si>
    <t>Bewust Handelen vanuit een Growth Mindset</t>
  </si>
  <si>
    <t>Assertief en Zelfverzekerd communiceren</t>
  </si>
  <si>
    <t>https://www.bestuursacademie.nl/persoonlijke-ontwikkeling-en-vaardigheden/adviseren-en-beinvloeden/politiek-bestuurlijke-sensitiviteit-en-beinvloeding.html</t>
  </si>
  <si>
    <t>https://www.bvo.nl/training/effectief-communiceren-met-nlp.html</t>
  </si>
  <si>
    <t xml:space="preserve">Coachen </t>
  </si>
  <si>
    <t>UWV-4606</t>
  </si>
  <si>
    <t>Leergang Operationeel Management voor Coördinatoren en Teamleiders</t>
  </si>
  <si>
    <t>https://www.bestuursacademie.nl/leiderschap-en-management/management/leergang-operationeel-management-voor-coordinatoren-en-teamleiders.html</t>
  </si>
  <si>
    <t>UWV-1683</t>
  </si>
  <si>
    <t>Coachend Leidinggeven</t>
  </si>
  <si>
    <t>https://www.bvo.nl/training/coachend-leidinggeven.html</t>
  </si>
  <si>
    <t>https://www.bvo.nl/training/Coachingsvaardigheden.html</t>
  </si>
  <si>
    <t>UWV-1972</t>
  </si>
  <si>
    <t>Masterclass Toegepaste Organisatiekunde</t>
  </si>
  <si>
    <t>https://www.ncoi.nl/opleiding/masterclass-toegepaste-organisatiekunde.html</t>
  </si>
  <si>
    <t>Training Goed Waarnemen, Juist interpreteren en Effectief Communiceren</t>
  </si>
  <si>
    <t>https://www.bestuursacademie.nl/persoonlijke-ontwikkeling-en-vaardigheden/adviseren-en-beinvloeden/draagvlak-creeren.html</t>
  </si>
  <si>
    <t>UWV-5384</t>
  </si>
  <si>
    <t>Introductie op Teamontwikkeling</t>
  </si>
  <si>
    <t>UWV-1778</t>
  </si>
  <si>
    <t>Effectief Samenwerken in Teams</t>
  </si>
  <si>
    <t>https://www.bvo.nl/training/effectief-samenwerken-in-teams.html</t>
  </si>
  <si>
    <t>https://www.bvo.nl/training/training-effectief-samenwerken-in-zelfsturende-teams.html</t>
  </si>
  <si>
    <t>Data analyse</t>
  </si>
  <si>
    <t>UWV-3449</t>
  </si>
  <si>
    <t>Functioneel ontwerp</t>
  </si>
  <si>
    <t>Requirements Analyse en Management</t>
  </si>
  <si>
    <t>UWV-5352</t>
  </si>
  <si>
    <t>Masterprogramma Cybersecurity</t>
  </si>
  <si>
    <t>https://www.ncoi.nl/opleiding/masterprogramma-cybersecurity.html?tab=studieprogramma</t>
  </si>
  <si>
    <t>UWV-3244</t>
  </si>
  <si>
    <t>UWV-1682</t>
  </si>
  <si>
    <t>Professioneel Adviseren</t>
  </si>
  <si>
    <t>Strategisch adviseren</t>
  </si>
  <si>
    <t>Modelleren</t>
  </si>
  <si>
    <t>Cursus Object Orientation, RUP and UML 2.0 | Computrain</t>
  </si>
  <si>
    <t>Active Directory</t>
  </si>
  <si>
    <t>Beheerprocessen</t>
  </si>
  <si>
    <t>Containerisatie</t>
  </si>
  <si>
    <t>UWV-2990</t>
  </si>
  <si>
    <t>ITIL® 4 Foundation</t>
  </si>
  <si>
    <t>Microsoft</t>
  </si>
  <si>
    <t>Microsoft Office 365 Administration and Troubleshooting</t>
  </si>
  <si>
    <t>UWV-3651</t>
  </si>
  <si>
    <t>Microsoft Office 365 Fundamentals</t>
  </si>
  <si>
    <t>Automating Administration with Powershel (AZ-040)</t>
  </si>
  <si>
    <t>Windows 10 (MD-100)</t>
  </si>
  <si>
    <t>PRINCE2® Foundation</t>
  </si>
  <si>
    <t>UWV-2913</t>
  </si>
  <si>
    <t>Data Warehousing</t>
  </si>
  <si>
    <t>UWV-3237</t>
  </si>
  <si>
    <t>Designing Applications for Microsoft SharePoint 2010</t>
  </si>
  <si>
    <t>C# Funfamentals</t>
  </si>
  <si>
    <t>SharePoint Content management fundamentals</t>
  </si>
  <si>
    <t>UWV-3669</t>
  </si>
  <si>
    <t>Visual C# Fundamentals (VCF)</t>
  </si>
  <si>
    <t>Red Hat Liunix administrtaion</t>
  </si>
  <si>
    <t>UWV-3255</t>
  </si>
  <si>
    <t>UWV-5035</t>
  </si>
  <si>
    <t>HBO Module Testmanagement</t>
  </si>
  <si>
    <t>https://www.ncoi.nl/opleiding/hbo-module-testmanagement.html</t>
  </si>
  <si>
    <t>UWV-1621</t>
  </si>
  <si>
    <t>UWV-4448</t>
  </si>
  <si>
    <t>UWV-3298</t>
  </si>
  <si>
    <t>UWV-1590</t>
  </si>
  <si>
    <t>UWV-1968</t>
  </si>
  <si>
    <t>SAFe Lean Portfolio Management ©</t>
  </si>
  <si>
    <t>UWV-3431</t>
  </si>
  <si>
    <t>UWV-5255</t>
  </si>
  <si>
    <t>DAMA DMBOK Data Management Fundamentals</t>
  </si>
  <si>
    <t>UWV-3559</t>
  </si>
  <si>
    <t>IT Trends en Ontwikkelingen</t>
  </si>
  <si>
    <t>NCOI</t>
  </si>
  <si>
    <t>Masterclass IT Developments</t>
  </si>
  <si>
    <t>https://www.ncoi.nl/opleiding/masterclass-it-developments.html</t>
  </si>
  <si>
    <t>IT Governance &amp; Compliance</t>
  </si>
  <si>
    <t xml:space="preserve">Masterclass IT Governance, Riskmanagement &amp; Compliance </t>
  </si>
  <si>
    <t>Digitale transformatie</t>
  </si>
  <si>
    <t>UWV-914</t>
  </si>
  <si>
    <t>Masterclass Digitale Transformatie</t>
  </si>
  <si>
    <t>HBO Bestuurlijk Adviseren en Beïnvloeden</t>
  </si>
  <si>
    <t>https://www.bvo.nl/training/Overtuigingskracht.html</t>
  </si>
  <si>
    <t>UWV-2941</t>
  </si>
  <si>
    <t>Masterclass Effectief Beïnvloeden en Overtuigen</t>
  </si>
  <si>
    <t>Assertiviteit</t>
  </si>
  <si>
    <t>UWV-1674</t>
  </si>
  <si>
    <t>Wendbaarheid in een Veranderende Wereld</t>
  </si>
  <si>
    <t>UWV-1580</t>
  </si>
  <si>
    <t>Natuurlijk Assertief Gedrag</t>
  </si>
  <si>
    <t>https://www.bestuursacademie.nl/persoonlijke-ontwikkeling-en-vaardigheden/samenwerken-en-verbinden/netwerken.html</t>
  </si>
  <si>
    <t>UWV-3355</t>
  </si>
  <si>
    <t>Politieke Antenne</t>
  </si>
  <si>
    <t>https://www.bestuursacademie.nl/beleid-en-bestuur/bestuur/politieke-antenne.html</t>
  </si>
  <si>
    <t>UWV-893</t>
  </si>
  <si>
    <t>Masterclass Strategie en Beleid in een Politieke Omgeving</t>
  </si>
  <si>
    <t>https://www.bestuursacademie.nl/beleid-en-bestuur/beleid/masterclass-strategie-en-beleid-in-een-politieke-omgeving.html</t>
  </si>
  <si>
    <t>UWV-4759</t>
  </si>
  <si>
    <t>Masterclass Strategie, Visie en Innovatie</t>
  </si>
  <si>
    <t>https://www.bvo.nl/training/masterclass-strategie-visie-en-innovatie.html</t>
  </si>
  <si>
    <t>https://www.bvo.nl/training/powerboost-communicatie-en-samenwerking.html</t>
  </si>
  <si>
    <t>https://www.bvo.nl/training/Interne-Communicatie-en-Samenwerking.html</t>
  </si>
  <si>
    <t>UWV-2965</t>
  </si>
  <si>
    <t>UWV-3312</t>
  </si>
  <si>
    <t>Klantgerichte Adviesrapporten Schrijven</t>
  </si>
  <si>
    <t>Agile Projectmanagement</t>
  </si>
  <si>
    <t>Business Analyse</t>
  </si>
  <si>
    <t>UWV-2242</t>
  </si>
  <si>
    <t>Big Data Strategy and Analytics</t>
  </si>
  <si>
    <t>Bedrijfsarchitectuur</t>
  </si>
  <si>
    <t xml:space="preserve">Powerboost Beïnvloeden </t>
  </si>
  <si>
    <t>https://www.bvo.nl/training/powerboost-beinvloeden.html</t>
  </si>
  <si>
    <t>Brain-based Beïnvloeden</t>
  </si>
  <si>
    <t>Overtuigend en Inspirerend Presenteren</t>
  </si>
  <si>
    <t>UWV-5260</t>
  </si>
  <si>
    <t>Executive Masterprogramma Persoonlijk Leiderschap en Beïnvloeden</t>
  </si>
  <si>
    <t>https://www.bvo.nl/training/executive-masterprogramma-persoonlijk-leiderschap-en-beinvloeden.html</t>
  </si>
  <si>
    <t>Omgaan met weerstand</t>
  </si>
  <si>
    <t>UWV-4486</t>
  </si>
  <si>
    <t>Omgaan met weerstand en tegengestelde belangen</t>
  </si>
  <si>
    <t>Politieke (krachten)veld</t>
  </si>
  <si>
    <t>https://www.bvo.nl/training/training-wendbaarheid-in-een-veranderende-wereld.html</t>
  </si>
  <si>
    <t>UWV-5280</t>
  </si>
  <si>
    <t>Masterclass Verandermanagement</t>
  </si>
  <si>
    <t>https://www.ncoi.nl/opleiding/masterclass-verandermanagement.html</t>
  </si>
  <si>
    <t>UWV-1793</t>
  </si>
  <si>
    <t>Leidinggeven aan Verandering</t>
  </si>
  <si>
    <t>https://www.bvo.nl/training/Leidinggeven-aan-Verandering.html</t>
  </si>
  <si>
    <t>Business Intelligence</t>
  </si>
  <si>
    <t>UWV-3450</t>
  </si>
  <si>
    <t>UWV-3243</t>
  </si>
  <si>
    <t>ITIL® 4 Specialist: Drive Stakeholder Value</t>
  </si>
  <si>
    <t>UWV-481</t>
  </si>
  <si>
    <t>Executive Masterclass Verandermanagement</t>
  </si>
  <si>
    <t>UWV-2991</t>
  </si>
  <si>
    <t>BiSL® Foundation</t>
  </si>
  <si>
    <t>PRINCE2 Agile® Practitioner</t>
  </si>
  <si>
    <t>UWV-3485</t>
  </si>
  <si>
    <t>UWV-1943</t>
  </si>
  <si>
    <t>Masterclass Innovatiemanagement</t>
  </si>
  <si>
    <t>https://www.ncoi.nl/opleiding/masterclass-innovatiemanagement.html?tab=algemeen</t>
  </si>
  <si>
    <t>Lean Green belt</t>
  </si>
  <si>
    <t>Beveiliging en Privacy</t>
  </si>
  <si>
    <t>Informatiebeveiliging</t>
  </si>
  <si>
    <t>Informatiebeveiliging en Privacywetgeving in de Praktijk (DPO)</t>
  </si>
  <si>
    <t>Slim Leren op de Werkplek</t>
  </si>
  <si>
    <t>UWV-1581</t>
  </si>
  <si>
    <t>Sensitief Communiceren</t>
  </si>
  <si>
    <t>UWV-3299</t>
  </si>
  <si>
    <t>Schriftelijk Rapporteren</t>
  </si>
  <si>
    <t>UWV-4469</t>
  </si>
  <si>
    <t>Powerboost Presentatievaardigheden</t>
  </si>
  <si>
    <t>Active Directory Fundamentals</t>
  </si>
  <si>
    <t>Capaciteitsmanagement</t>
  </si>
  <si>
    <t>Identity &amp; Accesmanagement</t>
  </si>
  <si>
    <t>Microsoft Security, Compliance and Identity</t>
  </si>
  <si>
    <t>Microsoft Azure Fundamentals (AZ-900)</t>
  </si>
  <si>
    <t>Windows Powershell (AZ-040)</t>
  </si>
  <si>
    <t>Windows server 2016 Fundamentals</t>
  </si>
  <si>
    <t>Data Analyse</t>
  </si>
  <si>
    <t>UWV-4523</t>
  </si>
  <si>
    <t>Post HBO Train de trainer</t>
  </si>
  <si>
    <t>UWV-1686</t>
  </si>
  <si>
    <t>Didactische vaardigheden</t>
  </si>
  <si>
    <t>Processmodellering</t>
  </si>
  <si>
    <t>UWV-4581</t>
  </si>
  <si>
    <t>BCS Modelling Business Processes</t>
  </si>
  <si>
    <t>UML</t>
  </si>
  <si>
    <t>https://www.computrain.nl/application-development/object-orientation-analysis-design/object-orientation-rup-and-uml-2-0.html</t>
  </si>
  <si>
    <t>Functioneel Ontwerp</t>
  </si>
  <si>
    <t>UWV-836</t>
  </si>
  <si>
    <t>Vakopleiding Functioneel Beheer</t>
  </si>
  <si>
    <t>Ketenbeheer</t>
  </si>
  <si>
    <t>Leergang Netwerk- en Ketenregie in de Publieke Sector</t>
  </si>
  <si>
    <t>https://www.bvo.nl/training/training-professioneel-adviseren.html</t>
  </si>
  <si>
    <t>Effectieve gespreksvaardigheden</t>
  </si>
  <si>
    <t>UWV-717</t>
  </si>
  <si>
    <t>Conflicthantering</t>
  </si>
  <si>
    <t>UWV-2177</t>
  </si>
  <si>
    <t>Basisopleiding coaching</t>
  </si>
  <si>
    <t>BCS Business Architecture (Incompany)</t>
  </si>
  <si>
    <t>Business IT-strategie &amp; informatieplanning</t>
  </si>
  <si>
    <t>Novius</t>
  </si>
  <si>
    <t>Business Transformatieplanning</t>
  </si>
  <si>
    <t>Masterclass Security, Privacy &amp; Compliance</t>
  </si>
  <si>
    <t>Management of Portfolio</t>
  </si>
  <si>
    <t>Management of Value InCompany</t>
  </si>
  <si>
    <t>Scenarioplanning</t>
  </si>
  <si>
    <t>UWV-3405</t>
  </si>
  <si>
    <t>Change Management Foundation</t>
  </si>
  <si>
    <t>Programmamanagement</t>
  </si>
  <si>
    <t>Financiele analyse</t>
  </si>
  <si>
    <t>PRINCE2® Practitioner</t>
  </si>
  <si>
    <t>UWV-1266</t>
  </si>
  <si>
    <t>UWV-4464</t>
  </si>
  <si>
    <t>Powerboost Effectief Leidinggeven</t>
  </si>
  <si>
    <t>https://www.bvo.nl/training/powerboost-effectief-leidinggeven.html</t>
  </si>
  <si>
    <t>https://www.bvo.nl/training/Basistraining-Leidinggeven.html</t>
  </si>
  <si>
    <t>UWV-1647</t>
  </si>
  <si>
    <t>Leidinggeven zonder Macht</t>
  </si>
  <si>
    <t>https://www.bvo.nl/training/Leidinggeven-zonder-Macht.html</t>
  </si>
  <si>
    <t>Training Invloed en Macht in Organisaties</t>
  </si>
  <si>
    <t>UWV-4514</t>
  </si>
  <si>
    <t>Skills Lab Sales en Klantgerichtheid</t>
  </si>
  <si>
    <t>https://www.bvo.nl/training/skills-lab-sales-en-klantgerichtheid.html</t>
  </si>
  <si>
    <t>Cybersecurity</t>
  </si>
  <si>
    <t>Masterclass IT Demand- en Leveranciersmanagement</t>
  </si>
  <si>
    <t>https://www.ncoi.nl/opleiding/masterclass-it-demand-en-leveranciersmanagement.html</t>
  </si>
  <si>
    <t>Masterclass IT-architectuur</t>
  </si>
  <si>
    <t>HBO Module Kwaliteits- en Servicemanagement</t>
  </si>
  <si>
    <t>https://www.ncoi.nl/opleiding/hbo-module-kwaliteits-en-servicemanagement.html</t>
  </si>
  <si>
    <t>SQL</t>
  </si>
  <si>
    <t>Databases</t>
  </si>
  <si>
    <t>UWV-399</t>
  </si>
  <si>
    <t>HBO Module Ontwikkelen van Databases</t>
  </si>
  <si>
    <t>https://www.ncoi.nl/opleiding/hbo-module-ontwikkelen-van-databases.html?tab=algemeen</t>
  </si>
  <si>
    <t>IPMA B</t>
  </si>
  <si>
    <t>IPMA B en C</t>
  </si>
  <si>
    <t xml:space="preserve">IPMA C   </t>
  </si>
  <si>
    <t>UWV-3235</t>
  </si>
  <si>
    <t>IPMA C Project Management</t>
  </si>
  <si>
    <t xml:space="preserve">IPMA D </t>
  </si>
  <si>
    <t>IPMA D PM</t>
  </si>
  <si>
    <t>Management of Value</t>
  </si>
  <si>
    <t>Risicomanagement</t>
  </si>
  <si>
    <t>UWV-5298</t>
  </si>
  <si>
    <t>Persoonlijke Effectiviteit in het sturen van Verandering</t>
  </si>
  <si>
    <t>https://www.bvo.nl/training/basistraining-adviesvaardigheden.html</t>
  </si>
  <si>
    <t>Professioneel communiceren voor managers en hoger opgeleiden</t>
  </si>
  <si>
    <t>https://www.bvo.nl/training/training-omgaan-met-weerstand-en-tegengestelde-belangen.html</t>
  </si>
  <si>
    <t>UWV-1583</t>
  </si>
  <si>
    <t>Verbindende Communicatie</t>
  </si>
  <si>
    <t>UWV-3389</t>
  </si>
  <si>
    <t>UWV-1152</t>
  </si>
  <si>
    <t>Executive Masterclass Persoonlijk Leiderschap</t>
  </si>
  <si>
    <t>Persoonlijke Effectiviteit - Kort en intensief</t>
  </si>
  <si>
    <t>UWV-1020</t>
  </si>
  <si>
    <t>Effectief Adviseren in de Publieke Sector</t>
  </si>
  <si>
    <t>UWV-3612</t>
  </si>
  <si>
    <t>Projectmatig Werken binnen de Overheid</t>
  </si>
  <si>
    <t>UWV-5364</t>
  </si>
  <si>
    <t>HBO Module Projectmanagement en Communicatie</t>
  </si>
  <si>
    <t>Schrijven met het Piramideprincipe</t>
  </si>
  <si>
    <t>UWV-4936</t>
  </si>
  <si>
    <t>Timemanagement in één Dag</t>
  </si>
  <si>
    <t>UWV-1579</t>
  </si>
  <si>
    <t>Projectmatig Werken</t>
  </si>
  <si>
    <t>Safe Release train engineer</t>
  </si>
  <si>
    <t>Change Management</t>
  </si>
  <si>
    <t>Cursus Change management Foundation</t>
  </si>
  <si>
    <t>https://www.bvo.nl/training/stakeholdermanagement.html</t>
  </si>
  <si>
    <t>Prioriteiten kunnen stellen</t>
  </si>
  <si>
    <t>Persoonlijke effectiviteit</t>
  </si>
  <si>
    <t>UWV-4470</t>
  </si>
  <si>
    <t>Powerboost Basis Gespreksvaardigheden</t>
  </si>
  <si>
    <t>https://www.bvo.nl/training/Feedback-geven-en-ontvangen.html</t>
  </si>
  <si>
    <t>Doelgericht Communiceren en Beinvloeden</t>
  </si>
  <si>
    <t>Zakelijk Schrijven voor Managers en Hogeropgeleiden</t>
  </si>
  <si>
    <t>ITIL® 4 Foundation Bridge Training</t>
  </si>
  <si>
    <t>ITIL® 4 Leader: Digital and IT Strategy DITS</t>
  </si>
  <si>
    <t>ITIL® 4 Specialist: High-Velocity IT Training</t>
  </si>
  <si>
    <t>ITIL® 4 Specialist: Create, Deliver, and Support CDS Course</t>
  </si>
  <si>
    <t>COBIT 2019 Foundation</t>
  </si>
  <si>
    <t xml:space="preserve">Service management integratie </t>
  </si>
  <si>
    <t>Masterclass IT Services</t>
  </si>
  <si>
    <t>Sturing op SLA's en SLR's</t>
  </si>
  <si>
    <t>Masterclass SLA ITMG (IT Management Group)</t>
  </si>
  <si>
    <t>BIO training (Baseline Informatie beveiliging)</t>
  </si>
  <si>
    <t>UWV-4898</t>
  </si>
  <si>
    <t>Baseline Informatiebeveiliging Overheid</t>
  </si>
  <si>
    <t>https://www.bvo.nl/training/training-bewust-handelen-vanuit-een-growth-mindset.html</t>
  </si>
  <si>
    <t>UWV-1624</t>
  </si>
  <si>
    <t>https://www.bvo.nl/training/Klantgericht-Denken-en-Handelen.html</t>
  </si>
  <si>
    <t>https://www.bestuursacademie.nl/persoonlijke-ontwikkeling-en-vaardigheden/samenwerken-en-verbinden/effectief-regie-voeren.html</t>
  </si>
  <si>
    <t>https://www.bvo.nl/training/Emotionele-Intelligentie.html?tab=programma</t>
  </si>
  <si>
    <t>https://www.bestuursacademie.nl/informatiemanagement/informatie-en-data/grip-op-processen.html</t>
  </si>
  <si>
    <t>https://www.bvo.nl/training/timemanagement-training.html</t>
  </si>
  <si>
    <t>https://www.bvo.nl/training/powerboost-coachingsvaardigheden.html</t>
  </si>
  <si>
    <t>https://www.bvo.nl/training/eigenaarschap-in-je-team.html</t>
  </si>
  <si>
    <t>https://www.bestuursacademie.nl/leiderschap-en-management/leiderschap/bezielend-leiderschap-binnen-de-overheid.html</t>
  </si>
  <si>
    <t>https://www.bvo.nl/training/Het-Moedige-Gesprek.html</t>
  </si>
  <si>
    <t>https://www.bvo.nl/training/Effectieve-Gesprekstechnieken.html</t>
  </si>
  <si>
    <t>https://www.bvo.nl/training/Basisvaardigheden-in-Communicatie.html</t>
  </si>
  <si>
    <t>https://www.bvo.nl/training/assertief-en-zelfverzekerd-communiceren.html</t>
  </si>
  <si>
    <t>https://www.computrain.nl/projectmanagement-it/agile/cursus-agile-scrum-foundation.html</t>
  </si>
  <si>
    <t>https://www.computrain.nl/projectmanagement-it/agile/hbo-agile-en-lean-leadership.html?open=brochure-lite&amp;course=ac887565-f47c-4679-9a50-a314b5d44f4b</t>
  </si>
  <si>
    <t>https://www.computrain.nl/projectmanagement-it/agile/professional-scrum-master-psm.html</t>
  </si>
  <si>
    <t>https://www.computrain.nl/projectmanagement-it/agile/professional-scrum-master-2.html</t>
  </si>
  <si>
    <t>https://www.computrain.nl/application-development/agile/professional-scrum-product-owner-pspo.html?open=brochure-lite&amp;course=2f6a4f82-274b-45a0-a32f-7934e5b5b645</t>
  </si>
  <si>
    <t>https://www.computrain.nl/application-development/web-development/professional-scrum-product-owner-advanced-pspo-a.html</t>
  </si>
  <si>
    <t>https://www.computrain.nl/business-it/business-intelligence/certified-agile-business-analyst.html</t>
  </si>
  <si>
    <t>https://www.computrain.nl/business-it/business-proces-management/cursus-business-process-management.html</t>
  </si>
  <si>
    <t>https://www.computrain.nl/business-it/requirements/requirements-analyse-en-management.html</t>
  </si>
  <si>
    <t>https://www.computrain.nl/business-it/architectuur-en-cloud/hbo-enterprise-architectuur-en-business-it.html</t>
  </si>
  <si>
    <t>https://www.computrain.nl/projectmanagement-it/prince2/cursus-prince2-agile-foundation.html</t>
  </si>
  <si>
    <t>https://www.bestuursacademie.nl/persoonlijke-ontwikkeling-en-vaardigheden/persoonlijke-effectiviteit/creatief-denken-en-doen.html</t>
  </si>
  <si>
    <t>https://debaak.nl/trainingen/invloed-in-complexiteit/</t>
  </si>
  <si>
    <t>https://www.bvo.nl/training/powerboost-schriftelijke-vaardigheden.html?open=brochure-lite&amp;course=7ddcf577-0143-4e9a-892d-a07d5fe44903&amp;tab=programma</t>
  </si>
  <si>
    <t>https://www.bvo.nl/training/training-sociale-veiligheid-op-het-werk.html</t>
  </si>
  <si>
    <t>https://www.computrain.nl/devops/cursus-devops-fundamentals.html</t>
  </si>
  <si>
    <t>https://www.computrain.nl/devops/cursus-devops-enable-and-scale.html</t>
  </si>
  <si>
    <t>https://www.bvo.nl/training/Effectief-Beinvloeden.html</t>
  </si>
  <si>
    <t>https://www.bvo.nl/training/Goed-Waarnemen-Juist-Interpreteren-en-Effectief-Communiceren.html</t>
  </si>
  <si>
    <t>https://www.bvo.nl/training/introductie-op-teamontwikkeling.html</t>
  </si>
  <si>
    <t>https://www.computrain.nl/application-development/analyse-en-ontwerp/training-functioneel-ontwerp.html</t>
  </si>
  <si>
    <t>https://www.computrain.nl/business-it/security-management/cursus-certified-security-manager-cism.html</t>
  </si>
  <si>
    <t>https://www.computrain.nl/business-it/security-management/seco/information-security-foundation.html</t>
  </si>
  <si>
    <t>https://www.computrain.nl/business-it/informatiemanagement/cursus-bisl-foundation.html</t>
  </si>
  <si>
    <t>https://www.computrain.nl/beheer/itil-servicemanagement/cursus-asl2-foundation.html</t>
  </si>
  <si>
    <t>https://www.computrain.nl/beheer/itil-servicemanagement/cursus-itil-4-foundation.html</t>
  </si>
  <si>
    <t>https://www.computrain.nl/beheer/microsoft-azure/microsoft-azure-fundamentals-az-900.html</t>
  </si>
  <si>
    <t>https://www.computrain.nl/office/office-365/microsoft-365-identity-and-services-ms-100.html</t>
  </si>
  <si>
    <t>https://www.computrain.nl/office/office-365/cursus-microsoft-office-365-fundamentals.html</t>
  </si>
  <si>
    <t>https://www.computrain.nl/beheer/microsoft-infrastructuur/windows-server/moc-on-demand-az-040-automating-administration-with-windows-powershell.html</t>
  </si>
  <si>
    <t>https://www.computrain.nl/beheer/microsoft-server/windows-desktop/windows-10-md-100.html</t>
  </si>
  <si>
    <t>https://www.computrain.nl/projectmanagement-it/prince2/cursus-prince2-foundation.html</t>
  </si>
  <si>
    <t>https://www.computrain.nl/beheer/microsoft-data-ai/sql-server/data-warehousing.html</t>
  </si>
  <si>
    <t>https://www.computrain.nl/application-development/microsoft-visual-studio/c-sharp-programming-fundamentals.html</t>
  </si>
  <si>
    <t>https://www.computrain.nl/office/sharepoint/cursus-sharepoint-content-management-fundamentals.html</t>
  </si>
  <si>
    <t>https://www.computrain.nl/beheer/red-hat/red-hat-system-administration-III-linux-automation-with-ansible-rh294.html</t>
  </si>
  <si>
    <t>https://www.computrain.nl/application-development/testen/tmap-suite-test-engineer.html</t>
  </si>
  <si>
    <t>https://www.computrain.nl/projectmanagement-it/masterclass-projectmanagement.html</t>
  </si>
  <si>
    <t>https://www.computrain.nl/projectmanagement/agile-projectmanagement/safe-lean-portfolio-management.html</t>
  </si>
  <si>
    <t>https://www.computrain.nl/projectmanagement/agile-projectmanagement/safe-for-architects.html</t>
  </si>
  <si>
    <t>https://www.computrain.nl/business-it/business-it-en-management/cobit-2019-foundation.html</t>
  </si>
  <si>
    <t>https://www.ncoi.nl/opleiding/masterclass-it-governance.html</t>
  </si>
  <si>
    <t>https://www.ncoi.nl/training/masterclass-digitale-transformatie.html</t>
  </si>
  <si>
    <t>https://www.ncoi.nl/opleiding/hbo-opleidingen-hbo-bestuurlijk-adviseren-en-beinvloeden.html?tab=studieprogramma</t>
  </si>
  <si>
    <t>https://www.bvo.nl/training/training-natuurlijk-assertief-gedrag.html</t>
  </si>
  <si>
    <t>https://www.bvo.nl/training/Klantgerichte-Adviesrapporten-Schrijven.html</t>
  </si>
  <si>
    <t>https://www.computrain.nl/projectmanagement-it/agile/agile-project-management-practitioner-inclusief-examen.html</t>
  </si>
  <si>
    <t>https://www.computrain.nl/business-it/business-analyse-en-requirements/bcs-agile-business-analysis.html</t>
  </si>
  <si>
    <t>https://www.computrain.nl/business-it/big-data/cursus-big-data-strategy-and-analytics.html</t>
  </si>
  <si>
    <t>https://www.bvo.nl/training/Brain-based-beinvloeden.html</t>
  </si>
  <si>
    <t>https://www.bvo.nl/training/training-politiek-in-organisaties.html</t>
  </si>
  <si>
    <t>https://www.computrain.nl/beheer/itil-servicemanagement/itil-4-strategist-direct-plan-and-improve.html</t>
  </si>
  <si>
    <t>https://www.computrain.nl/business-it/business-intelligence/cursus-business-intelligence.html</t>
  </si>
  <si>
    <t>https://www.computrain.nl/beheer/itil-servicemanagement/itil-4-specialist-drive-stakeholder-value.html</t>
  </si>
  <si>
    <t>https://www.computrain.nl/business-it/business-proces-management/cursus-six-sigma-voor-lean-green-belts.html</t>
  </si>
  <si>
    <t>https://www.computrain.nl/projectmanagement-it/prince2/cursus-prince2-practitioner.html</t>
  </si>
  <si>
    <t>https://www.computrain.nl/projectmanagement-it/programma-en-portfoliomanagement/managing-successful-programmes-msp-practitioner.html?tab=programma</t>
  </si>
  <si>
    <t>https://www.computrain.nl/business-it/business-proces-management/cursus-lean-green-belt.html?tab=programma</t>
  </si>
  <si>
    <t>https://www.bestuursacademie.nl/informatiemanagement/security-en-privacy/training-informatiebeveiliging-en-privacywetgeving-in-de-praktijk.html</t>
  </si>
  <si>
    <t>https://www.bvo.nl/training/Sensitief-Communiceren.html</t>
  </si>
  <si>
    <t>https://www.bvo.nl/training/Schriftelijk-Rapporteren.html</t>
  </si>
  <si>
    <t>https://www.bvo.nl/training/powerboost-presentatievaardigheden.html</t>
  </si>
  <si>
    <t>https://www.computrain.nl/projectmanagement-it/ipma/ipma-d-project-management.html</t>
  </si>
  <si>
    <t>https://www.computrain.nl/projectmanagement-it/ipma/ipma-c-project-management.html</t>
  </si>
  <si>
    <t>https://www.computrain.nl/business-it/business-it-en-management/security-en-privacy/microsoft-security-compliance-and-identity-fundamentals-sc900.html</t>
  </si>
  <si>
    <t>https://www.computrain.nl/beheer/microsoft-infrastructure/windows-server/automating-admnistration-with-windowns-powershell-az-040.html</t>
  </si>
  <si>
    <t>https://www.bvo.nl/training/Post-HBO-Train-de-Trainer.html</t>
  </si>
  <si>
    <t>https://www.bvo.nl/training/didactische-vaardigheden.html</t>
  </si>
  <si>
    <t>https://www.computrain.nl/business-it/requirements/bcs-modelling-business-processes.html</t>
  </si>
  <si>
    <t>https://www.computrain.nl/business-it/informatiemanagement/vakopleiding-functioneel-beheer.html</t>
  </si>
  <si>
    <t>https://www.bestuursacademie.nl/beleid-en-bestuur/beleid/leergang-netwerk-en-ketenregie-in-de-publieke-sector.html</t>
  </si>
  <si>
    <t>https://www.bvo.nl/training/conflicthantering.html</t>
  </si>
  <si>
    <t>https://www.ncoi.nl/training/training-verbindende-communicatietechnieken.html</t>
  </si>
  <si>
    <t>https://www.ncoi.nl/opleiding/praktijkopleidingen-basisopleiding-coaching.html</t>
  </si>
  <si>
    <t>https://www.computrain.nl/business-it/security-management/masterclass-security-en-privacy.html</t>
  </si>
  <si>
    <t>https://www.computrain.nl/projectmanagement-it/programma-en-portfoliomanagement/management-of-portfolios-mop-foundation.html</t>
  </si>
  <si>
    <t>https://www.computrain.nl/projectmanagement-it/programma-en-portfoliomanagement/management-of-portfolios-mop-practitioner.html</t>
  </si>
  <si>
    <t>https://www.computrain.nl/projectmanagement-it/change-management-en-contractmanagement/cursus-change-management-foundation.html</t>
  </si>
  <si>
    <t>https://www.computrain.nl/business-it/requirements/bcs-foundation-in-business-analysis.html</t>
  </si>
  <si>
    <t>https://www.computrain.nl/projectmanagement-it/prince2/cursus-prince2-agile-practitioner.html</t>
  </si>
  <si>
    <t>https://www.computrain.nl/business-it/requirements/bcs-requirements-engineering.html</t>
  </si>
  <si>
    <t>https://www.computrain.nl/business-it/architectuur-en-cloud/masterclass-it-architectuur.html</t>
  </si>
  <si>
    <t>https://www.computrain.nl/beheer/microsoft-data-ai/sql-server/sql-fundamentals.html</t>
  </si>
  <si>
    <t>https://www.computrain.nl/projectmanagement-it/ipma/ipma-agile-voor-niveau-b-en-c.html</t>
  </si>
  <si>
    <t>https://debaak.nl/trainingen/persoonlijke-effectiviteit-in-het-sturen-van-verandering/</t>
  </si>
  <si>
    <t>https://www.bestuursacademie.nl/persoonlijke-ontwikkeling-en-vaardigheden/adviseren-en-beinvloeden/effectief-adviseren-in-de-publieke-sector.html</t>
  </si>
  <si>
    <t>https://www.bvo.nl/training/Communicatie-voor-Managers-en-Hoger-Opgeleiden.html</t>
  </si>
  <si>
    <t>https://www.bvo.nl/training/Persoonlijke-Effectiviteit.html</t>
  </si>
  <si>
    <t>https://www.ncoi.nl/training/executive-masterclass-persoonlijk-leiderschap.html</t>
  </si>
  <si>
    <t>https://www.bvo.nl/training/Persoonlijke-Effectiviteit-Kort-en-Intensief.html</t>
  </si>
  <si>
    <t>https://www.bestuursacademie.nl/leiderschap-en-management/management/projectmatig-werken-binnen-de-overheid.html</t>
  </si>
  <si>
    <t>https://www.ncoi.nl/stap/hbo-module-projectmanagement-en-communicatie.html</t>
  </si>
  <si>
    <t>https://www.bvo.nl/training/training-timemanagement-in-een-dag.html?tab=programma</t>
  </si>
  <si>
    <t>https://www.bvo.nl/training/Projectmatig-Werken.html</t>
  </si>
  <si>
    <t>https://www.computrain.nl/projectmanagement/agile-projectmanagement-safe-release-train-engineer.html</t>
  </si>
  <si>
    <t>https://www.bvo.nl/training/powerboost-basis-gespreksvaardigheden.html?tab=programma</t>
  </si>
  <si>
    <t>https://www.bvo.nl/training/doelgericht-communiceren-en-beinvloeden.html?tab=programma</t>
  </si>
  <si>
    <t>https://www.bvo.nl/training/Commercieel-Onderhandelen-en-Beinvloeden.html</t>
  </si>
  <si>
    <t>https://www.bvo.nl/training/Zakelijk-Schrijven-voor-Managers-en-Hoger-Opgeleiden.html?tab=programma</t>
  </si>
  <si>
    <t>https://www.computrain.nl/beheer/itil-servicemanagement/itil-4-specialist-high-velocity-it.html</t>
  </si>
  <si>
    <t>https://www.computrain.nl/beheer/itil-servicemanagement/itil-4-specialist-create-deliver-and-support.html</t>
  </si>
  <si>
    <t>https://www.computrain.nl/beheer/itil-servicemanagement/masterclass-it-services.html</t>
  </si>
  <si>
    <t>https://www.computrain.nl/business-it/security-management/baseline-informatiebeveiliging-overheid.html</t>
  </si>
  <si>
    <t>V</t>
  </si>
  <si>
    <t>link</t>
  </si>
  <si>
    <t>Professional Scrum Product Owner (PSPO)</t>
  </si>
  <si>
    <t>UWV-1190</t>
  </si>
  <si>
    <t>Scrum Master (PSM I)</t>
  </si>
  <si>
    <t>Professional Scrum Master (PSM)</t>
  </si>
  <si>
    <t>UWV-1270</t>
  </si>
  <si>
    <t>Agile Project Management Practitioner® inclusief examen</t>
  </si>
  <si>
    <t>UWV-2950</t>
  </si>
  <si>
    <t>Agile Project Management Foundation® inclusief examen</t>
  </si>
  <si>
    <t>UWV-2989</t>
  </si>
  <si>
    <t>https://www.computrain.nl/projectmanagement-it/agile/cursus-agile-projectmanagement-foundation-met-examen.html</t>
  </si>
  <si>
    <t>Leading SAFe®</t>
  </si>
  <si>
    <t>UWV-5241</t>
  </si>
  <si>
    <t>volgt in volgende update</t>
  </si>
  <si>
    <t>UWV-1036</t>
  </si>
  <si>
    <t>UWV-1707</t>
  </si>
  <si>
    <t>BCS Requirements Engineering</t>
  </si>
  <si>
    <t>UWV-3242</t>
  </si>
  <si>
    <t>BCS Agile Business Analysis</t>
  </si>
  <si>
    <t>UWV-4931</t>
  </si>
  <si>
    <t>ArchiMate® 3.1 Training course Level 1 and 2 Combined</t>
  </si>
  <si>
    <t>UWV-2909</t>
  </si>
  <si>
    <t>UWV-361</t>
  </si>
  <si>
    <t>Capgemini</t>
  </si>
  <si>
    <t>Bizzdesign</t>
  </si>
  <si>
    <t>Solventa</t>
  </si>
  <si>
    <t>Cibit</t>
  </si>
  <si>
    <t>PinkAcademy</t>
  </si>
  <si>
    <t>Vijfhart</t>
  </si>
  <si>
    <t>Incompany</t>
  </si>
  <si>
    <t>Certified Information Security Manager (CISM®)</t>
  </si>
  <si>
    <t>UWV-4902</t>
  </si>
  <si>
    <t>Basistraining Adviesvaardigheden</t>
  </si>
  <si>
    <t>UWV-1664</t>
  </si>
  <si>
    <t>UWV-4475</t>
  </si>
  <si>
    <t>Communicatie met  Impact!</t>
  </si>
  <si>
    <t>UWV-4726</t>
  </si>
  <si>
    <t>Datawarehouse Concepts</t>
  </si>
  <si>
    <t>SQL Fundamentals</t>
  </si>
  <si>
    <t>UWV-1283</t>
  </si>
  <si>
    <t>UWV-1064</t>
  </si>
  <si>
    <t>UWV-4622</t>
  </si>
  <si>
    <t>Management of Portfolios (MoP®) Foundation</t>
  </si>
  <si>
    <t>UWV-2945</t>
  </si>
  <si>
    <t>Management of Portfolios (MoP®) Practitioner</t>
  </si>
  <si>
    <t>UWV-4932</t>
  </si>
  <si>
    <t>Six Sigma voor Lean Green Belts</t>
  </si>
  <si>
    <t>UWV-1728</t>
  </si>
  <si>
    <t>ITIL® 4 Strategist: Direct, Plan and Improve</t>
  </si>
  <si>
    <t>UWV-3234</t>
  </si>
  <si>
    <t>ASL® Foundation</t>
  </si>
  <si>
    <t>UWV-4114</t>
  </si>
  <si>
    <t>UWV-798</t>
  </si>
  <si>
    <t>UWV-1659</t>
  </si>
  <si>
    <t>UWV-1672</t>
  </si>
  <si>
    <t>UWV-1763</t>
  </si>
  <si>
    <t>UWV-2942</t>
  </si>
  <si>
    <t>Managing Successful Programmes (MSP®) Foundation</t>
  </si>
  <si>
    <t>UWV-2943</t>
  </si>
  <si>
    <t>BCS Foundation in Business Analysis</t>
  </si>
  <si>
    <t>UWV-3232</t>
  </si>
  <si>
    <t>UWV-5434-1</t>
  </si>
  <si>
    <t>UWV-1537</t>
  </si>
  <si>
    <t xml:space="preserve">Testen in de Praktijk </t>
  </si>
  <si>
    <t>Commercieel Onderhandelen en beïnvloeden</t>
  </si>
  <si>
    <t>HBO Module Projectmanagementvaardigheden</t>
  </si>
  <si>
    <t>Basistraining Leidinggeven</t>
  </si>
  <si>
    <t>UWV-1796</t>
  </si>
  <si>
    <t>UWV-2967</t>
  </si>
  <si>
    <t>Masterclass Strategie, visie en innovatie</t>
  </si>
  <si>
    <t>UWV-874</t>
  </si>
  <si>
    <t>Versie 1.0: Eerste versie.</t>
  </si>
  <si>
    <t>Als medewerker kun je de IV-Ontwikkelwijzer ter inspiratie gebruiken om jouw volgende stap te bepalen en je professionele ontwikkeling met je manager te bespreken. Naar welke vaardigheden, competenties of vakgebieden ben jij nieuwsgierig?
Als manager kun je de IV-Ontwikkelwijzer gebruiken om medewerkers te inspireren en ondersteunen bij hun professionele ontwikkeling. Welke leerinterventies passen bij de ontwikkelbehoeften van jouw team?</t>
  </si>
  <si>
    <t>Selecteer hier een vakgebied</t>
  </si>
  <si>
    <r>
      <t xml:space="preserve">Wijzigingen
</t>
    </r>
    <r>
      <rPr>
        <sz val="10"/>
        <color theme="1"/>
        <rFont val="Verdana"/>
        <family val="2"/>
      </rPr>
      <t>De IV-Ontwikkelwijzer is gemaakt door HR IV in samenwerking met IV-managers en -medewerkers. De lay-out is ontwikkeld door Change Management. De inhoud wordt voortdurend uitgebreid met meer functies, informatietypen en functionaliteiten. Via de IV-communicatiekanalen houden we je op de hoogte van wijzigingen.</t>
    </r>
    <r>
      <rPr>
        <b/>
        <sz val="10"/>
        <color theme="1"/>
        <rFont val="Verdana"/>
        <family val="2"/>
      </rPr>
      <t xml:space="preserve">
</t>
    </r>
  </si>
  <si>
    <r>
      <rPr>
        <b/>
        <sz val="12"/>
        <color theme="1"/>
        <rFont val="Verdana"/>
        <family val="2"/>
      </rPr>
      <t>Wil je weten hoe jij je verder kunt ontwikkelen binnen IV?</t>
    </r>
    <r>
      <rPr>
        <b/>
        <sz val="10"/>
        <color theme="1"/>
        <rFont val="Verdana"/>
        <family val="2"/>
      </rPr>
      <t xml:space="preserve">
</t>
    </r>
    <r>
      <rPr>
        <sz val="10"/>
        <color theme="1"/>
        <rFont val="Verdana"/>
        <family val="2"/>
      </rPr>
      <t>De IV-Ontwikkelwijzer helpt je om inzicht te krijgen in de ontwikkelmogelijkheden binnen UWV. In dit overzicht vind je kennis, vaardigheden en competenties die passen bij een functie en zie je hoe je deze kunt ontwikkelen. De IV-Ontwikkelwijzer bevat zowel All You Can Learn-opleidingen als andere leerinterventies.</t>
    </r>
  </si>
  <si>
    <r>
      <t xml:space="preserve">    • Functievergelijker
</t>
    </r>
    <r>
      <rPr>
        <sz val="10"/>
        <color theme="1"/>
        <rFont val="Verdana"/>
        <family val="2"/>
      </rPr>
      <t xml:space="preserve">Vergelijk een functie met één of twee andere functies om overeenkomsten en verschillen te zien. Zet bijvoorbeeld jouw eigen functie naast een functie die je interessant vindt, of maak een overzicht van de verschillende functies in jouw team zodat je samen kunt leren. </t>
    </r>
    <r>
      <rPr>
        <b/>
        <sz val="10"/>
        <color theme="1"/>
        <rFont val="Verdana"/>
        <family val="2"/>
      </rPr>
      <t xml:space="preserve">
    • Totaaloverzicht
</t>
    </r>
    <r>
      <rPr>
        <sz val="10"/>
        <color theme="1"/>
        <rFont val="Verdana"/>
        <family val="2"/>
      </rPr>
      <t>Het totaaloverzicht biedt je alle informatie uit de IV-Ontwikkelwijzer, zodat je zelf een overzicht naar wens kunt samenstellen. Het totaaloverzicht vind je op SharePoint.</t>
    </r>
  </si>
  <si>
    <t>Functie-overzicht</t>
  </si>
  <si>
    <r>
      <t xml:space="preserve">Met de functievergelijker kun je je functie vergelijken met een andere. Bekijk bijvoorbeeld eens welke competenties en vaardigheden je al in huis hebt voor de functie die je interessant lijkt of welke je nog kunt ontwikkelen.
De functievergelijker kan ook gebruikt worden om overeenkomsten tussen functies te vinden. Deze informatie kun je gebruiken om leerinterventies voor groepen met verschillende functiehouders te organiseren.
Selecteer 2 of 3 functies </t>
    </r>
    <r>
      <rPr>
        <b/>
        <sz val="9"/>
        <color theme="1"/>
        <rFont val="Verdana"/>
        <family val="2"/>
      </rPr>
      <t>en</t>
    </r>
    <r>
      <rPr>
        <sz val="9"/>
        <color theme="1"/>
        <rFont val="Verdana"/>
        <family val="2"/>
      </rPr>
      <t xml:space="preserve"> niveaus en klik op ‘Ga’ om overeenkomsten en verschillen te zien. </t>
    </r>
    <r>
      <rPr>
        <b/>
        <sz val="9"/>
        <color theme="1"/>
        <rFont val="Verdana"/>
        <family val="2"/>
      </rPr>
      <t>Let op</t>
    </r>
    <r>
      <rPr>
        <sz val="9"/>
        <color theme="1"/>
        <rFont val="Verdana"/>
        <family val="2"/>
      </rPr>
      <t>: Klik altijd op 'Wis' voordat je een nieuwe selectie maakt.</t>
    </r>
  </si>
  <si>
    <r>
      <t xml:space="preserve">Bekijk met het functie-overzicht welke vaardigheden en competenties bij een specifieke functie horen. Wil je breder kijken dan één functie? Zoek dan op eens op vakgebied.
- Klik op 'Selecteer hier een functie' of op 'Selecteer hier een vakgebied' en kies ‘Ga’. Voor functies kun je kiezen of je het basisoverzicht wilt zien, of het verdiepende overzicht.
- In de kolom ‘Leeraanbod’ zie je welke opleidingen je kunt volgen en waar je deze kunt vinden. </t>
    </r>
    <r>
      <rPr>
        <b/>
        <sz val="9"/>
        <color theme="1"/>
        <rFont val="Verdana"/>
        <family val="2"/>
      </rPr>
      <t>Let op</t>
    </r>
    <r>
      <rPr>
        <sz val="9"/>
        <color theme="1"/>
        <rFont val="Verdana"/>
        <family val="2"/>
      </rPr>
      <t xml:space="preserve">: Klik altijd op 'Wis' voordat je een nieuwe selectie maakt.
- Met de cijfercode kun je traininen uit het All You Can Learn-aanbod vinden in Peoplesoft ELM. Zoek zonder de toevoeging 'UWV-', dus gebruik alleen de getallen. </t>
    </r>
  </si>
  <si>
    <t>Toon Alles</t>
  </si>
  <si>
    <t>Laatste wijzigingen:
Versie 1.0: Eerste versie.
Versie 1.1: Kleine functionele en textuele wijzigingen
Versie 2.0: Nieuwe functies bijgevoegd</t>
  </si>
  <si>
    <t>Procesmodellering</t>
  </si>
  <si>
    <t>BCM</t>
  </si>
  <si>
    <t>Beveiliging impactanalyse basis</t>
  </si>
  <si>
    <t>Privacy Management</t>
  </si>
  <si>
    <t>SOC Specialist IT Expert</t>
  </si>
  <si>
    <t>Veilig omgaan met informatie</t>
  </si>
  <si>
    <t>Onderhandelen</t>
  </si>
  <si>
    <t>Statistische analysemethoden</t>
  </si>
  <si>
    <t>Interne kennis</t>
  </si>
  <si>
    <t>Aanbestedingsrecht</t>
  </si>
  <si>
    <t>Beleid en beslisdocumenten schrijven</t>
  </si>
  <si>
    <t>Contractmanagement</t>
  </si>
  <si>
    <t>Delegeren</t>
  </si>
  <si>
    <t>Gespreksvaardigheden</t>
  </si>
  <si>
    <t>Leidinggeven</t>
  </si>
  <si>
    <t>BPMN</t>
  </si>
  <si>
    <t>Microsoft Office 365</t>
  </si>
  <si>
    <t>Procesontwerp- en Beheer</t>
  </si>
  <si>
    <t>Tivoli workload scheduler</t>
  </si>
  <si>
    <t>Servicedesk</t>
  </si>
  <si>
    <t>Kennis Domein Expert</t>
  </si>
  <si>
    <t>Kennismanagement</t>
  </si>
  <si>
    <t>Schrijfvaardigheid</t>
  </si>
  <si>
    <t xml:space="preserve">Servicedesk </t>
  </si>
  <si>
    <t>Solve en evolve</t>
  </si>
  <si>
    <t>Batchverwerking</t>
  </si>
  <si>
    <t>Business Proces Systeem</t>
  </si>
  <si>
    <t>Infrastructuur</t>
  </si>
  <si>
    <t>Ketenmonitoring</t>
  </si>
  <si>
    <t>Systeemontwikkeling/app.ontw.</t>
  </si>
  <si>
    <t>Discipline</t>
  </si>
  <si>
    <t>Integriteit</t>
  </si>
  <si>
    <t>Inzet</t>
  </si>
  <si>
    <t>UWV-669</t>
  </si>
  <si>
    <t>UWV-740</t>
  </si>
  <si>
    <t>UWV-4904</t>
  </si>
  <si>
    <t>UWV-4897</t>
  </si>
  <si>
    <t>UWV-4175</t>
  </si>
  <si>
    <t>UWV-1631</t>
  </si>
  <si>
    <t>UWV-1699</t>
  </si>
  <si>
    <t>UWV-4587</t>
  </si>
  <si>
    <t>UWV-1691</t>
  </si>
  <si>
    <t>UWV</t>
  </si>
  <si>
    <t>UWV-1679</t>
  </si>
  <si>
    <t>CM Partners</t>
  </si>
  <si>
    <t>Sourcing Nederland</t>
  </si>
  <si>
    <t>UWV-1640</t>
  </si>
  <si>
    <t>UWV-1635</t>
  </si>
  <si>
    <t>UWV-1333</t>
  </si>
  <si>
    <t>UWV-5080</t>
  </si>
  <si>
    <t>eLearning</t>
  </si>
  <si>
    <t>UWV-2557</t>
  </si>
  <si>
    <t>UWV-4607</t>
  </si>
  <si>
    <t>UWV-1677</t>
  </si>
  <si>
    <t>UWV-5429</t>
  </si>
  <si>
    <t>UWV-1039</t>
  </si>
  <si>
    <t>UWV-3693</t>
  </si>
  <si>
    <t>UWV-1762</t>
  </si>
  <si>
    <t>UWV-4395</t>
  </si>
  <si>
    <t>UWV-4533</t>
  </si>
  <si>
    <t>Markus Verbeek Praehe</t>
  </si>
  <si>
    <t>UWV-1599</t>
  </si>
  <si>
    <t>UWV SD IV</t>
  </si>
  <si>
    <t>Maatwerk (Tell Tales)</t>
  </si>
  <si>
    <t>Online Academy</t>
  </si>
  <si>
    <t>Maatwerk</t>
  </si>
  <si>
    <t>UWV-857</t>
  </si>
  <si>
    <t>UWV-1645</t>
  </si>
  <si>
    <t>NCOI Opleidingen</t>
  </si>
  <si>
    <t>UWV-1688</t>
  </si>
  <si>
    <t>RadarVertige</t>
  </si>
  <si>
    <t>BAN</t>
  </si>
  <si>
    <t>UWV-832</t>
  </si>
  <si>
    <t>UWV-2521</t>
  </si>
  <si>
    <t>UWV-4900</t>
  </si>
  <si>
    <t>UWV-1689</t>
  </si>
  <si>
    <t>UWV-1827</t>
  </si>
  <si>
    <t>UWV-4629</t>
  </si>
  <si>
    <t>UWV-4988</t>
  </si>
  <si>
    <t>UWV-3657</t>
  </si>
  <si>
    <t>Data-analist met Power BI</t>
  </si>
  <si>
    <t>Masterclass Operations Management</t>
  </si>
  <si>
    <t>Business Continuity Expert</t>
  </si>
  <si>
    <t>Business Continuity Foundation</t>
  </si>
  <si>
    <t>Business Continuity Practitioner</t>
  </si>
  <si>
    <t>IT Security Practitioner</t>
  </si>
  <si>
    <t>CISA</t>
  </si>
  <si>
    <t>Certified Information Systems Security Professional (CISSP)</t>
  </si>
  <si>
    <t>CRISC</t>
  </si>
  <si>
    <t>Certified Information Privacy Professional Europe (CIPP/E)</t>
  </si>
  <si>
    <t>IT-Security Foundation - Online - PLUS</t>
  </si>
  <si>
    <t>IT-Security Practitioner</t>
  </si>
  <si>
    <t>Privacy &amp; Data Protection Foundation</t>
  </si>
  <si>
    <t>CIPM</t>
  </si>
  <si>
    <t>Associate SOC Analist</t>
  </si>
  <si>
    <t>Interne UWV module; in ontwikkeling</t>
  </si>
  <si>
    <t>Masterclass Adviseren op Strategisch Niveau</t>
  </si>
  <si>
    <t>Doelgericht Communiceren en Beïnvloeden</t>
  </si>
  <si>
    <t>Effectief Onderhandelen</t>
  </si>
  <si>
    <t>Excel Expert: Analyse en Rapportage</t>
  </si>
  <si>
    <t>Sturing Geven aan Transitie</t>
  </si>
  <si>
    <t>Masterclass Innoverende Overheid</t>
  </si>
  <si>
    <t>UWV Intern - FEZ Proces van bestellen tot betalen</t>
  </si>
  <si>
    <t>UWV Intern - Kennis van Peoplesoft</t>
  </si>
  <si>
    <t>Aanbestedingsrecht Basis</t>
  </si>
  <si>
    <t>Sourcing Foundation</t>
  </si>
  <si>
    <t>Schrijven van Beschikkingen en Rapportages</t>
  </si>
  <si>
    <t>Beleid maken en Beleid schrijven</t>
  </si>
  <si>
    <t>HBO Module Crisismanagement</t>
  </si>
  <si>
    <t>Training Delegeren en Loslaten</t>
  </si>
  <si>
    <t>Effectief communiceren in het kort</t>
  </si>
  <si>
    <t>Trainingsprogramma Effectief Communiceren en Beinvloeden</t>
  </si>
  <si>
    <t>Strategisch Onderhandelen bij de Overheid</t>
  </si>
  <si>
    <t>Kort en Krachtig formuleren</t>
  </si>
  <si>
    <t>Sociale Veiligheid op het werk voor leidinggevenden</t>
  </si>
  <si>
    <t>HBO Module Integrale procesbeheersing</t>
  </si>
  <si>
    <t>Cloud Fundamentals</t>
  </si>
  <si>
    <t>Containers &amp; Kubernetes</t>
  </si>
  <si>
    <t>Excel Basis</t>
  </si>
  <si>
    <t>MBO Microsoft Officevaardigheden</t>
  </si>
  <si>
    <t>TWS</t>
  </si>
  <si>
    <t>Data gedreven werken</t>
  </si>
  <si>
    <t>Contractmanagement CATS CM Foundation</t>
  </si>
  <si>
    <t>Contractmanagement CATS CM Practitioner</t>
  </si>
  <si>
    <t>Contractmanagement CATS CM Expert</t>
  </si>
  <si>
    <t>Inkoop- en Contractmanagement binnen de Publieke Sector</t>
  </si>
  <si>
    <t>Module Financiering PDB</t>
  </si>
  <si>
    <t>Managing Successful Programmes (MSP®) Practitioner</t>
  </si>
  <si>
    <t>Knowledge Centered Service Practices (KCS)</t>
  </si>
  <si>
    <t>Typevaardigheden</t>
  </si>
  <si>
    <t>ECDL</t>
  </si>
  <si>
    <t>HBO Module Procesmanagement</t>
  </si>
  <si>
    <t>Omnitracker</t>
  </si>
  <si>
    <t>Capacity</t>
  </si>
  <si>
    <t>Y-monitor</t>
  </si>
  <si>
    <t>Dynatrace</t>
  </si>
  <si>
    <t>Testautomatiosering fundamentals</t>
  </si>
  <si>
    <t>Klantgericht Telefoneren</t>
  </si>
  <si>
    <t>Masterclass Performancemanagement</t>
  </si>
  <si>
    <t>Persoonlijke Effectiviteit</t>
  </si>
  <si>
    <t>Personal Power voor Managers</t>
  </si>
  <si>
    <t>Persoonlijk inzicht en beinvloedingsvaardigheden</t>
  </si>
  <si>
    <t>Training Introductie op Coaching (1 dag)</t>
  </si>
  <si>
    <t xml:space="preserve">Omgaan met agressie </t>
  </si>
  <si>
    <t>UWV Intern - Navolgen van procedures en processen</t>
  </si>
  <si>
    <t>Governance en Integriteit</t>
  </si>
  <si>
    <t>Introductie in Handelen vanuit een Growth Mindset</t>
  </si>
  <si>
    <t>UWV Intern: Opvolgen interne richtlijnen</t>
  </si>
  <si>
    <t>Prioriteiten en doelen stellen</t>
  </si>
  <si>
    <t>Bouwen aan een Lerende Organisatie</t>
  </si>
  <si>
    <t>Situationeel Leidinggeven</t>
  </si>
  <si>
    <t>Leidinggeven aan Professionals</t>
  </si>
  <si>
    <t>Kijk voor inspiratie bij IV Academy</t>
  </si>
  <si>
    <t>Masterclass Publieke Sector als Netwerkorganisatie</t>
  </si>
  <si>
    <t>Effectief onderhandelen</t>
  </si>
  <si>
    <t>Training Persoonlijk inzicht en beinvloedingsvaardigheden</t>
  </si>
  <si>
    <t>UWV Intern - Navolgen van ROEP waarden, cultuur DNA en leiderschapsprofiel</t>
  </si>
  <si>
    <t>BCS Business Analysis Practice (c) - incompany (UWV)</t>
  </si>
  <si>
    <t>https://www.ncoi.nl/opleiding/data-analist-met-power-bi.html</t>
  </si>
  <si>
    <t>https://www.ncoi.nl/opleiding/masterclass-bedrijfskundig-procesmanagement.html</t>
  </si>
  <si>
    <t>https://www.computrain.nl/business-it/security-management/seco/business-continuity-foundation.html</t>
  </si>
  <si>
    <t>https://www.computrain.nl/business-it/security-management/business-continuity-practitioner.html</t>
  </si>
  <si>
    <t>https://www.computrain.nl/business-it/security-management/seco/information-security-practitioner.html</t>
  </si>
  <si>
    <t>https://www.computrain.nl/business-it/security-management/certified-information-systems-auditor-cisa.html</t>
  </si>
  <si>
    <t>https://www.computrain.nl/business-it/security-management/certified-information-systems-security-professional-cissp.html</t>
  </si>
  <si>
    <t>https://www.computrain.nl/business-it/security-management/certified-risk-and-information-systems-control-crisc.html</t>
  </si>
  <si>
    <t>https://www.computrain.nl/business-it/security-management/certified-information-privacy-professional-europe.html</t>
  </si>
  <si>
    <t>https://www.computrain.nl/business-it/security-management/seco/it-security-foundation.html</t>
  </si>
  <si>
    <t>https://www.computrain.nl/business-it/security-management/seco/it-security-practitioner.html</t>
  </si>
  <si>
    <t>https://www.computrain.nl/business-it/security-management/seco/privacy-data-protection-practitioner.html</t>
  </si>
  <si>
    <t>https://www.computrain.nl/business-it/security-management/security-en-privacy/certified-information-privacy-manager-cipm.html</t>
  </si>
  <si>
    <t>https://www.computrain.nl/business-it/security-management/associate-soc-analyst.html</t>
  </si>
  <si>
    <t>https://www.srm.nl/communicatie-opleidingen/adviesvaardigheden-trainingen/masterclass-adviseren-op-strategisch-niveau.html</t>
  </si>
  <si>
    <t>https://www.bvo.nl/training/Effectief-Onderhandelen.html</t>
  </si>
  <si>
    <t>https://www.computrain.nl/office/microsoft-excel/excel-expert/microsoft-excel-expert-analyse-en-rapportage.html</t>
  </si>
  <si>
    <t>https://www.bestuursacademie.nl/beleid-en-bestuur/bestuur/sturing-geven-aan-transitie.html</t>
  </si>
  <si>
    <t>https://www.bestuursacademie.nl/beleid-en-bestuur/beleid/masterclass-innoverende-overheid.html</t>
  </si>
  <si>
    <t>https://www.bestuursacademie.nl/juridisch/inkoop/aanbestedingsrecht-basis.html</t>
  </si>
  <si>
    <t>https://www.cmpartners.nl/trainingen/leveranciersmanagement/</t>
  </si>
  <si>
    <t>https://sourcingnederland.nl/nl/sourcing-academy/sourcing-foundation</t>
  </si>
  <si>
    <t>https://www.bestuursacademie.nl/juridisch/algemeen/schrijven-van-beschikkingen-en-rapportages.html</t>
  </si>
  <si>
    <t>https://www.bestuursacademie.nl/beleid-en-bestuur/beleid/beleid-maken-en-beleid-schrijven.html</t>
  </si>
  <si>
    <t>https://www.bvo.nl/training/training-delegeren-en-loslaten.html</t>
  </si>
  <si>
    <t>https://www.bvo.nl/training/trainingsprogramma-effectief-communiceren-en-beinvloeden.html</t>
  </si>
  <si>
    <t>https://www.bestuursacademie.nl/persoonlijke-ontwikkeling-en-vaardigheden/samenwerken-en-verbinden/strategisch-onderhandelen-bij-de-overheid.html</t>
  </si>
  <si>
    <t>https://www.bvo.nl/training/Kort-en-Krachtig-Formuleren.html</t>
  </si>
  <si>
    <t>https://www.bvo.nl/training/training-sociale-veiligheid-op-het-werk-voor-leidinggevenden.html</t>
  </si>
  <si>
    <t>https://www.ncoi.nl/opleiding/hbo-module-integrale-procesbeheersing.html</t>
  </si>
  <si>
    <t>https://www.computrain.nl/beheer/red-hat/red-hat-openshift-development-I-containerizing-applications-do288.html</t>
  </si>
  <si>
    <t>https://www.computrain.nl/office/microsoft-excel/excel-basis/cursus-microsoft-excel-basis.html</t>
  </si>
  <si>
    <t>https://www.ncoi.nl/opleiding/mbo-microsoft-officevaardigheden.html</t>
  </si>
  <si>
    <t>https://www.computrain.nl/business-it/big-data/data-driven-business-foundation.html</t>
  </si>
  <si>
    <t>https://www.cmpartners.nl/trainingen/contractmanagement-cats-cm-foundation/</t>
  </si>
  <si>
    <t>https://www.cmpartners.nl/trainingen/contractmanagement-cats-cm-practitioner/</t>
  </si>
  <si>
    <t>https://www.cmpartners.nl/trainingen/contractmanagement-cats-cm-expert/</t>
  </si>
  <si>
    <t>https://www.bestuursacademie.nl/juridisch/inkoop/inkoop-en-contractmanagement-binnen-de-publieke-sector.html</t>
  </si>
  <si>
    <t>https://www.mvp.nl/module/financiering-pdb.html</t>
  </si>
  <si>
    <t>https://academy.capgemini.nl/training/managing-successful-programmes-msp-nl</t>
  </si>
  <si>
    <t>https://www.bvo.nl/training/powerboost-schriftelijke-vaardigheden.html?course=7ddcf577-0143-4e9a-892d-a07d5fe44903&amp;tab=programma</t>
  </si>
  <si>
    <t>https://www.ncoi.nl/opleiding/hbo-module-integrale-procesbeheersing.html?tab=studieprogramma</t>
  </si>
  <si>
    <t>https://www.computrain.nl/application-development/testen/testautomatisering-fundamentals.html</t>
  </si>
  <si>
    <t>https://www.bvo.nl/training/Klantgericht-Telefoneren.html</t>
  </si>
  <si>
    <t>https://www.ncoi.nl/opleiding/masterclass-performancemanagement.html</t>
  </si>
  <si>
    <t>https://www.bvo.nl/training/Training-Personal-Power-voor-Managers.html</t>
  </si>
  <si>
    <t>https://www.bvo.nl/training/Persoonlijk-Inzicht-en-Benvloedingsvaardigheden.html</t>
  </si>
  <si>
    <t>https://www.bvo.nl/training/introductie-op-coaching.html</t>
  </si>
  <si>
    <t>https://www.ncoi.nl/opleiding/masterclass-innovatiemanagement.html</t>
  </si>
  <si>
    <t>https://www.bestuursacademie.nl/beleid-en-bestuur/governance/governance-en-integriteit.html</t>
  </si>
  <si>
    <t>https://www.bvo.nl/training/training-introductie-in-handelen-vanuit-een-growth-mindset.html</t>
  </si>
  <si>
    <t>https://www.bvo.nl/training/briljant-mislukken-leren-van-je-faalpatronen.html</t>
  </si>
  <si>
    <t>https://www.bvo.nl/training/Situationeel-Leidinggeven.html</t>
  </si>
  <si>
    <t>https://www.bvo.nl/training/leidinggeven-aan-professionals.html</t>
  </si>
  <si>
    <t>https://digitalewerkplek.sharepoint.uwv.nl/uwv/organisatieonderdelen/ConcernICT/Paginas/IVAcademy.aspx</t>
  </si>
  <si>
    <t>https://www.bestuursacademie.nl/leiderschap-en-management/management/masterclass-publieke-sector-als-netwerkorganisatie.html</t>
  </si>
  <si>
    <t>https://www.computrain.nl/business-it/business-analyse-en-requirements/bcs-practitioner-certificate-in-business-analysis-practice.html?open=brochure-lite&amp;course=e4b4d502-c462-43ba-8238-759ea7d3fd37</t>
  </si>
  <si>
    <t>Lead architect</t>
  </si>
  <si>
    <t>Functioneel beheerder</t>
  </si>
  <si>
    <t>Functioneel ontwerper</t>
  </si>
  <si>
    <t>Teammanager Business Services</t>
  </si>
  <si>
    <t>ICT Projectleider</t>
  </si>
  <si>
    <t>Teammanager IS</t>
  </si>
  <si>
    <t>Regionaal ICT Coördinator</t>
  </si>
  <si>
    <t>Contractmanager</t>
  </si>
  <si>
    <t>Leveranciersmanager</t>
  </si>
  <si>
    <t>Regisseur Infraprojecten</t>
  </si>
  <si>
    <t>ICT Programmamanager</t>
  </si>
  <si>
    <t>Business Analist</t>
  </si>
  <si>
    <t>Informatie Analist BS</t>
  </si>
  <si>
    <t>Medewerker Servicedesk ICT</t>
  </si>
  <si>
    <t>Teammanager ICT Servicedesk</t>
  </si>
  <si>
    <t>Business security officer</t>
  </si>
  <si>
    <t>Medewerker Productiebeheer</t>
  </si>
  <si>
    <t>v</t>
  </si>
  <si>
    <t>Tactisch Productmanager</t>
  </si>
  <si>
    <t>Procesontwerper en -beheerder</t>
  </si>
  <si>
    <t>Servicemanager SLM</t>
  </si>
  <si>
    <t>Servicemanager Basis Infra Beheer</t>
  </si>
  <si>
    <t>Servicemanager Infra Ontwikkeling &amp; Regie</t>
  </si>
  <si>
    <t>Servicemanager Keten en Regie Loket</t>
  </si>
  <si>
    <t xml:space="preserve">Servicemanager Servicedesk IV </t>
  </si>
  <si>
    <t xml:space="preserve">Servicemanager Exploitatie &amp; productie </t>
  </si>
  <si>
    <t xml:space="preserve">Servicemanager Changemanagement </t>
  </si>
  <si>
    <t>Servicemanager LM</t>
  </si>
  <si>
    <t>Licentiespecialist LM</t>
  </si>
  <si>
    <t>Security Analist</t>
  </si>
  <si>
    <t>Informatie over Agifall UWV</t>
  </si>
  <si>
    <t>https://samenwerken.sharepoint.uwv.nl/sites/DWU/ConcernICT/Mensen%20en%20organisatie/IV-PMweb.aspx</t>
  </si>
  <si>
    <t>Atlassian</t>
  </si>
  <si>
    <t>https://www.atlassian.com/agile/project-management/user-stories</t>
  </si>
  <si>
    <t>NAF</t>
  </si>
  <si>
    <t>https://www.cibit.nl/nl/opleidingen/opleiding-business-it-strategie-informatieplanning/</t>
  </si>
  <si>
    <t>geen aanbod beschikbaar</t>
  </si>
  <si>
    <t>Presenteren</t>
  </si>
  <si>
    <t xml:space="preserve">Beïnvloeden </t>
  </si>
  <si>
    <t>Crisismanagement</t>
  </si>
  <si>
    <t>Trainingsvaardigheden</t>
  </si>
  <si>
    <t xml:space="preserve">Veilige werkomgeving creëren </t>
  </si>
  <si>
    <t>Visie/strategie Vertalen</t>
  </si>
  <si>
    <t>https://learn.microsoft.com/nl-nl/azure/active-directory/fundamentals/</t>
  </si>
  <si>
    <t>BPMN™ Certified OCEB2 Fundamentals (incompany)</t>
  </si>
  <si>
    <t>Rijksacademie</t>
  </si>
  <si>
    <t xml:space="preserve">Werken met Business Case </t>
  </si>
  <si>
    <t>Management of Risk Foundation</t>
  </si>
  <si>
    <t>https://www.ctrl-improve.nl/devops-training/</t>
  </si>
  <si>
    <t>GlobalKnowledge</t>
  </si>
  <si>
    <t>https://www.globalknowledge.com/nl-nl/trainingen/itil_and_service_management/service_management_and_itil/ilfn4b</t>
  </si>
  <si>
    <t>https://www.globalknowledge.com/nl-nl/trainingen/itil_and_service_management/service_management_and_itil/itil4dits</t>
  </si>
  <si>
    <t>https://learn.microsoft.com/en-us/certifications/mta-windows-server-administration-fundamentals/</t>
  </si>
  <si>
    <t>https://learn.microsoft.com/en-us/previous-versions/office/developer/sharepoint-2010/hh147178(v=office.14)</t>
  </si>
  <si>
    <t>https://scrumacademy.nl/training/agile-coach-opleiding/</t>
  </si>
  <si>
    <t>https://radarvertige.nl/omgaan-met-agressie/</t>
  </si>
  <si>
    <t>UWV-2237</t>
  </si>
  <si>
    <t>Power BI Advanced</t>
  </si>
  <si>
    <t>https://www.computrain.nl/business-it/big-data/power-bi/power-bi-advanced.html</t>
  </si>
  <si>
    <t>CSAM</t>
  </si>
  <si>
    <t>CRAYON</t>
  </si>
  <si>
    <t>IAITAM Certified Software Asset Manager (CSAM)</t>
  </si>
  <si>
    <t>https://www.crayon.com/dk/ressourcer/events/isi-iaitam-certified-software-asset-manager-csam/</t>
  </si>
  <si>
    <t xml:space="preserve">ITAM </t>
  </si>
  <si>
    <t>IAITAM Certified IT Asset Manager (CITAM)</t>
  </si>
  <si>
    <t>https://www.crayon.com/lt/resources/events/isi-iaitam-certified-it-asset-manager-citam/</t>
  </si>
  <si>
    <t>Security Analist Level 1</t>
  </si>
  <si>
    <t>ISF ISO27k</t>
  </si>
  <si>
    <t>Omnitracker Incidentmodule</t>
  </si>
  <si>
    <t>DFP - Data Protection Foundation</t>
  </si>
  <si>
    <t>Transits 1</t>
  </si>
  <si>
    <t>Transits 2</t>
  </si>
  <si>
    <t>SANS SEC504: Hacker TTE and Incident Handling</t>
  </si>
  <si>
    <t>SIEM opleiding (QRADAR) - Basis</t>
  </si>
  <si>
    <t>SC-900 Security Compliance &amp; Identity Fundamentals</t>
  </si>
  <si>
    <t>Crisis management - Escalatie training</t>
  </si>
  <si>
    <t>EclecticIQ Analyst Bootcamp NCSC</t>
  </si>
  <si>
    <t>Security Analist Level 2</t>
  </si>
  <si>
    <t>SIEM opleiding geavanceerd (QRADAR)</t>
  </si>
  <si>
    <t>Cyber Threat Intel beheerder NCSC</t>
  </si>
  <si>
    <t>SC200 Microsoft Secury Analist</t>
  </si>
  <si>
    <t>Crisis management - Escalatie training vervolg</t>
  </si>
  <si>
    <t>Security Analist Level 3</t>
  </si>
  <si>
    <t>SANS SEC555</t>
  </si>
  <si>
    <t>SANS SEC511</t>
  </si>
  <si>
    <t>SANS FOR508</t>
  </si>
  <si>
    <t>SANS SEC530</t>
  </si>
  <si>
    <t>Data analytics with Python (advanced)</t>
  </si>
  <si>
    <t>Data science with Python (advanced+)</t>
  </si>
  <si>
    <t>L3 SIEM opleiding - Master Skills University</t>
  </si>
  <si>
    <t>ISACA CISM: Certified Information Security Manager</t>
  </si>
  <si>
    <t>EC-Council: Certified Ethical Hacker</t>
  </si>
  <si>
    <t>EC-Council: Certified Security Analist</t>
  </si>
  <si>
    <t>EC-Council: Computer Hacking Forsensic Investigator</t>
  </si>
  <si>
    <t>Pentester Level 1</t>
  </si>
  <si>
    <t>SIEM opleiding (open bron educatie)</t>
  </si>
  <si>
    <t>SIEM opleiding (QRADAR)</t>
  </si>
  <si>
    <t>Pentester Level 2</t>
  </si>
  <si>
    <t>SANS SEC460: Enterprise Threat and Vulnerability Assessment</t>
  </si>
  <si>
    <t>SANS SEC542: Web App Penetration Testing and Ethical Hacking</t>
  </si>
  <si>
    <t>SANS SEC560: Network Penetration Testing and Ethical Hacking</t>
  </si>
  <si>
    <t>SANS SEC561: Immersive Hands-on Hacking Techniques</t>
  </si>
  <si>
    <t>Pentester Level 3</t>
  </si>
  <si>
    <t>eWPT -  eLearnSecurity Web application Penetration Tester</t>
  </si>
  <si>
    <t>eJPT - eLearnSecurity Junior Penetration Tester</t>
  </si>
  <si>
    <t>eMAPT - eLearnSecurity Mobile Application Penetration Tester</t>
  </si>
  <si>
    <t>Microsoft365 - Security Advanced</t>
  </si>
  <si>
    <t>EC-Council: Licensed Penetration Tester</t>
  </si>
  <si>
    <t>SANS SEC567: Social Engineering for Penetration Testers</t>
  </si>
  <si>
    <t>SANS SEC642: Advanced Web App Penetration Testing and Ethical Hacking</t>
  </si>
  <si>
    <t>SANS SEC617: Wireless Ethical Hacking, Penetration Testing, and Defenses</t>
  </si>
  <si>
    <t>SANS SEC660: Advanced Penetration Testing, Exploit Writing, and Ethical Hacking</t>
  </si>
  <si>
    <t>SANS SEC573: Python for Penetration Testers</t>
  </si>
  <si>
    <t>SANS SEC599: Defeating Advanced Adversaries-Purple Team Tactics &amp; Kill Chain Defenses</t>
  </si>
  <si>
    <t>SANS SEC699: Purple Team Tactics - Adversary Emulation for Breach Prevention &amp; Detection</t>
  </si>
  <si>
    <t>SANS SEC 588: Cloud penetration testing</t>
  </si>
  <si>
    <t>SANS SEC760: Advanced Exploit Development for Penetration Testers</t>
  </si>
  <si>
    <t>Offensive Security Experienced Penetration Tester / PEN-300</t>
  </si>
  <si>
    <t>Offensive security: Advanced Web Attacks and Exploitation / WEB-300</t>
  </si>
  <si>
    <t>Offensive Security: Offensive Security Certified Professional / PEN-200</t>
  </si>
  <si>
    <t>Offensive Security: Offensive Security Wireless Professional / PEN-210</t>
  </si>
  <si>
    <t>eCPPTv2 - eLearnSecurity Certified Professional Penetration Tester</t>
  </si>
  <si>
    <t>SEC575: Mobile Device Security and Ethical Hacking</t>
  </si>
  <si>
    <t>CCSP - (ISC)2 Certified Cloud Security Professional</t>
  </si>
  <si>
    <t>CRTP - Certified Red Team Professional</t>
  </si>
  <si>
    <t>CRTE- CRTP - Certified Red Team Expert</t>
  </si>
  <si>
    <r>
      <rPr>
        <sz val="10"/>
        <color theme="1"/>
        <rFont val="Verdana"/>
        <family val="2"/>
      </rPr>
      <t xml:space="preserve">Met de IV-Ontwikkelwijzer kun je de volgende overzichten maken: 
</t>
    </r>
    <r>
      <rPr>
        <b/>
        <sz val="10"/>
        <color theme="1"/>
        <rFont val="Verdana"/>
        <family val="2"/>
      </rPr>
      <t xml:space="preserve">
    • Functie-overzicht
</t>
    </r>
    <r>
      <rPr>
        <sz val="10"/>
        <color theme="1"/>
        <rFont val="Verdana"/>
        <family val="2"/>
      </rPr>
      <t xml:space="preserve">Bekijk per functie of vakgebied welke competenties en vaardigheden daarbij passen en wat je kunt doen om je hierin verder te ontwikkelen. Bij Incompany trainingen zijn er soms geen links beschikbaar, bij vragen neem contact op met jouw leidinggevende of de IV-Academy. </t>
    </r>
    <r>
      <rPr>
        <b/>
        <sz val="10"/>
        <color theme="1"/>
        <rFont val="Verdana"/>
        <family val="2"/>
      </rPr>
      <t xml:space="preserve"> </t>
    </r>
  </si>
  <si>
    <r>
      <rPr>
        <sz val="9"/>
        <color rgb="FF0078D2"/>
        <rFont val="Verdana"/>
        <family val="2"/>
      </rPr>
      <t>●</t>
    </r>
    <r>
      <rPr>
        <sz val="9"/>
        <rFont val="Verdana"/>
        <family val="2"/>
      </rPr>
      <t xml:space="preserve"> basis</t>
    </r>
  </si>
  <si>
    <r>
      <rPr>
        <sz val="9"/>
        <color rgb="FFF08C00"/>
        <rFont val="Verdana"/>
        <family val="2"/>
      </rPr>
      <t>●</t>
    </r>
    <r>
      <rPr>
        <sz val="9"/>
        <rFont val="Verdana"/>
        <family val="2"/>
      </rPr>
      <t xml:space="preserve"> verdiepend</t>
    </r>
  </si>
  <si>
    <t>Medewerker RIM Loket</t>
  </si>
  <si>
    <t>Medewerker Bedrijfsbureau</t>
  </si>
  <si>
    <t>Pentester</t>
  </si>
  <si>
    <r>
      <t>Resultaat</t>
    </r>
    <r>
      <rPr>
        <b/>
        <i/>
        <sz val="9"/>
        <color rgb="FF0078D2"/>
        <rFont val="Verdana"/>
        <family val="2"/>
      </rPr>
      <t>: IT Architect Toon Alles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</si>
</sst>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9"/>
      <color theme="1"/>
      <name val="Verdana"/>
      <family val="2"/>
    </font>
    <font>
      <sz val="9"/>
      <color rgb="FFFF0000"/>
      <name val="Verdana"/>
      <family val="2"/>
    </font>
    <font>
      <b/>
      <sz val="9"/>
      <color theme="1"/>
      <name val="Verdana"/>
      <family val="2"/>
    </font>
    <font>
      <sz val="9"/>
      <name val="Verdana"/>
      <family val="2"/>
    </font>
    <font>
      <sz val="9"/>
      <color rgb="FF00B050"/>
      <name val="Verdana"/>
      <family val="2"/>
    </font>
    <font>
      <b/>
      <sz val="9"/>
      <color rgb="FF0078D2"/>
      <name val="Verdana"/>
      <family val="2"/>
    </font>
    <font>
      <b/>
      <sz val="10"/>
      <color rgb="FF0078D2"/>
      <name val="Verdana"/>
      <family val="2"/>
    </font>
    <font>
      <b/>
      <sz val="12"/>
      <color rgb="FF0078D2"/>
      <name val="Verdana"/>
      <family val="2"/>
    </font>
    <font>
      <b/>
      <sz val="10"/>
      <color theme="1"/>
      <name val="Verdana"/>
      <family val="2"/>
    </font>
    <font>
      <sz val="10"/>
      <color theme="1"/>
      <name val="Verdana"/>
      <family val="2"/>
    </font>
    <font>
      <b/>
      <sz val="16"/>
      <color rgb="FF0078D2"/>
      <name val="Verdana"/>
      <family val="2"/>
    </font>
    <font>
      <b/>
      <sz val="12"/>
      <color theme="1"/>
      <name val="Verdana"/>
      <family val="2"/>
    </font>
    <font>
      <sz val="9"/>
      <color theme="0"/>
      <name val="Verdana"/>
      <family val="2"/>
    </font>
    <font>
      <sz val="9"/>
      <color rgb="FF000000"/>
      <name val="Verdana"/>
      <family val="2"/>
    </font>
    <font>
      <u/>
      <sz val="9"/>
      <color theme="10"/>
      <name val="Verdana"/>
      <family val="2"/>
    </font>
    <font>
      <i/>
      <sz val="9"/>
      <color theme="1"/>
      <name val="Verdana"/>
      <family val="2"/>
    </font>
    <font>
      <sz val="9"/>
      <color rgb="FF0078D2"/>
      <name val="Verdana"/>
      <family val="2"/>
    </font>
    <font>
      <b/>
      <i/>
      <sz val="9"/>
      <name val="Verdana"/>
      <family val="2"/>
    </font>
    <font>
      <sz val="11"/>
      <color theme="1"/>
      <name val="Calibri"/>
      <family val="2"/>
      <scheme val="minor"/>
    </font>
    <font>
      <u/>
      <sz val="9"/>
      <name val="Verdana"/>
      <family val="2"/>
    </font>
    <font>
      <sz val="9"/>
      <color rgb="FFFFFFFF"/>
      <name val="Verdana"/>
      <family val="2"/>
    </font>
    <font>
      <u/>
      <sz val="9"/>
      <color rgb="FF000000"/>
      <name val="Verdana"/>
      <family val="2"/>
    </font>
    <font>
      <b/>
      <i/>
      <sz val="9"/>
      <color theme="8"/>
      <name val="Verdana"/>
      <family val="2"/>
    </font>
    <font>
      <sz val="9"/>
      <color theme="8"/>
      <name val="Verdana"/>
      <family val="2"/>
    </font>
    <font>
      <sz val="9"/>
      <color theme="1"/>
      <name val="Verdana"/>
      <family val="2"/>
    </font>
    <font>
      <sz val="9"/>
      <color rgb="FFF08C00"/>
      <name val="Verdana"/>
      <family val="2"/>
    </font>
    <font>
      <b/>
      <i/>
      <sz val="9"/>
      <color rgb="FF0078D2"/>
      <name val="Verdana"/>
      <family val="2"/>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3" tint="0.79998168889431442"/>
        <bgColor indexed="64"/>
      </patternFill>
    </fill>
  </fills>
  <borders count="8">
    <border>
      <left/>
      <right/>
      <top/>
      <bottom/>
      <diagonal/>
    </border>
    <border>
      <left/>
      <right style="thin">
        <color indexed="64"/>
      </right>
      <top/>
      <bottom/>
      <diagonal/>
    </border>
    <border>
      <left style="thin">
        <color indexed="64"/>
      </left>
      <right/>
      <top/>
      <bottom/>
      <diagonal/>
    </border>
    <border>
      <left/>
      <right/>
      <top style="medium">
        <color rgb="FFD3D3D3"/>
      </top>
      <bottom style="medium">
        <color rgb="FFD3D3D3"/>
      </bottom>
      <diagonal/>
    </border>
    <border>
      <left/>
      <right/>
      <top style="medium">
        <color rgb="FFD3D3D3"/>
      </top>
      <bottom/>
      <diagonal/>
    </border>
    <border>
      <left style="thin">
        <color indexed="64"/>
      </left>
      <right style="thin">
        <color indexed="64"/>
      </right>
      <top/>
      <bottom/>
      <diagonal/>
    </border>
    <border>
      <left/>
      <right/>
      <top style="thin">
        <color theme="4" tint="0.39997558519241921"/>
      </top>
      <bottom style="thin">
        <color theme="4" tint="0.39997558519241921"/>
      </bottom>
      <diagonal/>
    </border>
    <border>
      <left style="thin">
        <color theme="4" tint="0.39997558519241921"/>
      </left>
      <right/>
      <top style="medium">
        <color rgb="FFD3D3D3"/>
      </top>
      <bottom/>
      <diagonal/>
    </border>
  </borders>
  <cellStyleXfs count="4">
    <xf numFmtId="0" fontId="0" fillId="0" borderId="0"/>
    <xf numFmtId="0" fontId="14" fillId="0" borderId="0" applyNumberFormat="0" applyFill="0" applyBorder="0" applyAlignment="0" applyProtection="0"/>
    <xf numFmtId="0" fontId="18" fillId="0" borderId="0"/>
    <xf numFmtId="0" fontId="18" fillId="0" borderId="0"/>
  </cellStyleXfs>
  <cellXfs count="149">
    <xf numFmtId="0" fontId="0" fillId="0" borderId="0" xfId="0"/>
    <xf numFmtId="0" fontId="0" fillId="2" borderId="0" xfId="0" applyFill="1" applyAlignment="1">
      <alignment vertical="center"/>
    </xf>
    <xf numFmtId="0" fontId="0" fillId="2" borderId="0" xfId="0" applyFill="1"/>
    <xf numFmtId="0" fontId="12" fillId="2" borderId="0" xfId="0" applyFont="1" applyFill="1" applyAlignment="1">
      <alignment horizontal="center" vertical="center"/>
    </xf>
    <xf numFmtId="0" fontId="0" fillId="3" borderId="0" xfId="0" applyFill="1" applyAlignment="1">
      <alignment vertical="center"/>
    </xf>
    <xf numFmtId="0" fontId="0" fillId="3" borderId="0" xfId="0" applyFill="1"/>
    <xf numFmtId="0" fontId="10" fillId="3" borderId="0" xfId="0" applyFont="1" applyFill="1" applyAlignment="1">
      <alignment vertical="center"/>
    </xf>
    <xf numFmtId="0" fontId="6" fillId="3" borderId="0" xfId="0" applyFont="1" applyFill="1" applyAlignment="1">
      <alignment vertical="center"/>
    </xf>
    <xf numFmtId="0" fontId="2" fillId="3" borderId="1" xfId="0" applyFont="1" applyFill="1" applyBorder="1" applyAlignment="1">
      <alignment horizontal="left" vertical="center" indent="1"/>
    </xf>
    <xf numFmtId="0" fontId="2" fillId="3" borderId="0" xfId="0" applyFont="1" applyFill="1"/>
    <xf numFmtId="0" fontId="1" fillId="3" borderId="0" xfId="0" applyFont="1" applyFill="1" applyAlignment="1">
      <alignment vertical="center"/>
    </xf>
    <xf numFmtId="0" fontId="5" fillId="0" borderId="2" xfId="0" applyFont="1" applyFill="1" applyBorder="1" applyAlignment="1">
      <alignment horizontal="center" vertical="center"/>
    </xf>
    <xf numFmtId="0" fontId="0" fillId="0" borderId="0" xfId="0" applyFill="1" applyAlignment="1">
      <alignment vertical="center"/>
    </xf>
    <xf numFmtId="0" fontId="0" fillId="0" borderId="0" xfId="0" applyFill="1"/>
    <xf numFmtId="0" fontId="5" fillId="0" borderId="0" xfId="0" applyFont="1" applyFill="1" applyBorder="1" applyAlignment="1">
      <alignment horizontal="center" vertical="center"/>
    </xf>
    <xf numFmtId="0" fontId="0" fillId="0" borderId="0" xfId="0" applyAlignment="1">
      <alignment vertical="center"/>
    </xf>
    <xf numFmtId="0" fontId="2" fillId="3" borderId="0" xfId="0" applyFont="1" applyFill="1" applyBorder="1" applyAlignment="1">
      <alignment horizontal="left" vertical="center" indent="1"/>
    </xf>
    <xf numFmtId="0" fontId="16" fillId="0" borderId="4" xfId="0" applyFont="1" applyBorder="1" applyAlignment="1">
      <alignment horizontal="center" vertical="center"/>
    </xf>
    <xf numFmtId="0" fontId="0" fillId="0" borderId="0" xfId="0" applyBorder="1"/>
    <xf numFmtId="0" fontId="0" fillId="0" borderId="4" xfId="0" applyBorder="1"/>
    <xf numFmtId="0" fontId="5" fillId="0" borderId="0" xfId="0" applyFont="1"/>
    <xf numFmtId="0" fontId="2" fillId="3" borderId="5" xfId="0" applyFont="1" applyFill="1" applyBorder="1" applyAlignment="1">
      <alignment horizontal="left" vertical="center" indent="1"/>
    </xf>
    <xf numFmtId="0" fontId="0" fillId="2" borderId="0" xfId="0" applyFill="1" applyAlignment="1">
      <alignment vertical="center" wrapText="1"/>
    </xf>
    <xf numFmtId="0" fontId="0" fillId="3" borderId="0" xfId="0" applyFill="1" applyAlignment="1">
      <alignment vertical="center" wrapText="1"/>
    </xf>
    <xf numFmtId="0" fontId="0" fillId="3" borderId="0" xfId="0" applyFill="1" applyAlignment="1">
      <alignment wrapText="1"/>
    </xf>
    <xf numFmtId="0" fontId="0" fillId="2" borderId="0" xfId="0" applyFill="1" applyAlignment="1">
      <alignment wrapText="1"/>
    </xf>
    <xf numFmtId="0" fontId="15" fillId="4" borderId="1" xfId="0" quotePrefix="1" applyFont="1" applyFill="1" applyBorder="1" applyAlignment="1" applyProtection="1">
      <alignment horizontal="left" vertical="center" indent="1"/>
      <protection locked="0"/>
    </xf>
    <xf numFmtId="0" fontId="0" fillId="0" borderId="0" xfId="0" applyFont="1" applyFill="1" applyAlignment="1">
      <alignment horizontal="left" vertical="center"/>
    </xf>
    <xf numFmtId="0" fontId="0" fillId="0" borderId="6" xfId="0" applyFont="1" applyFill="1" applyBorder="1" applyAlignment="1">
      <alignment horizontal="left" vertical="center" wrapText="1"/>
    </xf>
    <xf numFmtId="0" fontId="0" fillId="3" borderId="0" xfId="0" applyFill="1" applyBorder="1"/>
    <xf numFmtId="0" fontId="0" fillId="2" borderId="0" xfId="0" applyFill="1" applyBorder="1" applyAlignment="1">
      <alignment vertical="center"/>
    </xf>
    <xf numFmtId="0" fontId="0" fillId="3" borderId="0" xfId="0" applyFill="1" applyBorder="1" applyAlignment="1">
      <alignment vertical="center"/>
    </xf>
    <xf numFmtId="0" fontId="0" fillId="2" borderId="0" xfId="0" applyFill="1" applyBorder="1"/>
    <xf numFmtId="0" fontId="0" fillId="0" borderId="0" xfId="0" applyFill="1" applyBorder="1" applyAlignment="1">
      <alignment horizontal="left"/>
    </xf>
    <xf numFmtId="0" fontId="0" fillId="0" borderId="3" xfId="0" applyFont="1" applyFill="1" applyBorder="1" applyAlignment="1">
      <alignment horizontal="left" vertical="center"/>
    </xf>
    <xf numFmtId="0" fontId="3"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ont="1" applyFill="1" applyBorder="1" applyAlignment="1">
      <alignment horizontal="left" vertical="center"/>
    </xf>
    <xf numFmtId="0" fontId="0" fillId="0" borderId="4" xfId="0" applyFill="1" applyBorder="1" applyAlignment="1">
      <alignment vertical="center"/>
    </xf>
    <xf numFmtId="0" fontId="3" fillId="0"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Fill="1" applyBorder="1" applyAlignment="1">
      <alignment vertical="center"/>
    </xf>
    <xf numFmtId="0" fontId="20" fillId="0" borderId="4" xfId="0" applyFont="1" applyFill="1" applyBorder="1" applyAlignment="1">
      <alignment horizontal="center" vertical="center"/>
    </xf>
    <xf numFmtId="0" fontId="3" fillId="0" borderId="4" xfId="0" applyFont="1" applyFill="1" applyBorder="1" applyAlignment="1">
      <alignment horizontal="left" vertical="center"/>
    </xf>
    <xf numFmtId="0" fontId="3" fillId="0" borderId="4" xfId="0" applyFont="1" applyFill="1" applyBorder="1" applyAlignment="1">
      <alignment vertical="center"/>
    </xf>
    <xf numFmtId="0" fontId="13" fillId="0" borderId="4" xfId="0" applyFont="1" applyFill="1" applyBorder="1" applyAlignment="1">
      <alignment vertical="center"/>
    </xf>
    <xf numFmtId="0" fontId="13" fillId="0" borderId="4" xfId="0" applyFont="1" applyFill="1" applyBorder="1" applyAlignment="1">
      <alignment horizontal="left" vertical="center"/>
    </xf>
    <xf numFmtId="0" fontId="13" fillId="0" borderId="4" xfId="0" applyFont="1" applyFill="1" applyBorder="1" applyAlignment="1">
      <alignment horizontal="center" vertical="center"/>
    </xf>
    <xf numFmtId="0" fontId="14" fillId="0" borderId="3" xfId="1" applyFill="1" applyBorder="1" applyAlignment="1">
      <alignment vertical="center"/>
    </xf>
    <xf numFmtId="0" fontId="14" fillId="0" borderId="4" xfId="1" applyFill="1" applyBorder="1" applyAlignment="1">
      <alignment vertical="center"/>
    </xf>
    <xf numFmtId="0" fontId="23" fillId="0" borderId="4" xfId="0" applyFont="1" applyFill="1" applyBorder="1" applyAlignment="1">
      <alignment horizontal="center" vertical="center"/>
    </xf>
    <xf numFmtId="0" fontId="0" fillId="0" borderId="4" xfId="2" applyFont="1" applyFill="1" applyBorder="1" applyAlignment="1">
      <alignment vertical="center"/>
    </xf>
    <xf numFmtId="0" fontId="0" fillId="0" borderId="4" xfId="3" applyFont="1" applyFill="1" applyBorder="1" applyAlignment="1">
      <alignment vertical="center"/>
    </xf>
    <xf numFmtId="0" fontId="22" fillId="0" borderId="4" xfId="0" applyFont="1" applyFill="1" applyBorder="1" applyAlignment="1">
      <alignment vertical="center"/>
    </xf>
    <xf numFmtId="0" fontId="0" fillId="0" borderId="3" xfId="0" applyFill="1" applyBorder="1" applyAlignment="1">
      <alignment horizontal="left" vertical="center"/>
    </xf>
    <xf numFmtId="0" fontId="0" fillId="0" borderId="4" xfId="0" applyFill="1" applyBorder="1" applyAlignment="1">
      <alignment horizontal="left" vertical="center"/>
    </xf>
    <xf numFmtId="0" fontId="0" fillId="0" borderId="7" xfId="0" applyFont="1" applyFill="1" applyBorder="1" applyAlignment="1">
      <alignment horizontal="left" vertical="center"/>
    </xf>
    <xf numFmtId="0" fontId="0" fillId="0" borderId="4" xfId="0" applyFont="1" applyFill="1" applyBorder="1" applyAlignment="1">
      <alignment horizontal="left" vertical="center" wrapText="1"/>
    </xf>
    <xf numFmtId="0" fontId="0" fillId="0" borderId="4" xfId="0" applyFill="1" applyBorder="1" applyAlignment="1">
      <alignment vertical="center" wrapText="1"/>
    </xf>
    <xf numFmtId="0" fontId="0" fillId="0" borderId="0" xfId="0" applyFill="1" applyBorder="1" applyAlignment="1">
      <alignment vertical="center" wrapText="1"/>
    </xf>
    <xf numFmtId="0" fontId="0" fillId="0" borderId="0" xfId="0" applyFont="1" applyFill="1" applyBorder="1" applyAlignment="1">
      <alignment vertical="center" wrapText="1"/>
    </xf>
    <xf numFmtId="0" fontId="2" fillId="0" borderId="0" xfId="0" applyFont="1" applyFill="1" applyBorder="1" applyAlignment="1">
      <alignment horizontal="left" vertical="center" wrapText="1"/>
    </xf>
    <xf numFmtId="0" fontId="4" fillId="0" borderId="4" xfId="0" applyFont="1" applyFill="1" applyBorder="1" applyAlignment="1">
      <alignment horizontal="center" vertical="center"/>
    </xf>
    <xf numFmtId="0" fontId="3" fillId="0" borderId="4" xfId="2" applyFont="1" applyFill="1" applyBorder="1" applyAlignment="1">
      <alignment vertical="center"/>
    </xf>
    <xf numFmtId="0" fontId="14" fillId="0" borderId="4" xfId="1" applyFill="1" applyBorder="1" applyAlignment="1">
      <alignment horizontal="left" vertical="center"/>
    </xf>
    <xf numFmtId="0" fontId="19" fillId="0" borderId="4" xfId="1" applyFont="1" applyFill="1" applyBorder="1" applyAlignment="1">
      <alignment horizontal="left" vertical="center"/>
    </xf>
    <xf numFmtId="0" fontId="21" fillId="0" borderId="4" xfId="1" applyFont="1" applyFill="1" applyBorder="1" applyAlignment="1">
      <alignment vertical="center"/>
    </xf>
    <xf numFmtId="0" fontId="17" fillId="0" borderId="4" xfId="0" applyFont="1" applyFill="1" applyBorder="1" applyAlignment="1">
      <alignment horizontal="left" vertical="center"/>
    </xf>
    <xf numFmtId="0" fontId="14" fillId="0" borderId="4" xfId="1" applyFill="1" applyBorder="1" applyAlignment="1">
      <alignment horizontal="left" vertical="center" wrapText="1"/>
    </xf>
    <xf numFmtId="0" fontId="0" fillId="0" borderId="0" xfId="0" applyFill="1" applyBorder="1" applyAlignment="1">
      <alignment horizontal="left" vertical="center" wrapText="1"/>
    </xf>
    <xf numFmtId="0" fontId="2" fillId="2" borderId="0" xfId="0" applyFont="1" applyFill="1" applyBorder="1" applyAlignment="1">
      <alignment horizontal="left" vertical="center"/>
    </xf>
    <xf numFmtId="0" fontId="0" fillId="2" borderId="4" xfId="0" applyFill="1" applyBorder="1" applyAlignment="1">
      <alignment vertical="center"/>
    </xf>
    <xf numFmtId="0" fontId="0" fillId="2" borderId="4" xfId="0" applyFill="1" applyBorder="1" applyAlignment="1">
      <alignment horizontal="left" vertical="center"/>
    </xf>
    <xf numFmtId="0" fontId="3" fillId="2" borderId="4" xfId="0" applyFont="1" applyFill="1" applyBorder="1" applyAlignment="1">
      <alignment vertical="center"/>
    </xf>
    <xf numFmtId="0" fontId="20" fillId="2" borderId="4" xfId="0" applyFont="1" applyFill="1" applyBorder="1" applyAlignment="1">
      <alignment horizontal="left" vertical="center"/>
    </xf>
    <xf numFmtId="0" fontId="13" fillId="2" borderId="4" xfId="0" applyFont="1" applyFill="1" applyBorder="1" applyAlignment="1">
      <alignment vertical="center"/>
    </xf>
    <xf numFmtId="0" fontId="13" fillId="2" borderId="4" xfId="0" applyFont="1" applyFill="1" applyBorder="1" applyAlignment="1">
      <alignment horizontal="left" vertical="center"/>
    </xf>
    <xf numFmtId="0" fontId="0" fillId="2" borderId="3" xfId="0" applyFill="1" applyBorder="1" applyAlignment="1">
      <alignment vertical="center"/>
    </xf>
    <xf numFmtId="0" fontId="0" fillId="2" borderId="0" xfId="0" applyFont="1" applyFill="1" applyBorder="1" applyAlignment="1">
      <alignment vertical="center" wrapText="1"/>
    </xf>
    <xf numFmtId="0" fontId="0" fillId="2" borderId="0" xfId="0" applyFill="1" applyBorder="1" applyAlignment="1">
      <alignment vertical="center" wrapText="1"/>
    </xf>
    <xf numFmtId="0" fontId="0" fillId="2" borderId="0" xfId="0" applyFill="1" applyBorder="1" applyAlignment="1">
      <alignment horizontal="left" vertical="center" wrapText="1"/>
    </xf>
    <xf numFmtId="0" fontId="0" fillId="2" borderId="0" xfId="0" applyFont="1" applyFill="1" applyBorder="1" applyAlignment="1">
      <alignment horizontal="center" vertical="center"/>
    </xf>
    <xf numFmtId="0" fontId="16" fillId="0" borderId="0" xfId="0" applyFont="1" applyBorder="1" applyAlignment="1">
      <alignment horizontal="center" vertical="center"/>
    </xf>
    <xf numFmtId="0" fontId="0" fillId="2" borderId="0" xfId="0" applyFont="1" applyFill="1" applyBorder="1" applyAlignment="1">
      <alignment horizontal="left" vertical="center"/>
    </xf>
    <xf numFmtId="0" fontId="14" fillId="2" borderId="0" xfId="1" applyFill="1" applyBorder="1" applyAlignment="1">
      <alignment horizontal="left" vertical="center"/>
    </xf>
    <xf numFmtId="0" fontId="16" fillId="2" borderId="0" xfId="0" applyFont="1" applyFill="1" applyBorder="1" applyAlignment="1">
      <alignment horizontal="center" vertical="center"/>
    </xf>
    <xf numFmtId="0" fontId="13" fillId="2" borderId="0" xfId="0" applyFont="1" applyFill="1" applyBorder="1" applyAlignment="1">
      <alignment vertical="center"/>
    </xf>
    <xf numFmtId="0" fontId="3" fillId="2" borderId="0" xfId="0" applyFont="1" applyFill="1" applyBorder="1" applyAlignment="1">
      <alignment vertical="center"/>
    </xf>
    <xf numFmtId="0" fontId="3" fillId="2" borderId="0" xfId="0" applyFont="1" applyFill="1" applyBorder="1" applyAlignment="1">
      <alignment horizontal="left" vertical="center"/>
    </xf>
    <xf numFmtId="0" fontId="0" fillId="2" borderId="0" xfId="0" applyFont="1" applyFill="1" applyBorder="1" applyAlignment="1">
      <alignment vertical="center"/>
    </xf>
    <xf numFmtId="0" fontId="0" fillId="2" borderId="0" xfId="0" applyFill="1" applyBorder="1" applyAlignment="1">
      <alignment horizontal="left" vertical="center"/>
    </xf>
    <xf numFmtId="0" fontId="13" fillId="2" borderId="0" xfId="0" applyFont="1" applyFill="1" applyBorder="1" applyAlignment="1">
      <alignment horizontal="left" vertical="center"/>
    </xf>
    <xf numFmtId="0" fontId="3" fillId="2" borderId="0" xfId="0" applyFont="1" applyFill="1" applyBorder="1" applyAlignment="1">
      <alignment horizontal="center" vertical="center"/>
    </xf>
    <xf numFmtId="0" fontId="14" fillId="2" borderId="0" xfId="1" applyFont="1" applyFill="1" applyBorder="1" applyAlignment="1">
      <alignment vertical="center"/>
    </xf>
    <xf numFmtId="0" fontId="0" fillId="0" borderId="0" xfId="0" applyFont="1" applyFill="1" applyBorder="1" applyAlignment="1">
      <alignment horizontal="left" vertical="center"/>
    </xf>
    <xf numFmtId="0" fontId="0" fillId="0" borderId="0" xfId="0" applyFill="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left" vertical="center"/>
    </xf>
    <xf numFmtId="0" fontId="14" fillId="3" borderId="0" xfId="1" applyFill="1" applyBorder="1" applyAlignment="1">
      <alignment vertical="center"/>
    </xf>
    <xf numFmtId="0" fontId="10" fillId="3" borderId="0" xfId="0" applyFont="1" applyFill="1" applyBorder="1" applyAlignment="1">
      <alignment horizontal="left" vertical="center"/>
    </xf>
    <xf numFmtId="0" fontId="6" fillId="3" borderId="0" xfId="0" applyFont="1" applyFill="1" applyBorder="1" applyAlignment="1">
      <alignment vertical="center"/>
    </xf>
    <xf numFmtId="0" fontId="15" fillId="4" borderId="0" xfId="0" quotePrefix="1" applyFont="1" applyFill="1" applyBorder="1" applyAlignment="1" applyProtection="1">
      <alignment horizontal="left" vertical="center" indent="1"/>
      <protection locked="0"/>
    </xf>
    <xf numFmtId="0" fontId="15" fillId="0" borderId="0" xfId="0" applyFont="1" applyBorder="1" applyAlignment="1">
      <alignment horizontal="left" vertical="center" indent="1"/>
    </xf>
    <xf numFmtId="0" fontId="2" fillId="3" borderId="0" xfId="0" applyFont="1" applyFill="1" applyBorder="1"/>
    <xf numFmtId="0" fontId="2" fillId="0" borderId="1" xfId="0" applyFont="1" applyBorder="1" applyAlignment="1">
      <alignment horizontal="left" vertical="center" indent="1"/>
    </xf>
    <xf numFmtId="0" fontId="2" fillId="0" borderId="5" xfId="0" applyFont="1" applyBorder="1" applyAlignment="1">
      <alignment horizontal="left" vertical="center" indent="1"/>
    </xf>
    <xf numFmtId="0" fontId="0" fillId="3" borderId="0" xfId="0" applyFont="1" applyFill="1" applyBorder="1" applyAlignment="1">
      <alignment vertical="center"/>
    </xf>
    <xf numFmtId="0" fontId="0" fillId="0" borderId="0" xfId="0" applyFill="1" applyBorder="1"/>
    <xf numFmtId="0" fontId="2" fillId="0" borderId="0" xfId="0" applyFont="1" applyFill="1" applyBorder="1" applyAlignment="1" applyProtection="1">
      <alignment horizontal="left" vertical="center" wrapText="1"/>
    </xf>
    <xf numFmtId="0" fontId="14" fillId="0" borderId="4" xfId="1" applyFill="1" applyBorder="1" applyAlignment="1" applyProtection="1">
      <alignment vertical="center"/>
    </xf>
    <xf numFmtId="0" fontId="0" fillId="0" borderId="4" xfId="0" applyFill="1" applyBorder="1" applyAlignment="1" applyProtection="1">
      <alignment vertical="center"/>
    </xf>
    <xf numFmtId="0" fontId="0" fillId="0" borderId="3" xfId="0" applyFill="1" applyBorder="1" applyAlignment="1" applyProtection="1">
      <alignment vertical="center"/>
    </xf>
    <xf numFmtId="0" fontId="0" fillId="2" borderId="0" xfId="0" applyFill="1" applyBorder="1" applyAlignment="1" applyProtection="1">
      <alignment vertical="center" wrapText="1"/>
    </xf>
    <xf numFmtId="0" fontId="14" fillId="0" borderId="4" xfId="1" applyFill="1" applyBorder="1" applyAlignment="1" applyProtection="1">
      <alignment vertical="center" wrapText="1"/>
    </xf>
    <xf numFmtId="0" fontId="0" fillId="0" borderId="3" xfId="0" applyFill="1" applyBorder="1" applyAlignment="1">
      <alignment vertical="center" wrapText="1"/>
    </xf>
    <xf numFmtId="0" fontId="14" fillId="0" borderId="3" xfId="1" applyFill="1" applyBorder="1" applyAlignment="1" applyProtection="1">
      <alignment vertical="center" wrapText="1"/>
    </xf>
    <xf numFmtId="0" fontId="3" fillId="0" borderId="4" xfId="0" applyFont="1" applyFill="1" applyBorder="1" applyAlignment="1">
      <alignment vertical="center" wrapText="1"/>
    </xf>
    <xf numFmtId="0" fontId="3" fillId="0" borderId="4" xfId="0" applyFont="1" applyFill="1" applyBorder="1" applyAlignment="1">
      <alignment horizontal="left" vertical="center" wrapText="1"/>
    </xf>
    <xf numFmtId="0" fontId="0" fillId="0" borderId="3"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4" xfId="0" applyFont="1" applyFill="1" applyBorder="1" applyAlignment="1">
      <alignment vertical="center" wrapText="1"/>
    </xf>
    <xf numFmtId="0" fontId="24" fillId="0" borderId="4" xfId="1" applyFont="1" applyFill="1" applyBorder="1" applyAlignment="1">
      <alignment horizontal="left" vertical="center"/>
    </xf>
    <xf numFmtId="0" fontId="0" fillId="0" borderId="3" xfId="0" applyFont="1" applyFill="1" applyBorder="1" applyAlignment="1">
      <alignment vertical="center"/>
    </xf>
    <xf numFmtId="0" fontId="0" fillId="0" borderId="4" xfId="1" applyFont="1" applyFill="1" applyBorder="1" applyAlignment="1">
      <alignment vertical="center"/>
    </xf>
    <xf numFmtId="0" fontId="0" fillId="0" borderId="4" xfId="1" applyFont="1" applyFill="1" applyBorder="1" applyAlignment="1">
      <alignment horizontal="left" vertical="center"/>
    </xf>
    <xf numFmtId="0" fontId="25" fillId="0" borderId="4" xfId="0" applyFont="1" applyBorder="1" applyAlignment="1">
      <alignment horizontal="center" vertical="center"/>
    </xf>
    <xf numFmtId="0" fontId="13" fillId="0" borderId="4" xfId="1" applyFont="1" applyFill="1" applyBorder="1" applyAlignment="1">
      <alignment vertical="center"/>
    </xf>
    <xf numFmtId="0" fontId="3" fillId="0" borderId="4" xfId="1" applyFont="1" applyFill="1" applyBorder="1" applyAlignment="1" applyProtection="1">
      <alignment vertical="center"/>
    </xf>
    <xf numFmtId="0" fontId="0" fillId="0" borderId="3" xfId="0" applyFill="1" applyBorder="1" applyAlignment="1">
      <alignment vertical="center"/>
    </xf>
    <xf numFmtId="0" fontId="0" fillId="0" borderId="4" xfId="0" applyFont="1" applyBorder="1" applyAlignment="1">
      <alignment horizontal="center" vertical="center"/>
    </xf>
    <xf numFmtId="0" fontId="0" fillId="0" borderId="0" xfId="0" applyFont="1"/>
    <xf numFmtId="0" fontId="0" fillId="0" borderId="0" xfId="0" applyFont="1" applyBorder="1" applyAlignment="1">
      <alignment horizontal="center" vertical="center"/>
    </xf>
    <xf numFmtId="0" fontId="0" fillId="3" borderId="0" xfId="0" applyFill="1" applyAlignment="1">
      <alignment horizontal="center" vertical="center"/>
    </xf>
    <xf numFmtId="0" fontId="8" fillId="3" borderId="0" xfId="0" applyFont="1" applyFill="1" applyBorder="1" applyAlignment="1">
      <alignment horizontal="left" vertical="center" wrapText="1"/>
    </xf>
    <xf numFmtId="0" fontId="9" fillId="3" borderId="0" xfId="0" applyFont="1" applyFill="1" applyBorder="1" applyAlignment="1">
      <alignment horizontal="left" vertical="center" wrapText="1"/>
    </xf>
    <xf numFmtId="0" fontId="0" fillId="3" borderId="0" xfId="0" applyFont="1" applyFill="1" applyBorder="1" applyAlignment="1">
      <alignment horizontal="left" vertical="center" wrapText="1"/>
    </xf>
    <xf numFmtId="0" fontId="10" fillId="3" borderId="0" xfId="0" applyFont="1" applyFill="1" applyAlignment="1">
      <alignment horizontal="left" vertical="center"/>
    </xf>
    <xf numFmtId="0" fontId="9" fillId="3" borderId="0" xfId="0" applyFont="1" applyFill="1" applyBorder="1" applyAlignment="1">
      <alignment horizontal="left" vertical="top" wrapText="1"/>
    </xf>
    <xf numFmtId="0" fontId="11" fillId="3" borderId="0" xfId="0" applyFont="1" applyFill="1" applyAlignment="1">
      <alignment horizontal="left" vertical="center"/>
    </xf>
    <xf numFmtId="0" fontId="0" fillId="3" borderId="0" xfId="0" applyFill="1" applyAlignment="1">
      <alignment horizontal="left" vertical="center" wrapText="1"/>
    </xf>
    <xf numFmtId="0" fontId="0" fillId="3" borderId="0" xfId="0" applyFill="1" applyAlignment="1">
      <alignment horizontal="left" vertical="center"/>
    </xf>
    <xf numFmtId="0" fontId="6" fillId="3" borderId="0" xfId="0" applyFont="1" applyFill="1" applyBorder="1" applyAlignment="1">
      <alignment horizontal="left" vertical="top"/>
    </xf>
    <xf numFmtId="0" fontId="10" fillId="3" borderId="0" xfId="0" applyFont="1" applyFill="1" applyBorder="1" applyAlignment="1">
      <alignment horizontal="left" wrapText="1"/>
    </xf>
    <xf numFmtId="0" fontId="10" fillId="3" borderId="0" xfId="0" applyFont="1" applyFill="1" applyBorder="1" applyAlignment="1">
      <alignment horizontal="left" vertical="center"/>
    </xf>
    <xf numFmtId="0" fontId="7" fillId="3" borderId="0" xfId="0" applyFont="1" applyFill="1" applyBorder="1" applyAlignment="1">
      <alignment horizontal="left" vertical="center"/>
    </xf>
    <xf numFmtId="0" fontId="8" fillId="3" borderId="0" xfId="0" applyFont="1" applyFill="1" applyBorder="1" applyAlignment="1">
      <alignment horizontal="center" vertical="center"/>
    </xf>
    <xf numFmtId="0" fontId="0" fillId="0" borderId="0" xfId="0" applyAlignment="1">
      <alignment horizontal="center"/>
    </xf>
    <xf numFmtId="0" fontId="0" fillId="0" borderId="4" xfId="0" applyFill="1" applyBorder="1" applyAlignment="1">
      <alignment horizontal="left" vertical="center" wrapText="1"/>
    </xf>
    <xf numFmtId="0" fontId="0" fillId="0" borderId="3" xfId="0" applyFill="1" applyBorder="1" applyAlignment="1">
      <alignment horizontal="left" vertical="center" wrapText="1"/>
    </xf>
  </cellXfs>
  <cellStyles count="4">
    <cellStyle name="Hyperlink" xfId="1" builtinId="8"/>
    <cellStyle name="Standaard" xfId="0" builtinId="0"/>
    <cellStyle name="Standaard 2" xfId="3"/>
    <cellStyle name="Standaard 3" xfId="2"/>
  </cellStyles>
  <dxfs count="2">
    <dxf>
      <font>
        <color rgb="FF0078D2"/>
      </font>
    </dxf>
    <dxf>
      <font>
        <color rgb="FFF08C00"/>
      </font>
    </dxf>
  </dxfs>
  <tableStyles count="0" defaultTableStyle="TableStyleMedium2" defaultPivotStyle="PivotStyleLight16"/>
  <colors>
    <mruColors>
      <color rgb="FFF08C00"/>
      <color rgb="FF0078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6</xdr:col>
      <xdr:colOff>192233</xdr:colOff>
      <xdr:row>28</xdr:row>
      <xdr:rowOff>8661</xdr:rowOff>
    </xdr:from>
    <xdr:to>
      <xdr:col>6</xdr:col>
      <xdr:colOff>768233</xdr:colOff>
      <xdr:row>29</xdr:row>
      <xdr:rowOff>5586</xdr:rowOff>
    </xdr:to>
    <xdr:sp macro="[0]!FunctieFilter" textlink="">
      <xdr:nvSpPr>
        <xdr:cNvPr id="11" name="Afgeronde rechthoek 10"/>
        <xdr:cNvSpPr/>
      </xdr:nvSpPr>
      <xdr:spPr>
        <a:xfrm>
          <a:off x="5545283" y="5409336"/>
          <a:ext cx="576000" cy="216000"/>
        </a:xfrm>
        <a:prstGeom prst="roundRect">
          <a:avLst/>
        </a:prstGeom>
        <a:solidFill>
          <a:srgbClr val="F08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200" b="1"/>
            <a:t>Ga</a:t>
          </a:r>
          <a:endParaRPr lang="nl-NL" sz="900" b="1"/>
        </a:p>
      </xdr:txBody>
    </xdr:sp>
    <xdr:clientData/>
  </xdr:twoCellAnchor>
  <xdr:twoCellAnchor>
    <xdr:from>
      <xdr:col>6</xdr:col>
      <xdr:colOff>974148</xdr:colOff>
      <xdr:row>27</xdr:row>
      <xdr:rowOff>218210</xdr:rowOff>
    </xdr:from>
    <xdr:to>
      <xdr:col>6</xdr:col>
      <xdr:colOff>1550148</xdr:colOff>
      <xdr:row>28</xdr:row>
      <xdr:rowOff>215135</xdr:rowOff>
    </xdr:to>
    <xdr:sp macro="[0]!ClearFunctieOverzicht" textlink="">
      <xdr:nvSpPr>
        <xdr:cNvPr id="12" name="Afgeronde rechthoek 11"/>
        <xdr:cNvSpPr/>
      </xdr:nvSpPr>
      <xdr:spPr>
        <a:xfrm>
          <a:off x="6327198" y="5399810"/>
          <a:ext cx="576000" cy="216000"/>
        </a:xfrm>
        <a:prstGeom prst="roundRect">
          <a:avLst/>
        </a:prstGeom>
        <a:solidFill>
          <a:srgbClr val="F08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200" b="1"/>
            <a:t>Wis</a:t>
          </a:r>
          <a:endParaRPr lang="nl-NL" sz="900" b="1"/>
        </a:p>
      </xdr:txBody>
    </xdr:sp>
    <xdr:clientData/>
  </xdr:twoCellAnchor>
  <xdr:twoCellAnchor>
    <xdr:from>
      <xdr:col>4</xdr:col>
      <xdr:colOff>67830</xdr:colOff>
      <xdr:row>3</xdr:row>
      <xdr:rowOff>33914</xdr:rowOff>
    </xdr:from>
    <xdr:to>
      <xdr:col>5</xdr:col>
      <xdr:colOff>782430</xdr:colOff>
      <xdr:row>5</xdr:row>
      <xdr:rowOff>156914</xdr:rowOff>
    </xdr:to>
    <xdr:sp macro="[0]!Menu1" textlink="">
      <xdr:nvSpPr>
        <xdr:cNvPr id="2" name="MenuKnop1"/>
        <xdr:cNvSpPr/>
      </xdr:nvSpPr>
      <xdr:spPr>
        <a:xfrm>
          <a:off x="1106055" y="2177039"/>
          <a:ext cx="2772000" cy="504000"/>
        </a:xfrm>
        <a:prstGeom prst="roundRect">
          <a:avLst/>
        </a:prstGeom>
        <a:solidFill>
          <a:srgbClr val="0078D2"/>
        </a:solidFill>
        <a:ln>
          <a:solidFill>
            <a:srgbClr val="0078D2"/>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nl-NL" sz="1600" b="1">
              <a:solidFill>
                <a:srgbClr val="FFFFFF"/>
              </a:solidFill>
            </a:rPr>
            <a:t>Inleiding</a:t>
          </a:r>
        </a:p>
      </xdr:txBody>
    </xdr:sp>
    <xdr:clientData/>
  </xdr:twoCellAnchor>
  <xdr:twoCellAnchor>
    <xdr:from>
      <xdr:col>5</xdr:col>
      <xdr:colOff>1499175</xdr:colOff>
      <xdr:row>3</xdr:row>
      <xdr:rowOff>33193</xdr:rowOff>
    </xdr:from>
    <xdr:to>
      <xdr:col>6</xdr:col>
      <xdr:colOff>2032800</xdr:colOff>
      <xdr:row>5</xdr:row>
      <xdr:rowOff>156193</xdr:rowOff>
    </xdr:to>
    <xdr:sp macro="[0]!Menu2" textlink="">
      <xdr:nvSpPr>
        <xdr:cNvPr id="10" name="MenuKnop2"/>
        <xdr:cNvSpPr/>
      </xdr:nvSpPr>
      <xdr:spPr>
        <a:xfrm>
          <a:off x="4089975" y="2176318"/>
          <a:ext cx="2791050" cy="504000"/>
        </a:xfrm>
        <a:prstGeom prst="roundRect">
          <a:avLst/>
        </a:prstGeom>
        <a:solidFill>
          <a:srgbClr val="FFFFFF"/>
        </a:solidFill>
        <a:ln>
          <a:solidFill>
            <a:srgbClr val="0078D2"/>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nl-NL" sz="1400" b="1">
              <a:solidFill>
                <a:srgbClr val="0078D2"/>
              </a:solidFill>
            </a:rPr>
            <a:t>Functie-overzicht</a:t>
          </a:r>
        </a:p>
      </xdr:txBody>
    </xdr:sp>
    <xdr:clientData/>
  </xdr:twoCellAnchor>
  <xdr:twoCellAnchor>
    <xdr:from>
      <xdr:col>7</xdr:col>
      <xdr:colOff>218786</xdr:colOff>
      <xdr:row>3</xdr:row>
      <xdr:rowOff>33192</xdr:rowOff>
    </xdr:from>
    <xdr:to>
      <xdr:col>9</xdr:col>
      <xdr:colOff>723836</xdr:colOff>
      <xdr:row>5</xdr:row>
      <xdr:rowOff>156192</xdr:rowOff>
    </xdr:to>
    <xdr:sp macro="[0]!Menu3" textlink="">
      <xdr:nvSpPr>
        <xdr:cNvPr id="13" name="MenuKnop3"/>
        <xdr:cNvSpPr/>
      </xdr:nvSpPr>
      <xdr:spPr>
        <a:xfrm>
          <a:off x="7600661" y="2176317"/>
          <a:ext cx="2772000" cy="504000"/>
        </a:xfrm>
        <a:prstGeom prst="roundRect">
          <a:avLst/>
        </a:prstGeom>
        <a:solidFill>
          <a:srgbClr val="0078D2"/>
        </a:solidFill>
        <a:ln>
          <a:solidFill>
            <a:srgbClr val="0078D2"/>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nl-NL" sz="1400" b="1">
              <a:solidFill>
                <a:srgbClr val="FFFFFF"/>
              </a:solidFill>
            </a:rPr>
            <a:t>Functievergelijker</a:t>
          </a:r>
        </a:p>
      </xdr:txBody>
    </xdr:sp>
    <xdr:clientData/>
  </xdr:twoCellAnchor>
  <xdr:twoCellAnchor>
    <xdr:from>
      <xdr:col>5</xdr:col>
      <xdr:colOff>225134</xdr:colOff>
      <xdr:row>33</xdr:row>
      <xdr:rowOff>0</xdr:rowOff>
    </xdr:from>
    <xdr:to>
      <xdr:col>5</xdr:col>
      <xdr:colOff>801134</xdr:colOff>
      <xdr:row>33</xdr:row>
      <xdr:rowOff>216000</xdr:rowOff>
    </xdr:to>
    <xdr:sp macro="[0]!VakgebiedFilter" textlink="">
      <xdr:nvSpPr>
        <xdr:cNvPr id="19" name="Afgeronde rechthoek 18"/>
        <xdr:cNvSpPr/>
      </xdr:nvSpPr>
      <xdr:spPr>
        <a:xfrm>
          <a:off x="3320759" y="6267450"/>
          <a:ext cx="576000" cy="216000"/>
        </a:xfrm>
        <a:prstGeom prst="roundRect">
          <a:avLst/>
        </a:prstGeom>
        <a:solidFill>
          <a:srgbClr val="F08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200" b="1"/>
            <a:t>Ga</a:t>
          </a:r>
          <a:endParaRPr lang="nl-NL" sz="900" b="1"/>
        </a:p>
      </xdr:txBody>
    </xdr:sp>
    <xdr:clientData/>
  </xdr:twoCellAnchor>
  <xdr:twoCellAnchor>
    <xdr:from>
      <xdr:col>5</xdr:col>
      <xdr:colOff>969812</xdr:colOff>
      <xdr:row>33</xdr:row>
      <xdr:rowOff>0</xdr:rowOff>
    </xdr:from>
    <xdr:to>
      <xdr:col>5</xdr:col>
      <xdr:colOff>1545812</xdr:colOff>
      <xdr:row>33</xdr:row>
      <xdr:rowOff>216000</xdr:rowOff>
    </xdr:to>
    <xdr:sp macro="[0]!ClearFunctieOverzicht" textlink="">
      <xdr:nvSpPr>
        <xdr:cNvPr id="20" name="Afgeronde rechthoek 19"/>
        <xdr:cNvSpPr/>
      </xdr:nvSpPr>
      <xdr:spPr>
        <a:xfrm>
          <a:off x="4065437" y="6267450"/>
          <a:ext cx="576000" cy="216000"/>
        </a:xfrm>
        <a:prstGeom prst="roundRect">
          <a:avLst/>
        </a:prstGeom>
        <a:solidFill>
          <a:srgbClr val="F08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200" b="1"/>
            <a:t>Wis</a:t>
          </a:r>
          <a:endParaRPr lang="nl-NL" sz="900" b="1"/>
        </a:p>
      </xdr:txBody>
    </xdr:sp>
    <xdr:clientData/>
  </xdr:twoCellAnchor>
  <xdr:twoCellAnchor>
    <xdr:from>
      <xdr:col>7</xdr:col>
      <xdr:colOff>215611</xdr:colOff>
      <xdr:row>115</xdr:row>
      <xdr:rowOff>6062</xdr:rowOff>
    </xdr:from>
    <xdr:to>
      <xdr:col>7</xdr:col>
      <xdr:colOff>791611</xdr:colOff>
      <xdr:row>116</xdr:row>
      <xdr:rowOff>2987</xdr:rowOff>
    </xdr:to>
    <xdr:sp macro="[0]!Vergelijking" textlink="">
      <xdr:nvSpPr>
        <xdr:cNvPr id="15" name="Afgeronde rechthoek 14"/>
        <xdr:cNvSpPr/>
      </xdr:nvSpPr>
      <xdr:spPr>
        <a:xfrm>
          <a:off x="8207086" y="5644862"/>
          <a:ext cx="576000" cy="216000"/>
        </a:xfrm>
        <a:prstGeom prst="roundRect">
          <a:avLst/>
        </a:prstGeom>
        <a:solidFill>
          <a:srgbClr val="F08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200" b="1"/>
            <a:t>Ga</a:t>
          </a:r>
          <a:endParaRPr lang="nl-NL" sz="900" b="1"/>
        </a:p>
      </xdr:txBody>
    </xdr:sp>
    <xdr:clientData/>
  </xdr:twoCellAnchor>
  <xdr:twoCellAnchor>
    <xdr:from>
      <xdr:col>7</xdr:col>
      <xdr:colOff>977612</xdr:colOff>
      <xdr:row>115</xdr:row>
      <xdr:rowOff>6062</xdr:rowOff>
    </xdr:from>
    <xdr:to>
      <xdr:col>8</xdr:col>
      <xdr:colOff>419271</xdr:colOff>
      <xdr:row>116</xdr:row>
      <xdr:rowOff>2987</xdr:rowOff>
    </xdr:to>
    <xdr:sp macro="[0]!ClearVergelijking" textlink="">
      <xdr:nvSpPr>
        <xdr:cNvPr id="21" name="Afgeronde rechthoek 20"/>
        <xdr:cNvSpPr/>
      </xdr:nvSpPr>
      <xdr:spPr>
        <a:xfrm>
          <a:off x="8969087" y="5644862"/>
          <a:ext cx="575134" cy="216000"/>
        </a:xfrm>
        <a:prstGeom prst="roundRect">
          <a:avLst/>
        </a:prstGeom>
        <a:solidFill>
          <a:srgbClr val="F08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200" b="1"/>
            <a:t>Wis</a:t>
          </a:r>
          <a:endParaRPr lang="nl-NL" sz="900" b="1"/>
        </a:p>
      </xdr:txBody>
    </xdr:sp>
    <xdr:clientData/>
  </xdr:twoCellAnchor>
  <xdr:twoCellAnchor>
    <xdr:from>
      <xdr:col>9</xdr:col>
      <xdr:colOff>0</xdr:colOff>
      <xdr:row>119</xdr:row>
      <xdr:rowOff>0</xdr:rowOff>
    </xdr:from>
    <xdr:to>
      <xdr:col>9</xdr:col>
      <xdr:colOff>756000</xdr:colOff>
      <xdr:row>119</xdr:row>
      <xdr:rowOff>0</xdr:rowOff>
    </xdr:to>
    <xdr:sp macro="" textlink="">
      <xdr:nvSpPr>
        <xdr:cNvPr id="17" name="Afgeronde rechthoek 16"/>
        <xdr:cNvSpPr/>
      </xdr:nvSpPr>
      <xdr:spPr>
        <a:xfrm>
          <a:off x="9753600" y="6257925"/>
          <a:ext cx="756000" cy="0"/>
        </a:xfrm>
        <a:prstGeom prst="roundRect">
          <a:avLst/>
        </a:prstGeom>
        <a:solidFill>
          <a:srgbClr val="F08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200" b="1"/>
            <a:t>Print</a:t>
          </a:r>
          <a:endParaRPr lang="nl-NL" sz="900" b="1"/>
        </a:p>
      </xdr:txBody>
    </xdr:sp>
    <xdr:clientData/>
  </xdr:twoCellAnchor>
  <xdr:twoCellAnchor>
    <xdr:from>
      <xdr:col>8</xdr:col>
      <xdr:colOff>0</xdr:colOff>
      <xdr:row>112</xdr:row>
      <xdr:rowOff>0</xdr:rowOff>
    </xdr:from>
    <xdr:to>
      <xdr:col>8</xdr:col>
      <xdr:colOff>756000</xdr:colOff>
      <xdr:row>112</xdr:row>
      <xdr:rowOff>0</xdr:rowOff>
    </xdr:to>
    <xdr:sp macro="" textlink="">
      <xdr:nvSpPr>
        <xdr:cNvPr id="18" name="Afgeronde rechthoek 17"/>
        <xdr:cNvSpPr/>
      </xdr:nvSpPr>
      <xdr:spPr>
        <a:xfrm>
          <a:off x="8620125" y="5162550"/>
          <a:ext cx="756000" cy="0"/>
        </a:xfrm>
        <a:prstGeom prst="roundRect">
          <a:avLst/>
        </a:prstGeom>
        <a:solidFill>
          <a:srgbClr val="F08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200" b="1"/>
            <a:t>Print</a:t>
          </a:r>
          <a:endParaRPr lang="nl-NL" sz="900" b="1"/>
        </a:p>
      </xdr:txBody>
    </xdr:sp>
    <xdr:clientData/>
  </xdr:twoCellAnchor>
  <xdr:twoCellAnchor>
    <xdr:from>
      <xdr:col>9</xdr:col>
      <xdr:colOff>257175</xdr:colOff>
      <xdr:row>32</xdr:row>
      <xdr:rowOff>207174</xdr:rowOff>
    </xdr:from>
    <xdr:to>
      <xdr:col>9</xdr:col>
      <xdr:colOff>1013175</xdr:colOff>
      <xdr:row>34</xdr:row>
      <xdr:rowOff>21328</xdr:rowOff>
    </xdr:to>
    <xdr:sp macro="[0]!printFunc" textlink="">
      <xdr:nvSpPr>
        <xdr:cNvPr id="14" name="Afgeronde rechthoek 13"/>
        <xdr:cNvSpPr/>
      </xdr:nvSpPr>
      <xdr:spPr>
        <a:xfrm>
          <a:off x="10506075" y="6169824"/>
          <a:ext cx="756000" cy="252304"/>
        </a:xfrm>
        <a:prstGeom prst="roundRect">
          <a:avLst/>
        </a:prstGeom>
        <a:solidFill>
          <a:srgbClr val="F08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200" b="1"/>
            <a:t>Print</a:t>
          </a:r>
          <a:endParaRPr lang="nl-NL" sz="900" b="1"/>
        </a:p>
      </xdr:txBody>
    </xdr:sp>
    <xdr:clientData/>
  </xdr:twoCellAnchor>
  <xdr:twoCellAnchor>
    <xdr:from>
      <xdr:col>9</xdr:col>
      <xdr:colOff>276225</xdr:colOff>
      <xdr:row>117</xdr:row>
      <xdr:rowOff>200025</xdr:rowOff>
    </xdr:from>
    <xdr:to>
      <xdr:col>9</xdr:col>
      <xdr:colOff>1032225</xdr:colOff>
      <xdr:row>119</xdr:row>
      <xdr:rowOff>13875</xdr:rowOff>
    </xdr:to>
    <xdr:sp macro="[0]!printFuncVerg" textlink="">
      <xdr:nvSpPr>
        <xdr:cNvPr id="23" name="Afgeronde rechthoek 22"/>
        <xdr:cNvSpPr/>
      </xdr:nvSpPr>
      <xdr:spPr>
        <a:xfrm>
          <a:off x="10525125" y="6534150"/>
          <a:ext cx="756000" cy="252000"/>
        </a:xfrm>
        <a:prstGeom prst="roundRect">
          <a:avLst/>
        </a:prstGeom>
        <a:solidFill>
          <a:srgbClr val="F08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200" b="1"/>
            <a:t>Print</a:t>
          </a:r>
          <a:endParaRPr lang="nl-NL" sz="900" b="1"/>
        </a:p>
      </xdr:txBody>
    </xdr:sp>
    <xdr:clientData/>
  </xdr:twoCellAnchor>
  <xdr:twoCellAnchor editAs="oneCell">
    <xdr:from>
      <xdr:col>2</xdr:col>
      <xdr:colOff>276224</xdr:colOff>
      <xdr:row>0</xdr:row>
      <xdr:rowOff>219062</xdr:rowOff>
    </xdr:from>
    <xdr:to>
      <xdr:col>11</xdr:col>
      <xdr:colOff>9524</xdr:colOff>
      <xdr:row>1</xdr:row>
      <xdr:rowOff>1882142</xdr:rowOff>
    </xdr:to>
    <xdr:pic>
      <xdr:nvPicPr>
        <xdr:cNvPr id="3" name="Afbeelding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6224" y="219062"/>
          <a:ext cx="11039475" cy="18821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5</xdr:col>
      <xdr:colOff>1281502</xdr:colOff>
      <xdr:row>0</xdr:row>
      <xdr:rowOff>1909628</xdr:rowOff>
    </xdr:to>
    <xdr:pic>
      <xdr:nvPicPr>
        <xdr:cNvPr id="2" name="Afbeelding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 y="0"/>
          <a:ext cx="11124000" cy="1909628"/>
        </a:xfrm>
        <a:prstGeom prst="rect">
          <a:avLst/>
        </a:prstGeom>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learn.microsoft.com/en-us/certifications/mta-windows-server-administration-fundamentals/" TargetMode="External"/><Relationship Id="rId13" Type="http://schemas.openxmlformats.org/officeDocument/2006/relationships/hyperlink" Target="https://www.ctrl-improve.nl/devops-training/" TargetMode="External"/><Relationship Id="rId3" Type="http://schemas.openxmlformats.org/officeDocument/2006/relationships/hyperlink" Target="https://learn.microsoft.com/nl-nl/azure/active-directory/fundamentals/" TargetMode="External"/><Relationship Id="rId7" Type="http://schemas.openxmlformats.org/officeDocument/2006/relationships/hyperlink" Target="https://www.globalknowledge.com/nl-nl/trainingen/itil_and_service_management/service_management_and_itil/itil4dits" TargetMode="External"/><Relationship Id="rId12" Type="http://schemas.openxmlformats.org/officeDocument/2006/relationships/hyperlink" Target="https://www.ncoi.nl/opleiding/masterclass-verandermanagement.html" TargetMode="External"/><Relationship Id="rId2" Type="http://schemas.openxmlformats.org/officeDocument/2006/relationships/hyperlink" Target="https://learn.microsoft.com/nl-nl/azure/active-directory/fundamentals/" TargetMode="External"/><Relationship Id="rId16" Type="http://schemas.openxmlformats.org/officeDocument/2006/relationships/printerSettings" Target="../printerSettings/printerSettings3.bin"/><Relationship Id="rId1" Type="http://schemas.openxmlformats.org/officeDocument/2006/relationships/hyperlink" Target="https://www.computrain.nl/business-it/requirements/requirements-analyse-en-management.html" TargetMode="External"/><Relationship Id="rId6" Type="http://schemas.openxmlformats.org/officeDocument/2006/relationships/hyperlink" Target="https://www.globalknowledge.com/nl-nl/trainingen/itil_and_service_management/service_management_and_itil/ilfn4b" TargetMode="External"/><Relationship Id="rId11" Type="http://schemas.openxmlformats.org/officeDocument/2006/relationships/hyperlink" Target="https://novius.nl/business-transformatie-planning/" TargetMode="External"/><Relationship Id="rId5" Type="http://schemas.openxmlformats.org/officeDocument/2006/relationships/hyperlink" Target="../../nma088/Windows/DWU/ConcernICT/Mensen%20en%20organisatie/IV-PMweb.aspx" TargetMode="External"/><Relationship Id="rId15" Type="http://schemas.openxmlformats.org/officeDocument/2006/relationships/hyperlink" Target="https://scrumacademy.nl/training/agile-coach-opleiding/" TargetMode="External"/><Relationship Id="rId10" Type="http://schemas.openxmlformats.org/officeDocument/2006/relationships/hyperlink" Target="https://www.cibit.nl/nl/opleidingen/opleiding-business-it-strategie-informatieplanning/" TargetMode="External"/><Relationship Id="rId4" Type="http://schemas.openxmlformats.org/officeDocument/2006/relationships/hyperlink" Target="https://www.atlassian.com/agile/project-management/user-stories" TargetMode="External"/><Relationship Id="rId9" Type="http://schemas.openxmlformats.org/officeDocument/2006/relationships/hyperlink" Target="https://learn.microsoft.com/en-us/previous-versions/office/developer/sharepoint-2010/hh147178(v=office.14)" TargetMode="External"/><Relationship Id="rId14" Type="http://schemas.openxmlformats.org/officeDocument/2006/relationships/hyperlink" Target="https://radarvertige.nl/omgaan-met-agressi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AL746"/>
  <sheetViews>
    <sheetView showGridLines="0" showRowColHeaders="0" tabSelected="1" topLeftCell="C7" zoomScaleNormal="100" zoomScaleSheetLayoutView="90" workbookViewId="0">
      <selection activeCell="A40" sqref="A40"/>
    </sheetView>
  </sheetViews>
  <sheetFormatPr defaultColWidth="9" defaultRowHeight="11.25" x14ac:dyDescent="0.15"/>
  <cols>
    <col min="1" max="1" width="4.75" style="1" hidden="1" customWidth="1"/>
    <col min="2" max="2" width="1.875" style="1" hidden="1" customWidth="1"/>
    <col min="3" max="3" width="3.625" style="2" customWidth="1"/>
    <col min="4" max="4" width="3.375" style="2" customWidth="1"/>
    <col min="5" max="5" width="26.875" style="2" customWidth="1"/>
    <col min="6" max="6" width="29.5" style="2" customWidth="1"/>
    <col min="7" max="7" width="34.625" style="2" customWidth="1"/>
    <col min="8" max="8" width="14.875" style="2" customWidth="1"/>
    <col min="9" max="9" width="15" style="2" customWidth="1"/>
    <col min="10" max="10" width="16.75" style="2" customWidth="1"/>
    <col min="11" max="11" width="3.75" style="2" customWidth="1"/>
    <col min="12" max="16384" width="9" style="2"/>
  </cols>
  <sheetData>
    <row r="1" spans="3:11" ht="17.25" customHeight="1" x14ac:dyDescent="0.15">
      <c r="C1" s="1"/>
      <c r="D1" s="1"/>
      <c r="E1" s="1"/>
      <c r="F1" s="1"/>
      <c r="G1" s="1"/>
      <c r="H1" s="1"/>
    </row>
    <row r="2" spans="3:11" ht="150" customHeight="1" x14ac:dyDescent="0.15">
      <c r="C2" s="1"/>
      <c r="D2" s="132"/>
      <c r="E2" s="132"/>
      <c r="F2" s="132"/>
      <c r="G2" s="132"/>
      <c r="H2" s="132"/>
      <c r="I2" s="132"/>
      <c r="J2" s="132"/>
      <c r="K2" s="5"/>
    </row>
    <row r="3" spans="3:11" ht="15" customHeight="1" x14ac:dyDescent="0.15">
      <c r="C3" s="1"/>
      <c r="D3" s="4"/>
      <c r="E3" s="4"/>
      <c r="F3" s="4"/>
      <c r="G3" s="4"/>
      <c r="H3" s="4"/>
      <c r="I3" s="5"/>
      <c r="J3" s="5"/>
      <c r="K3" s="5"/>
    </row>
    <row r="4" spans="3:11" ht="15.75" customHeight="1" x14ac:dyDescent="0.15">
      <c r="C4" s="1"/>
      <c r="D4" s="4"/>
      <c r="E4" s="6"/>
      <c r="F4" s="4"/>
      <c r="G4" s="4"/>
      <c r="H4" s="4"/>
      <c r="I4" s="5"/>
      <c r="J4" s="5"/>
      <c r="K4" s="5"/>
    </row>
    <row r="5" spans="3:11" ht="14.25" customHeight="1" x14ac:dyDescent="0.15">
      <c r="C5" s="1"/>
      <c r="D5" s="4"/>
      <c r="E5" s="6"/>
      <c r="F5" s="4"/>
      <c r="G5" s="4"/>
      <c r="H5" s="4"/>
      <c r="I5" s="5"/>
      <c r="J5" s="5"/>
      <c r="K5" s="5"/>
    </row>
    <row r="6" spans="3:11" ht="15" customHeight="1" x14ac:dyDescent="0.15">
      <c r="C6" s="1"/>
      <c r="D6" s="4"/>
      <c r="E6" s="6"/>
      <c r="F6" s="4"/>
      <c r="G6" s="4"/>
      <c r="H6" s="4"/>
      <c r="I6" s="5"/>
      <c r="J6" s="5"/>
      <c r="K6" s="5"/>
    </row>
    <row r="7" spans="3:11" ht="20.25" customHeight="1" x14ac:dyDescent="0.15">
      <c r="C7" s="1"/>
      <c r="D7" s="4"/>
      <c r="E7" s="31"/>
      <c r="F7" s="31"/>
      <c r="G7" s="31"/>
      <c r="H7" s="31"/>
      <c r="I7" s="29"/>
      <c r="J7" s="29"/>
      <c r="K7" s="5"/>
    </row>
    <row r="8" spans="3:11" ht="19.5" hidden="1" x14ac:dyDescent="0.25">
      <c r="C8" s="3"/>
      <c r="D8" s="4"/>
      <c r="E8" s="142"/>
      <c r="F8" s="142"/>
      <c r="G8" s="142"/>
      <c r="H8" s="142"/>
      <c r="I8" s="142"/>
      <c r="J8" s="142"/>
      <c r="K8" s="5"/>
    </row>
    <row r="9" spans="3:11" ht="20.25" hidden="1" customHeight="1" x14ac:dyDescent="0.25">
      <c r="C9" s="1"/>
      <c r="D9" s="4"/>
      <c r="E9" s="142" t="s">
        <v>82</v>
      </c>
      <c r="F9" s="142"/>
      <c r="G9" s="142"/>
      <c r="H9" s="142"/>
      <c r="I9" s="142"/>
      <c r="J9" s="142"/>
      <c r="K9" s="5"/>
    </row>
    <row r="10" spans="3:11" ht="80.25" hidden="1" customHeight="1" x14ac:dyDescent="0.15">
      <c r="C10" s="1"/>
      <c r="D10" s="4"/>
      <c r="E10" s="133" t="s">
        <v>710</v>
      </c>
      <c r="F10" s="133"/>
      <c r="G10" s="133"/>
      <c r="H10" s="133"/>
      <c r="I10" s="133"/>
      <c r="J10" s="133"/>
      <c r="K10" s="5"/>
    </row>
    <row r="11" spans="3:11" ht="75.75" hidden="1" customHeight="1" x14ac:dyDescent="0.15">
      <c r="C11" s="1"/>
      <c r="D11" s="4"/>
      <c r="E11" s="134" t="s">
        <v>707</v>
      </c>
      <c r="F11" s="134"/>
      <c r="G11" s="134"/>
      <c r="H11" s="134"/>
      <c r="I11" s="134"/>
      <c r="J11" s="134"/>
      <c r="K11" s="5"/>
    </row>
    <row r="12" spans="3:11" ht="84" hidden="1" customHeight="1" x14ac:dyDescent="0.15">
      <c r="C12" s="1"/>
      <c r="D12" s="4"/>
      <c r="E12" s="133" t="s">
        <v>1058</v>
      </c>
      <c r="F12" s="133"/>
      <c r="G12" s="133"/>
      <c r="H12" s="133"/>
      <c r="I12" s="133"/>
      <c r="J12" s="133"/>
      <c r="K12" s="5"/>
    </row>
    <row r="13" spans="3:11" ht="136.5" hidden="1" customHeight="1" x14ac:dyDescent="0.15">
      <c r="C13" s="1"/>
      <c r="D13" s="4"/>
      <c r="E13" s="133" t="s">
        <v>711</v>
      </c>
      <c r="F13" s="133"/>
      <c r="G13" s="133"/>
      <c r="H13" s="133"/>
      <c r="I13" s="133"/>
      <c r="J13" s="133"/>
      <c r="K13" s="5"/>
    </row>
    <row r="14" spans="3:11" ht="12.75" hidden="1" x14ac:dyDescent="0.15">
      <c r="C14" s="1"/>
      <c r="D14" s="4"/>
      <c r="E14" s="134"/>
      <c r="F14" s="134"/>
      <c r="G14" s="134"/>
      <c r="H14" s="134"/>
      <c r="I14" s="134"/>
      <c r="J14" s="134"/>
      <c r="K14" s="5"/>
    </row>
    <row r="15" spans="3:11" ht="65.25" hidden="1" customHeight="1" x14ac:dyDescent="0.15">
      <c r="C15" s="1"/>
      <c r="D15" s="4"/>
      <c r="E15" s="133" t="s">
        <v>709</v>
      </c>
      <c r="F15" s="133"/>
      <c r="G15" s="133"/>
      <c r="H15" s="133"/>
      <c r="I15" s="133"/>
      <c r="J15" s="133"/>
      <c r="K15" s="5"/>
    </row>
    <row r="16" spans="3:11" ht="12.75" hidden="1" x14ac:dyDescent="0.15">
      <c r="C16" s="1"/>
      <c r="D16" s="4"/>
      <c r="E16" s="145"/>
      <c r="F16" s="145"/>
      <c r="G16" s="145"/>
      <c r="H16" s="145"/>
      <c r="I16" s="145"/>
      <c r="J16" s="145"/>
      <c r="K16" s="5"/>
    </row>
    <row r="17" spans="3:11" ht="66" hidden="1" customHeight="1" x14ac:dyDescent="0.15">
      <c r="C17" s="1"/>
      <c r="D17" s="4"/>
      <c r="E17" s="137" t="s">
        <v>716</v>
      </c>
      <c r="F17" s="137"/>
      <c r="G17" s="31"/>
      <c r="H17" s="31"/>
      <c r="I17" s="31"/>
      <c r="J17" s="29"/>
      <c r="K17" s="5"/>
    </row>
    <row r="18" spans="3:11" hidden="1" x14ac:dyDescent="0.15">
      <c r="C18" s="1"/>
      <c r="D18" s="4"/>
      <c r="E18" s="31"/>
      <c r="F18" s="31"/>
      <c r="G18" s="31"/>
      <c r="H18" s="31"/>
      <c r="I18" s="98"/>
      <c r="J18" s="29"/>
      <c r="K18" s="5"/>
    </row>
    <row r="19" spans="3:11" ht="11.25" hidden="1" customHeight="1" x14ac:dyDescent="0.15">
      <c r="C19" s="1"/>
      <c r="D19" s="4"/>
      <c r="E19" s="31" t="s">
        <v>706</v>
      </c>
      <c r="F19" s="31"/>
      <c r="G19" s="31"/>
      <c r="H19" s="31"/>
      <c r="I19" s="29"/>
      <c r="J19" s="29"/>
      <c r="K19" s="5"/>
    </row>
    <row r="20" spans="3:11" ht="19.5" x14ac:dyDescent="0.15">
      <c r="C20" s="1"/>
      <c r="D20" s="4"/>
      <c r="E20" s="99"/>
      <c r="F20" s="31"/>
      <c r="G20" s="31"/>
      <c r="H20" s="31"/>
      <c r="I20" s="29"/>
      <c r="J20" s="29"/>
      <c r="K20" s="5"/>
    </row>
    <row r="21" spans="3:11" ht="19.5" x14ac:dyDescent="0.15">
      <c r="C21" s="1"/>
      <c r="D21" s="4"/>
      <c r="E21" s="143" t="s">
        <v>712</v>
      </c>
      <c r="F21" s="143"/>
      <c r="G21" s="31"/>
      <c r="H21" s="31"/>
      <c r="I21" s="29"/>
      <c r="J21" s="29"/>
      <c r="K21" s="5"/>
    </row>
    <row r="22" spans="3:11" ht="15" x14ac:dyDescent="0.15">
      <c r="C22" s="1"/>
      <c r="D22" s="4"/>
      <c r="E22" s="144"/>
      <c r="F22" s="144"/>
      <c r="G22" s="31"/>
      <c r="H22" s="31"/>
      <c r="I22" s="29"/>
      <c r="J22" s="29"/>
      <c r="K22" s="5"/>
    </row>
    <row r="23" spans="3:11" ht="73.5" customHeight="1" x14ac:dyDescent="0.15">
      <c r="C23" s="1"/>
      <c r="D23" s="4"/>
      <c r="E23" s="135" t="s">
        <v>714</v>
      </c>
      <c r="F23" s="135"/>
      <c r="G23" s="135"/>
      <c r="H23" s="135"/>
      <c r="I23" s="135"/>
      <c r="J23" s="135"/>
      <c r="K23" s="5"/>
    </row>
    <row r="24" spans="3:11" x14ac:dyDescent="0.15">
      <c r="C24" s="1"/>
      <c r="D24" s="4"/>
      <c r="E24" s="106"/>
      <c r="F24" s="106"/>
      <c r="G24" s="106"/>
      <c r="H24" s="106"/>
      <c r="I24" s="106"/>
      <c r="J24" s="106"/>
      <c r="K24" s="5"/>
    </row>
    <row r="25" spans="3:11" x14ac:dyDescent="0.15">
      <c r="C25" s="1"/>
      <c r="D25" s="4"/>
      <c r="E25" s="31"/>
      <c r="F25" s="31"/>
      <c r="G25" s="31"/>
      <c r="H25" s="31"/>
      <c r="I25" s="29"/>
      <c r="J25" s="29"/>
      <c r="K25" s="5"/>
    </row>
    <row r="26" spans="3:11" ht="12.75" x14ac:dyDescent="0.15">
      <c r="C26" s="1"/>
      <c r="D26" s="4"/>
      <c r="E26" s="100" t="s">
        <v>81</v>
      </c>
      <c r="F26" s="31"/>
      <c r="G26" s="31"/>
      <c r="H26" s="31"/>
      <c r="I26" s="29"/>
      <c r="J26" s="29"/>
      <c r="K26" s="5"/>
    </row>
    <row r="27" spans="3:11" x14ac:dyDescent="0.15">
      <c r="C27" s="1"/>
      <c r="D27" s="4"/>
      <c r="E27" s="31"/>
      <c r="F27" s="31"/>
      <c r="G27" s="31"/>
      <c r="H27" s="31"/>
      <c r="I27" s="29"/>
      <c r="J27" s="29"/>
      <c r="K27" s="5"/>
    </row>
    <row r="28" spans="3:11" ht="17.25" customHeight="1" x14ac:dyDescent="0.15">
      <c r="C28" s="1"/>
      <c r="D28" s="5"/>
      <c r="E28" s="16" t="s">
        <v>78</v>
      </c>
      <c r="F28" s="16" t="s">
        <v>93</v>
      </c>
      <c r="G28" s="31"/>
      <c r="H28" s="31"/>
      <c r="I28" s="29"/>
      <c r="J28" s="29"/>
      <c r="K28" s="5"/>
    </row>
    <row r="29" spans="3:11" ht="17.25" customHeight="1" x14ac:dyDescent="0.15">
      <c r="C29" s="1"/>
      <c r="D29" s="5"/>
      <c r="E29" s="101" t="s">
        <v>32</v>
      </c>
      <c r="F29" s="101" t="s">
        <v>715</v>
      </c>
      <c r="G29" s="31"/>
      <c r="H29" s="31"/>
      <c r="I29" s="29"/>
      <c r="J29" s="29"/>
      <c r="K29" s="5"/>
    </row>
    <row r="30" spans="3:11" x14ac:dyDescent="0.15">
      <c r="C30" s="1"/>
      <c r="D30" s="5"/>
      <c r="E30" s="29"/>
      <c r="F30" s="29"/>
      <c r="G30" s="31"/>
      <c r="H30" s="31"/>
      <c r="I30" s="29"/>
      <c r="J30" s="29"/>
      <c r="K30" s="5"/>
    </row>
    <row r="31" spans="3:11" x14ac:dyDescent="0.15">
      <c r="C31" s="1"/>
      <c r="D31" s="9"/>
      <c r="E31" s="102" t="s">
        <v>79</v>
      </c>
      <c r="F31" s="103"/>
      <c r="G31" s="103"/>
      <c r="H31" s="103"/>
      <c r="I31" s="103"/>
      <c r="J31" s="29"/>
      <c r="K31" s="5"/>
    </row>
    <row r="32" spans="3:11" x14ac:dyDescent="0.15">
      <c r="C32" s="1"/>
      <c r="D32" s="4"/>
      <c r="E32" s="29"/>
      <c r="F32" s="29"/>
      <c r="G32" s="29"/>
      <c r="H32" s="29"/>
      <c r="I32" s="29"/>
      <c r="J32" s="29"/>
      <c r="K32" s="5"/>
    </row>
    <row r="33" spans="1:38" ht="17.25" customHeight="1" x14ac:dyDescent="0.15">
      <c r="C33" s="1"/>
      <c r="D33" s="4"/>
      <c r="E33" s="16" t="s">
        <v>70</v>
      </c>
      <c r="F33" s="18"/>
      <c r="G33" s="18"/>
      <c r="H33" s="18"/>
      <c r="I33" s="18"/>
      <c r="J33" s="18"/>
      <c r="K33" s="5"/>
    </row>
    <row r="34" spans="1:38" ht="17.25" customHeight="1" x14ac:dyDescent="0.15">
      <c r="C34" s="1"/>
      <c r="D34" s="4"/>
      <c r="E34" s="101" t="s">
        <v>708</v>
      </c>
      <c r="F34" s="18"/>
      <c r="G34" s="18"/>
      <c r="H34" s="18"/>
      <c r="I34" s="18"/>
      <c r="J34" s="18"/>
      <c r="K34" s="5"/>
    </row>
    <row r="35" spans="1:38" x14ac:dyDescent="0.15">
      <c r="C35" s="1"/>
      <c r="D35" s="4"/>
      <c r="E35" s="18"/>
      <c r="F35" s="18"/>
      <c r="G35" s="18"/>
      <c r="H35" s="18"/>
      <c r="I35" s="18"/>
      <c r="J35" s="18"/>
      <c r="K35" s="5"/>
    </row>
    <row r="36" spans="1:38" x14ac:dyDescent="0.15">
      <c r="C36" s="1"/>
      <c r="D36" s="4"/>
      <c r="E36" s="18"/>
      <c r="F36" s="18"/>
      <c r="G36" s="18"/>
      <c r="H36" s="18"/>
      <c r="I36" s="18"/>
      <c r="J36" s="18"/>
      <c r="K36" s="5"/>
    </row>
    <row r="37" spans="1:38" x14ac:dyDescent="0.15">
      <c r="C37" s="1"/>
      <c r="D37" s="4"/>
      <c r="E37" s="20" t="s">
        <v>1064</v>
      </c>
      <c r="F37"/>
      <c r="G37"/>
      <c r="H37"/>
      <c r="I37"/>
      <c r="J37"/>
      <c r="K37" s="5"/>
    </row>
    <row r="38" spans="1:38" x14ac:dyDescent="0.15">
      <c r="C38" s="1"/>
      <c r="D38" s="4"/>
      <c r="E38"/>
      <c r="F38"/>
      <c r="G38"/>
      <c r="H38"/>
      <c r="I38"/>
      <c r="J38"/>
      <c r="K38" s="5"/>
    </row>
    <row r="39" spans="1:38" s="32" customFormat="1" ht="23.25" customHeight="1" thickBot="1" x14ac:dyDescent="0.2">
      <c r="A39" s="1"/>
      <c r="B39" s="1"/>
      <c r="C39" s="30"/>
      <c r="D39" s="31"/>
      <c r="E39" s="61" t="s">
        <v>70</v>
      </c>
      <c r="F39" s="61" t="s">
        <v>90</v>
      </c>
      <c r="G39" s="108" t="s">
        <v>0</v>
      </c>
      <c r="H39" s="61" t="s">
        <v>71</v>
      </c>
      <c r="I39" s="61" t="s">
        <v>1</v>
      </c>
      <c r="J39" s="61" t="s">
        <v>161</v>
      </c>
      <c r="K39" s="33"/>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row>
    <row r="40" spans="1:38" s="32" customFormat="1" ht="23.25" customHeight="1" thickBot="1" x14ac:dyDescent="0.2">
      <c r="A40" s="1"/>
      <c r="B40" s="1"/>
      <c r="C40" s="30"/>
      <c r="D40" s="31"/>
      <c r="E40" s="57" t="s">
        <v>58</v>
      </c>
      <c r="F40" s="58" t="s">
        <v>210</v>
      </c>
      <c r="G40" s="113" t="str">
        <f>HYPERLINK(Hoofddocument!$H$10,Hoofddocument!$G$10)</f>
        <v>Leading SAFe®</v>
      </c>
      <c r="H40" s="58" t="s">
        <v>166</v>
      </c>
      <c r="I40" s="58" t="s">
        <v>12</v>
      </c>
      <c r="J40" s="58" t="s">
        <v>647</v>
      </c>
      <c r="K40" s="33"/>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row>
    <row r="41" spans="1:38" s="32" customFormat="1" ht="23.25" customHeight="1" thickBot="1" x14ac:dyDescent="0.2">
      <c r="A41" s="1"/>
      <c r="B41" s="1"/>
      <c r="C41" s="30"/>
      <c r="D41" s="31"/>
      <c r="E41" s="57" t="s">
        <v>58</v>
      </c>
      <c r="F41" s="58" t="s">
        <v>314</v>
      </c>
      <c r="G41" s="113" t="str">
        <f>HYPERLINK(Hoofddocument!$H$11,Hoofddocument!$G$11)</f>
        <v>SAFe Lean Portfolio Management ©</v>
      </c>
      <c r="H41" s="58"/>
      <c r="I41" s="58" t="s">
        <v>207</v>
      </c>
      <c r="J41" s="58"/>
      <c r="K41" s="33"/>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row>
    <row r="42" spans="1:38" s="32" customFormat="1" ht="23.25" customHeight="1" thickBot="1" x14ac:dyDescent="0.2">
      <c r="A42" s="1"/>
      <c r="B42" s="1"/>
      <c r="C42" s="30"/>
      <c r="D42" s="31"/>
      <c r="E42" s="57" t="s">
        <v>52</v>
      </c>
      <c r="F42" s="58" t="s">
        <v>116</v>
      </c>
      <c r="G42" s="113" t="str">
        <f>HYPERLINK(Hoofddocument!$H$25,Hoofddocument!$G$25)</f>
        <v>ArchiMate® 3.1 Training course Level 1 and 2 Combined</v>
      </c>
      <c r="H42" s="58" t="s">
        <v>166</v>
      </c>
      <c r="I42" s="58" t="s">
        <v>12</v>
      </c>
      <c r="J42" s="58" t="s">
        <v>656</v>
      </c>
      <c r="K42" s="29"/>
    </row>
    <row r="43" spans="1:38" s="32" customFormat="1" ht="23.25" customHeight="1" thickBot="1" x14ac:dyDescent="0.2">
      <c r="A43" s="1"/>
      <c r="B43" s="1"/>
      <c r="C43" s="30"/>
      <c r="D43" s="31"/>
      <c r="E43" s="57" t="s">
        <v>52</v>
      </c>
      <c r="F43" s="58" t="s">
        <v>116</v>
      </c>
      <c r="G43" s="113" t="str">
        <f>HYPERLINK(Hoofddocument!$H$26,Hoofddocument!$G$26)</f>
        <v>Software Architectuur en Ontwerp</v>
      </c>
      <c r="H43" s="58" t="s">
        <v>166</v>
      </c>
      <c r="I43" s="58" t="s">
        <v>12</v>
      </c>
      <c r="J43" s="58" t="s">
        <v>318</v>
      </c>
      <c r="K43" s="29"/>
    </row>
    <row r="44" spans="1:38" s="32" customFormat="1" ht="23.25" customHeight="1" thickBot="1" x14ac:dyDescent="0.2">
      <c r="A44" s="1"/>
      <c r="B44" s="1"/>
      <c r="C44" s="30"/>
      <c r="D44" s="31"/>
      <c r="E44" s="57" t="s">
        <v>52</v>
      </c>
      <c r="F44" s="58" t="s">
        <v>116</v>
      </c>
      <c r="G44" s="113" t="str">
        <f>HYPERLINK(Hoofddocument!$H$27,Hoofddocument!$G$27)</f>
        <v>DYA Fundamentals</v>
      </c>
      <c r="H44" s="58"/>
      <c r="I44" s="58" t="s">
        <v>658</v>
      </c>
      <c r="J44" s="58"/>
      <c r="K44" s="29"/>
    </row>
    <row r="45" spans="1:38" s="32" customFormat="1" ht="23.25" customHeight="1" thickBot="1" x14ac:dyDescent="0.2">
      <c r="A45" s="1"/>
      <c r="B45" s="1"/>
      <c r="C45" s="30"/>
      <c r="D45" s="31"/>
      <c r="E45" s="57" t="s">
        <v>52</v>
      </c>
      <c r="F45" s="58" t="s">
        <v>116</v>
      </c>
      <c r="G45" s="113" t="str">
        <f>HYPERLINK(Hoofddocument!$H$28,Hoofddocument!$G$28)</f>
        <v>Bizzdesign Enterprise Studio</v>
      </c>
      <c r="H45" s="58"/>
      <c r="I45" s="58" t="s">
        <v>659</v>
      </c>
      <c r="J45" s="58"/>
      <c r="K45" s="29"/>
    </row>
    <row r="46" spans="1:38" s="32" customFormat="1" ht="23.25" customHeight="1" thickBot="1" x14ac:dyDescent="0.2">
      <c r="A46" s="1"/>
      <c r="B46" s="1"/>
      <c r="C46" s="30"/>
      <c r="D46" s="31"/>
      <c r="E46" s="57" t="s">
        <v>52</v>
      </c>
      <c r="F46" s="58" t="s">
        <v>116</v>
      </c>
      <c r="G46" s="113" t="str">
        <f>HYPERLINK(Hoofddocument!$H$29,Hoofddocument!$G$29)</f>
        <v>Certified General Enterprise Architect (GEA©)</v>
      </c>
      <c r="H46" s="58"/>
      <c r="I46" s="58" t="s">
        <v>660</v>
      </c>
      <c r="J46" s="58"/>
      <c r="K46" s="29"/>
    </row>
    <row r="47" spans="1:38" s="32" customFormat="1" ht="23.25" customHeight="1" thickBot="1" x14ac:dyDescent="0.2">
      <c r="A47" s="1"/>
      <c r="B47" s="1"/>
      <c r="C47" s="30"/>
      <c r="D47" s="31"/>
      <c r="E47" s="57" t="s">
        <v>52</v>
      </c>
      <c r="F47" s="58" t="s">
        <v>116</v>
      </c>
      <c r="G47" s="113" t="str">
        <f>HYPERLINK(Hoofddocument!$H$30,Hoofddocument!$G$30)</f>
        <v>Architectuur en informatiebeveiliging</v>
      </c>
      <c r="H47" s="58"/>
      <c r="I47" s="58" t="s">
        <v>661</v>
      </c>
      <c r="J47" s="58"/>
      <c r="K47" s="29"/>
    </row>
    <row r="48" spans="1:38" s="32" customFormat="1" ht="23.25" customHeight="1" thickBot="1" x14ac:dyDescent="0.2">
      <c r="A48" s="1"/>
      <c r="B48" s="1"/>
      <c r="C48" s="30"/>
      <c r="D48" s="31"/>
      <c r="E48" s="117" t="s">
        <v>52</v>
      </c>
      <c r="F48" s="116" t="s">
        <v>116</v>
      </c>
      <c r="G48" s="113" t="str">
        <f>HYPERLINK(Hoofddocument!$H$31,Hoofddocument!$G$31)</f>
        <v>Masterclass Enterprise Architectuur (NAF)</v>
      </c>
      <c r="H48" s="58"/>
      <c r="I48" s="58" t="s">
        <v>966</v>
      </c>
      <c r="J48" s="58"/>
      <c r="K48" s="29"/>
    </row>
    <row r="49" spans="1:11" s="32" customFormat="1" ht="23.25" customHeight="1" thickBot="1" x14ac:dyDescent="0.2">
      <c r="A49" s="1"/>
      <c r="B49" s="1"/>
      <c r="C49" s="30"/>
      <c r="D49" s="31"/>
      <c r="E49" s="117" t="s">
        <v>52</v>
      </c>
      <c r="F49" s="116" t="s">
        <v>116</v>
      </c>
      <c r="G49" s="113" t="str">
        <f>HYPERLINK(Hoofddocument!$H$33,Hoofddocument!$G$33)</f>
        <v>Functiepunt Analyse</v>
      </c>
      <c r="H49" s="58"/>
      <c r="I49" s="58" t="s">
        <v>658</v>
      </c>
      <c r="J49" s="58"/>
      <c r="K49" s="29"/>
    </row>
    <row r="50" spans="1:11" s="32" customFormat="1" ht="23.25" customHeight="1" thickBot="1" x14ac:dyDescent="0.2">
      <c r="A50" s="1"/>
      <c r="B50" s="1"/>
      <c r="C50" s="30"/>
      <c r="D50" s="31"/>
      <c r="E50" s="57" t="s">
        <v>52</v>
      </c>
      <c r="F50" s="58" t="s">
        <v>116</v>
      </c>
      <c r="G50" s="113" t="str">
        <f>HYPERLINK(Hoofddocument!$H$34,Hoofddocument!$G$34)</f>
        <v>SABSA Foundation</v>
      </c>
      <c r="H50" s="58"/>
      <c r="I50" s="58" t="s">
        <v>662</v>
      </c>
      <c r="J50" s="58"/>
      <c r="K50" s="29"/>
    </row>
    <row r="51" spans="1:11" s="32" customFormat="1" ht="23.25" customHeight="1" thickBot="1" x14ac:dyDescent="0.2">
      <c r="A51" s="1"/>
      <c r="B51" s="1"/>
      <c r="C51" s="30"/>
      <c r="D51" s="31"/>
      <c r="E51" s="57" t="s">
        <v>52</v>
      </c>
      <c r="F51" s="58" t="s">
        <v>116</v>
      </c>
      <c r="G51" s="113" t="str">
        <f>HYPERLINK(Hoofddocument!$H$35,Hoofddocument!$G$35)</f>
        <v>Service Oriented Architecture (S0A)</v>
      </c>
      <c r="H51" s="58"/>
      <c r="I51" s="58" t="s">
        <v>663</v>
      </c>
      <c r="J51" s="58"/>
      <c r="K51" s="29"/>
    </row>
    <row r="52" spans="1:11" s="32" customFormat="1" ht="23.25" customHeight="1" thickBot="1" x14ac:dyDescent="0.2">
      <c r="A52" s="1"/>
      <c r="B52" s="1"/>
      <c r="C52" s="30"/>
      <c r="D52" s="31"/>
      <c r="E52" s="57" t="s">
        <v>52</v>
      </c>
      <c r="F52" s="58" t="s">
        <v>52</v>
      </c>
      <c r="G52" s="113" t="str">
        <f>HYPERLINK(Hoofddocument!$H$37,Hoofddocument!$G$37)</f>
        <v>IT Architectuur in de praktijk</v>
      </c>
      <c r="H52" s="58"/>
      <c r="I52" s="58" t="s">
        <v>661</v>
      </c>
      <c r="J52" s="58"/>
      <c r="K52" s="29"/>
    </row>
    <row r="53" spans="1:11" s="32" customFormat="1" ht="23.25" customHeight="1" thickBot="1" x14ac:dyDescent="0.2">
      <c r="A53" s="1"/>
      <c r="B53" s="1"/>
      <c r="C53" s="30"/>
      <c r="D53" s="31"/>
      <c r="E53" s="57" t="s">
        <v>52</v>
      </c>
      <c r="F53" s="58" t="s">
        <v>136</v>
      </c>
      <c r="G53" s="113" t="str">
        <f>HYPERLINK(Hoofddocument!$H$40,Hoofddocument!$G$40)</f>
        <v>Business Transformatie Planning</v>
      </c>
      <c r="H53" s="58"/>
      <c r="I53" s="58" t="s">
        <v>429</v>
      </c>
      <c r="J53" s="58"/>
      <c r="K53" s="29"/>
    </row>
    <row r="54" spans="1:11" s="32" customFormat="1" ht="23.25" customHeight="1" thickBot="1" x14ac:dyDescent="0.2">
      <c r="A54" s="1"/>
      <c r="B54" s="1"/>
      <c r="C54" s="30"/>
      <c r="D54" s="31"/>
      <c r="E54" s="57" t="s">
        <v>52</v>
      </c>
      <c r="F54" s="58" t="s">
        <v>323</v>
      </c>
      <c r="G54" s="113" t="str">
        <f>HYPERLINK(Hoofddocument!$H$43,Hoofddocument!$G$43)</f>
        <v xml:space="preserve">Masterclass IT Governance, Riskmanagement &amp; Compliance </v>
      </c>
      <c r="H54" s="58"/>
      <c r="I54" s="58" t="s">
        <v>320</v>
      </c>
      <c r="J54" s="58"/>
      <c r="K54" s="29"/>
    </row>
    <row r="55" spans="1:11" s="32" customFormat="1" ht="23.25" customHeight="1" thickBot="1" x14ac:dyDescent="0.2">
      <c r="A55" s="1"/>
      <c r="B55" s="1"/>
      <c r="C55" s="30"/>
      <c r="D55" s="31"/>
      <c r="E55" s="57" t="s">
        <v>52</v>
      </c>
      <c r="F55" s="58" t="s">
        <v>140</v>
      </c>
      <c r="G55" s="113" t="str">
        <f>HYPERLINK(Hoofddocument!$H$44,Hoofddocument!$G$44)</f>
        <v>SAFe for Architects</v>
      </c>
      <c r="H55" s="58"/>
      <c r="I55" s="58" t="s">
        <v>207</v>
      </c>
      <c r="J55" s="58"/>
      <c r="K55" s="29"/>
    </row>
    <row r="56" spans="1:11" s="32" customFormat="1" ht="23.25" customHeight="1" thickBot="1" x14ac:dyDescent="0.2">
      <c r="A56" s="1"/>
      <c r="B56" s="1"/>
      <c r="C56" s="30"/>
      <c r="D56" s="31"/>
      <c r="E56" s="57" t="s">
        <v>59</v>
      </c>
      <c r="F56" s="58" t="s">
        <v>147</v>
      </c>
      <c r="G56" s="113" t="str">
        <f>HYPERLINK(Hoofddocument!$H$164,Hoofddocument!$G$164)</f>
        <v>Big Data Fundamentals</v>
      </c>
      <c r="H56" s="58" t="s">
        <v>166</v>
      </c>
      <c r="I56" s="58" t="s">
        <v>12</v>
      </c>
      <c r="J56" s="58" t="s">
        <v>315</v>
      </c>
      <c r="K56" s="29"/>
    </row>
    <row r="57" spans="1:11" s="32" customFormat="1" ht="23.25" customHeight="1" thickBot="1" x14ac:dyDescent="0.2">
      <c r="A57" s="1"/>
      <c r="B57" s="1"/>
      <c r="C57" s="30"/>
      <c r="D57" s="31"/>
      <c r="E57" s="57" t="s">
        <v>59</v>
      </c>
      <c r="F57" s="58" t="s">
        <v>147</v>
      </c>
      <c r="G57" s="113" t="str">
        <f>HYPERLINK(Hoofddocument!$H$166,Hoofddocument!$G$166)</f>
        <v>Datawarehouse Concepts</v>
      </c>
      <c r="H57" s="58"/>
      <c r="I57" s="58" t="s">
        <v>658</v>
      </c>
      <c r="J57" s="58"/>
      <c r="K57" s="29"/>
    </row>
    <row r="58" spans="1:11" ht="23.25" customHeight="1" thickBot="1" x14ac:dyDescent="0.2">
      <c r="C58" s="1"/>
      <c r="D58" s="4"/>
      <c r="E58" s="57" t="s">
        <v>65</v>
      </c>
      <c r="F58" s="58" t="s">
        <v>325</v>
      </c>
      <c r="G58" s="113" t="str">
        <f>HYPERLINK(Hoofddocument!$H$195,Hoofddocument!$G$195)</f>
        <v>Masterclass Digitale Transformatie</v>
      </c>
      <c r="H58" s="58" t="s">
        <v>166</v>
      </c>
      <c r="I58" s="58" t="s">
        <v>12</v>
      </c>
      <c r="J58" s="58" t="s">
        <v>326</v>
      </c>
      <c r="K58" s="5"/>
    </row>
    <row r="59" spans="1:11" ht="23.25" customHeight="1" thickBot="1" x14ac:dyDescent="0.2">
      <c r="C59" s="1"/>
      <c r="D59" s="4"/>
      <c r="E59" s="57" t="s">
        <v>65</v>
      </c>
      <c r="F59" s="116" t="s">
        <v>319</v>
      </c>
      <c r="G59" s="113" t="str">
        <f>HYPERLINK(Hoofddocument!$H$198,Hoofddocument!$G$198)</f>
        <v>Masterclass IT Developments</v>
      </c>
      <c r="H59" s="116"/>
      <c r="I59" s="116" t="s">
        <v>320</v>
      </c>
      <c r="J59" s="116"/>
      <c r="K59" s="5"/>
    </row>
    <row r="60" spans="1:11" ht="23.25" customHeight="1" thickBot="1" x14ac:dyDescent="0.2">
      <c r="C60" s="1"/>
      <c r="D60" s="4"/>
      <c r="E60" s="117" t="s">
        <v>51</v>
      </c>
      <c r="F60" s="116" t="s">
        <v>124</v>
      </c>
      <c r="G60" s="113" t="str">
        <f>HYPERLINK(Hoofddocument!$H$235,Hoofddocument!$G$235)</f>
        <v>Cloud Fundamentals</v>
      </c>
      <c r="H60" s="116"/>
      <c r="I60" s="116" t="s">
        <v>207</v>
      </c>
      <c r="J60" s="116"/>
      <c r="K60" s="5"/>
    </row>
    <row r="61" spans="1:11" ht="23.25" customHeight="1" thickBot="1" x14ac:dyDescent="0.2">
      <c r="C61" s="1"/>
      <c r="D61" s="4"/>
      <c r="E61" s="57" t="s">
        <v>51</v>
      </c>
      <c r="F61" s="58" t="s">
        <v>129</v>
      </c>
      <c r="G61" s="113" t="str">
        <f>HYPERLINK(Hoofddocument!$H$240,Hoofddocument!$G$240)</f>
        <v>Curriculum CIO Adviseur (Overheid masterclass)</v>
      </c>
      <c r="H61" s="58"/>
      <c r="I61" s="58" t="s">
        <v>977</v>
      </c>
      <c r="J61" s="58"/>
      <c r="K61" s="5"/>
    </row>
    <row r="62" spans="1:11" ht="23.25" customHeight="1" thickBot="1" x14ac:dyDescent="0.2">
      <c r="C62" s="1"/>
      <c r="D62" s="4"/>
      <c r="E62" s="57" t="s">
        <v>51</v>
      </c>
      <c r="F62" s="58" t="s">
        <v>129</v>
      </c>
      <c r="G62" s="113" t="str">
        <f>HYPERLINK(Hoofddocument!$H$241,Hoofddocument!$G$241)</f>
        <v>COBIT 2019 Foundation</v>
      </c>
      <c r="H62" s="58"/>
      <c r="I62" s="58" t="s">
        <v>207</v>
      </c>
      <c r="J62" s="58"/>
      <c r="K62" s="5"/>
    </row>
    <row r="63" spans="1:11" ht="23.25" customHeight="1" thickBot="1" x14ac:dyDescent="0.2">
      <c r="C63" s="1"/>
      <c r="D63" s="4"/>
      <c r="E63" s="57" t="s">
        <v>51</v>
      </c>
      <c r="F63" s="58" t="s">
        <v>144</v>
      </c>
      <c r="G63" s="113" t="str">
        <f>HYPERLINK(Hoofddocument!$H$242,Hoofddocument!$G$242)</f>
        <v>Six Sigma voor Lean Green Belts</v>
      </c>
      <c r="H63" s="58" t="s">
        <v>166</v>
      </c>
      <c r="I63" s="58" t="s">
        <v>12</v>
      </c>
      <c r="J63" s="58" t="s">
        <v>682</v>
      </c>
      <c r="K63" s="5"/>
    </row>
    <row r="64" spans="1:11" ht="23.25" customHeight="1" thickBot="1" x14ac:dyDescent="0.2">
      <c r="C64" s="1"/>
      <c r="D64" s="4"/>
      <c r="E64" s="57" t="s">
        <v>53</v>
      </c>
      <c r="F64" s="58" t="s">
        <v>222</v>
      </c>
      <c r="G64" s="113" t="str">
        <f>HYPERLINK(Hoofddocument!$H$265,Hoofddocument!$G$265)</f>
        <v>PRINCE2 Agile® Foundation</v>
      </c>
      <c r="H64" s="58" t="s">
        <v>166</v>
      </c>
      <c r="I64" s="58" t="s">
        <v>12</v>
      </c>
      <c r="J64" s="58" t="s">
        <v>691</v>
      </c>
      <c r="K64" s="5"/>
    </row>
    <row r="65" spans="3:11" ht="23.25" customHeight="1" thickBot="1" x14ac:dyDescent="0.2">
      <c r="C65" s="1"/>
      <c r="D65" s="4"/>
      <c r="E65" s="57" t="s">
        <v>53</v>
      </c>
      <c r="F65" s="58" t="s">
        <v>53</v>
      </c>
      <c r="G65" s="113" t="str">
        <f>HYPERLINK(Hoofddocument!$H$274,Hoofddocument!$G$274)</f>
        <v xml:space="preserve">Werken met Business Case </v>
      </c>
      <c r="H65" s="58"/>
      <c r="I65" s="58" t="s">
        <v>658</v>
      </c>
      <c r="J65" s="58"/>
      <c r="K65" s="5"/>
    </row>
    <row r="66" spans="3:11" ht="23.25" customHeight="1" thickBot="1" x14ac:dyDescent="0.2">
      <c r="C66" s="1"/>
      <c r="D66" s="4"/>
      <c r="E66" s="57" t="s">
        <v>746</v>
      </c>
      <c r="F66" s="58" t="s">
        <v>297</v>
      </c>
      <c r="G66" s="113" t="str">
        <f>HYPERLINK(Hoofddocument!$H$305,Hoofddocument!$G$305)</f>
        <v>Data Warehousing</v>
      </c>
      <c r="H66" s="58" t="s">
        <v>166</v>
      </c>
      <c r="I66" s="58" t="s">
        <v>12</v>
      </c>
      <c r="J66" s="58" t="s">
        <v>298</v>
      </c>
      <c r="K66" s="5"/>
    </row>
    <row r="67" spans="3:11" ht="23.25" customHeight="1" thickBot="1" x14ac:dyDescent="0.2">
      <c r="C67" s="1"/>
      <c r="D67" s="4"/>
      <c r="E67" s="57" t="s">
        <v>114</v>
      </c>
      <c r="F67" s="58" t="s">
        <v>163</v>
      </c>
      <c r="G67" s="113" t="str">
        <f>HYPERLINK(Hoofddocument!$H$317,Hoofddocument!$G$317)</f>
        <v>Klantgericht Denken en Handelen</v>
      </c>
      <c r="H67" s="58" t="s">
        <v>166</v>
      </c>
      <c r="I67" s="58" t="s">
        <v>12</v>
      </c>
      <c r="J67" s="58" t="s">
        <v>164</v>
      </c>
      <c r="K67" s="5"/>
    </row>
    <row r="68" spans="3:11" ht="23.25" customHeight="1" thickBot="1" x14ac:dyDescent="0.2">
      <c r="C68" s="1"/>
      <c r="D68" s="4"/>
      <c r="E68" s="57" t="s">
        <v>114</v>
      </c>
      <c r="F68" s="58" t="s">
        <v>26</v>
      </c>
      <c r="G68" s="113" t="str">
        <f>HYPERLINK(Hoofddocument!$H$322,Hoofddocument!$G$322)</f>
        <v>Resultaten Bereiken met je Team</v>
      </c>
      <c r="H68" s="58" t="s">
        <v>166</v>
      </c>
      <c r="I68" s="58" t="s">
        <v>12</v>
      </c>
      <c r="J68" s="58" t="s">
        <v>169</v>
      </c>
      <c r="K68" s="5"/>
    </row>
    <row r="69" spans="3:11" ht="23.25" customHeight="1" thickBot="1" x14ac:dyDescent="0.2">
      <c r="C69" s="1"/>
      <c r="D69" s="4"/>
      <c r="E69" s="57" t="s">
        <v>114</v>
      </c>
      <c r="F69" s="58" t="s">
        <v>27</v>
      </c>
      <c r="G69" s="113" t="str">
        <f>HYPERLINK(Hoofddocument!$H$335,Hoofddocument!$G$335)</f>
        <v>Masterclass Effectief Beïnvloeden en Overtuigen</v>
      </c>
      <c r="H69" s="58" t="s">
        <v>166</v>
      </c>
      <c r="I69" s="58" t="s">
        <v>12</v>
      </c>
      <c r="J69" s="58" t="s">
        <v>330</v>
      </c>
      <c r="K69" s="5"/>
    </row>
    <row r="70" spans="3:11" ht="23.25" customHeight="1" thickBot="1" x14ac:dyDescent="0.2">
      <c r="C70" s="1"/>
      <c r="D70" s="4"/>
      <c r="E70" s="57" t="s">
        <v>94</v>
      </c>
      <c r="F70" s="58" t="s">
        <v>8</v>
      </c>
      <c r="G70" s="113" t="str">
        <f>HYPERLINK(Hoofddocument!$H$378,Hoofddocument!$G$378)</f>
        <v>Communicatie met  Impact!</v>
      </c>
      <c r="H70" s="58" t="s">
        <v>166</v>
      </c>
      <c r="I70" s="58" t="s">
        <v>12</v>
      </c>
      <c r="J70" s="58" t="s">
        <v>671</v>
      </c>
      <c r="K70" s="5"/>
    </row>
    <row r="71" spans="3:11" ht="23.25" customHeight="1" thickBot="1" x14ac:dyDescent="0.2">
      <c r="C71" s="1"/>
      <c r="D71" s="4"/>
      <c r="E71" s="117" t="s">
        <v>94</v>
      </c>
      <c r="F71" s="116" t="s">
        <v>10</v>
      </c>
      <c r="G71" s="113" t="str">
        <f>HYPERLINK(Hoofddocument!$H$389,Hoofddocument!$G$389)</f>
        <v>Grip op processen</v>
      </c>
      <c r="H71" s="116" t="s">
        <v>166</v>
      </c>
      <c r="I71" s="116" t="s">
        <v>12</v>
      </c>
      <c r="J71" s="116" t="s">
        <v>180</v>
      </c>
      <c r="K71" s="5"/>
    </row>
    <row r="72" spans="3:11" ht="23.25" customHeight="1" thickBot="1" x14ac:dyDescent="0.2">
      <c r="C72" s="1"/>
      <c r="D72" s="4"/>
      <c r="E72" s="117" t="s">
        <v>94</v>
      </c>
      <c r="F72" s="116" t="s">
        <v>15</v>
      </c>
      <c r="G72" s="113" t="str">
        <f>HYPERLINK(Hoofddocument!$H$402,Hoofddocument!$G$402)</f>
        <v>Masterclass Strategie, visie en innovatie</v>
      </c>
      <c r="H72" s="58" t="s">
        <v>166</v>
      </c>
      <c r="I72" s="58" t="s">
        <v>12</v>
      </c>
      <c r="J72" s="58" t="s">
        <v>344</v>
      </c>
      <c r="K72" s="5"/>
    </row>
    <row r="73" spans="3:11" ht="23.25" customHeight="1" thickBot="1" x14ac:dyDescent="0.2">
      <c r="C73" s="1"/>
      <c r="D73" s="4"/>
      <c r="E73" s="57" t="s">
        <v>94</v>
      </c>
      <c r="F73" s="58" t="s">
        <v>101</v>
      </c>
      <c r="G73" s="113" t="str">
        <f>HYPERLINK(Hoofddocument!$H$407,Hoofddocument!$G$407)</f>
        <v>Overtuigend en inspirerend presenteren</v>
      </c>
      <c r="H73" s="58" t="s">
        <v>166</v>
      </c>
      <c r="I73" s="58" t="s">
        <v>12</v>
      </c>
      <c r="J73" s="58" t="s">
        <v>309</v>
      </c>
      <c r="K73" s="5"/>
    </row>
    <row r="74" spans="3:11" ht="23.25" customHeight="1" thickBot="1" x14ac:dyDescent="0.2">
      <c r="C74" s="1"/>
      <c r="D74" s="4"/>
      <c r="E74" s="57" t="s">
        <v>94</v>
      </c>
      <c r="F74" s="147" t="s">
        <v>20</v>
      </c>
      <c r="G74" s="113" t="str">
        <f>HYPERLINK(Hoofddocument!$H$417,Hoofddocument!$G$417)</f>
        <v>HBO Module Projectmanagementvaardigheden</v>
      </c>
      <c r="H74" s="147" t="s">
        <v>166</v>
      </c>
      <c r="I74" s="147" t="s">
        <v>12</v>
      </c>
      <c r="J74" s="147" t="s">
        <v>795</v>
      </c>
      <c r="K74" s="5"/>
    </row>
    <row r="75" spans="3:11" ht="23.25" customHeight="1" thickBot="1" x14ac:dyDescent="0.2">
      <c r="C75" s="1"/>
      <c r="D75" s="4"/>
      <c r="E75" s="57" t="s">
        <v>94</v>
      </c>
      <c r="F75" s="147" t="s">
        <v>23</v>
      </c>
      <c r="G75" s="113" t="str">
        <f>HYPERLINK(Hoofddocument!$H$439,Hoofddocument!$G$439)</f>
        <v>Storytelling</v>
      </c>
      <c r="H75" s="147" t="s">
        <v>166</v>
      </c>
      <c r="I75" s="147" t="s">
        <v>12</v>
      </c>
      <c r="J75" s="147" t="s">
        <v>312</v>
      </c>
      <c r="K75" s="5"/>
    </row>
    <row r="76" spans="3:11" ht="23.25" customHeight="1" thickBot="1" x14ac:dyDescent="0.2">
      <c r="C76" s="1"/>
      <c r="D76" s="4"/>
      <c r="E76" s="118" t="s">
        <v>94</v>
      </c>
      <c r="F76" s="148" t="s">
        <v>23</v>
      </c>
      <c r="G76" s="115" t="str">
        <f>HYPERLINK(Hoofddocument!$H$444,Hoofddocument!$G$444)</f>
        <v>Schrijven met het piramideprincipe</v>
      </c>
      <c r="H76" s="148" t="s">
        <v>166</v>
      </c>
      <c r="I76" s="148" t="s">
        <v>12</v>
      </c>
      <c r="J76" s="148" t="s">
        <v>311</v>
      </c>
      <c r="K76" s="5"/>
    </row>
    <row r="77" spans="3:11" ht="23.25" customHeight="1" x14ac:dyDescent="0.15">
      <c r="C77" s="1"/>
      <c r="D77" s="4"/>
      <c r="E77"/>
      <c r="F77"/>
      <c r="G77"/>
      <c r="H77"/>
      <c r="I77"/>
      <c r="J77"/>
      <c r="K77" s="5"/>
    </row>
    <row r="78" spans="3:11" ht="23.25" hidden="1" customHeight="1" x14ac:dyDescent="0.15">
      <c r="C78" s="1"/>
      <c r="D78" s="4"/>
      <c r="E78"/>
      <c r="F78"/>
      <c r="G78"/>
      <c r="H78"/>
      <c r="I78"/>
      <c r="J78"/>
      <c r="K78" s="5"/>
    </row>
    <row r="79" spans="3:11" ht="23.25" hidden="1" customHeight="1" x14ac:dyDescent="0.15">
      <c r="C79" s="1"/>
      <c r="D79" s="4"/>
      <c r="E79"/>
      <c r="F79"/>
      <c r="G79"/>
      <c r="H79"/>
      <c r="I79"/>
      <c r="J79"/>
      <c r="K79" s="5"/>
    </row>
    <row r="80" spans="3:11" ht="23.25" hidden="1" customHeight="1" x14ac:dyDescent="0.15">
      <c r="C80" s="1"/>
      <c r="D80" s="4"/>
      <c r="E80"/>
      <c r="F80"/>
      <c r="G80"/>
      <c r="H80"/>
      <c r="I80"/>
      <c r="J80"/>
      <c r="K80" s="5"/>
    </row>
    <row r="81" spans="3:11" ht="23.25" hidden="1" customHeight="1" x14ac:dyDescent="0.15">
      <c r="C81" s="1"/>
      <c r="D81" s="4"/>
      <c r="E81"/>
      <c r="F81"/>
      <c r="G81"/>
      <c r="H81"/>
      <c r="I81"/>
      <c r="J81"/>
      <c r="K81" s="5"/>
    </row>
    <row r="82" spans="3:11" ht="23.25" hidden="1" customHeight="1" x14ac:dyDescent="0.15">
      <c r="C82" s="1"/>
      <c r="D82" s="4"/>
      <c r="E82"/>
      <c r="F82"/>
      <c r="G82"/>
      <c r="H82"/>
      <c r="I82"/>
      <c r="J82"/>
      <c r="K82" s="5"/>
    </row>
    <row r="83" spans="3:11" ht="23.25" hidden="1" customHeight="1" x14ac:dyDescent="0.15">
      <c r="C83" s="1"/>
      <c r="D83" s="4"/>
      <c r="E83"/>
      <c r="F83"/>
      <c r="G83"/>
      <c r="H83"/>
      <c r="I83"/>
      <c r="J83"/>
      <c r="K83" s="5"/>
    </row>
    <row r="84" spans="3:11" ht="23.25" hidden="1" customHeight="1" x14ac:dyDescent="0.15">
      <c r="C84" s="1"/>
      <c r="D84" s="4"/>
      <c r="E84"/>
      <c r="F84"/>
      <c r="G84"/>
      <c r="H84"/>
      <c r="I84"/>
      <c r="J84"/>
      <c r="K84" s="5"/>
    </row>
    <row r="85" spans="3:11" ht="23.25" hidden="1" customHeight="1" x14ac:dyDescent="0.15">
      <c r="C85" s="1"/>
      <c r="D85" s="4"/>
      <c r="E85"/>
      <c r="F85"/>
      <c r="G85"/>
      <c r="H85"/>
      <c r="I85"/>
      <c r="J85"/>
      <c r="K85" s="5"/>
    </row>
    <row r="86" spans="3:11" ht="23.25" hidden="1" customHeight="1" x14ac:dyDescent="0.15">
      <c r="C86" s="1"/>
      <c r="D86" s="4"/>
      <c r="E86"/>
      <c r="F86"/>
      <c r="G86"/>
      <c r="H86"/>
      <c r="I86"/>
      <c r="J86"/>
      <c r="K86" s="5"/>
    </row>
    <row r="87" spans="3:11" ht="23.25" hidden="1" customHeight="1" x14ac:dyDescent="0.15">
      <c r="C87" s="1"/>
      <c r="D87" s="4"/>
      <c r="E87"/>
      <c r="F87"/>
      <c r="G87"/>
      <c r="H87"/>
      <c r="I87"/>
      <c r="J87"/>
      <c r="K87" s="5"/>
    </row>
    <row r="88" spans="3:11" ht="23.25" hidden="1" customHeight="1" x14ac:dyDescent="0.15">
      <c r="C88" s="1"/>
      <c r="D88" s="4"/>
      <c r="E88"/>
      <c r="F88"/>
      <c r="G88"/>
      <c r="H88"/>
      <c r="I88"/>
      <c r="J88"/>
      <c r="K88" s="5"/>
    </row>
    <row r="89" spans="3:11" ht="23.25" hidden="1" customHeight="1" x14ac:dyDescent="0.15">
      <c r="C89" s="1"/>
      <c r="D89" s="4"/>
      <c r="E89"/>
      <c r="F89"/>
      <c r="G89"/>
      <c r="H89"/>
      <c r="I89"/>
      <c r="J89"/>
      <c r="K89" s="5"/>
    </row>
    <row r="90" spans="3:11" ht="23.25" hidden="1" customHeight="1" x14ac:dyDescent="0.15">
      <c r="C90" s="1"/>
      <c r="D90" s="4"/>
      <c r="E90"/>
      <c r="F90"/>
      <c r="G90"/>
      <c r="H90"/>
      <c r="I90"/>
      <c r="J90"/>
      <c r="K90" s="5"/>
    </row>
    <row r="91" spans="3:11" ht="23.25" hidden="1" customHeight="1" x14ac:dyDescent="0.15">
      <c r="C91" s="1"/>
      <c r="D91" s="4"/>
      <c r="E91"/>
      <c r="F91"/>
      <c r="G91"/>
      <c r="H91"/>
      <c r="I91"/>
      <c r="J91"/>
      <c r="K91" s="5"/>
    </row>
    <row r="92" spans="3:11" ht="23.25" hidden="1" customHeight="1" x14ac:dyDescent="0.15">
      <c r="C92" s="1"/>
      <c r="D92" s="4"/>
      <c r="E92"/>
      <c r="F92"/>
      <c r="G92"/>
      <c r="H92"/>
      <c r="I92"/>
      <c r="J92"/>
      <c r="K92" s="5"/>
    </row>
    <row r="93" spans="3:11" ht="23.25" hidden="1" customHeight="1" x14ac:dyDescent="0.15">
      <c r="C93" s="1"/>
      <c r="D93" s="4"/>
      <c r="E93"/>
      <c r="F93"/>
      <c r="G93"/>
      <c r="H93"/>
      <c r="I93"/>
      <c r="J93"/>
      <c r="K93" s="5"/>
    </row>
    <row r="94" spans="3:11" ht="23.25" hidden="1" customHeight="1" x14ac:dyDescent="0.15">
      <c r="C94" s="1"/>
      <c r="D94" s="4"/>
      <c r="E94"/>
      <c r="F94"/>
      <c r="G94"/>
      <c r="H94"/>
      <c r="I94"/>
      <c r="J94"/>
      <c r="K94" s="5"/>
    </row>
    <row r="95" spans="3:11" ht="23.25" hidden="1" customHeight="1" x14ac:dyDescent="0.15">
      <c r="C95" s="1"/>
      <c r="D95" s="4"/>
      <c r="E95"/>
      <c r="F95"/>
      <c r="G95"/>
      <c r="H95"/>
      <c r="I95"/>
      <c r="J95"/>
      <c r="K95" s="5"/>
    </row>
    <row r="96" spans="3:11" ht="23.25" hidden="1" customHeight="1" x14ac:dyDescent="0.15">
      <c r="C96" s="1"/>
      <c r="D96" s="4"/>
      <c r="E96"/>
      <c r="F96"/>
      <c r="G96"/>
      <c r="H96"/>
      <c r="I96"/>
      <c r="J96"/>
      <c r="K96" s="5"/>
    </row>
    <row r="97" spans="3:11" ht="23.25" hidden="1" customHeight="1" x14ac:dyDescent="0.15">
      <c r="C97" s="1"/>
      <c r="D97" s="4"/>
      <c r="E97"/>
      <c r="F97"/>
      <c r="G97"/>
      <c r="H97"/>
      <c r="I97"/>
      <c r="J97"/>
      <c r="K97" s="5"/>
    </row>
    <row r="98" spans="3:11" ht="23.25" hidden="1" customHeight="1" x14ac:dyDescent="0.15">
      <c r="C98" s="1"/>
      <c r="D98" s="4"/>
      <c r="E98"/>
      <c r="F98"/>
      <c r="G98"/>
      <c r="H98"/>
      <c r="I98"/>
      <c r="J98"/>
      <c r="K98" s="5"/>
    </row>
    <row r="99" spans="3:11" ht="23.25" hidden="1" customHeight="1" x14ac:dyDescent="0.15">
      <c r="C99" s="1"/>
      <c r="D99" s="4"/>
      <c r="E99"/>
      <c r="F99"/>
      <c r="G99"/>
      <c r="H99"/>
      <c r="I99"/>
      <c r="J99"/>
      <c r="K99" s="5"/>
    </row>
    <row r="100" spans="3:11" ht="23.25" hidden="1" customHeight="1" x14ac:dyDescent="0.15">
      <c r="C100" s="1"/>
      <c r="D100" s="4"/>
      <c r="E100"/>
      <c r="F100"/>
      <c r="G100"/>
      <c r="H100"/>
      <c r="I100"/>
      <c r="J100"/>
      <c r="K100" s="5"/>
    </row>
    <row r="101" spans="3:11" ht="23.25" hidden="1" customHeight="1" x14ac:dyDescent="0.15">
      <c r="C101" s="1"/>
      <c r="D101" s="4"/>
      <c r="E101"/>
      <c r="F101"/>
      <c r="G101"/>
      <c r="H101"/>
      <c r="I101"/>
      <c r="J101"/>
      <c r="K101" s="5"/>
    </row>
    <row r="102" spans="3:11" ht="23.25" hidden="1" customHeight="1" x14ac:dyDescent="0.15">
      <c r="C102" s="1"/>
      <c r="D102" s="4"/>
      <c r="E102"/>
      <c r="F102"/>
      <c r="G102"/>
      <c r="H102"/>
      <c r="I102"/>
      <c r="J102"/>
      <c r="K102" s="5"/>
    </row>
    <row r="103" spans="3:11" ht="23.25" hidden="1" customHeight="1" x14ac:dyDescent="0.15">
      <c r="C103" s="1"/>
      <c r="D103" s="4"/>
      <c r="E103"/>
      <c r="F103"/>
      <c r="G103"/>
      <c r="H103"/>
      <c r="I103"/>
      <c r="J103"/>
      <c r="K103" s="5"/>
    </row>
    <row r="104" spans="3:11" ht="23.25" hidden="1" customHeight="1" x14ac:dyDescent="0.15">
      <c r="C104" s="1"/>
      <c r="D104" s="4"/>
      <c r="E104"/>
      <c r="F104"/>
      <c r="G104"/>
      <c r="H104"/>
      <c r="I104"/>
      <c r="J104"/>
      <c r="K104" s="5"/>
    </row>
    <row r="105" spans="3:11" ht="11.25" hidden="1" customHeight="1" x14ac:dyDescent="0.15">
      <c r="C105" s="1"/>
      <c r="D105" s="4"/>
      <c r="E105" s="94"/>
      <c r="F105" s="96"/>
      <c r="G105" s="95"/>
      <c r="H105" s="96"/>
      <c r="I105" s="96"/>
      <c r="J105" s="96"/>
      <c r="K105" s="5"/>
    </row>
    <row r="106" spans="3:11" ht="11.25" hidden="1" customHeight="1" x14ac:dyDescent="0.15">
      <c r="C106" s="1"/>
      <c r="D106" s="4"/>
      <c r="E106" s="94"/>
      <c r="F106" s="96"/>
      <c r="G106" s="95"/>
      <c r="H106" s="96"/>
      <c r="I106" s="96"/>
      <c r="J106" s="96"/>
      <c r="K106" s="5"/>
    </row>
    <row r="107" spans="3:11" ht="19.5" hidden="1" customHeight="1" x14ac:dyDescent="0.15">
      <c r="C107" s="1"/>
      <c r="D107" s="4"/>
      <c r="E107" s="97"/>
      <c r="F107" s="96"/>
      <c r="G107" s="95"/>
      <c r="H107" s="96"/>
      <c r="I107" s="96"/>
      <c r="J107" s="96"/>
      <c r="K107" s="5"/>
    </row>
    <row r="108" spans="3:11" ht="19.5" hidden="1" customHeight="1" x14ac:dyDescent="0.15">
      <c r="C108" s="1"/>
      <c r="D108" s="4"/>
      <c r="E108" s="136" t="s">
        <v>84</v>
      </c>
      <c r="F108" s="136"/>
      <c r="G108" s="4"/>
      <c r="H108" s="4"/>
      <c r="I108" s="5"/>
      <c r="J108" s="5"/>
      <c r="K108" s="5"/>
    </row>
    <row r="109" spans="3:11" ht="17.25" hidden="1" customHeight="1" x14ac:dyDescent="0.15">
      <c r="C109" s="1"/>
      <c r="D109" s="4"/>
      <c r="E109" s="138"/>
      <c r="F109" s="138"/>
      <c r="G109" s="4"/>
      <c r="H109" s="4"/>
      <c r="I109" s="5"/>
      <c r="J109" s="5"/>
      <c r="K109" s="5"/>
    </row>
    <row r="110" spans="3:11" ht="94.5" hidden="1" customHeight="1" x14ac:dyDescent="0.15">
      <c r="C110" s="1"/>
      <c r="D110" s="4"/>
      <c r="E110" s="139" t="s">
        <v>713</v>
      </c>
      <c r="F110" s="140"/>
      <c r="G110" s="140"/>
      <c r="H110" s="140"/>
      <c r="I110" s="140"/>
      <c r="J110" s="140"/>
      <c r="K110" s="5"/>
    </row>
    <row r="111" spans="3:11" ht="17.25" hidden="1" customHeight="1" x14ac:dyDescent="0.15">
      <c r="C111" s="1"/>
      <c r="D111" s="4"/>
      <c r="E111" s="4"/>
      <c r="F111" s="4"/>
      <c r="G111" s="4"/>
      <c r="H111" s="4"/>
      <c r="I111" s="5"/>
      <c r="J111" s="5"/>
      <c r="K111" s="5"/>
    </row>
    <row r="112" spans="3:11" ht="17.25" hidden="1" customHeight="1" x14ac:dyDescent="0.15">
      <c r="C112" s="1"/>
      <c r="D112" s="4"/>
      <c r="E112" s="141" t="s">
        <v>85</v>
      </c>
      <c r="F112" s="141"/>
      <c r="G112" s="141"/>
      <c r="H112" s="10"/>
      <c r="I112" s="10"/>
      <c r="J112" s="10"/>
      <c r="K112" s="10"/>
    </row>
    <row r="113" spans="1:11" ht="17.25" hidden="1" customHeight="1" x14ac:dyDescent="0.15">
      <c r="C113" s="1"/>
      <c r="D113" s="4"/>
      <c r="E113" s="94"/>
      <c r="F113" s="95"/>
      <c r="G113" s="95"/>
      <c r="H113" s="95"/>
      <c r="I113" s="95"/>
      <c r="J113" s="95"/>
      <c r="K113" s="10"/>
    </row>
    <row r="114" spans="1:11" ht="17.25" hidden="1" customHeight="1" x14ac:dyDescent="0.15">
      <c r="C114" s="1"/>
      <c r="D114" s="4"/>
      <c r="E114" s="8" t="s">
        <v>86</v>
      </c>
      <c r="F114" s="21" t="s">
        <v>87</v>
      </c>
      <c r="G114" s="8" t="s">
        <v>88</v>
      </c>
      <c r="H114" s="96"/>
      <c r="I114" s="96"/>
      <c r="J114" s="96"/>
      <c r="K114" s="5"/>
    </row>
    <row r="115" spans="1:11" ht="17.25" hidden="1" customHeight="1" x14ac:dyDescent="0.15">
      <c r="C115" s="1"/>
      <c r="D115" s="4"/>
      <c r="E115" s="26" t="s">
        <v>91</v>
      </c>
      <c r="F115" s="26" t="s">
        <v>91</v>
      </c>
      <c r="G115" s="26" t="s">
        <v>91</v>
      </c>
      <c r="H115" s="95"/>
      <c r="I115" s="95"/>
      <c r="J115" s="96"/>
      <c r="K115" s="5"/>
    </row>
    <row r="116" spans="1:11" ht="17.25" hidden="1" customHeight="1" x14ac:dyDescent="0.15">
      <c r="C116" s="1"/>
      <c r="D116" s="4"/>
      <c r="E116" s="104" t="s">
        <v>93</v>
      </c>
      <c r="F116" s="105" t="s">
        <v>93</v>
      </c>
      <c r="G116" s="105" t="s">
        <v>93</v>
      </c>
      <c r="H116" s="95"/>
      <c r="I116" s="95"/>
      <c r="J116" s="96"/>
      <c r="K116" s="5"/>
    </row>
    <row r="117" spans="1:11" ht="17.25" hidden="1" customHeight="1" x14ac:dyDescent="0.15">
      <c r="C117" s="1"/>
      <c r="D117" s="4"/>
      <c r="E117" s="26" t="s">
        <v>92</v>
      </c>
      <c r="F117" s="26" t="s">
        <v>92</v>
      </c>
      <c r="G117" s="26" t="s">
        <v>92</v>
      </c>
      <c r="H117" s="96"/>
      <c r="I117" s="96"/>
      <c r="J117" s="96"/>
      <c r="K117" s="5"/>
    </row>
    <row r="118" spans="1:11" ht="17.25" hidden="1" customHeight="1" x14ac:dyDescent="0.15">
      <c r="C118" s="1"/>
      <c r="D118" s="4"/>
      <c r="E118"/>
      <c r="F118"/>
      <c r="G118"/>
      <c r="H118" s="97"/>
      <c r="I118" s="97" t="s">
        <v>1059</v>
      </c>
      <c r="J118" s="96"/>
      <c r="K118" s="5"/>
    </row>
    <row r="119" spans="1:11" ht="17.25" hidden="1" customHeight="1" x14ac:dyDescent="0.15">
      <c r="C119" s="1"/>
      <c r="D119" s="4"/>
      <c r="E119" s="7" t="s">
        <v>89</v>
      </c>
      <c r="F119"/>
      <c r="G119"/>
      <c r="H119" s="97"/>
      <c r="I119" s="97" t="s">
        <v>1060</v>
      </c>
      <c r="J119" s="96"/>
      <c r="K119" s="5"/>
    </row>
    <row r="120" spans="1:11" ht="17.25" hidden="1" customHeight="1" x14ac:dyDescent="0.15">
      <c r="C120" s="1"/>
      <c r="D120" s="4"/>
      <c r="E120" s="97"/>
      <c r="F120" s="96"/>
      <c r="G120" s="95"/>
      <c r="H120" s="96"/>
      <c r="I120" s="96"/>
      <c r="J120" s="96"/>
      <c r="K120" s="5"/>
    </row>
    <row r="121" spans="1:11" ht="39.950000000000003" customHeight="1" x14ac:dyDescent="0.15">
      <c r="C121" s="1"/>
      <c r="D121" s="4"/>
      <c r="E121"/>
      <c r="F121"/>
      <c r="G121"/>
      <c r="H121"/>
      <c r="I121"/>
      <c r="J121"/>
      <c r="K121" s="5"/>
    </row>
    <row r="122" spans="1:11" s="25" customFormat="1" ht="27" customHeight="1" x14ac:dyDescent="0.15">
      <c r="A122" s="1"/>
      <c r="B122" s="1"/>
      <c r="C122" s="22"/>
      <c r="D122" s="23"/>
      <c r="E122"/>
      <c r="F122"/>
      <c r="G122"/>
      <c r="H122"/>
      <c r="I122"/>
      <c r="J122"/>
      <c r="K122" s="24"/>
    </row>
    <row r="123" spans="1:11" s="25" customFormat="1" ht="27" customHeight="1" x14ac:dyDescent="0.15">
      <c r="A123" s="1"/>
      <c r="B123" s="1"/>
      <c r="C123" s="22"/>
      <c r="D123" s="23"/>
      <c r="E123"/>
      <c r="F123"/>
      <c r="G123"/>
      <c r="H123"/>
      <c r="I123"/>
      <c r="J123"/>
      <c r="K123" s="24"/>
    </row>
    <row r="124" spans="1:11" s="25" customFormat="1" ht="27" customHeight="1" x14ac:dyDescent="0.15">
      <c r="A124" s="1"/>
      <c r="B124" s="1"/>
      <c r="C124" s="22"/>
      <c r="D124" s="23"/>
      <c r="E124"/>
      <c r="F124"/>
      <c r="G124"/>
      <c r="H124"/>
      <c r="I124"/>
      <c r="J124"/>
      <c r="K124" s="24"/>
    </row>
    <row r="125" spans="1:11" s="25" customFormat="1" ht="27" customHeight="1" x14ac:dyDescent="0.15">
      <c r="A125" s="1"/>
      <c r="B125" s="1"/>
      <c r="C125" s="22"/>
      <c r="D125" s="23"/>
      <c r="E125"/>
      <c r="F125"/>
      <c r="G125"/>
      <c r="H125"/>
      <c r="I125"/>
      <c r="J125"/>
      <c r="K125" s="24"/>
    </row>
    <row r="126" spans="1:11" s="25" customFormat="1" ht="27" customHeight="1" x14ac:dyDescent="0.15">
      <c r="A126" s="1"/>
      <c r="B126" s="1"/>
      <c r="C126" s="22"/>
      <c r="D126" s="23"/>
      <c r="E126"/>
      <c r="F126"/>
      <c r="G126"/>
      <c r="H126"/>
      <c r="I126"/>
      <c r="J126"/>
      <c r="K126" s="24"/>
    </row>
    <row r="127" spans="1:11" s="25" customFormat="1" ht="27" customHeight="1" x14ac:dyDescent="0.15">
      <c r="A127" s="1"/>
      <c r="B127" s="1"/>
      <c r="C127" s="22"/>
      <c r="D127" s="23"/>
      <c r="E127"/>
      <c r="F127"/>
      <c r="G127"/>
      <c r="H127"/>
      <c r="I127"/>
      <c r="J127"/>
      <c r="K127" s="24"/>
    </row>
    <row r="128" spans="1:11" s="25" customFormat="1" ht="27" customHeight="1" x14ac:dyDescent="0.15">
      <c r="A128" s="1"/>
      <c r="B128" s="1"/>
      <c r="C128" s="22"/>
      <c r="D128" s="23"/>
      <c r="E128"/>
      <c r="F128"/>
      <c r="G128"/>
      <c r="H128"/>
      <c r="I128"/>
      <c r="J128"/>
      <c r="K128" s="24"/>
    </row>
    <row r="129" spans="1:11" s="25" customFormat="1" ht="27" customHeight="1" x14ac:dyDescent="0.15">
      <c r="A129" s="1"/>
      <c r="B129" s="1"/>
      <c r="C129" s="22"/>
      <c r="D129" s="23"/>
      <c r="E129"/>
      <c r="F129"/>
      <c r="G129"/>
      <c r="H129"/>
      <c r="I129"/>
      <c r="J129"/>
      <c r="K129" s="24"/>
    </row>
    <row r="130" spans="1:11" s="25" customFormat="1" ht="27" customHeight="1" x14ac:dyDescent="0.15">
      <c r="A130" s="1"/>
      <c r="B130" s="1"/>
      <c r="C130" s="22"/>
      <c r="D130" s="23"/>
      <c r="E130"/>
      <c r="F130"/>
      <c r="G130"/>
      <c r="H130"/>
      <c r="I130"/>
      <c r="J130"/>
      <c r="K130" s="24"/>
    </row>
    <row r="131" spans="1:11" s="25" customFormat="1" ht="27" customHeight="1" x14ac:dyDescent="0.15">
      <c r="A131" s="1"/>
      <c r="B131" s="1"/>
      <c r="C131" s="22"/>
      <c r="D131" s="23"/>
      <c r="E131"/>
      <c r="F131"/>
      <c r="G131"/>
      <c r="H131"/>
      <c r="I131"/>
      <c r="J131"/>
      <c r="K131" s="24"/>
    </row>
    <row r="132" spans="1:11" s="25" customFormat="1" ht="27" customHeight="1" x14ac:dyDescent="0.15">
      <c r="A132" s="1"/>
      <c r="B132" s="1"/>
      <c r="C132" s="22"/>
      <c r="D132" s="23"/>
      <c r="E132"/>
      <c r="F132"/>
      <c r="G132"/>
      <c r="H132"/>
      <c r="I132"/>
      <c r="J132"/>
      <c r="K132" s="24"/>
    </row>
    <row r="133" spans="1:11" s="25" customFormat="1" ht="27" customHeight="1" x14ac:dyDescent="0.15">
      <c r="A133" s="1"/>
      <c r="B133" s="1"/>
      <c r="C133" s="22"/>
      <c r="D133" s="23"/>
      <c r="E133"/>
      <c r="F133"/>
      <c r="G133"/>
      <c r="H133"/>
      <c r="I133"/>
      <c r="J133"/>
      <c r="K133" s="24"/>
    </row>
    <row r="134" spans="1:11" s="25" customFormat="1" ht="27" customHeight="1" x14ac:dyDescent="0.15">
      <c r="A134" s="1"/>
      <c r="B134" s="1"/>
      <c r="C134" s="22"/>
      <c r="D134" s="23"/>
      <c r="E134"/>
      <c r="F134"/>
      <c r="G134"/>
      <c r="H134"/>
      <c r="I134"/>
      <c r="J134"/>
      <c r="K134" s="24"/>
    </row>
    <row r="135" spans="1:11" s="25" customFormat="1" ht="27" customHeight="1" x14ac:dyDescent="0.15">
      <c r="A135" s="1"/>
      <c r="B135" s="1"/>
      <c r="C135" s="22"/>
      <c r="D135" s="23"/>
      <c r="E135"/>
      <c r="F135"/>
      <c r="G135"/>
      <c r="H135"/>
      <c r="I135"/>
      <c r="J135"/>
      <c r="K135" s="24"/>
    </row>
    <row r="136" spans="1:11" s="25" customFormat="1" ht="27" customHeight="1" x14ac:dyDescent="0.15">
      <c r="A136" s="1"/>
      <c r="B136" s="1"/>
      <c r="C136" s="22"/>
      <c r="D136" s="23"/>
      <c r="E136"/>
      <c r="F136"/>
      <c r="G136"/>
      <c r="H136"/>
      <c r="I136"/>
      <c r="J136"/>
      <c r="K136" s="24"/>
    </row>
    <row r="137" spans="1:11" s="25" customFormat="1" ht="27" customHeight="1" x14ac:dyDescent="0.15">
      <c r="A137" s="1"/>
      <c r="B137" s="1"/>
      <c r="C137" s="22"/>
      <c r="D137" s="23"/>
      <c r="E137"/>
      <c r="F137"/>
      <c r="G137"/>
      <c r="H137"/>
      <c r="I137"/>
      <c r="J137"/>
      <c r="K137" s="24"/>
    </row>
    <row r="138" spans="1:11" s="25" customFormat="1" ht="27" customHeight="1" x14ac:dyDescent="0.15">
      <c r="A138" s="1"/>
      <c r="B138" s="1"/>
      <c r="C138" s="22"/>
      <c r="D138" s="23"/>
      <c r="E138"/>
      <c r="F138"/>
      <c r="G138"/>
      <c r="H138"/>
      <c r="I138"/>
      <c r="J138"/>
      <c r="K138" s="24"/>
    </row>
    <row r="139" spans="1:11" s="25" customFormat="1" ht="27" customHeight="1" x14ac:dyDescent="0.15">
      <c r="A139" s="1"/>
      <c r="B139" s="1"/>
      <c r="C139" s="22"/>
      <c r="D139" s="23"/>
      <c r="E139"/>
      <c r="F139"/>
      <c r="G139"/>
      <c r="H139"/>
      <c r="I139"/>
      <c r="J139"/>
      <c r="K139" s="24"/>
    </row>
    <row r="140" spans="1:11" s="25" customFormat="1" ht="27" customHeight="1" x14ac:dyDescent="0.15">
      <c r="A140" s="1"/>
      <c r="B140" s="1"/>
      <c r="C140" s="22"/>
      <c r="D140" s="23"/>
      <c r="E140"/>
      <c r="F140"/>
      <c r="G140"/>
      <c r="H140"/>
      <c r="I140"/>
      <c r="J140"/>
      <c r="K140" s="24"/>
    </row>
    <row r="141" spans="1:11" s="25" customFormat="1" ht="27" customHeight="1" x14ac:dyDescent="0.15">
      <c r="A141" s="1"/>
      <c r="B141" s="1"/>
      <c r="C141" s="22"/>
      <c r="D141" s="23"/>
      <c r="E141"/>
      <c r="F141"/>
      <c r="G141"/>
      <c r="H141"/>
      <c r="I141"/>
      <c r="J141"/>
      <c r="K141" s="24"/>
    </row>
    <row r="142" spans="1:11" s="25" customFormat="1" ht="27" customHeight="1" x14ac:dyDescent="0.15">
      <c r="A142" s="1"/>
      <c r="B142" s="1"/>
      <c r="C142" s="22"/>
      <c r="D142" s="23"/>
      <c r="E142"/>
      <c r="F142"/>
      <c r="G142"/>
      <c r="H142"/>
      <c r="I142"/>
      <c r="J142"/>
      <c r="K142" s="24"/>
    </row>
    <row r="143" spans="1:11" s="25" customFormat="1" ht="27" customHeight="1" x14ac:dyDescent="0.15">
      <c r="A143" s="1"/>
      <c r="B143" s="1"/>
      <c r="C143" s="22"/>
      <c r="D143" s="23"/>
      <c r="E143"/>
      <c r="F143"/>
      <c r="G143"/>
      <c r="H143"/>
      <c r="I143"/>
      <c r="J143"/>
      <c r="K143" s="24"/>
    </row>
    <row r="144" spans="1:11" s="25" customFormat="1" ht="27" customHeight="1" x14ac:dyDescent="0.15">
      <c r="A144" s="1"/>
      <c r="B144" s="1"/>
      <c r="C144" s="22"/>
      <c r="D144" s="23"/>
      <c r="E144"/>
      <c r="F144"/>
      <c r="G144"/>
      <c r="H144"/>
      <c r="I144"/>
      <c r="J144"/>
      <c r="K144" s="24"/>
    </row>
    <row r="145" spans="1:11" s="25" customFormat="1" ht="27" customHeight="1" x14ac:dyDescent="0.15">
      <c r="A145" s="1"/>
      <c r="B145" s="1"/>
      <c r="C145" s="22"/>
      <c r="D145" s="23"/>
      <c r="E145"/>
      <c r="F145"/>
      <c r="G145"/>
      <c r="H145"/>
      <c r="I145"/>
      <c r="J145"/>
      <c r="K145" s="24"/>
    </row>
    <row r="146" spans="1:11" s="25" customFormat="1" ht="27" customHeight="1" x14ac:dyDescent="0.15">
      <c r="A146" s="1"/>
      <c r="B146" s="1"/>
      <c r="C146" s="22"/>
      <c r="D146" s="23"/>
      <c r="E146"/>
      <c r="F146"/>
      <c r="G146"/>
      <c r="H146"/>
      <c r="I146"/>
      <c r="J146"/>
      <c r="K146" s="24"/>
    </row>
    <row r="147" spans="1:11" s="25" customFormat="1" ht="27" customHeight="1" x14ac:dyDescent="0.15">
      <c r="A147" s="1"/>
      <c r="B147" s="1"/>
      <c r="C147" s="22"/>
      <c r="D147" s="23"/>
      <c r="E147"/>
      <c r="F147"/>
      <c r="G147"/>
      <c r="H147"/>
      <c r="I147"/>
      <c r="J147"/>
      <c r="K147" s="24"/>
    </row>
    <row r="148" spans="1:11" s="25" customFormat="1" ht="27" customHeight="1" x14ac:dyDescent="0.15">
      <c r="A148" s="1"/>
      <c r="B148" s="1"/>
      <c r="C148" s="22"/>
      <c r="D148" s="23"/>
      <c r="E148"/>
      <c r="F148"/>
      <c r="G148"/>
      <c r="H148"/>
      <c r="I148"/>
      <c r="J148"/>
      <c r="K148" s="24"/>
    </row>
    <row r="149" spans="1:11" s="25" customFormat="1" ht="27" customHeight="1" x14ac:dyDescent="0.15">
      <c r="A149" s="1"/>
      <c r="B149" s="1"/>
      <c r="C149" s="22"/>
      <c r="D149" s="23"/>
      <c r="E149"/>
      <c r="F149"/>
      <c r="G149"/>
      <c r="H149"/>
      <c r="I149"/>
      <c r="J149"/>
      <c r="K149" s="24"/>
    </row>
    <row r="150" spans="1:11" s="25" customFormat="1" ht="27" customHeight="1" x14ac:dyDescent="0.15">
      <c r="A150" s="1"/>
      <c r="B150" s="1"/>
      <c r="C150" s="22"/>
      <c r="D150" s="23"/>
      <c r="E150"/>
      <c r="F150"/>
      <c r="G150"/>
      <c r="H150"/>
      <c r="I150"/>
      <c r="J150"/>
      <c r="K150" s="24"/>
    </row>
    <row r="151" spans="1:11" s="25" customFormat="1" ht="27" customHeight="1" x14ac:dyDescent="0.15">
      <c r="A151" s="1"/>
      <c r="B151" s="1"/>
      <c r="C151" s="22"/>
      <c r="D151" s="23"/>
      <c r="E151"/>
      <c r="F151"/>
      <c r="G151"/>
      <c r="H151"/>
      <c r="I151"/>
      <c r="J151"/>
      <c r="K151" s="24"/>
    </row>
    <row r="152" spans="1:11" s="25" customFormat="1" ht="27" customHeight="1" x14ac:dyDescent="0.15">
      <c r="A152" s="1"/>
      <c r="B152" s="1"/>
      <c r="C152" s="22"/>
      <c r="D152" s="23"/>
      <c r="E152"/>
      <c r="F152"/>
      <c r="G152"/>
      <c r="H152"/>
      <c r="I152"/>
      <c r="J152"/>
      <c r="K152" s="24"/>
    </row>
    <row r="153" spans="1:11" ht="27" customHeight="1" x14ac:dyDescent="0.15">
      <c r="C153" s="1"/>
      <c r="D153" s="4"/>
      <c r="E153"/>
      <c r="F153"/>
      <c r="G153"/>
      <c r="H153"/>
      <c r="I153"/>
      <c r="J153"/>
      <c r="K153" s="5"/>
    </row>
    <row r="154" spans="1:11" ht="27" customHeight="1" x14ac:dyDescent="0.15">
      <c r="C154" s="1"/>
      <c r="D154" s="4"/>
      <c r="E154"/>
      <c r="F154"/>
      <c r="G154"/>
      <c r="H154"/>
      <c r="I154"/>
      <c r="J154"/>
      <c r="K154" s="5"/>
    </row>
    <row r="155" spans="1:11" ht="27" customHeight="1" x14ac:dyDescent="0.15">
      <c r="C155" s="1"/>
      <c r="D155" s="4"/>
      <c r="E155"/>
      <c r="F155"/>
      <c r="G155"/>
      <c r="H155"/>
      <c r="I155"/>
      <c r="J155"/>
      <c r="K155" s="5"/>
    </row>
    <row r="156" spans="1:11" ht="27" customHeight="1" x14ac:dyDescent="0.15">
      <c r="C156" s="1"/>
      <c r="D156" s="4"/>
      <c r="E156"/>
      <c r="F156"/>
      <c r="G156"/>
      <c r="H156"/>
      <c r="I156"/>
      <c r="J156"/>
      <c r="K156" s="5"/>
    </row>
    <row r="157" spans="1:11" ht="27" customHeight="1" x14ac:dyDescent="0.15">
      <c r="C157" s="1"/>
      <c r="D157" s="4"/>
      <c r="E157"/>
      <c r="F157"/>
      <c r="G157"/>
      <c r="H157"/>
      <c r="I157"/>
      <c r="J157"/>
      <c r="K157" s="5"/>
    </row>
    <row r="158" spans="1:11" ht="27" customHeight="1" x14ac:dyDescent="0.15">
      <c r="C158" s="1"/>
      <c r="D158" s="4"/>
      <c r="E158"/>
      <c r="F158"/>
      <c r="G158"/>
      <c r="H158"/>
      <c r="I158"/>
      <c r="J158"/>
      <c r="K158" s="5"/>
    </row>
    <row r="159" spans="1:11" ht="27" customHeight="1" x14ac:dyDescent="0.15">
      <c r="C159" s="3"/>
      <c r="D159" s="4"/>
      <c r="E159"/>
      <c r="F159"/>
      <c r="G159"/>
      <c r="H159"/>
      <c r="I159"/>
      <c r="J159"/>
      <c r="K159" s="13"/>
    </row>
    <row r="160" spans="1:11" ht="27" customHeight="1" x14ac:dyDescent="0.15">
      <c r="C160" s="1"/>
      <c r="D160" s="12"/>
      <c r="E160"/>
      <c r="F160"/>
      <c r="G160"/>
      <c r="H160"/>
      <c r="I160"/>
      <c r="J160"/>
      <c r="K160" s="13"/>
    </row>
    <row r="161" spans="3:11" ht="27" customHeight="1" x14ac:dyDescent="0.15">
      <c r="C161" s="1"/>
      <c r="D161" s="12"/>
      <c r="E161"/>
      <c r="F161"/>
      <c r="G161"/>
      <c r="H161"/>
      <c r="I161"/>
      <c r="J161"/>
      <c r="K161" s="13"/>
    </row>
    <row r="162" spans="3:11" ht="27" customHeight="1" x14ac:dyDescent="0.15">
      <c r="C162" s="1"/>
      <c r="D162" s="12"/>
      <c r="E162"/>
      <c r="F162"/>
      <c r="G162"/>
      <c r="H162"/>
      <c r="I162"/>
      <c r="J162"/>
      <c r="K162" s="13"/>
    </row>
    <row r="163" spans="3:11" ht="27" customHeight="1" x14ac:dyDescent="0.15">
      <c r="C163" s="1"/>
      <c r="D163" s="12"/>
      <c r="E163"/>
      <c r="F163"/>
      <c r="G163"/>
      <c r="H163"/>
      <c r="I163"/>
      <c r="J163"/>
      <c r="K163" s="13"/>
    </row>
    <row r="164" spans="3:11" ht="27" customHeight="1" x14ac:dyDescent="0.15">
      <c r="C164" s="1"/>
      <c r="D164" s="12"/>
      <c r="E164"/>
      <c r="F164"/>
      <c r="G164"/>
      <c r="H164"/>
      <c r="I164"/>
      <c r="J164"/>
      <c r="K164" s="13"/>
    </row>
    <row r="165" spans="3:11" ht="27" customHeight="1" x14ac:dyDescent="0.15">
      <c r="C165" s="1"/>
      <c r="D165" s="12"/>
      <c r="E165"/>
      <c r="F165"/>
      <c r="G165"/>
      <c r="H165"/>
      <c r="I165"/>
      <c r="J165"/>
      <c r="K165" s="13"/>
    </row>
    <row r="166" spans="3:11" ht="27" customHeight="1" x14ac:dyDescent="0.15">
      <c r="C166" s="1"/>
      <c r="D166" s="12"/>
      <c r="E166"/>
      <c r="F166"/>
      <c r="G166"/>
      <c r="H166"/>
      <c r="I166"/>
      <c r="J166"/>
      <c r="K166" s="13"/>
    </row>
    <row r="167" spans="3:11" ht="27" customHeight="1" x14ac:dyDescent="0.15">
      <c r="C167" s="1"/>
      <c r="D167" s="12"/>
      <c r="E167"/>
      <c r="F167"/>
      <c r="G167"/>
      <c r="H167"/>
      <c r="I167"/>
      <c r="J167"/>
      <c r="K167" s="13"/>
    </row>
    <row r="168" spans="3:11" ht="27" customHeight="1" x14ac:dyDescent="0.15">
      <c r="C168" s="1"/>
      <c r="D168" s="12"/>
      <c r="E168"/>
      <c r="F168"/>
      <c r="G168"/>
      <c r="H168"/>
      <c r="I168"/>
      <c r="J168"/>
      <c r="K168" s="13"/>
    </row>
    <row r="169" spans="3:11" ht="27" customHeight="1" x14ac:dyDescent="0.15">
      <c r="C169" s="1"/>
      <c r="D169" s="12"/>
      <c r="E169"/>
      <c r="F169"/>
      <c r="G169"/>
      <c r="H169"/>
      <c r="I169"/>
      <c r="J169"/>
      <c r="K169" s="13"/>
    </row>
    <row r="170" spans="3:11" ht="27" customHeight="1" x14ac:dyDescent="0.15">
      <c r="C170" s="1"/>
      <c r="D170" s="12"/>
      <c r="E170"/>
      <c r="F170"/>
      <c r="G170"/>
      <c r="H170"/>
      <c r="I170"/>
      <c r="J170"/>
      <c r="K170" s="13"/>
    </row>
    <row r="171" spans="3:11" ht="27" customHeight="1" x14ac:dyDescent="0.15">
      <c r="C171" s="1"/>
      <c r="D171" s="12"/>
      <c r="E171"/>
      <c r="F171"/>
      <c r="G171"/>
      <c r="H171"/>
      <c r="I171"/>
      <c r="J171"/>
      <c r="K171" s="13"/>
    </row>
    <row r="172" spans="3:11" ht="27" customHeight="1" x14ac:dyDescent="0.15">
      <c r="C172" s="1"/>
      <c r="D172" s="12"/>
      <c r="E172"/>
      <c r="F172"/>
      <c r="G172"/>
      <c r="H172"/>
      <c r="I172"/>
      <c r="J172"/>
      <c r="K172" s="13"/>
    </row>
    <row r="173" spans="3:11" ht="27" customHeight="1" x14ac:dyDescent="0.15">
      <c r="C173" s="1"/>
      <c r="D173" s="12"/>
      <c r="E173"/>
      <c r="F173"/>
      <c r="G173"/>
      <c r="H173"/>
      <c r="I173"/>
      <c r="J173"/>
      <c r="K173" s="13"/>
    </row>
    <row r="174" spans="3:11" ht="27" customHeight="1" x14ac:dyDescent="0.15">
      <c r="C174" s="1"/>
      <c r="D174" s="12"/>
      <c r="E174"/>
      <c r="F174"/>
      <c r="G174"/>
      <c r="H174"/>
      <c r="I174"/>
      <c r="J174"/>
      <c r="K174" s="13"/>
    </row>
    <row r="175" spans="3:11" ht="27" customHeight="1" x14ac:dyDescent="0.15">
      <c r="C175" s="1"/>
      <c r="D175" s="12"/>
      <c r="E175"/>
      <c r="F175"/>
      <c r="G175"/>
      <c r="H175"/>
      <c r="I175"/>
      <c r="J175"/>
      <c r="K175" s="13"/>
    </row>
    <row r="176" spans="3:11" ht="27" customHeight="1" x14ac:dyDescent="0.15">
      <c r="C176" s="1"/>
      <c r="D176" s="12"/>
      <c r="E176"/>
      <c r="F176"/>
      <c r="G176"/>
      <c r="H176"/>
      <c r="I176"/>
      <c r="J176"/>
      <c r="K176" s="13"/>
    </row>
    <row r="177" spans="3:11" ht="27" customHeight="1" x14ac:dyDescent="0.15">
      <c r="C177" s="1"/>
      <c r="D177" s="12"/>
      <c r="E177"/>
      <c r="F177"/>
      <c r="G177"/>
      <c r="H177"/>
      <c r="I177"/>
      <c r="J177"/>
      <c r="K177" s="13"/>
    </row>
    <row r="178" spans="3:11" ht="27" customHeight="1" x14ac:dyDescent="0.15">
      <c r="C178" s="1"/>
      <c r="D178" s="12"/>
      <c r="E178"/>
      <c r="F178"/>
      <c r="G178"/>
      <c r="H178"/>
      <c r="I178"/>
      <c r="J178"/>
      <c r="K178" s="13"/>
    </row>
    <row r="179" spans="3:11" ht="27" customHeight="1" x14ac:dyDescent="0.15">
      <c r="C179" s="1"/>
      <c r="D179" s="12"/>
      <c r="E179"/>
      <c r="F179"/>
      <c r="G179"/>
      <c r="H179"/>
      <c r="I179"/>
      <c r="J179"/>
      <c r="K179" s="13"/>
    </row>
    <row r="180" spans="3:11" ht="27" customHeight="1" x14ac:dyDescent="0.15">
      <c r="C180" s="1"/>
      <c r="D180" s="12"/>
      <c r="E180"/>
      <c r="F180"/>
      <c r="G180"/>
      <c r="H180"/>
      <c r="I180"/>
      <c r="J180"/>
      <c r="K180" s="13"/>
    </row>
    <row r="181" spans="3:11" ht="27" customHeight="1" x14ac:dyDescent="0.15">
      <c r="C181" s="1"/>
      <c r="D181" s="12"/>
      <c r="E181"/>
      <c r="F181"/>
      <c r="G181"/>
      <c r="H181"/>
      <c r="I181"/>
      <c r="J181"/>
      <c r="K181" s="13"/>
    </row>
    <row r="182" spans="3:11" ht="27" customHeight="1" x14ac:dyDescent="0.15">
      <c r="C182" s="1"/>
      <c r="D182" s="12"/>
      <c r="E182"/>
      <c r="F182"/>
      <c r="G182"/>
      <c r="H182"/>
      <c r="I182"/>
      <c r="J182"/>
      <c r="K182" s="13"/>
    </row>
    <row r="183" spans="3:11" ht="27" customHeight="1" x14ac:dyDescent="0.15">
      <c r="C183" s="1"/>
      <c r="D183" s="12"/>
      <c r="E183"/>
      <c r="F183"/>
      <c r="G183"/>
      <c r="H183"/>
      <c r="I183"/>
      <c r="J183"/>
      <c r="K183" s="13"/>
    </row>
    <row r="184" spans="3:11" ht="27" customHeight="1" x14ac:dyDescent="0.15">
      <c r="C184" s="1"/>
      <c r="D184" s="12"/>
      <c r="E184"/>
      <c r="F184"/>
      <c r="G184"/>
      <c r="H184"/>
      <c r="I184"/>
      <c r="J184"/>
      <c r="K184" s="13"/>
    </row>
    <row r="185" spans="3:11" ht="27" customHeight="1" x14ac:dyDescent="0.15">
      <c r="C185" s="1"/>
      <c r="D185" s="12"/>
      <c r="E185"/>
      <c r="F185"/>
      <c r="G185"/>
      <c r="H185"/>
      <c r="I185"/>
      <c r="J185"/>
      <c r="K185" s="13"/>
    </row>
    <row r="186" spans="3:11" ht="27" customHeight="1" x14ac:dyDescent="0.15">
      <c r="C186" s="1"/>
      <c r="D186" s="12"/>
      <c r="E186"/>
      <c r="F186"/>
      <c r="G186"/>
      <c r="H186"/>
      <c r="I186"/>
      <c r="J186"/>
      <c r="K186" s="13"/>
    </row>
    <row r="187" spans="3:11" ht="27" customHeight="1" x14ac:dyDescent="0.15">
      <c r="C187" s="1"/>
      <c r="D187" s="12"/>
      <c r="E187"/>
      <c r="F187"/>
      <c r="G187"/>
      <c r="H187"/>
      <c r="I187"/>
      <c r="J187"/>
      <c r="K187" s="13"/>
    </row>
    <row r="188" spans="3:11" ht="27" customHeight="1" x14ac:dyDescent="0.15">
      <c r="C188" s="1"/>
      <c r="D188" s="12"/>
      <c r="E188"/>
      <c r="F188"/>
      <c r="G188"/>
      <c r="H188"/>
      <c r="I188"/>
      <c r="J188"/>
      <c r="K188" s="13"/>
    </row>
    <row r="189" spans="3:11" ht="27" customHeight="1" x14ac:dyDescent="0.15">
      <c r="C189" s="1"/>
      <c r="D189" s="12"/>
      <c r="E189"/>
      <c r="F189"/>
      <c r="G189"/>
      <c r="H189"/>
      <c r="I189"/>
      <c r="J189"/>
      <c r="K189" s="13"/>
    </row>
    <row r="190" spans="3:11" ht="27" customHeight="1" x14ac:dyDescent="0.15">
      <c r="C190" s="1"/>
      <c r="D190" s="12"/>
      <c r="E190"/>
      <c r="F190"/>
      <c r="G190"/>
      <c r="H190"/>
      <c r="I190"/>
      <c r="J190"/>
      <c r="K190" s="13"/>
    </row>
    <row r="191" spans="3:11" ht="27" customHeight="1" x14ac:dyDescent="0.15">
      <c r="C191" s="1"/>
      <c r="D191" s="12"/>
      <c r="E191"/>
      <c r="F191"/>
      <c r="G191"/>
      <c r="H191"/>
      <c r="I191"/>
      <c r="J191"/>
      <c r="K191" s="13"/>
    </row>
    <row r="192" spans="3:11" ht="27" customHeight="1" x14ac:dyDescent="0.15">
      <c r="C192" s="1"/>
      <c r="D192" s="12"/>
      <c r="E192"/>
      <c r="F192"/>
      <c r="G192"/>
      <c r="H192"/>
      <c r="I192"/>
      <c r="J192"/>
      <c r="K192" s="13"/>
    </row>
    <row r="193" spans="4:11" ht="27" customHeight="1" x14ac:dyDescent="0.15">
      <c r="D193" s="13"/>
      <c r="E193"/>
      <c r="F193"/>
      <c r="G193"/>
      <c r="H193"/>
      <c r="I193"/>
      <c r="J193"/>
      <c r="K193" s="13"/>
    </row>
    <row r="194" spans="4:11" ht="27" customHeight="1" x14ac:dyDescent="0.15">
      <c r="D194" s="13"/>
      <c r="E194"/>
      <c r="F194"/>
      <c r="G194"/>
      <c r="H194"/>
      <c r="I194"/>
      <c r="J194"/>
      <c r="K194" s="13"/>
    </row>
    <row r="195" spans="4:11" ht="27" customHeight="1" x14ac:dyDescent="0.15">
      <c r="D195" s="13"/>
      <c r="E195"/>
      <c r="F195"/>
      <c r="G195"/>
      <c r="H195"/>
      <c r="I195"/>
      <c r="J195"/>
      <c r="K195" s="13"/>
    </row>
    <row r="196" spans="4:11" ht="27" customHeight="1" x14ac:dyDescent="0.15">
      <c r="D196" s="13"/>
      <c r="E196"/>
      <c r="F196"/>
      <c r="G196"/>
      <c r="H196"/>
      <c r="I196"/>
      <c r="J196"/>
      <c r="K196" s="13"/>
    </row>
    <row r="197" spans="4:11" ht="27" customHeight="1" x14ac:dyDescent="0.15">
      <c r="D197" s="13"/>
      <c r="E197"/>
      <c r="F197"/>
      <c r="G197"/>
      <c r="H197"/>
      <c r="I197"/>
      <c r="J197"/>
      <c r="K197" s="13"/>
    </row>
    <row r="198" spans="4:11" ht="27" customHeight="1" x14ac:dyDescent="0.15">
      <c r="D198" s="13"/>
      <c r="E198"/>
      <c r="F198"/>
      <c r="G198"/>
      <c r="H198"/>
      <c r="I198"/>
      <c r="J198"/>
      <c r="K198" s="13"/>
    </row>
    <row r="199" spans="4:11" ht="27" customHeight="1" x14ac:dyDescent="0.15">
      <c r="D199" s="13"/>
      <c r="E199"/>
      <c r="F199"/>
      <c r="G199"/>
      <c r="H199"/>
      <c r="I199"/>
      <c r="J199"/>
      <c r="K199" s="13"/>
    </row>
    <row r="200" spans="4:11" ht="27" customHeight="1" x14ac:dyDescent="0.15">
      <c r="D200" s="13"/>
      <c r="E200"/>
      <c r="F200"/>
      <c r="G200"/>
      <c r="H200"/>
      <c r="I200"/>
      <c r="J200"/>
      <c r="K200" s="13"/>
    </row>
    <row r="201" spans="4:11" ht="27" customHeight="1" x14ac:dyDescent="0.15">
      <c r="D201" s="13"/>
      <c r="E201"/>
      <c r="F201"/>
      <c r="G201"/>
      <c r="H201"/>
      <c r="I201"/>
      <c r="J201"/>
      <c r="K201" s="13"/>
    </row>
    <row r="202" spans="4:11" ht="27" customHeight="1" x14ac:dyDescent="0.15">
      <c r="D202" s="13"/>
      <c r="E202"/>
      <c r="F202"/>
      <c r="G202"/>
      <c r="H202"/>
      <c r="I202"/>
      <c r="J202"/>
      <c r="K202" s="13"/>
    </row>
    <row r="203" spans="4:11" ht="27" customHeight="1" x14ac:dyDescent="0.15">
      <c r="D203" s="13"/>
      <c r="E203"/>
      <c r="F203"/>
      <c r="G203"/>
      <c r="H203"/>
      <c r="I203"/>
      <c r="J203"/>
      <c r="K203" s="13"/>
    </row>
    <row r="204" spans="4:11" ht="27" customHeight="1" x14ac:dyDescent="0.15">
      <c r="D204" s="13"/>
      <c r="E204"/>
      <c r="F204"/>
      <c r="G204"/>
      <c r="H204"/>
      <c r="I204"/>
      <c r="J204"/>
      <c r="K204" s="13"/>
    </row>
    <row r="205" spans="4:11" ht="27" customHeight="1" x14ac:dyDescent="0.15">
      <c r="D205" s="13"/>
      <c r="E205"/>
      <c r="F205"/>
      <c r="G205"/>
      <c r="H205"/>
      <c r="I205"/>
      <c r="J205"/>
      <c r="K205" s="13"/>
    </row>
    <row r="206" spans="4:11" ht="27" customHeight="1" x14ac:dyDescent="0.15">
      <c r="D206" s="13"/>
      <c r="E206"/>
      <c r="F206"/>
      <c r="G206"/>
      <c r="H206"/>
      <c r="I206"/>
      <c r="J206"/>
      <c r="K206" s="13"/>
    </row>
    <row r="207" spans="4:11" ht="27" customHeight="1" x14ac:dyDescent="0.15">
      <c r="D207" s="13"/>
      <c r="E207"/>
      <c r="F207"/>
      <c r="G207"/>
      <c r="H207"/>
      <c r="I207"/>
      <c r="J207"/>
      <c r="K207" s="13"/>
    </row>
    <row r="208" spans="4:11" ht="27" customHeight="1" x14ac:dyDescent="0.15">
      <c r="D208" s="13"/>
      <c r="E208"/>
      <c r="F208"/>
      <c r="G208"/>
      <c r="H208"/>
      <c r="I208"/>
      <c r="J208"/>
      <c r="K208" s="13"/>
    </row>
    <row r="209" spans="4:11" ht="27" customHeight="1" x14ac:dyDescent="0.15">
      <c r="D209" s="13"/>
      <c r="E209"/>
      <c r="F209"/>
      <c r="G209"/>
      <c r="H209"/>
      <c r="I209"/>
      <c r="J209"/>
      <c r="K209" s="13"/>
    </row>
    <row r="210" spans="4:11" ht="27" customHeight="1" x14ac:dyDescent="0.15">
      <c r="D210" s="13"/>
      <c r="E210"/>
      <c r="F210"/>
      <c r="G210"/>
      <c r="H210"/>
      <c r="I210"/>
      <c r="J210"/>
      <c r="K210" s="13"/>
    </row>
    <row r="211" spans="4:11" ht="27" customHeight="1" x14ac:dyDescent="0.15">
      <c r="D211" s="13"/>
      <c r="E211"/>
      <c r="F211"/>
      <c r="G211"/>
      <c r="H211"/>
      <c r="I211"/>
      <c r="J211"/>
      <c r="K211" s="13"/>
    </row>
    <row r="212" spans="4:11" ht="27" customHeight="1" x14ac:dyDescent="0.15">
      <c r="D212" s="13"/>
      <c r="E212"/>
      <c r="F212"/>
      <c r="G212"/>
      <c r="H212"/>
      <c r="I212"/>
      <c r="J212"/>
      <c r="K212" s="13"/>
    </row>
    <row r="213" spans="4:11" ht="27" customHeight="1" x14ac:dyDescent="0.15">
      <c r="D213" s="13"/>
      <c r="E213"/>
      <c r="F213"/>
      <c r="G213"/>
      <c r="H213"/>
      <c r="I213"/>
      <c r="J213"/>
      <c r="K213" s="13"/>
    </row>
    <row r="214" spans="4:11" ht="27" customHeight="1" x14ac:dyDescent="0.15">
      <c r="D214" s="13"/>
      <c r="E214"/>
      <c r="F214"/>
      <c r="G214"/>
      <c r="H214"/>
      <c r="I214"/>
      <c r="J214"/>
      <c r="K214" s="13"/>
    </row>
    <row r="215" spans="4:11" ht="27" customHeight="1" x14ac:dyDescent="0.15">
      <c r="D215" s="13"/>
      <c r="E215"/>
      <c r="F215"/>
      <c r="G215"/>
      <c r="H215"/>
      <c r="I215"/>
      <c r="J215"/>
      <c r="K215" s="13"/>
    </row>
    <row r="216" spans="4:11" ht="27" customHeight="1" x14ac:dyDescent="0.15">
      <c r="D216" s="13"/>
      <c r="E216"/>
      <c r="F216"/>
      <c r="G216"/>
      <c r="H216"/>
      <c r="I216"/>
      <c r="J216"/>
      <c r="K216" s="13"/>
    </row>
    <row r="217" spans="4:11" ht="27" customHeight="1" x14ac:dyDescent="0.15">
      <c r="D217" s="13"/>
      <c r="E217"/>
      <c r="F217"/>
      <c r="G217"/>
      <c r="H217"/>
      <c r="I217"/>
      <c r="J217"/>
      <c r="K217" s="13"/>
    </row>
    <row r="218" spans="4:11" ht="27" customHeight="1" x14ac:dyDescent="0.15">
      <c r="D218" s="13"/>
      <c r="E218"/>
      <c r="F218"/>
      <c r="G218"/>
      <c r="H218"/>
      <c r="I218"/>
      <c r="J218"/>
      <c r="K218" s="13"/>
    </row>
    <row r="219" spans="4:11" ht="27" customHeight="1" x14ac:dyDescent="0.15">
      <c r="D219" s="13"/>
      <c r="E219"/>
      <c r="F219"/>
      <c r="G219"/>
      <c r="H219"/>
      <c r="I219"/>
      <c r="J219"/>
      <c r="K219" s="13"/>
    </row>
    <row r="220" spans="4:11" ht="27" customHeight="1" x14ac:dyDescent="0.15">
      <c r="D220" s="13"/>
      <c r="E220"/>
      <c r="F220"/>
      <c r="G220"/>
      <c r="H220"/>
      <c r="I220"/>
      <c r="J220"/>
      <c r="K220" s="13"/>
    </row>
    <row r="221" spans="4:11" ht="27" customHeight="1" x14ac:dyDescent="0.15">
      <c r="D221" s="13"/>
      <c r="E221"/>
      <c r="F221"/>
      <c r="G221"/>
      <c r="H221"/>
      <c r="I221"/>
      <c r="J221"/>
      <c r="K221" s="13"/>
    </row>
    <row r="222" spans="4:11" ht="27" customHeight="1" x14ac:dyDescent="0.15">
      <c r="D222" s="13"/>
      <c r="E222"/>
      <c r="F222"/>
      <c r="G222"/>
      <c r="H222"/>
      <c r="I222"/>
      <c r="J222"/>
      <c r="K222" s="13"/>
    </row>
    <row r="223" spans="4:11" ht="27" customHeight="1" x14ac:dyDescent="0.15">
      <c r="D223" s="13"/>
      <c r="E223"/>
      <c r="F223"/>
      <c r="G223"/>
      <c r="H223"/>
      <c r="I223"/>
      <c r="J223"/>
      <c r="K223" s="13"/>
    </row>
    <row r="224" spans="4:11" ht="27" customHeight="1" x14ac:dyDescent="0.15">
      <c r="D224" s="13"/>
      <c r="E224"/>
      <c r="F224"/>
      <c r="G224"/>
      <c r="H224"/>
      <c r="I224"/>
      <c r="J224"/>
      <c r="K224" s="13"/>
    </row>
    <row r="225" spans="4:11" ht="27" customHeight="1" x14ac:dyDescent="0.15">
      <c r="D225" s="13"/>
      <c r="E225"/>
      <c r="F225"/>
      <c r="G225"/>
      <c r="H225"/>
      <c r="I225"/>
      <c r="J225"/>
      <c r="K225" s="13"/>
    </row>
    <row r="226" spans="4:11" ht="27" customHeight="1" x14ac:dyDescent="0.15">
      <c r="D226" s="13"/>
      <c r="E226"/>
      <c r="F226"/>
      <c r="G226"/>
      <c r="H226"/>
      <c r="I226"/>
      <c r="J226"/>
      <c r="K226" s="13"/>
    </row>
    <row r="227" spans="4:11" ht="27" customHeight="1" x14ac:dyDescent="0.15">
      <c r="D227" s="13"/>
      <c r="E227"/>
      <c r="F227"/>
      <c r="G227"/>
      <c r="H227"/>
      <c r="I227"/>
      <c r="J227"/>
      <c r="K227" s="13"/>
    </row>
    <row r="228" spans="4:11" ht="27" customHeight="1" x14ac:dyDescent="0.15">
      <c r="D228" s="13"/>
      <c r="E228"/>
      <c r="F228"/>
      <c r="G228"/>
      <c r="H228"/>
      <c r="I228"/>
      <c r="J228"/>
      <c r="K228" s="13"/>
    </row>
    <row r="229" spans="4:11" ht="27" customHeight="1" x14ac:dyDescent="0.15">
      <c r="D229" s="13"/>
      <c r="E229"/>
      <c r="F229"/>
      <c r="G229"/>
      <c r="H229"/>
      <c r="I229"/>
      <c r="J229"/>
      <c r="K229" s="13"/>
    </row>
    <row r="230" spans="4:11" ht="27" customHeight="1" x14ac:dyDescent="0.15">
      <c r="D230" s="13"/>
      <c r="E230"/>
      <c r="F230"/>
      <c r="G230"/>
      <c r="H230"/>
      <c r="I230"/>
      <c r="J230"/>
      <c r="K230" s="13"/>
    </row>
    <row r="231" spans="4:11" ht="27" customHeight="1" x14ac:dyDescent="0.15">
      <c r="D231" s="13"/>
      <c r="E231"/>
      <c r="F231"/>
      <c r="G231"/>
      <c r="H231"/>
      <c r="I231"/>
      <c r="J231"/>
      <c r="K231" s="13"/>
    </row>
    <row r="232" spans="4:11" ht="27" customHeight="1" x14ac:dyDescent="0.15">
      <c r="D232" s="13"/>
      <c r="E232"/>
      <c r="F232"/>
      <c r="G232"/>
      <c r="H232"/>
      <c r="I232"/>
      <c r="J232"/>
      <c r="K232" s="13"/>
    </row>
    <row r="233" spans="4:11" ht="27" customHeight="1" x14ac:dyDescent="0.15">
      <c r="D233" s="13"/>
      <c r="E233"/>
      <c r="F233"/>
      <c r="G233"/>
      <c r="H233"/>
      <c r="I233"/>
      <c r="J233"/>
      <c r="K233" s="13"/>
    </row>
    <row r="234" spans="4:11" ht="27" customHeight="1" x14ac:dyDescent="0.15">
      <c r="D234" s="13"/>
      <c r="E234"/>
      <c r="F234"/>
      <c r="G234"/>
      <c r="H234"/>
      <c r="I234"/>
      <c r="J234"/>
      <c r="K234" s="13"/>
    </row>
    <row r="235" spans="4:11" ht="27" customHeight="1" x14ac:dyDescent="0.15">
      <c r="D235" s="13"/>
      <c r="E235"/>
      <c r="F235"/>
      <c r="G235"/>
      <c r="H235"/>
      <c r="I235"/>
      <c r="J235"/>
      <c r="K235" s="13"/>
    </row>
    <row r="236" spans="4:11" ht="27" customHeight="1" x14ac:dyDescent="0.15">
      <c r="D236" s="13"/>
      <c r="E236"/>
      <c r="F236"/>
      <c r="G236"/>
      <c r="H236"/>
      <c r="I236"/>
      <c r="J236"/>
      <c r="K236" s="13"/>
    </row>
    <row r="237" spans="4:11" ht="27" customHeight="1" x14ac:dyDescent="0.15">
      <c r="D237" s="13"/>
      <c r="E237"/>
      <c r="F237"/>
      <c r="G237"/>
      <c r="H237"/>
      <c r="I237"/>
      <c r="J237"/>
      <c r="K237" s="13"/>
    </row>
    <row r="238" spans="4:11" ht="27" customHeight="1" x14ac:dyDescent="0.15">
      <c r="D238" s="13"/>
      <c r="E238"/>
      <c r="F238"/>
      <c r="G238"/>
      <c r="H238"/>
      <c r="I238"/>
      <c r="J238"/>
      <c r="K238" s="13"/>
    </row>
    <row r="239" spans="4:11" ht="27" customHeight="1" x14ac:dyDescent="0.15">
      <c r="D239" s="13"/>
      <c r="E239"/>
      <c r="F239"/>
      <c r="G239"/>
      <c r="H239"/>
      <c r="I239"/>
      <c r="J239"/>
      <c r="K239" s="13"/>
    </row>
    <row r="240" spans="4:11" ht="27" customHeight="1" x14ac:dyDescent="0.15">
      <c r="D240" s="13"/>
      <c r="E240"/>
      <c r="F240"/>
      <c r="G240"/>
      <c r="H240"/>
      <c r="I240"/>
      <c r="J240"/>
      <c r="K240" s="13"/>
    </row>
    <row r="241" spans="4:11" ht="27" customHeight="1" x14ac:dyDescent="0.15">
      <c r="D241" s="13"/>
      <c r="E241"/>
      <c r="F241"/>
      <c r="G241"/>
      <c r="H241"/>
      <c r="I241"/>
      <c r="J241"/>
      <c r="K241" s="13"/>
    </row>
    <row r="242" spans="4:11" ht="27" customHeight="1" x14ac:dyDescent="0.15">
      <c r="D242" s="13"/>
      <c r="E242"/>
      <c r="F242"/>
      <c r="G242"/>
      <c r="H242"/>
      <c r="I242"/>
      <c r="J242"/>
      <c r="K242" s="13"/>
    </row>
    <row r="243" spans="4:11" ht="27" customHeight="1" x14ac:dyDescent="0.15">
      <c r="D243" s="13"/>
      <c r="E243"/>
      <c r="F243"/>
      <c r="G243"/>
      <c r="H243"/>
      <c r="I243"/>
      <c r="J243"/>
      <c r="K243" s="13"/>
    </row>
    <row r="244" spans="4:11" ht="27" customHeight="1" x14ac:dyDescent="0.15">
      <c r="D244" s="13"/>
      <c r="E244"/>
      <c r="F244"/>
      <c r="G244"/>
      <c r="H244"/>
      <c r="I244"/>
      <c r="J244"/>
      <c r="K244" s="13"/>
    </row>
    <row r="245" spans="4:11" ht="27" customHeight="1" x14ac:dyDescent="0.15">
      <c r="D245" s="13"/>
      <c r="E245"/>
      <c r="F245"/>
      <c r="G245"/>
      <c r="H245"/>
      <c r="I245"/>
      <c r="J245"/>
      <c r="K245" s="13"/>
    </row>
    <row r="246" spans="4:11" ht="27" customHeight="1" x14ac:dyDescent="0.15">
      <c r="D246" s="13"/>
      <c r="E246"/>
      <c r="F246"/>
      <c r="G246"/>
      <c r="H246"/>
      <c r="I246"/>
      <c r="J246"/>
      <c r="K246" s="13"/>
    </row>
    <row r="247" spans="4:11" ht="27" customHeight="1" x14ac:dyDescent="0.15">
      <c r="D247" s="13"/>
      <c r="E247"/>
      <c r="F247"/>
      <c r="G247"/>
      <c r="H247"/>
      <c r="I247"/>
      <c r="J247"/>
      <c r="K247" s="13"/>
    </row>
    <row r="248" spans="4:11" ht="27" customHeight="1" x14ac:dyDescent="0.15">
      <c r="D248" s="13"/>
      <c r="E248"/>
      <c r="F248"/>
      <c r="G248"/>
      <c r="H248"/>
      <c r="I248"/>
      <c r="J248"/>
      <c r="K248" s="13"/>
    </row>
    <row r="249" spans="4:11" ht="27" customHeight="1" x14ac:dyDescent="0.15">
      <c r="D249" s="13"/>
      <c r="E249"/>
      <c r="F249"/>
      <c r="G249"/>
      <c r="H249"/>
      <c r="I249"/>
      <c r="J249"/>
      <c r="K249" s="13"/>
    </row>
    <row r="250" spans="4:11" ht="27" customHeight="1" x14ac:dyDescent="0.15">
      <c r="D250" s="13"/>
      <c r="E250"/>
      <c r="F250"/>
      <c r="G250"/>
      <c r="H250"/>
      <c r="I250"/>
      <c r="J250"/>
      <c r="K250" s="13"/>
    </row>
    <row r="251" spans="4:11" ht="27" customHeight="1" x14ac:dyDescent="0.15">
      <c r="D251" s="13"/>
      <c r="E251"/>
      <c r="F251"/>
      <c r="G251"/>
      <c r="H251"/>
      <c r="I251"/>
      <c r="J251"/>
      <c r="K251" s="13"/>
    </row>
    <row r="252" spans="4:11" ht="27" customHeight="1" x14ac:dyDescent="0.15">
      <c r="D252" s="13"/>
      <c r="E252"/>
      <c r="F252"/>
      <c r="G252"/>
      <c r="H252"/>
      <c r="I252"/>
      <c r="J252"/>
      <c r="K252" s="13"/>
    </row>
    <row r="253" spans="4:11" ht="27" customHeight="1" x14ac:dyDescent="0.15">
      <c r="D253" s="13"/>
      <c r="E253"/>
      <c r="F253"/>
      <c r="G253"/>
      <c r="H253"/>
      <c r="I253"/>
      <c r="J253"/>
      <c r="K253" s="13"/>
    </row>
    <row r="254" spans="4:11" ht="27" customHeight="1" x14ac:dyDescent="0.15">
      <c r="D254" s="13"/>
      <c r="E254"/>
      <c r="F254"/>
      <c r="G254"/>
      <c r="H254"/>
      <c r="I254"/>
      <c r="J254"/>
      <c r="K254" s="13"/>
    </row>
    <row r="255" spans="4:11" ht="27" customHeight="1" x14ac:dyDescent="0.15">
      <c r="D255" s="13"/>
      <c r="E255"/>
      <c r="F255"/>
      <c r="G255"/>
      <c r="H255"/>
      <c r="I255"/>
      <c r="J255"/>
      <c r="K255" s="13"/>
    </row>
    <row r="256" spans="4:11" ht="27" customHeight="1" x14ac:dyDescent="0.15">
      <c r="D256" s="13"/>
      <c r="E256"/>
      <c r="F256"/>
      <c r="G256"/>
      <c r="H256"/>
      <c r="I256"/>
      <c r="J256"/>
      <c r="K256" s="13"/>
    </row>
    <row r="257" spans="4:11" ht="27" customHeight="1" x14ac:dyDescent="0.15">
      <c r="D257" s="13"/>
      <c r="E257"/>
      <c r="F257"/>
      <c r="G257"/>
      <c r="H257"/>
      <c r="I257"/>
      <c r="J257"/>
      <c r="K257" s="13"/>
    </row>
    <row r="258" spans="4:11" ht="27" customHeight="1" x14ac:dyDescent="0.15">
      <c r="D258" s="13"/>
      <c r="E258"/>
      <c r="F258"/>
      <c r="G258"/>
      <c r="H258"/>
      <c r="I258"/>
      <c r="J258"/>
      <c r="K258" s="13"/>
    </row>
    <row r="259" spans="4:11" ht="27" customHeight="1" x14ac:dyDescent="0.15">
      <c r="D259" s="13"/>
      <c r="E259"/>
      <c r="F259"/>
      <c r="G259"/>
      <c r="H259"/>
      <c r="I259"/>
      <c r="J259"/>
      <c r="K259" s="13"/>
    </row>
    <row r="260" spans="4:11" ht="27" customHeight="1" x14ac:dyDescent="0.15">
      <c r="D260" s="13"/>
      <c r="E260"/>
      <c r="F260"/>
      <c r="G260"/>
      <c r="H260"/>
      <c r="I260"/>
      <c r="J260"/>
      <c r="K260" s="13"/>
    </row>
    <row r="261" spans="4:11" ht="27" customHeight="1" x14ac:dyDescent="0.15">
      <c r="D261" s="13"/>
      <c r="E261"/>
      <c r="F261"/>
      <c r="G261"/>
      <c r="H261"/>
      <c r="I261"/>
      <c r="J261"/>
      <c r="K261" s="13"/>
    </row>
    <row r="262" spans="4:11" ht="27" customHeight="1" x14ac:dyDescent="0.15">
      <c r="D262" s="13"/>
      <c r="E262"/>
      <c r="F262"/>
      <c r="G262"/>
      <c r="H262"/>
      <c r="I262"/>
      <c r="J262"/>
      <c r="K262" s="13"/>
    </row>
    <row r="263" spans="4:11" ht="27" customHeight="1" x14ac:dyDescent="0.15">
      <c r="D263" s="13"/>
      <c r="E263"/>
      <c r="F263"/>
      <c r="G263"/>
      <c r="H263"/>
      <c r="I263"/>
      <c r="J263"/>
      <c r="K263" s="13"/>
    </row>
    <row r="264" spans="4:11" ht="27" customHeight="1" x14ac:dyDescent="0.15">
      <c r="D264" s="13"/>
      <c r="E264"/>
      <c r="F264"/>
      <c r="G264"/>
      <c r="H264"/>
      <c r="I264"/>
      <c r="J264"/>
      <c r="K264" s="13"/>
    </row>
    <row r="265" spans="4:11" ht="27" customHeight="1" x14ac:dyDescent="0.15">
      <c r="D265" s="13"/>
      <c r="E265"/>
      <c r="F265"/>
      <c r="G265"/>
      <c r="H265"/>
      <c r="I265"/>
      <c r="J265"/>
      <c r="K265" s="13"/>
    </row>
    <row r="266" spans="4:11" ht="27" customHeight="1" x14ac:dyDescent="0.15">
      <c r="D266" s="13"/>
      <c r="E266"/>
      <c r="F266"/>
      <c r="G266"/>
      <c r="H266"/>
      <c r="I266"/>
      <c r="J266"/>
      <c r="K266" s="13"/>
    </row>
    <row r="267" spans="4:11" ht="27" customHeight="1" x14ac:dyDescent="0.15">
      <c r="D267" s="13"/>
      <c r="E267"/>
      <c r="F267"/>
      <c r="G267"/>
      <c r="H267"/>
      <c r="I267"/>
      <c r="J267"/>
      <c r="K267" s="13"/>
    </row>
    <row r="268" spans="4:11" ht="27" customHeight="1" x14ac:dyDescent="0.15">
      <c r="D268" s="13"/>
      <c r="E268"/>
      <c r="F268"/>
      <c r="G268"/>
      <c r="H268"/>
      <c r="I268"/>
      <c r="J268"/>
      <c r="K268" s="13"/>
    </row>
    <row r="269" spans="4:11" ht="27" customHeight="1" x14ac:dyDescent="0.15">
      <c r="D269" s="13"/>
      <c r="E269"/>
      <c r="F269"/>
      <c r="G269"/>
      <c r="H269"/>
      <c r="I269"/>
      <c r="J269"/>
      <c r="K269" s="13"/>
    </row>
    <row r="270" spans="4:11" ht="27" customHeight="1" x14ac:dyDescent="0.15">
      <c r="D270" s="13"/>
      <c r="E270"/>
      <c r="F270"/>
      <c r="G270"/>
      <c r="H270"/>
      <c r="I270"/>
      <c r="J270"/>
      <c r="K270" s="13"/>
    </row>
    <row r="271" spans="4:11" ht="27" customHeight="1" x14ac:dyDescent="0.15">
      <c r="D271" s="13"/>
      <c r="E271"/>
      <c r="F271"/>
      <c r="G271"/>
      <c r="H271"/>
      <c r="I271"/>
      <c r="J271"/>
      <c r="K271" s="13"/>
    </row>
    <row r="272" spans="4:11" ht="27" customHeight="1" x14ac:dyDescent="0.15">
      <c r="D272" s="13"/>
      <c r="E272"/>
      <c r="F272"/>
      <c r="G272"/>
      <c r="H272"/>
      <c r="I272"/>
      <c r="J272"/>
      <c r="K272" s="13"/>
    </row>
    <row r="273" spans="4:11" ht="27" customHeight="1" x14ac:dyDescent="0.15">
      <c r="D273" s="13"/>
      <c r="E273"/>
      <c r="F273"/>
      <c r="G273"/>
      <c r="H273"/>
      <c r="I273"/>
      <c r="J273"/>
      <c r="K273" s="13"/>
    </row>
    <row r="274" spans="4:11" ht="27" customHeight="1" x14ac:dyDescent="0.15">
      <c r="D274" s="13"/>
      <c r="E274"/>
      <c r="F274"/>
      <c r="G274"/>
      <c r="H274"/>
      <c r="I274"/>
      <c r="J274"/>
      <c r="K274" s="13"/>
    </row>
    <row r="275" spans="4:11" ht="27" customHeight="1" x14ac:dyDescent="0.15">
      <c r="D275" s="13"/>
      <c r="E275"/>
      <c r="F275"/>
      <c r="G275"/>
      <c r="H275"/>
      <c r="I275"/>
      <c r="J275"/>
      <c r="K275" s="13"/>
    </row>
    <row r="276" spans="4:11" ht="27" customHeight="1" x14ac:dyDescent="0.15">
      <c r="D276" s="13"/>
      <c r="E276"/>
      <c r="F276"/>
      <c r="G276"/>
      <c r="H276"/>
      <c r="I276"/>
      <c r="J276"/>
      <c r="K276" s="13"/>
    </row>
    <row r="277" spans="4:11" ht="27" customHeight="1" x14ac:dyDescent="0.15">
      <c r="D277" s="13"/>
      <c r="E277"/>
      <c r="F277"/>
      <c r="G277"/>
      <c r="H277"/>
      <c r="I277"/>
      <c r="J277"/>
      <c r="K277" s="13"/>
    </row>
    <row r="278" spans="4:11" ht="27" customHeight="1" x14ac:dyDescent="0.15">
      <c r="D278" s="13"/>
      <c r="E278"/>
      <c r="F278"/>
      <c r="G278"/>
      <c r="H278"/>
      <c r="I278"/>
      <c r="J278"/>
      <c r="K278" s="13"/>
    </row>
    <row r="279" spans="4:11" ht="27" customHeight="1" x14ac:dyDescent="0.15">
      <c r="D279" s="13"/>
      <c r="E279"/>
      <c r="F279"/>
      <c r="G279"/>
      <c r="H279"/>
      <c r="I279"/>
      <c r="J279"/>
      <c r="K279" s="13"/>
    </row>
    <row r="280" spans="4:11" ht="27" customHeight="1" x14ac:dyDescent="0.15">
      <c r="D280" s="13"/>
      <c r="E280"/>
      <c r="F280"/>
      <c r="G280"/>
      <c r="H280"/>
      <c r="I280"/>
      <c r="J280"/>
      <c r="K280" s="13"/>
    </row>
    <row r="281" spans="4:11" ht="27" customHeight="1" x14ac:dyDescent="0.15">
      <c r="D281" s="13"/>
      <c r="E281"/>
      <c r="F281"/>
      <c r="G281"/>
      <c r="H281"/>
      <c r="I281"/>
      <c r="J281"/>
      <c r="K281" s="13"/>
    </row>
    <row r="282" spans="4:11" ht="27" customHeight="1" x14ac:dyDescent="0.15">
      <c r="D282" s="13"/>
      <c r="E282"/>
      <c r="F282"/>
      <c r="G282"/>
      <c r="H282"/>
      <c r="I282"/>
      <c r="J282"/>
      <c r="K282" s="13"/>
    </row>
    <row r="283" spans="4:11" ht="27" customHeight="1" x14ac:dyDescent="0.15">
      <c r="D283" s="13"/>
      <c r="E283"/>
      <c r="F283"/>
      <c r="G283"/>
      <c r="H283"/>
      <c r="I283"/>
      <c r="J283"/>
      <c r="K283" s="13"/>
    </row>
    <row r="284" spans="4:11" ht="27" customHeight="1" x14ac:dyDescent="0.15">
      <c r="D284" s="13"/>
      <c r="E284"/>
      <c r="F284"/>
      <c r="G284"/>
      <c r="H284"/>
      <c r="I284"/>
      <c r="J284"/>
      <c r="K284" s="13"/>
    </row>
    <row r="285" spans="4:11" ht="27" customHeight="1" x14ac:dyDescent="0.15">
      <c r="D285" s="13"/>
      <c r="E285"/>
      <c r="F285"/>
      <c r="G285"/>
      <c r="H285"/>
      <c r="I285"/>
      <c r="J285"/>
      <c r="K285" s="13"/>
    </row>
    <row r="286" spans="4:11" ht="27" customHeight="1" x14ac:dyDescent="0.15">
      <c r="D286" s="13"/>
      <c r="E286"/>
      <c r="F286"/>
      <c r="G286"/>
      <c r="H286"/>
      <c r="I286"/>
      <c r="J286"/>
      <c r="K286" s="13"/>
    </row>
    <row r="287" spans="4:11" ht="27" customHeight="1" x14ac:dyDescent="0.15">
      <c r="D287" s="13"/>
      <c r="E287"/>
      <c r="F287"/>
      <c r="G287"/>
      <c r="H287"/>
      <c r="I287"/>
      <c r="J287"/>
      <c r="K287" s="13"/>
    </row>
    <row r="288" spans="4:11" ht="27" customHeight="1" x14ac:dyDescent="0.15">
      <c r="D288" s="13"/>
      <c r="E288"/>
      <c r="F288"/>
      <c r="G288"/>
      <c r="H288"/>
      <c r="I288"/>
      <c r="J288"/>
      <c r="K288" s="13"/>
    </row>
    <row r="289" spans="1:11" ht="27" customHeight="1" x14ac:dyDescent="0.15">
      <c r="D289" s="13"/>
      <c r="E289"/>
      <c r="F289"/>
      <c r="G289"/>
      <c r="H289"/>
      <c r="I289"/>
      <c r="J289"/>
      <c r="K289" s="13"/>
    </row>
    <row r="290" spans="1:11" ht="27" customHeight="1" x14ac:dyDescent="0.15">
      <c r="D290" s="13"/>
      <c r="E290"/>
      <c r="F290"/>
      <c r="G290"/>
      <c r="H290"/>
      <c r="I290"/>
      <c r="J290"/>
      <c r="K290" s="13"/>
    </row>
    <row r="291" spans="1:11" ht="27" customHeight="1" x14ac:dyDescent="0.15">
      <c r="D291" s="13"/>
      <c r="E291"/>
      <c r="F291"/>
      <c r="G291"/>
      <c r="H291"/>
      <c r="I291"/>
      <c r="J291"/>
      <c r="K291" s="13"/>
    </row>
    <row r="292" spans="1:11" ht="27" customHeight="1" x14ac:dyDescent="0.15">
      <c r="D292" s="13"/>
      <c r="E292"/>
      <c r="F292"/>
      <c r="G292"/>
      <c r="H292"/>
      <c r="I292"/>
      <c r="J292"/>
      <c r="K292" s="13"/>
    </row>
    <row r="293" spans="1:11" ht="27" customHeight="1" x14ac:dyDescent="0.15">
      <c r="D293" s="13"/>
      <c r="E293"/>
      <c r="F293"/>
      <c r="G293"/>
      <c r="H293"/>
      <c r="I293"/>
      <c r="J293"/>
      <c r="K293" s="13"/>
    </row>
    <row r="294" spans="1:11" ht="27" customHeight="1" x14ac:dyDescent="0.15">
      <c r="D294" s="13"/>
      <c r="E294"/>
      <c r="F294"/>
      <c r="G294"/>
      <c r="H294"/>
      <c r="I294"/>
      <c r="J294"/>
      <c r="K294" s="13"/>
    </row>
    <row r="295" spans="1:11" ht="27" customHeight="1" x14ac:dyDescent="0.15">
      <c r="D295" s="13"/>
      <c r="E295"/>
      <c r="F295"/>
      <c r="G295"/>
      <c r="H295"/>
      <c r="I295"/>
      <c r="J295"/>
      <c r="K295" s="13"/>
    </row>
    <row r="296" spans="1:11" ht="27" customHeight="1" x14ac:dyDescent="0.15">
      <c r="D296" s="13"/>
      <c r="E296"/>
      <c r="F296"/>
      <c r="G296"/>
      <c r="H296"/>
      <c r="I296"/>
      <c r="J296"/>
      <c r="K296" s="13"/>
    </row>
    <row r="297" spans="1:11" ht="27" customHeight="1" x14ac:dyDescent="0.15">
      <c r="D297" s="13"/>
      <c r="E297"/>
      <c r="F297"/>
      <c r="G297"/>
      <c r="H297"/>
      <c r="I297"/>
      <c r="J297"/>
      <c r="K297" s="13"/>
    </row>
    <row r="298" spans="1:11" ht="27" customHeight="1" x14ac:dyDescent="0.15">
      <c r="D298" s="13"/>
      <c r="E298"/>
      <c r="F298"/>
      <c r="G298"/>
      <c r="H298"/>
      <c r="I298"/>
      <c r="J298"/>
      <c r="K298" s="13"/>
    </row>
    <row r="299" spans="1:11" ht="27" customHeight="1" x14ac:dyDescent="0.15">
      <c r="D299" s="13"/>
      <c r="E299"/>
      <c r="F299"/>
      <c r="G299"/>
      <c r="H299"/>
      <c r="I299"/>
      <c r="J299"/>
      <c r="K299" s="13"/>
    </row>
    <row r="300" spans="1:11" ht="27" customHeight="1" x14ac:dyDescent="0.15">
      <c r="D300" s="13"/>
      <c r="E300"/>
      <c r="F300"/>
      <c r="G300"/>
      <c r="H300"/>
      <c r="I300"/>
      <c r="J300"/>
      <c r="K300" s="13"/>
    </row>
    <row r="301" spans="1:11" ht="27" customHeight="1" x14ac:dyDescent="0.15">
      <c r="D301" s="13"/>
      <c r="E301"/>
      <c r="F301"/>
      <c r="G301"/>
      <c r="H301"/>
      <c r="I301"/>
      <c r="J301"/>
      <c r="K301" s="13"/>
    </row>
    <row r="302" spans="1:11" s="32" customFormat="1" ht="27" customHeight="1" x14ac:dyDescent="0.15">
      <c r="A302" s="30"/>
      <c r="B302" s="30"/>
      <c r="D302" s="107"/>
      <c r="E302"/>
      <c r="F302"/>
      <c r="G302"/>
      <c r="H302"/>
      <c r="I302"/>
      <c r="J302"/>
      <c r="K302" s="107"/>
    </row>
    <row r="303" spans="1:11" s="32" customFormat="1" ht="27" customHeight="1" x14ac:dyDescent="0.15">
      <c r="A303" s="30"/>
      <c r="B303" s="30"/>
      <c r="D303" s="107"/>
      <c r="E303"/>
      <c r="F303"/>
      <c r="G303"/>
      <c r="H303"/>
      <c r="I303"/>
      <c r="J303"/>
      <c r="K303" s="107"/>
    </row>
    <row r="304" spans="1:11" s="32" customFormat="1" ht="27" customHeight="1" x14ac:dyDescent="0.15">
      <c r="A304" s="30"/>
      <c r="B304" s="30"/>
      <c r="D304" s="107"/>
      <c r="E304"/>
      <c r="F304"/>
      <c r="G304"/>
      <c r="H304"/>
      <c r="I304"/>
      <c r="J304"/>
      <c r="K304" s="107"/>
    </row>
    <row r="305" spans="1:11" s="32" customFormat="1" ht="27" customHeight="1" x14ac:dyDescent="0.15">
      <c r="A305" s="30"/>
      <c r="B305" s="30"/>
      <c r="D305" s="107"/>
      <c r="E305"/>
      <c r="F305"/>
      <c r="G305"/>
      <c r="H305"/>
      <c r="I305"/>
      <c r="J305"/>
      <c r="K305" s="107"/>
    </row>
    <row r="306" spans="1:11" s="32" customFormat="1" ht="27" customHeight="1" x14ac:dyDescent="0.15">
      <c r="A306" s="30"/>
      <c r="B306" s="30"/>
      <c r="D306" s="107"/>
      <c r="E306"/>
      <c r="F306"/>
      <c r="G306"/>
      <c r="H306"/>
      <c r="I306"/>
      <c r="J306"/>
      <c r="K306" s="107"/>
    </row>
    <row r="307" spans="1:11" s="32" customFormat="1" ht="27" customHeight="1" x14ac:dyDescent="0.15">
      <c r="A307" s="30"/>
      <c r="B307" s="30"/>
      <c r="D307" s="107"/>
      <c r="E307"/>
      <c r="F307"/>
      <c r="G307"/>
      <c r="H307"/>
      <c r="I307"/>
      <c r="J307"/>
      <c r="K307" s="107"/>
    </row>
    <row r="308" spans="1:11" s="32" customFormat="1" ht="27" customHeight="1" x14ac:dyDescent="0.15">
      <c r="A308" s="30"/>
      <c r="B308" s="30"/>
      <c r="D308" s="107"/>
      <c r="E308"/>
      <c r="F308"/>
      <c r="G308"/>
      <c r="H308"/>
      <c r="I308"/>
      <c r="J308"/>
      <c r="K308" s="107"/>
    </row>
    <row r="309" spans="1:11" s="32" customFormat="1" ht="27" customHeight="1" x14ac:dyDescent="0.15">
      <c r="A309" s="30"/>
      <c r="B309" s="30"/>
      <c r="D309" s="107"/>
      <c r="E309"/>
      <c r="F309"/>
      <c r="G309"/>
      <c r="H309"/>
      <c r="I309"/>
      <c r="J309"/>
      <c r="K309" s="107"/>
    </row>
    <row r="310" spans="1:11" s="32" customFormat="1" ht="27" customHeight="1" x14ac:dyDescent="0.15">
      <c r="A310" s="30"/>
      <c r="B310" s="30"/>
      <c r="D310" s="107"/>
      <c r="E310"/>
      <c r="F310"/>
      <c r="G310"/>
      <c r="H310"/>
      <c r="I310"/>
      <c r="J310"/>
      <c r="K310" s="107"/>
    </row>
    <row r="311" spans="1:11" s="32" customFormat="1" ht="27" customHeight="1" x14ac:dyDescent="0.15">
      <c r="A311" s="30"/>
      <c r="B311" s="30"/>
      <c r="D311" s="107"/>
      <c r="E311"/>
      <c r="F311"/>
      <c r="G311"/>
      <c r="H311"/>
      <c r="I311"/>
      <c r="J311"/>
      <c r="K311" s="107"/>
    </row>
    <row r="312" spans="1:11" s="32" customFormat="1" ht="27" customHeight="1" x14ac:dyDescent="0.15">
      <c r="A312" s="30"/>
      <c r="B312" s="30"/>
      <c r="D312" s="107"/>
      <c r="E312"/>
      <c r="F312"/>
      <c r="G312"/>
      <c r="H312"/>
      <c r="I312"/>
      <c r="J312"/>
      <c r="K312" s="107"/>
    </row>
    <row r="313" spans="1:11" s="32" customFormat="1" ht="27" customHeight="1" x14ac:dyDescent="0.15">
      <c r="A313" s="30"/>
      <c r="B313" s="30"/>
      <c r="D313" s="107"/>
      <c r="E313"/>
      <c r="F313"/>
      <c r="G313"/>
      <c r="H313"/>
      <c r="I313"/>
      <c r="J313"/>
      <c r="K313" s="107"/>
    </row>
    <row r="314" spans="1:11" s="32" customFormat="1" ht="27" customHeight="1" x14ac:dyDescent="0.15">
      <c r="A314" s="30"/>
      <c r="B314" s="30"/>
      <c r="D314" s="107"/>
      <c r="E314"/>
      <c r="F314"/>
      <c r="G314"/>
      <c r="H314"/>
      <c r="I314"/>
      <c r="J314"/>
      <c r="K314" s="107"/>
    </row>
    <row r="315" spans="1:11" s="32" customFormat="1" ht="27" customHeight="1" x14ac:dyDescent="0.15">
      <c r="A315" s="30"/>
      <c r="B315" s="30"/>
      <c r="D315" s="107"/>
      <c r="E315"/>
      <c r="F315"/>
      <c r="G315"/>
      <c r="H315"/>
      <c r="I315"/>
      <c r="J315"/>
      <c r="K315" s="107"/>
    </row>
    <row r="316" spans="1:11" s="32" customFormat="1" ht="27" customHeight="1" x14ac:dyDescent="0.15">
      <c r="A316" s="30"/>
      <c r="B316" s="30"/>
      <c r="D316" s="107"/>
      <c r="E316"/>
      <c r="F316"/>
      <c r="G316"/>
      <c r="H316"/>
      <c r="I316"/>
      <c r="J316"/>
      <c r="K316" s="107"/>
    </row>
    <row r="317" spans="1:11" s="32" customFormat="1" ht="27" customHeight="1" x14ac:dyDescent="0.15">
      <c r="A317" s="30"/>
      <c r="B317" s="30"/>
      <c r="D317" s="107"/>
      <c r="E317"/>
      <c r="F317"/>
      <c r="G317"/>
      <c r="H317"/>
      <c r="I317"/>
      <c r="J317"/>
      <c r="K317" s="107"/>
    </row>
    <row r="318" spans="1:11" s="32" customFormat="1" ht="27" customHeight="1" x14ac:dyDescent="0.15">
      <c r="A318" s="30"/>
      <c r="B318" s="30"/>
      <c r="D318" s="107"/>
      <c r="E318"/>
      <c r="F318"/>
      <c r="G318"/>
      <c r="H318"/>
      <c r="I318"/>
      <c r="J318"/>
      <c r="K318" s="107"/>
    </row>
    <row r="319" spans="1:11" s="32" customFormat="1" ht="27" customHeight="1" x14ac:dyDescent="0.15">
      <c r="A319" s="30"/>
      <c r="B319" s="30"/>
      <c r="D319" s="107"/>
      <c r="E319"/>
      <c r="F319"/>
      <c r="G319"/>
      <c r="H319"/>
      <c r="I319"/>
      <c r="J319"/>
      <c r="K319" s="107"/>
    </row>
    <row r="320" spans="1:11" s="32" customFormat="1" ht="27" customHeight="1" x14ac:dyDescent="0.15">
      <c r="A320" s="30"/>
      <c r="B320" s="30"/>
      <c r="D320" s="107"/>
      <c r="E320"/>
      <c r="F320"/>
      <c r="G320"/>
      <c r="H320"/>
      <c r="I320"/>
      <c r="J320"/>
      <c r="K320" s="107"/>
    </row>
    <row r="321" spans="1:11" s="32" customFormat="1" ht="27" customHeight="1" x14ac:dyDescent="0.15">
      <c r="A321" s="30"/>
      <c r="B321" s="30"/>
      <c r="D321" s="107"/>
      <c r="E321"/>
      <c r="F321"/>
      <c r="G321"/>
      <c r="H321"/>
      <c r="I321"/>
      <c r="J321"/>
      <c r="K321" s="107"/>
    </row>
    <row r="322" spans="1:11" s="32" customFormat="1" ht="27" customHeight="1" x14ac:dyDescent="0.15">
      <c r="A322" s="30"/>
      <c r="B322" s="30"/>
      <c r="D322" s="107"/>
      <c r="E322"/>
      <c r="F322"/>
      <c r="G322"/>
      <c r="H322"/>
      <c r="I322"/>
      <c r="J322"/>
      <c r="K322" s="107"/>
    </row>
    <row r="323" spans="1:11" s="32" customFormat="1" ht="27" customHeight="1" x14ac:dyDescent="0.15">
      <c r="A323" s="30"/>
      <c r="B323" s="30"/>
      <c r="D323" s="107"/>
      <c r="E323"/>
      <c r="F323"/>
      <c r="G323"/>
      <c r="H323"/>
      <c r="I323"/>
      <c r="J323"/>
      <c r="K323" s="107"/>
    </row>
    <row r="324" spans="1:11" s="32" customFormat="1" ht="27" customHeight="1" x14ac:dyDescent="0.15">
      <c r="A324" s="30"/>
      <c r="B324" s="30"/>
      <c r="D324" s="107"/>
      <c r="E324"/>
      <c r="F324"/>
      <c r="G324"/>
      <c r="H324"/>
      <c r="I324"/>
      <c r="J324"/>
      <c r="K324" s="107"/>
    </row>
    <row r="325" spans="1:11" s="32" customFormat="1" ht="27" customHeight="1" x14ac:dyDescent="0.15">
      <c r="A325" s="30"/>
      <c r="B325" s="30"/>
      <c r="D325" s="107"/>
      <c r="E325"/>
      <c r="F325"/>
      <c r="G325"/>
      <c r="H325"/>
      <c r="I325"/>
      <c r="J325"/>
      <c r="K325" s="107"/>
    </row>
    <row r="326" spans="1:11" s="32" customFormat="1" ht="27" customHeight="1" x14ac:dyDescent="0.15">
      <c r="A326" s="30"/>
      <c r="B326" s="30"/>
      <c r="D326" s="107"/>
      <c r="E326"/>
      <c r="F326"/>
      <c r="G326"/>
      <c r="H326"/>
      <c r="I326"/>
      <c r="J326"/>
      <c r="K326" s="107"/>
    </row>
    <row r="327" spans="1:11" s="32" customFormat="1" ht="27" customHeight="1" x14ac:dyDescent="0.15">
      <c r="A327" s="30"/>
      <c r="B327" s="30"/>
      <c r="D327" s="107"/>
      <c r="E327"/>
      <c r="F327"/>
      <c r="G327"/>
      <c r="H327"/>
      <c r="I327"/>
      <c r="J327"/>
      <c r="K327" s="107"/>
    </row>
    <row r="328" spans="1:11" s="32" customFormat="1" ht="27" customHeight="1" x14ac:dyDescent="0.15">
      <c r="A328" s="30"/>
      <c r="B328" s="30"/>
      <c r="D328" s="107"/>
      <c r="E328"/>
      <c r="F328"/>
      <c r="G328"/>
      <c r="H328"/>
      <c r="I328"/>
      <c r="J328"/>
      <c r="K328" s="107"/>
    </row>
    <row r="329" spans="1:11" s="32" customFormat="1" ht="27" customHeight="1" x14ac:dyDescent="0.15">
      <c r="A329" s="30"/>
      <c r="B329" s="30"/>
      <c r="D329" s="107"/>
      <c r="E329"/>
      <c r="F329"/>
      <c r="G329"/>
      <c r="H329"/>
      <c r="I329"/>
      <c r="J329"/>
      <c r="K329" s="107"/>
    </row>
    <row r="330" spans="1:11" s="32" customFormat="1" ht="27" customHeight="1" x14ac:dyDescent="0.15">
      <c r="A330" s="30"/>
      <c r="B330" s="30"/>
      <c r="D330" s="107"/>
      <c r="E330"/>
      <c r="F330"/>
      <c r="G330"/>
      <c r="H330"/>
      <c r="I330"/>
      <c r="J330"/>
      <c r="K330" s="107"/>
    </row>
    <row r="331" spans="1:11" s="32" customFormat="1" ht="27" customHeight="1" x14ac:dyDescent="0.15">
      <c r="A331" s="30"/>
      <c r="B331" s="30"/>
      <c r="D331" s="107"/>
      <c r="E331"/>
      <c r="F331"/>
      <c r="G331"/>
      <c r="H331"/>
      <c r="I331"/>
      <c r="J331"/>
      <c r="K331" s="107"/>
    </row>
    <row r="332" spans="1:11" s="32" customFormat="1" ht="27" customHeight="1" x14ac:dyDescent="0.15">
      <c r="A332" s="30"/>
      <c r="B332" s="30"/>
      <c r="D332" s="107"/>
      <c r="E332"/>
      <c r="F332"/>
      <c r="G332"/>
      <c r="H332"/>
      <c r="I332"/>
      <c r="J332"/>
      <c r="K332" s="107"/>
    </row>
    <row r="333" spans="1:11" s="32" customFormat="1" ht="27" customHeight="1" x14ac:dyDescent="0.15">
      <c r="A333" s="30"/>
      <c r="B333" s="30"/>
      <c r="D333" s="107"/>
      <c r="E333"/>
      <c r="F333"/>
      <c r="G333"/>
      <c r="H333"/>
      <c r="I333"/>
      <c r="J333"/>
      <c r="K333" s="107"/>
    </row>
    <row r="334" spans="1:11" s="32" customFormat="1" ht="27" customHeight="1" x14ac:dyDescent="0.15">
      <c r="A334" s="30"/>
      <c r="B334" s="30"/>
      <c r="D334" s="107"/>
      <c r="E334"/>
      <c r="F334"/>
      <c r="G334"/>
      <c r="H334"/>
      <c r="I334"/>
      <c r="J334"/>
      <c r="K334" s="107"/>
    </row>
    <row r="335" spans="1:11" s="32" customFormat="1" ht="27" customHeight="1" x14ac:dyDescent="0.15">
      <c r="A335" s="30"/>
      <c r="B335" s="30"/>
      <c r="D335" s="107"/>
      <c r="E335"/>
      <c r="F335"/>
      <c r="G335"/>
      <c r="H335"/>
      <c r="I335"/>
      <c r="J335"/>
      <c r="K335" s="107"/>
    </row>
    <row r="336" spans="1:11" s="32" customFormat="1" ht="27" customHeight="1" x14ac:dyDescent="0.15">
      <c r="A336" s="30"/>
      <c r="B336" s="30"/>
      <c r="D336" s="107"/>
      <c r="E336"/>
      <c r="F336"/>
      <c r="G336"/>
      <c r="H336"/>
      <c r="I336"/>
      <c r="J336"/>
      <c r="K336" s="107"/>
    </row>
    <row r="337" spans="1:11" s="32" customFormat="1" ht="27" customHeight="1" x14ac:dyDescent="0.15">
      <c r="A337" s="30"/>
      <c r="B337" s="30"/>
      <c r="D337" s="107"/>
      <c r="E337"/>
      <c r="F337"/>
      <c r="G337"/>
      <c r="H337"/>
      <c r="I337"/>
      <c r="J337"/>
      <c r="K337" s="107"/>
    </row>
    <row r="338" spans="1:11" s="32" customFormat="1" ht="27" customHeight="1" x14ac:dyDescent="0.15">
      <c r="A338" s="30"/>
      <c r="B338" s="30"/>
      <c r="D338" s="107"/>
      <c r="E338"/>
      <c r="F338"/>
      <c r="G338"/>
      <c r="H338"/>
      <c r="I338"/>
      <c r="J338"/>
      <c r="K338" s="107"/>
    </row>
    <row r="339" spans="1:11" s="32" customFormat="1" ht="27" customHeight="1" x14ac:dyDescent="0.15">
      <c r="A339" s="30"/>
      <c r="B339" s="30"/>
      <c r="D339" s="107"/>
      <c r="E339"/>
      <c r="F339"/>
      <c r="G339"/>
      <c r="H339"/>
      <c r="I339"/>
      <c r="J339"/>
      <c r="K339" s="107"/>
    </row>
    <row r="340" spans="1:11" s="32" customFormat="1" ht="27" customHeight="1" x14ac:dyDescent="0.15">
      <c r="A340" s="30"/>
      <c r="B340" s="30"/>
      <c r="D340" s="107"/>
      <c r="E340"/>
      <c r="F340"/>
      <c r="G340"/>
      <c r="H340"/>
      <c r="I340"/>
      <c r="J340"/>
      <c r="K340" s="107"/>
    </row>
    <row r="341" spans="1:11" s="32" customFormat="1" ht="27" customHeight="1" x14ac:dyDescent="0.15">
      <c r="A341" s="30"/>
      <c r="B341" s="30"/>
      <c r="D341" s="107"/>
      <c r="E341"/>
      <c r="F341"/>
      <c r="G341"/>
      <c r="H341"/>
      <c r="I341"/>
      <c r="J341"/>
      <c r="K341" s="107"/>
    </row>
    <row r="342" spans="1:11" s="32" customFormat="1" ht="27" customHeight="1" x14ac:dyDescent="0.15">
      <c r="A342" s="30"/>
      <c r="B342" s="30"/>
      <c r="D342" s="107"/>
      <c r="E342"/>
      <c r="F342"/>
      <c r="G342"/>
      <c r="H342"/>
      <c r="I342"/>
      <c r="J342"/>
      <c r="K342" s="107"/>
    </row>
    <row r="343" spans="1:11" s="32" customFormat="1" ht="27" customHeight="1" x14ac:dyDescent="0.15">
      <c r="A343" s="30"/>
      <c r="B343" s="30"/>
      <c r="D343" s="107"/>
      <c r="E343"/>
      <c r="F343"/>
      <c r="G343"/>
      <c r="H343"/>
      <c r="I343"/>
      <c r="J343"/>
      <c r="K343" s="107"/>
    </row>
    <row r="344" spans="1:11" s="32" customFormat="1" ht="27" customHeight="1" x14ac:dyDescent="0.15">
      <c r="A344" s="30"/>
      <c r="B344" s="30"/>
      <c r="D344" s="107"/>
      <c r="E344"/>
      <c r="F344"/>
      <c r="G344"/>
      <c r="H344"/>
      <c r="I344"/>
      <c r="J344"/>
      <c r="K344" s="107"/>
    </row>
    <row r="345" spans="1:11" s="32" customFormat="1" ht="27" customHeight="1" x14ac:dyDescent="0.15">
      <c r="A345" s="30"/>
      <c r="B345" s="30"/>
      <c r="D345" s="107"/>
      <c r="E345"/>
      <c r="F345"/>
      <c r="G345"/>
      <c r="H345"/>
      <c r="I345"/>
      <c r="J345"/>
      <c r="K345" s="107"/>
    </row>
    <row r="346" spans="1:11" s="32" customFormat="1" ht="27" customHeight="1" x14ac:dyDescent="0.15">
      <c r="A346" s="30"/>
      <c r="B346" s="30"/>
      <c r="D346" s="107"/>
      <c r="E346"/>
      <c r="F346"/>
      <c r="G346"/>
      <c r="H346"/>
      <c r="I346"/>
      <c r="J346"/>
      <c r="K346" s="107"/>
    </row>
    <row r="347" spans="1:11" s="32" customFormat="1" ht="27" customHeight="1" x14ac:dyDescent="0.15">
      <c r="A347" s="30"/>
      <c r="B347" s="30"/>
      <c r="D347" s="107"/>
      <c r="E347"/>
      <c r="F347"/>
      <c r="G347"/>
      <c r="H347"/>
      <c r="I347"/>
      <c r="J347"/>
      <c r="K347" s="107"/>
    </row>
    <row r="348" spans="1:11" s="32" customFormat="1" ht="27" customHeight="1" x14ac:dyDescent="0.15">
      <c r="A348" s="30"/>
      <c r="B348" s="30"/>
      <c r="D348" s="107"/>
      <c r="E348"/>
      <c r="F348"/>
      <c r="G348"/>
      <c r="H348"/>
      <c r="I348"/>
      <c r="J348"/>
      <c r="K348" s="107"/>
    </row>
    <row r="349" spans="1:11" s="32" customFormat="1" ht="27" customHeight="1" x14ac:dyDescent="0.15">
      <c r="A349" s="30"/>
      <c r="B349" s="30"/>
      <c r="D349" s="107"/>
      <c r="E349"/>
      <c r="F349"/>
      <c r="G349"/>
      <c r="H349"/>
      <c r="I349"/>
      <c r="J349"/>
      <c r="K349" s="107"/>
    </row>
    <row r="350" spans="1:11" s="32" customFormat="1" ht="27" customHeight="1" x14ac:dyDescent="0.15">
      <c r="A350" s="30"/>
      <c r="B350" s="30"/>
      <c r="D350" s="107"/>
      <c r="E350"/>
      <c r="F350"/>
      <c r="G350"/>
      <c r="H350"/>
      <c r="I350"/>
      <c r="J350"/>
      <c r="K350" s="107"/>
    </row>
    <row r="351" spans="1:11" s="32" customFormat="1" ht="27" customHeight="1" x14ac:dyDescent="0.15">
      <c r="A351" s="30"/>
      <c r="B351" s="30"/>
      <c r="D351" s="107"/>
      <c r="E351"/>
      <c r="F351"/>
      <c r="G351"/>
      <c r="H351"/>
      <c r="I351"/>
      <c r="J351"/>
      <c r="K351" s="107"/>
    </row>
    <row r="352" spans="1:11" s="32" customFormat="1" ht="27" customHeight="1" x14ac:dyDescent="0.15">
      <c r="A352" s="30"/>
      <c r="B352" s="30"/>
      <c r="D352" s="107"/>
      <c r="E352"/>
      <c r="F352"/>
      <c r="G352"/>
      <c r="H352"/>
      <c r="I352"/>
      <c r="J352"/>
      <c r="K352" s="107"/>
    </row>
    <row r="353" spans="1:11" s="32" customFormat="1" ht="27" customHeight="1" x14ac:dyDescent="0.15">
      <c r="A353" s="30"/>
      <c r="B353" s="30"/>
      <c r="D353" s="107"/>
      <c r="E353"/>
      <c r="F353"/>
      <c r="G353"/>
      <c r="H353"/>
      <c r="I353"/>
      <c r="J353"/>
      <c r="K353" s="107"/>
    </row>
    <row r="354" spans="1:11" s="32" customFormat="1" ht="27" customHeight="1" x14ac:dyDescent="0.15">
      <c r="A354" s="30"/>
      <c r="B354" s="30"/>
      <c r="D354" s="107"/>
      <c r="E354"/>
      <c r="F354"/>
      <c r="G354"/>
      <c r="H354"/>
      <c r="I354"/>
      <c r="J354"/>
      <c r="K354" s="107"/>
    </row>
    <row r="355" spans="1:11" s="32" customFormat="1" ht="27" customHeight="1" x14ac:dyDescent="0.15">
      <c r="A355" s="30"/>
      <c r="B355" s="30"/>
      <c r="D355" s="107"/>
      <c r="E355"/>
      <c r="F355"/>
      <c r="G355"/>
      <c r="H355"/>
      <c r="I355"/>
      <c r="J355"/>
      <c r="K355" s="107"/>
    </row>
    <row r="356" spans="1:11" s="32" customFormat="1" ht="27" customHeight="1" x14ac:dyDescent="0.15">
      <c r="A356" s="30"/>
      <c r="B356" s="30"/>
      <c r="D356" s="107"/>
      <c r="E356"/>
      <c r="F356"/>
      <c r="G356"/>
      <c r="H356"/>
      <c r="I356"/>
      <c r="J356"/>
      <c r="K356" s="107"/>
    </row>
    <row r="357" spans="1:11" s="32" customFormat="1" ht="27" customHeight="1" x14ac:dyDescent="0.15">
      <c r="A357" s="30"/>
      <c r="B357" s="30"/>
      <c r="D357" s="107"/>
      <c r="E357"/>
      <c r="F357"/>
      <c r="G357"/>
      <c r="H357"/>
      <c r="I357"/>
      <c r="J357"/>
      <c r="K357" s="107"/>
    </row>
    <row r="358" spans="1:11" s="32" customFormat="1" ht="27" customHeight="1" x14ac:dyDescent="0.15">
      <c r="A358" s="30"/>
      <c r="B358" s="30"/>
      <c r="D358" s="107"/>
      <c r="E358"/>
      <c r="F358"/>
      <c r="G358"/>
      <c r="H358"/>
      <c r="I358"/>
      <c r="J358"/>
      <c r="K358" s="107"/>
    </row>
    <row r="359" spans="1:11" s="32" customFormat="1" ht="27" customHeight="1" x14ac:dyDescent="0.15">
      <c r="A359" s="30"/>
      <c r="B359" s="30"/>
      <c r="D359" s="107"/>
      <c r="E359"/>
      <c r="F359"/>
      <c r="G359"/>
      <c r="H359"/>
      <c r="I359"/>
      <c r="J359"/>
      <c r="K359" s="107"/>
    </row>
    <row r="360" spans="1:11" s="32" customFormat="1" ht="27" customHeight="1" x14ac:dyDescent="0.15">
      <c r="A360" s="30"/>
      <c r="B360" s="30"/>
      <c r="D360" s="107"/>
      <c r="E360"/>
      <c r="F360"/>
      <c r="G360"/>
      <c r="H360"/>
      <c r="I360"/>
      <c r="J360"/>
      <c r="K360" s="107"/>
    </row>
    <row r="361" spans="1:11" s="32" customFormat="1" ht="27" customHeight="1" x14ac:dyDescent="0.15">
      <c r="A361" s="30"/>
      <c r="B361" s="30"/>
      <c r="D361" s="107"/>
      <c r="E361"/>
      <c r="F361"/>
      <c r="G361"/>
      <c r="H361"/>
      <c r="I361"/>
      <c r="J361"/>
      <c r="K361" s="107"/>
    </row>
    <row r="362" spans="1:11" s="32" customFormat="1" ht="27" customHeight="1" x14ac:dyDescent="0.15">
      <c r="A362" s="30"/>
      <c r="B362" s="30"/>
      <c r="D362" s="107"/>
      <c r="E362"/>
      <c r="F362"/>
      <c r="G362"/>
      <c r="H362"/>
      <c r="I362"/>
      <c r="J362"/>
      <c r="K362" s="107"/>
    </row>
    <row r="363" spans="1:11" s="32" customFormat="1" ht="27" customHeight="1" x14ac:dyDescent="0.15">
      <c r="A363" s="30"/>
      <c r="B363" s="30"/>
      <c r="D363" s="107"/>
      <c r="E363"/>
      <c r="F363"/>
      <c r="G363"/>
      <c r="H363"/>
      <c r="I363"/>
      <c r="J363"/>
      <c r="K363" s="107"/>
    </row>
    <row r="364" spans="1:11" s="32" customFormat="1" ht="27" customHeight="1" x14ac:dyDescent="0.15">
      <c r="A364" s="30"/>
      <c r="B364" s="30"/>
      <c r="D364" s="107"/>
      <c r="E364"/>
      <c r="F364"/>
      <c r="G364"/>
      <c r="H364"/>
      <c r="I364"/>
      <c r="J364"/>
      <c r="K364" s="107"/>
    </row>
    <row r="365" spans="1:11" s="32" customFormat="1" ht="27" customHeight="1" x14ac:dyDescent="0.15">
      <c r="A365" s="30"/>
      <c r="B365" s="30"/>
      <c r="D365" s="107"/>
      <c r="E365"/>
      <c r="F365"/>
      <c r="G365"/>
      <c r="H365"/>
      <c r="I365"/>
      <c r="J365"/>
      <c r="K365" s="107"/>
    </row>
    <row r="366" spans="1:11" s="32" customFormat="1" ht="27" customHeight="1" x14ac:dyDescent="0.15">
      <c r="A366" s="30"/>
      <c r="B366" s="30"/>
      <c r="D366" s="107"/>
      <c r="E366"/>
      <c r="F366"/>
      <c r="G366"/>
      <c r="H366"/>
      <c r="I366"/>
      <c r="J366"/>
      <c r="K366" s="107"/>
    </row>
    <row r="367" spans="1:11" s="32" customFormat="1" ht="27" customHeight="1" x14ac:dyDescent="0.15">
      <c r="A367" s="30"/>
      <c r="B367" s="30"/>
      <c r="D367" s="107"/>
      <c r="E367"/>
      <c r="F367"/>
      <c r="G367"/>
      <c r="H367"/>
      <c r="I367"/>
      <c r="J367"/>
      <c r="K367" s="107"/>
    </row>
    <row r="368" spans="1:11" s="32" customFormat="1" ht="27" customHeight="1" x14ac:dyDescent="0.15">
      <c r="A368" s="30"/>
      <c r="B368" s="30"/>
      <c r="D368" s="107"/>
      <c r="E368"/>
      <c r="F368"/>
      <c r="G368"/>
      <c r="H368"/>
      <c r="I368"/>
      <c r="J368"/>
      <c r="K368" s="107"/>
    </row>
    <row r="369" spans="1:11" s="32" customFormat="1" ht="27" customHeight="1" x14ac:dyDescent="0.15">
      <c r="A369" s="30"/>
      <c r="B369" s="30"/>
      <c r="D369" s="107"/>
      <c r="E369"/>
      <c r="F369"/>
      <c r="G369"/>
      <c r="H369"/>
      <c r="I369"/>
      <c r="J369"/>
      <c r="K369" s="107"/>
    </row>
    <row r="370" spans="1:11" s="32" customFormat="1" ht="27" customHeight="1" x14ac:dyDescent="0.15">
      <c r="A370" s="30"/>
      <c r="B370" s="30"/>
      <c r="D370" s="107"/>
      <c r="E370"/>
      <c r="F370"/>
      <c r="G370"/>
      <c r="H370"/>
      <c r="I370"/>
      <c r="J370"/>
      <c r="K370" s="107"/>
    </row>
    <row r="371" spans="1:11" s="32" customFormat="1" ht="27" customHeight="1" x14ac:dyDescent="0.15">
      <c r="A371" s="30"/>
      <c r="B371" s="30"/>
      <c r="D371" s="107"/>
      <c r="E371"/>
      <c r="F371"/>
      <c r="G371"/>
      <c r="H371"/>
      <c r="I371"/>
      <c r="J371"/>
      <c r="K371" s="107"/>
    </row>
    <row r="372" spans="1:11" s="32" customFormat="1" ht="27" customHeight="1" x14ac:dyDescent="0.15">
      <c r="A372" s="30"/>
      <c r="B372" s="30"/>
      <c r="D372" s="107"/>
      <c r="E372"/>
      <c r="F372"/>
      <c r="G372"/>
      <c r="H372"/>
      <c r="I372"/>
      <c r="J372"/>
      <c r="K372" s="107"/>
    </row>
    <row r="373" spans="1:11" s="32" customFormat="1" ht="27" customHeight="1" x14ac:dyDescent="0.15">
      <c r="A373" s="30"/>
      <c r="B373" s="30"/>
      <c r="D373" s="107"/>
      <c r="E373"/>
      <c r="F373"/>
      <c r="G373"/>
      <c r="H373"/>
      <c r="I373"/>
      <c r="J373"/>
      <c r="K373" s="107"/>
    </row>
    <row r="374" spans="1:11" s="32" customFormat="1" ht="27" customHeight="1" x14ac:dyDescent="0.15">
      <c r="A374" s="30"/>
      <c r="B374" s="30"/>
      <c r="D374" s="107"/>
      <c r="E374"/>
      <c r="F374"/>
      <c r="G374"/>
      <c r="H374"/>
      <c r="I374"/>
      <c r="J374"/>
      <c r="K374" s="107"/>
    </row>
    <row r="375" spans="1:11" s="32" customFormat="1" ht="27" customHeight="1" x14ac:dyDescent="0.15">
      <c r="A375" s="30"/>
      <c r="B375" s="30"/>
      <c r="D375" s="107"/>
      <c r="E375"/>
      <c r="F375"/>
      <c r="G375"/>
      <c r="H375"/>
      <c r="I375"/>
      <c r="J375"/>
      <c r="K375" s="107"/>
    </row>
    <row r="376" spans="1:11" s="32" customFormat="1" ht="27" customHeight="1" x14ac:dyDescent="0.15">
      <c r="A376" s="30"/>
      <c r="B376" s="30"/>
      <c r="D376" s="107"/>
      <c r="E376"/>
      <c r="F376"/>
      <c r="G376"/>
      <c r="H376"/>
      <c r="I376"/>
      <c r="J376"/>
      <c r="K376" s="107"/>
    </row>
    <row r="377" spans="1:11" s="32" customFormat="1" ht="27" customHeight="1" x14ac:dyDescent="0.15">
      <c r="A377" s="30"/>
      <c r="B377" s="30"/>
      <c r="D377" s="107"/>
      <c r="E377"/>
      <c r="F377"/>
      <c r="G377"/>
      <c r="H377"/>
      <c r="I377"/>
      <c r="J377"/>
      <c r="K377" s="107"/>
    </row>
    <row r="378" spans="1:11" s="32" customFormat="1" ht="27" customHeight="1" x14ac:dyDescent="0.15">
      <c r="A378" s="30"/>
      <c r="B378" s="30"/>
      <c r="D378" s="107"/>
      <c r="E378"/>
      <c r="F378"/>
      <c r="G378"/>
      <c r="H378"/>
      <c r="I378"/>
      <c r="J378"/>
      <c r="K378" s="107"/>
    </row>
    <row r="379" spans="1:11" s="32" customFormat="1" ht="27" customHeight="1" x14ac:dyDescent="0.15">
      <c r="A379" s="30"/>
      <c r="B379" s="30"/>
      <c r="D379" s="107"/>
      <c r="E379"/>
      <c r="F379"/>
      <c r="G379"/>
      <c r="H379"/>
      <c r="I379"/>
      <c r="J379"/>
      <c r="K379" s="107"/>
    </row>
    <row r="380" spans="1:11" s="32" customFormat="1" ht="27" customHeight="1" x14ac:dyDescent="0.15">
      <c r="A380" s="30"/>
      <c r="B380" s="30"/>
      <c r="D380" s="107"/>
      <c r="E380"/>
      <c r="F380"/>
      <c r="G380"/>
      <c r="H380"/>
      <c r="I380"/>
      <c r="J380"/>
      <c r="K380" s="107"/>
    </row>
    <row r="381" spans="1:11" s="32" customFormat="1" ht="27" customHeight="1" x14ac:dyDescent="0.15">
      <c r="A381" s="30"/>
      <c r="B381" s="30"/>
      <c r="D381" s="107"/>
      <c r="E381"/>
      <c r="F381"/>
      <c r="G381"/>
      <c r="H381"/>
      <c r="I381"/>
      <c r="J381"/>
      <c r="K381" s="107"/>
    </row>
    <row r="382" spans="1:11" s="32" customFormat="1" ht="27" customHeight="1" x14ac:dyDescent="0.15">
      <c r="A382" s="30"/>
      <c r="B382" s="30"/>
      <c r="D382" s="107"/>
      <c r="E382"/>
      <c r="F382"/>
      <c r="G382"/>
      <c r="H382"/>
      <c r="I382"/>
      <c r="J382"/>
      <c r="K382" s="107"/>
    </row>
    <row r="383" spans="1:11" s="32" customFormat="1" ht="27" customHeight="1" x14ac:dyDescent="0.15">
      <c r="A383" s="30"/>
      <c r="B383" s="30"/>
      <c r="D383" s="107"/>
      <c r="E383"/>
      <c r="F383"/>
      <c r="G383"/>
      <c r="H383"/>
      <c r="I383"/>
      <c r="J383"/>
      <c r="K383" s="107"/>
    </row>
    <row r="384" spans="1:11" s="32" customFormat="1" ht="27" customHeight="1" x14ac:dyDescent="0.15">
      <c r="A384" s="30"/>
      <c r="B384" s="30"/>
      <c r="D384" s="107"/>
      <c r="E384"/>
      <c r="F384"/>
      <c r="G384"/>
      <c r="H384"/>
      <c r="I384"/>
      <c r="J384"/>
      <c r="K384" s="107"/>
    </row>
    <row r="385" spans="1:11" s="32" customFormat="1" ht="27" customHeight="1" x14ac:dyDescent="0.15">
      <c r="A385" s="30"/>
      <c r="B385" s="30"/>
      <c r="D385" s="107"/>
      <c r="E385"/>
      <c r="F385"/>
      <c r="G385"/>
      <c r="H385"/>
      <c r="I385"/>
      <c r="J385"/>
      <c r="K385" s="107"/>
    </row>
    <row r="386" spans="1:11" s="32" customFormat="1" ht="27" customHeight="1" x14ac:dyDescent="0.15">
      <c r="A386" s="30"/>
      <c r="B386" s="30"/>
      <c r="D386" s="107"/>
      <c r="E386"/>
      <c r="F386"/>
      <c r="G386"/>
      <c r="H386"/>
      <c r="I386"/>
      <c r="J386"/>
      <c r="K386" s="107"/>
    </row>
    <row r="387" spans="1:11" s="32" customFormat="1" ht="27" customHeight="1" x14ac:dyDescent="0.15">
      <c r="A387" s="30"/>
      <c r="B387" s="30"/>
      <c r="D387" s="107"/>
      <c r="E387"/>
      <c r="F387"/>
      <c r="G387"/>
      <c r="H387"/>
      <c r="I387"/>
      <c r="J387"/>
      <c r="K387" s="107"/>
    </row>
    <row r="388" spans="1:11" s="32" customFormat="1" ht="27" customHeight="1" x14ac:dyDescent="0.15">
      <c r="A388" s="30"/>
      <c r="B388" s="30"/>
      <c r="D388" s="107"/>
      <c r="E388"/>
      <c r="F388"/>
      <c r="G388"/>
      <c r="H388"/>
      <c r="I388"/>
      <c r="J388"/>
      <c r="K388" s="107"/>
    </row>
    <row r="389" spans="1:11" s="32" customFormat="1" ht="27" customHeight="1" x14ac:dyDescent="0.15">
      <c r="A389" s="30"/>
      <c r="B389" s="30"/>
      <c r="D389" s="107"/>
      <c r="E389"/>
      <c r="F389"/>
      <c r="G389"/>
      <c r="H389"/>
      <c r="I389"/>
      <c r="J389"/>
      <c r="K389" s="107"/>
    </row>
    <row r="390" spans="1:11" s="32" customFormat="1" ht="27" customHeight="1" x14ac:dyDescent="0.15">
      <c r="A390" s="30"/>
      <c r="B390" s="30"/>
      <c r="D390" s="107"/>
      <c r="E390"/>
      <c r="F390"/>
      <c r="G390"/>
      <c r="H390"/>
      <c r="I390"/>
      <c r="J390"/>
      <c r="K390" s="107"/>
    </row>
    <row r="391" spans="1:11" s="32" customFormat="1" ht="27" customHeight="1" x14ac:dyDescent="0.15">
      <c r="A391" s="30"/>
      <c r="B391" s="30"/>
      <c r="D391" s="107"/>
      <c r="E391"/>
      <c r="F391"/>
      <c r="G391"/>
      <c r="H391"/>
      <c r="I391"/>
      <c r="J391"/>
      <c r="K391" s="107"/>
    </row>
    <row r="392" spans="1:11" s="32" customFormat="1" ht="27" customHeight="1" x14ac:dyDescent="0.15">
      <c r="A392" s="30"/>
      <c r="B392" s="30"/>
      <c r="D392" s="107"/>
      <c r="E392"/>
      <c r="F392"/>
      <c r="G392"/>
      <c r="H392"/>
      <c r="I392"/>
      <c r="J392"/>
      <c r="K392" s="107"/>
    </row>
    <row r="393" spans="1:11" s="32" customFormat="1" ht="27" customHeight="1" x14ac:dyDescent="0.15">
      <c r="A393" s="30"/>
      <c r="B393" s="30"/>
      <c r="D393" s="107"/>
      <c r="E393"/>
      <c r="F393"/>
      <c r="G393"/>
      <c r="H393"/>
      <c r="I393"/>
      <c r="J393"/>
      <c r="K393" s="107"/>
    </row>
    <row r="394" spans="1:11" s="32" customFormat="1" ht="27" customHeight="1" x14ac:dyDescent="0.15">
      <c r="A394" s="30"/>
      <c r="B394" s="30"/>
      <c r="D394" s="107"/>
      <c r="E394"/>
      <c r="F394"/>
      <c r="G394"/>
      <c r="H394"/>
      <c r="I394"/>
      <c r="J394"/>
      <c r="K394" s="107"/>
    </row>
    <row r="395" spans="1:11" s="32" customFormat="1" ht="27" customHeight="1" x14ac:dyDescent="0.15">
      <c r="A395" s="30"/>
      <c r="B395" s="30"/>
      <c r="D395" s="107"/>
      <c r="E395"/>
      <c r="F395"/>
      <c r="G395"/>
      <c r="H395"/>
      <c r="I395"/>
      <c r="J395"/>
      <c r="K395" s="107"/>
    </row>
    <row r="396" spans="1:11" s="32" customFormat="1" ht="27" customHeight="1" x14ac:dyDescent="0.15">
      <c r="A396" s="30"/>
      <c r="B396" s="30"/>
      <c r="D396" s="107"/>
      <c r="E396"/>
      <c r="F396"/>
      <c r="G396"/>
      <c r="H396"/>
      <c r="I396"/>
      <c r="J396"/>
      <c r="K396" s="107"/>
    </row>
    <row r="397" spans="1:11" s="32" customFormat="1" ht="27" customHeight="1" x14ac:dyDescent="0.15">
      <c r="A397" s="30"/>
      <c r="B397" s="30"/>
      <c r="D397" s="107"/>
      <c r="E397"/>
      <c r="F397"/>
      <c r="G397"/>
      <c r="H397"/>
      <c r="I397"/>
      <c r="J397"/>
      <c r="K397" s="107"/>
    </row>
    <row r="398" spans="1:11" s="32" customFormat="1" ht="27" customHeight="1" x14ac:dyDescent="0.15">
      <c r="A398" s="30"/>
      <c r="B398" s="30"/>
      <c r="D398" s="107"/>
      <c r="E398"/>
      <c r="F398"/>
      <c r="G398"/>
      <c r="H398"/>
      <c r="I398"/>
      <c r="J398"/>
      <c r="K398" s="107"/>
    </row>
    <row r="399" spans="1:11" s="32" customFormat="1" ht="27" customHeight="1" x14ac:dyDescent="0.15">
      <c r="A399" s="30"/>
      <c r="B399" s="30"/>
      <c r="D399" s="107"/>
      <c r="E399"/>
      <c r="F399"/>
      <c r="G399"/>
      <c r="H399"/>
      <c r="I399"/>
      <c r="J399"/>
      <c r="K399" s="107"/>
    </row>
    <row r="400" spans="1:11" s="32" customFormat="1" ht="27" customHeight="1" x14ac:dyDescent="0.15">
      <c r="A400" s="30"/>
      <c r="B400" s="30"/>
      <c r="D400" s="107"/>
      <c r="E400"/>
      <c r="F400"/>
      <c r="G400"/>
      <c r="H400"/>
      <c r="I400"/>
      <c r="J400"/>
      <c r="K400" s="107"/>
    </row>
    <row r="401" spans="1:11" s="32" customFormat="1" ht="27" customHeight="1" x14ac:dyDescent="0.15">
      <c r="A401" s="30"/>
      <c r="B401" s="30"/>
      <c r="D401" s="107"/>
      <c r="E401"/>
      <c r="F401"/>
      <c r="G401"/>
      <c r="H401"/>
      <c r="I401"/>
      <c r="J401"/>
      <c r="K401" s="107"/>
    </row>
    <row r="402" spans="1:11" s="32" customFormat="1" ht="27" customHeight="1" x14ac:dyDescent="0.15">
      <c r="A402" s="30"/>
      <c r="B402" s="30"/>
      <c r="D402" s="107"/>
      <c r="E402"/>
      <c r="F402"/>
      <c r="G402"/>
      <c r="H402"/>
      <c r="I402"/>
      <c r="J402"/>
      <c r="K402" s="107"/>
    </row>
    <row r="403" spans="1:11" s="32" customFormat="1" ht="27" customHeight="1" x14ac:dyDescent="0.15">
      <c r="A403" s="30"/>
      <c r="B403" s="30"/>
      <c r="D403" s="107"/>
      <c r="E403"/>
      <c r="F403"/>
      <c r="G403"/>
      <c r="H403"/>
      <c r="I403"/>
      <c r="J403"/>
      <c r="K403" s="107"/>
    </row>
    <row r="404" spans="1:11" s="32" customFormat="1" ht="27" customHeight="1" x14ac:dyDescent="0.15">
      <c r="A404" s="30"/>
      <c r="B404" s="30"/>
      <c r="D404" s="107"/>
      <c r="E404"/>
      <c r="F404"/>
      <c r="G404"/>
      <c r="H404"/>
      <c r="I404"/>
      <c r="J404"/>
      <c r="K404" s="107"/>
    </row>
    <row r="405" spans="1:11" s="32" customFormat="1" ht="27" customHeight="1" x14ac:dyDescent="0.15">
      <c r="A405" s="30"/>
      <c r="B405" s="30"/>
      <c r="D405" s="107"/>
      <c r="E405"/>
      <c r="F405"/>
      <c r="G405"/>
      <c r="H405"/>
      <c r="I405"/>
      <c r="J405"/>
      <c r="K405" s="107"/>
    </row>
    <row r="406" spans="1:11" s="32" customFormat="1" ht="27" customHeight="1" x14ac:dyDescent="0.15">
      <c r="A406" s="30"/>
      <c r="B406" s="30"/>
      <c r="D406" s="107"/>
      <c r="E406"/>
      <c r="F406"/>
      <c r="G406"/>
      <c r="H406"/>
      <c r="I406"/>
      <c r="J406"/>
      <c r="K406" s="107"/>
    </row>
    <row r="407" spans="1:11" s="32" customFormat="1" ht="27" customHeight="1" x14ac:dyDescent="0.15">
      <c r="A407" s="30"/>
      <c r="B407" s="30"/>
      <c r="D407" s="107"/>
      <c r="E407"/>
      <c r="F407"/>
      <c r="G407"/>
      <c r="H407"/>
      <c r="I407"/>
      <c r="J407"/>
      <c r="K407" s="107"/>
    </row>
    <row r="408" spans="1:11" s="32" customFormat="1" ht="27" customHeight="1" x14ac:dyDescent="0.15">
      <c r="A408" s="30"/>
      <c r="B408" s="30"/>
      <c r="D408" s="107"/>
      <c r="E408"/>
      <c r="F408"/>
      <c r="G408"/>
      <c r="H408"/>
      <c r="I408"/>
      <c r="J408"/>
      <c r="K408" s="107"/>
    </row>
    <row r="409" spans="1:11" s="32" customFormat="1" ht="27" customHeight="1" x14ac:dyDescent="0.15">
      <c r="A409" s="30"/>
      <c r="B409" s="30"/>
      <c r="D409" s="107"/>
      <c r="E409"/>
      <c r="F409"/>
      <c r="G409"/>
      <c r="H409"/>
      <c r="I409"/>
      <c r="J409"/>
      <c r="K409" s="107"/>
    </row>
    <row r="410" spans="1:11" s="32" customFormat="1" ht="27" customHeight="1" x14ac:dyDescent="0.15">
      <c r="A410" s="30"/>
      <c r="B410" s="30"/>
      <c r="D410" s="107"/>
      <c r="E410"/>
      <c r="F410"/>
      <c r="G410"/>
      <c r="H410"/>
      <c r="I410"/>
      <c r="J410"/>
      <c r="K410" s="107"/>
    </row>
    <row r="411" spans="1:11" s="32" customFormat="1" ht="27" customHeight="1" x14ac:dyDescent="0.15">
      <c r="A411" s="30"/>
      <c r="B411" s="30"/>
      <c r="D411" s="107"/>
      <c r="E411"/>
      <c r="F411"/>
      <c r="G411"/>
      <c r="H411"/>
      <c r="I411"/>
      <c r="J411"/>
      <c r="K411" s="107"/>
    </row>
    <row r="412" spans="1:11" s="32" customFormat="1" ht="27" customHeight="1" x14ac:dyDescent="0.15">
      <c r="A412" s="30"/>
      <c r="B412" s="30"/>
      <c r="D412" s="107"/>
      <c r="E412"/>
      <c r="F412"/>
      <c r="G412"/>
      <c r="H412"/>
      <c r="I412"/>
      <c r="J412"/>
      <c r="K412" s="107"/>
    </row>
    <row r="413" spans="1:11" s="32" customFormat="1" ht="27" customHeight="1" x14ac:dyDescent="0.15">
      <c r="A413" s="30"/>
      <c r="B413" s="30"/>
      <c r="D413" s="107"/>
      <c r="E413"/>
      <c r="F413"/>
      <c r="G413"/>
      <c r="H413"/>
      <c r="I413"/>
      <c r="J413"/>
      <c r="K413" s="107"/>
    </row>
    <row r="414" spans="1:11" s="32" customFormat="1" ht="27" customHeight="1" x14ac:dyDescent="0.15">
      <c r="A414" s="30"/>
      <c r="B414" s="30"/>
      <c r="D414" s="107"/>
      <c r="E414"/>
      <c r="F414"/>
      <c r="G414"/>
      <c r="H414"/>
      <c r="I414"/>
      <c r="J414"/>
      <c r="K414" s="107"/>
    </row>
    <row r="415" spans="1:11" s="32" customFormat="1" ht="27" customHeight="1" x14ac:dyDescent="0.15">
      <c r="A415" s="30"/>
      <c r="B415" s="30"/>
      <c r="D415" s="107"/>
      <c r="E415"/>
      <c r="F415"/>
      <c r="G415"/>
      <c r="H415"/>
      <c r="I415"/>
      <c r="J415"/>
      <c r="K415" s="107"/>
    </row>
    <row r="416" spans="1:11" s="32" customFormat="1" ht="27" customHeight="1" x14ac:dyDescent="0.15">
      <c r="A416" s="30"/>
      <c r="B416" s="30"/>
      <c r="D416" s="107"/>
      <c r="E416"/>
      <c r="F416"/>
      <c r="G416"/>
      <c r="H416"/>
      <c r="I416"/>
      <c r="J416"/>
      <c r="K416" s="107"/>
    </row>
    <row r="417" spans="1:11" s="32" customFormat="1" ht="27" customHeight="1" x14ac:dyDescent="0.15">
      <c r="A417" s="30"/>
      <c r="B417" s="30"/>
      <c r="D417" s="107"/>
      <c r="E417"/>
      <c r="F417"/>
      <c r="G417"/>
      <c r="H417"/>
      <c r="I417"/>
      <c r="J417"/>
      <c r="K417" s="107"/>
    </row>
    <row r="418" spans="1:11" s="32" customFormat="1" ht="27" customHeight="1" x14ac:dyDescent="0.15">
      <c r="A418" s="30"/>
      <c r="B418" s="30"/>
      <c r="D418" s="107"/>
      <c r="E418"/>
      <c r="F418"/>
      <c r="G418"/>
      <c r="H418"/>
      <c r="I418"/>
      <c r="J418"/>
      <c r="K418" s="107"/>
    </row>
    <row r="419" spans="1:11" s="32" customFormat="1" ht="27" customHeight="1" x14ac:dyDescent="0.15">
      <c r="A419" s="30"/>
      <c r="B419" s="30"/>
      <c r="D419" s="107"/>
      <c r="E419"/>
      <c r="F419"/>
      <c r="G419"/>
      <c r="H419"/>
      <c r="I419"/>
      <c r="J419"/>
      <c r="K419" s="107"/>
    </row>
    <row r="420" spans="1:11" s="32" customFormat="1" ht="27" customHeight="1" x14ac:dyDescent="0.15">
      <c r="A420" s="30"/>
      <c r="B420" s="30"/>
      <c r="D420" s="107"/>
      <c r="E420"/>
      <c r="F420"/>
      <c r="G420"/>
      <c r="H420"/>
      <c r="I420"/>
      <c r="J420"/>
      <c r="K420" s="107"/>
    </row>
    <row r="421" spans="1:11" s="32" customFormat="1" ht="27" customHeight="1" x14ac:dyDescent="0.15">
      <c r="A421" s="30"/>
      <c r="B421" s="30"/>
      <c r="D421" s="107"/>
      <c r="E421"/>
      <c r="F421"/>
      <c r="G421"/>
      <c r="H421"/>
      <c r="I421"/>
      <c r="J421"/>
      <c r="K421" s="107"/>
    </row>
    <row r="422" spans="1:11" s="32" customFormat="1" ht="27" customHeight="1" x14ac:dyDescent="0.15">
      <c r="A422" s="30"/>
      <c r="B422" s="30"/>
      <c r="D422" s="107"/>
      <c r="E422"/>
      <c r="F422"/>
      <c r="G422"/>
      <c r="H422"/>
      <c r="I422"/>
      <c r="J422"/>
      <c r="K422" s="107"/>
    </row>
    <row r="423" spans="1:11" s="32" customFormat="1" ht="27" customHeight="1" x14ac:dyDescent="0.15">
      <c r="A423" s="30"/>
      <c r="B423" s="30"/>
      <c r="D423" s="107"/>
      <c r="E423"/>
      <c r="F423"/>
      <c r="G423"/>
      <c r="H423"/>
      <c r="I423"/>
      <c r="J423"/>
      <c r="K423" s="107"/>
    </row>
    <row r="424" spans="1:11" s="32" customFormat="1" ht="27" customHeight="1" x14ac:dyDescent="0.15">
      <c r="A424" s="30"/>
      <c r="B424" s="30"/>
      <c r="D424" s="107"/>
      <c r="E424"/>
      <c r="F424"/>
      <c r="G424"/>
      <c r="H424"/>
      <c r="I424"/>
      <c r="J424"/>
      <c r="K424" s="107"/>
    </row>
    <row r="425" spans="1:11" s="32" customFormat="1" ht="27" customHeight="1" x14ac:dyDescent="0.15">
      <c r="A425" s="30"/>
      <c r="B425" s="30"/>
      <c r="D425" s="107"/>
      <c r="E425"/>
      <c r="F425"/>
      <c r="G425"/>
      <c r="H425"/>
      <c r="I425"/>
      <c r="J425"/>
      <c r="K425" s="107"/>
    </row>
    <row r="426" spans="1:11" s="32" customFormat="1" ht="27" customHeight="1" x14ac:dyDescent="0.15">
      <c r="A426" s="30"/>
      <c r="B426" s="30"/>
      <c r="D426" s="107"/>
      <c r="E426"/>
      <c r="F426"/>
      <c r="G426"/>
      <c r="H426"/>
      <c r="I426"/>
      <c r="J426"/>
      <c r="K426" s="107"/>
    </row>
    <row r="427" spans="1:11" s="32" customFormat="1" ht="27" customHeight="1" x14ac:dyDescent="0.15">
      <c r="A427" s="30"/>
      <c r="B427" s="30"/>
      <c r="D427" s="107"/>
      <c r="E427"/>
      <c r="F427"/>
      <c r="G427"/>
      <c r="H427"/>
      <c r="I427"/>
      <c r="J427"/>
      <c r="K427" s="107"/>
    </row>
    <row r="428" spans="1:11" s="32" customFormat="1" ht="27" customHeight="1" x14ac:dyDescent="0.15">
      <c r="A428" s="30"/>
      <c r="B428" s="30"/>
      <c r="D428" s="107"/>
      <c r="E428"/>
      <c r="F428"/>
      <c r="G428"/>
      <c r="H428"/>
      <c r="I428"/>
      <c r="J428"/>
      <c r="K428" s="107"/>
    </row>
    <row r="429" spans="1:11" s="32" customFormat="1" ht="27" customHeight="1" x14ac:dyDescent="0.15">
      <c r="A429" s="30"/>
      <c r="B429" s="30"/>
      <c r="D429" s="107"/>
      <c r="E429"/>
      <c r="F429"/>
      <c r="G429"/>
      <c r="H429"/>
      <c r="I429"/>
      <c r="J429"/>
      <c r="K429" s="107"/>
    </row>
    <row r="430" spans="1:11" s="32" customFormat="1" ht="27" customHeight="1" x14ac:dyDescent="0.15">
      <c r="A430" s="30"/>
      <c r="B430" s="30"/>
      <c r="D430" s="107"/>
      <c r="E430"/>
      <c r="F430"/>
      <c r="G430"/>
      <c r="H430"/>
      <c r="I430"/>
      <c r="J430"/>
      <c r="K430" s="107"/>
    </row>
    <row r="431" spans="1:11" s="32" customFormat="1" ht="27" customHeight="1" x14ac:dyDescent="0.15">
      <c r="A431" s="30"/>
      <c r="B431" s="30"/>
      <c r="D431" s="107"/>
      <c r="E431"/>
      <c r="F431"/>
      <c r="G431"/>
      <c r="H431"/>
      <c r="I431"/>
      <c r="J431"/>
      <c r="K431" s="107"/>
    </row>
    <row r="432" spans="1:11" s="32" customFormat="1" ht="27" customHeight="1" x14ac:dyDescent="0.15">
      <c r="A432" s="30"/>
      <c r="B432" s="30"/>
      <c r="D432" s="107"/>
      <c r="E432"/>
      <c r="F432"/>
      <c r="G432"/>
      <c r="H432"/>
      <c r="I432"/>
      <c r="J432"/>
      <c r="K432" s="107"/>
    </row>
    <row r="433" spans="1:11" s="32" customFormat="1" ht="27" customHeight="1" x14ac:dyDescent="0.15">
      <c r="A433" s="30"/>
      <c r="B433" s="30"/>
      <c r="D433" s="107"/>
      <c r="E433"/>
      <c r="F433"/>
      <c r="G433"/>
      <c r="H433"/>
      <c r="I433"/>
      <c r="J433"/>
      <c r="K433" s="107"/>
    </row>
    <row r="434" spans="1:11" s="32" customFormat="1" ht="27" customHeight="1" x14ac:dyDescent="0.15">
      <c r="A434" s="30"/>
      <c r="B434" s="30"/>
      <c r="D434" s="107"/>
      <c r="E434"/>
      <c r="F434"/>
      <c r="G434"/>
      <c r="H434"/>
      <c r="I434"/>
      <c r="J434"/>
      <c r="K434" s="107"/>
    </row>
    <row r="435" spans="1:11" s="32" customFormat="1" ht="27" customHeight="1" x14ac:dyDescent="0.15">
      <c r="A435" s="30"/>
      <c r="B435" s="30"/>
      <c r="D435" s="107"/>
      <c r="E435"/>
      <c r="F435"/>
      <c r="G435"/>
      <c r="H435"/>
      <c r="I435"/>
      <c r="J435"/>
      <c r="K435" s="107"/>
    </row>
    <row r="436" spans="1:11" s="32" customFormat="1" ht="27" customHeight="1" x14ac:dyDescent="0.15">
      <c r="A436" s="30"/>
      <c r="B436" s="30"/>
      <c r="D436" s="107"/>
      <c r="E436"/>
      <c r="F436"/>
      <c r="G436"/>
      <c r="H436"/>
      <c r="I436"/>
      <c r="J436"/>
      <c r="K436" s="107"/>
    </row>
    <row r="437" spans="1:11" s="32" customFormat="1" ht="27" customHeight="1" x14ac:dyDescent="0.15">
      <c r="A437" s="30"/>
      <c r="B437" s="30"/>
      <c r="D437" s="107"/>
      <c r="E437"/>
      <c r="F437"/>
      <c r="G437"/>
      <c r="H437"/>
      <c r="I437"/>
      <c r="J437"/>
      <c r="K437" s="107"/>
    </row>
    <row r="438" spans="1:11" s="32" customFormat="1" ht="27" customHeight="1" x14ac:dyDescent="0.15">
      <c r="A438" s="30"/>
      <c r="B438" s="30"/>
      <c r="D438" s="107"/>
      <c r="E438"/>
      <c r="F438"/>
      <c r="G438"/>
      <c r="H438"/>
      <c r="I438"/>
      <c r="J438"/>
      <c r="K438" s="107"/>
    </row>
    <row r="439" spans="1:11" s="32" customFormat="1" ht="27" customHeight="1" x14ac:dyDescent="0.15">
      <c r="A439" s="30"/>
      <c r="B439" s="30"/>
      <c r="D439" s="107"/>
      <c r="E439"/>
      <c r="F439"/>
      <c r="G439"/>
      <c r="H439"/>
      <c r="I439"/>
      <c r="J439"/>
      <c r="K439" s="107"/>
    </row>
    <row r="440" spans="1:11" s="32" customFormat="1" ht="27" customHeight="1" x14ac:dyDescent="0.15">
      <c r="A440" s="30"/>
      <c r="B440" s="30"/>
      <c r="D440" s="107"/>
      <c r="E440"/>
      <c r="F440"/>
      <c r="G440"/>
      <c r="H440"/>
      <c r="I440"/>
      <c r="J440"/>
      <c r="K440" s="107"/>
    </row>
    <row r="441" spans="1:11" s="32" customFormat="1" ht="27" customHeight="1" x14ac:dyDescent="0.15">
      <c r="A441" s="30"/>
      <c r="B441" s="30"/>
      <c r="D441" s="107"/>
      <c r="E441"/>
      <c r="F441"/>
      <c r="G441"/>
      <c r="H441"/>
      <c r="I441"/>
      <c r="J441"/>
      <c r="K441" s="107"/>
    </row>
    <row r="442" spans="1:11" s="32" customFormat="1" ht="27" customHeight="1" x14ac:dyDescent="0.15">
      <c r="A442" s="30"/>
      <c r="B442" s="30"/>
      <c r="D442" s="107"/>
      <c r="E442"/>
      <c r="F442"/>
      <c r="G442"/>
      <c r="H442"/>
      <c r="I442"/>
      <c r="J442"/>
      <c r="K442" s="107"/>
    </row>
    <row r="443" spans="1:11" s="32" customFormat="1" ht="27" customHeight="1" x14ac:dyDescent="0.15">
      <c r="A443" s="30"/>
      <c r="B443" s="30"/>
      <c r="D443" s="107"/>
      <c r="E443"/>
      <c r="F443"/>
      <c r="G443"/>
      <c r="H443"/>
      <c r="I443"/>
      <c r="J443"/>
      <c r="K443" s="107"/>
    </row>
    <row r="444" spans="1:11" s="32" customFormat="1" ht="27" customHeight="1" x14ac:dyDescent="0.15">
      <c r="A444" s="30"/>
      <c r="B444" s="30"/>
      <c r="D444" s="107"/>
      <c r="E444"/>
      <c r="F444"/>
      <c r="G444"/>
      <c r="H444"/>
      <c r="I444"/>
      <c r="J444"/>
      <c r="K444" s="107"/>
    </row>
    <row r="445" spans="1:11" s="32" customFormat="1" ht="27" customHeight="1" x14ac:dyDescent="0.15">
      <c r="A445" s="30"/>
      <c r="B445" s="30"/>
      <c r="D445" s="107"/>
      <c r="E445"/>
      <c r="F445"/>
      <c r="G445"/>
      <c r="H445"/>
      <c r="I445"/>
      <c r="J445"/>
      <c r="K445" s="107"/>
    </row>
    <row r="446" spans="1:11" s="32" customFormat="1" ht="27" customHeight="1" x14ac:dyDescent="0.15">
      <c r="A446" s="30"/>
      <c r="B446" s="30"/>
      <c r="D446" s="107"/>
      <c r="E446"/>
      <c r="F446"/>
      <c r="G446"/>
      <c r="H446"/>
      <c r="I446"/>
      <c r="J446"/>
      <c r="K446" s="107"/>
    </row>
    <row r="447" spans="1:11" s="32" customFormat="1" ht="27" customHeight="1" x14ac:dyDescent="0.15">
      <c r="A447" s="30"/>
      <c r="B447" s="30"/>
      <c r="D447" s="107"/>
      <c r="E447"/>
      <c r="F447"/>
      <c r="G447"/>
      <c r="H447"/>
      <c r="I447"/>
      <c r="J447"/>
      <c r="K447" s="107"/>
    </row>
    <row r="448" spans="1:11" s="32" customFormat="1" ht="27" customHeight="1" x14ac:dyDescent="0.15">
      <c r="A448" s="30"/>
      <c r="B448" s="30"/>
      <c r="D448" s="107"/>
      <c r="E448"/>
      <c r="F448"/>
      <c r="G448"/>
      <c r="H448"/>
      <c r="I448"/>
      <c r="J448"/>
      <c r="K448" s="107"/>
    </row>
    <row r="449" spans="1:11" s="32" customFormat="1" ht="27" customHeight="1" x14ac:dyDescent="0.15">
      <c r="A449" s="30"/>
      <c r="B449" s="30"/>
      <c r="D449" s="107"/>
      <c r="E449"/>
      <c r="F449"/>
      <c r="G449"/>
      <c r="H449"/>
      <c r="I449"/>
      <c r="J449"/>
      <c r="K449" s="107"/>
    </row>
    <row r="450" spans="1:11" s="32" customFormat="1" ht="27" customHeight="1" x14ac:dyDescent="0.15">
      <c r="A450" s="30"/>
      <c r="B450" s="30"/>
      <c r="D450" s="107"/>
      <c r="E450"/>
      <c r="F450"/>
      <c r="G450"/>
      <c r="H450"/>
      <c r="I450"/>
      <c r="J450"/>
      <c r="K450" s="107"/>
    </row>
    <row r="451" spans="1:11" s="32" customFormat="1" ht="27" customHeight="1" x14ac:dyDescent="0.15">
      <c r="A451" s="30"/>
      <c r="B451" s="30"/>
      <c r="D451" s="107"/>
      <c r="E451"/>
      <c r="F451"/>
      <c r="G451"/>
      <c r="H451"/>
      <c r="I451"/>
      <c r="J451"/>
      <c r="K451" s="107"/>
    </row>
    <row r="452" spans="1:11" s="32" customFormat="1" ht="27" customHeight="1" x14ac:dyDescent="0.15">
      <c r="A452" s="30"/>
      <c r="B452" s="30"/>
      <c r="D452" s="107"/>
      <c r="E452"/>
      <c r="F452"/>
      <c r="G452"/>
      <c r="H452"/>
      <c r="I452"/>
      <c r="J452"/>
      <c r="K452" s="107"/>
    </row>
    <row r="453" spans="1:11" s="32" customFormat="1" ht="27" customHeight="1" x14ac:dyDescent="0.15">
      <c r="A453" s="30"/>
      <c r="B453" s="30"/>
      <c r="D453" s="107"/>
      <c r="E453"/>
      <c r="F453"/>
      <c r="G453"/>
      <c r="H453"/>
      <c r="I453"/>
      <c r="J453"/>
      <c r="K453" s="107"/>
    </row>
    <row r="454" spans="1:11" s="32" customFormat="1" ht="27" customHeight="1" x14ac:dyDescent="0.15">
      <c r="A454" s="30"/>
      <c r="B454" s="30"/>
      <c r="D454" s="107"/>
      <c r="E454"/>
      <c r="F454"/>
      <c r="G454"/>
      <c r="H454"/>
      <c r="I454"/>
      <c r="J454"/>
      <c r="K454" s="107"/>
    </row>
    <row r="455" spans="1:11" s="32" customFormat="1" ht="27" customHeight="1" x14ac:dyDescent="0.15">
      <c r="A455" s="30"/>
      <c r="B455" s="30"/>
      <c r="D455" s="107"/>
      <c r="E455"/>
      <c r="F455"/>
      <c r="G455"/>
      <c r="H455"/>
      <c r="I455"/>
      <c r="J455"/>
      <c r="K455" s="107"/>
    </row>
    <row r="456" spans="1:11" s="32" customFormat="1" ht="27" customHeight="1" x14ac:dyDescent="0.15">
      <c r="A456" s="30"/>
      <c r="B456" s="30"/>
      <c r="D456" s="107"/>
      <c r="E456"/>
      <c r="F456"/>
      <c r="G456"/>
      <c r="H456"/>
      <c r="I456"/>
      <c r="J456"/>
      <c r="K456" s="107"/>
    </row>
    <row r="457" spans="1:11" s="32" customFormat="1" ht="27" customHeight="1" x14ac:dyDescent="0.15">
      <c r="A457" s="30"/>
      <c r="B457" s="30"/>
      <c r="D457" s="107"/>
      <c r="E457"/>
      <c r="F457"/>
      <c r="G457"/>
      <c r="H457"/>
      <c r="I457"/>
      <c r="J457"/>
      <c r="K457" s="107"/>
    </row>
    <row r="458" spans="1:11" s="32" customFormat="1" ht="27" customHeight="1" x14ac:dyDescent="0.15">
      <c r="A458" s="30"/>
      <c r="B458" s="30"/>
      <c r="D458" s="107"/>
      <c r="E458"/>
      <c r="F458"/>
      <c r="G458"/>
      <c r="H458"/>
      <c r="I458"/>
      <c r="J458"/>
      <c r="K458" s="107"/>
    </row>
    <row r="459" spans="1:11" s="32" customFormat="1" ht="27" customHeight="1" x14ac:dyDescent="0.15">
      <c r="A459" s="30"/>
      <c r="B459" s="30"/>
      <c r="D459" s="107"/>
      <c r="E459"/>
      <c r="F459"/>
      <c r="G459"/>
      <c r="H459"/>
      <c r="I459"/>
      <c r="J459"/>
      <c r="K459" s="107"/>
    </row>
    <row r="460" spans="1:11" s="32" customFormat="1" ht="27" customHeight="1" x14ac:dyDescent="0.15">
      <c r="A460" s="30"/>
      <c r="B460" s="30"/>
      <c r="D460" s="107"/>
      <c r="E460"/>
      <c r="F460"/>
      <c r="G460"/>
      <c r="H460"/>
      <c r="I460"/>
      <c r="J460"/>
      <c r="K460" s="107"/>
    </row>
    <row r="461" spans="1:11" s="32" customFormat="1" ht="27" customHeight="1" x14ac:dyDescent="0.15">
      <c r="A461" s="30"/>
      <c r="B461" s="30"/>
      <c r="D461" s="107"/>
      <c r="E461"/>
      <c r="F461"/>
      <c r="G461"/>
      <c r="H461"/>
      <c r="I461"/>
      <c r="J461"/>
      <c r="K461" s="107"/>
    </row>
    <row r="462" spans="1:11" s="32" customFormat="1" ht="27" customHeight="1" x14ac:dyDescent="0.15">
      <c r="A462" s="30"/>
      <c r="B462" s="30"/>
      <c r="D462" s="107"/>
      <c r="E462"/>
      <c r="F462"/>
      <c r="G462"/>
      <c r="H462"/>
      <c r="I462"/>
      <c r="J462"/>
      <c r="K462" s="107"/>
    </row>
    <row r="463" spans="1:11" s="32" customFormat="1" ht="27" customHeight="1" x14ac:dyDescent="0.15">
      <c r="A463" s="30"/>
      <c r="B463" s="30"/>
      <c r="D463" s="107"/>
      <c r="E463"/>
      <c r="F463"/>
      <c r="G463"/>
      <c r="H463"/>
      <c r="I463"/>
      <c r="J463"/>
      <c r="K463" s="107"/>
    </row>
    <row r="464" spans="1:11" s="32" customFormat="1" ht="27" customHeight="1" x14ac:dyDescent="0.15">
      <c r="A464" s="30"/>
      <c r="B464" s="30"/>
      <c r="D464" s="107"/>
      <c r="E464"/>
      <c r="F464"/>
      <c r="G464"/>
      <c r="H464"/>
      <c r="I464"/>
      <c r="J464"/>
      <c r="K464" s="107"/>
    </row>
    <row r="465" spans="1:11" s="32" customFormat="1" ht="27" customHeight="1" x14ac:dyDescent="0.15">
      <c r="A465" s="30"/>
      <c r="B465" s="30"/>
      <c r="D465" s="107"/>
      <c r="E465"/>
      <c r="F465"/>
      <c r="G465"/>
      <c r="H465"/>
      <c r="I465"/>
      <c r="J465"/>
      <c r="K465" s="107"/>
    </row>
    <row r="466" spans="1:11" s="32" customFormat="1" ht="27" customHeight="1" x14ac:dyDescent="0.15">
      <c r="A466" s="30"/>
      <c r="B466" s="30"/>
      <c r="D466" s="107"/>
      <c r="E466"/>
      <c r="F466"/>
      <c r="G466"/>
      <c r="H466"/>
      <c r="I466"/>
      <c r="J466"/>
      <c r="K466" s="107"/>
    </row>
    <row r="467" spans="1:11" s="32" customFormat="1" ht="27" customHeight="1" x14ac:dyDescent="0.15">
      <c r="A467" s="30"/>
      <c r="B467" s="30"/>
      <c r="D467" s="107"/>
      <c r="E467"/>
      <c r="F467"/>
      <c r="G467"/>
      <c r="H467"/>
      <c r="I467"/>
      <c r="J467"/>
      <c r="K467" s="107"/>
    </row>
    <row r="468" spans="1:11" s="32" customFormat="1" ht="27" customHeight="1" x14ac:dyDescent="0.15">
      <c r="A468" s="30"/>
      <c r="B468" s="30"/>
      <c r="D468" s="107"/>
      <c r="E468"/>
      <c r="F468"/>
      <c r="G468"/>
      <c r="H468"/>
      <c r="I468"/>
      <c r="J468"/>
      <c r="K468" s="107"/>
    </row>
    <row r="469" spans="1:11" s="32" customFormat="1" ht="27" customHeight="1" x14ac:dyDescent="0.15">
      <c r="A469" s="30"/>
      <c r="B469" s="30"/>
      <c r="D469" s="107"/>
      <c r="E469"/>
      <c r="F469"/>
      <c r="G469"/>
      <c r="H469"/>
      <c r="I469"/>
      <c r="J469"/>
      <c r="K469" s="107"/>
    </row>
    <row r="470" spans="1:11" s="32" customFormat="1" ht="27" customHeight="1" x14ac:dyDescent="0.15">
      <c r="A470" s="30"/>
      <c r="B470" s="30"/>
      <c r="D470" s="107"/>
      <c r="E470"/>
      <c r="F470"/>
      <c r="G470"/>
      <c r="H470"/>
      <c r="I470"/>
      <c r="J470"/>
      <c r="K470" s="107"/>
    </row>
    <row r="471" spans="1:11" s="32" customFormat="1" ht="27" customHeight="1" x14ac:dyDescent="0.15">
      <c r="A471" s="30"/>
      <c r="B471" s="30"/>
      <c r="D471" s="107"/>
      <c r="E471"/>
      <c r="F471"/>
      <c r="G471"/>
      <c r="H471"/>
      <c r="I471"/>
      <c r="J471"/>
      <c r="K471" s="107"/>
    </row>
    <row r="472" spans="1:11" s="32" customFormat="1" ht="27" customHeight="1" x14ac:dyDescent="0.15">
      <c r="A472" s="30"/>
      <c r="B472" s="30"/>
      <c r="D472" s="107"/>
      <c r="E472"/>
      <c r="F472"/>
      <c r="G472"/>
      <c r="H472"/>
      <c r="I472"/>
      <c r="J472"/>
      <c r="K472" s="107"/>
    </row>
    <row r="473" spans="1:11" s="32" customFormat="1" ht="27" customHeight="1" x14ac:dyDescent="0.15">
      <c r="A473" s="30"/>
      <c r="B473" s="30"/>
      <c r="D473" s="107"/>
      <c r="E473"/>
      <c r="F473"/>
      <c r="G473"/>
      <c r="H473"/>
      <c r="I473"/>
      <c r="J473"/>
      <c r="K473" s="107"/>
    </row>
    <row r="474" spans="1:11" s="32" customFormat="1" ht="27" customHeight="1" x14ac:dyDescent="0.15">
      <c r="A474" s="30"/>
      <c r="B474" s="30"/>
      <c r="D474" s="107"/>
      <c r="E474"/>
      <c r="F474"/>
      <c r="G474"/>
      <c r="H474"/>
      <c r="I474"/>
      <c r="J474"/>
      <c r="K474" s="107"/>
    </row>
    <row r="475" spans="1:11" s="32" customFormat="1" ht="27" customHeight="1" x14ac:dyDescent="0.15">
      <c r="A475" s="30"/>
      <c r="B475" s="30"/>
      <c r="D475" s="107"/>
      <c r="E475"/>
      <c r="F475"/>
      <c r="G475"/>
      <c r="H475"/>
      <c r="I475"/>
      <c r="J475"/>
      <c r="K475" s="107"/>
    </row>
    <row r="476" spans="1:11" s="32" customFormat="1" ht="27" customHeight="1" x14ac:dyDescent="0.15">
      <c r="A476" s="30"/>
      <c r="B476" s="30"/>
      <c r="D476" s="107"/>
      <c r="E476"/>
      <c r="F476"/>
      <c r="G476"/>
      <c r="H476"/>
      <c r="I476"/>
      <c r="J476"/>
      <c r="K476" s="107"/>
    </row>
    <row r="477" spans="1:11" s="32" customFormat="1" ht="27" customHeight="1" x14ac:dyDescent="0.15">
      <c r="A477" s="30"/>
      <c r="B477" s="30"/>
      <c r="D477" s="107"/>
      <c r="E477"/>
      <c r="F477"/>
      <c r="G477"/>
      <c r="H477"/>
      <c r="I477"/>
      <c r="J477"/>
      <c r="K477" s="107"/>
    </row>
    <row r="478" spans="1:11" s="32" customFormat="1" ht="27" customHeight="1" x14ac:dyDescent="0.15">
      <c r="A478" s="30"/>
      <c r="B478" s="30"/>
      <c r="D478" s="107"/>
      <c r="E478"/>
      <c r="F478"/>
      <c r="G478"/>
      <c r="H478"/>
      <c r="I478"/>
      <c r="J478"/>
      <c r="K478" s="107"/>
    </row>
    <row r="479" spans="1:11" s="32" customFormat="1" ht="27" customHeight="1" x14ac:dyDescent="0.15">
      <c r="A479" s="30"/>
      <c r="B479" s="30"/>
      <c r="D479" s="107"/>
      <c r="E479"/>
      <c r="F479"/>
      <c r="G479"/>
      <c r="H479"/>
      <c r="I479"/>
      <c r="J479"/>
      <c r="K479" s="107"/>
    </row>
    <row r="480" spans="1:11" s="32" customFormat="1" ht="27" customHeight="1" x14ac:dyDescent="0.15">
      <c r="A480" s="30"/>
      <c r="B480" s="30"/>
      <c r="D480" s="107"/>
      <c r="E480"/>
      <c r="F480"/>
      <c r="G480"/>
      <c r="H480"/>
      <c r="I480"/>
      <c r="J480"/>
      <c r="K480" s="107"/>
    </row>
    <row r="481" spans="1:11" s="32" customFormat="1" ht="27" customHeight="1" x14ac:dyDescent="0.15">
      <c r="A481" s="30"/>
      <c r="B481" s="30"/>
      <c r="D481" s="107"/>
      <c r="E481"/>
      <c r="F481"/>
      <c r="G481"/>
      <c r="H481"/>
      <c r="I481"/>
      <c r="J481"/>
      <c r="K481" s="107"/>
    </row>
    <row r="482" spans="1:11" s="32" customFormat="1" ht="27" customHeight="1" x14ac:dyDescent="0.15">
      <c r="A482" s="30"/>
      <c r="B482" s="30"/>
      <c r="D482" s="107"/>
      <c r="E482"/>
      <c r="F482"/>
      <c r="G482"/>
      <c r="H482"/>
      <c r="I482"/>
      <c r="J482"/>
      <c r="K482" s="107"/>
    </row>
    <row r="483" spans="1:11" s="32" customFormat="1" ht="27" customHeight="1" x14ac:dyDescent="0.15">
      <c r="A483" s="30"/>
      <c r="B483" s="30"/>
      <c r="D483" s="107"/>
      <c r="E483"/>
      <c r="F483"/>
      <c r="G483"/>
      <c r="H483"/>
      <c r="I483"/>
      <c r="J483"/>
      <c r="K483" s="107"/>
    </row>
    <row r="484" spans="1:11" s="32" customFormat="1" ht="27" customHeight="1" x14ac:dyDescent="0.15">
      <c r="A484" s="30"/>
      <c r="B484" s="30"/>
      <c r="D484" s="107"/>
      <c r="E484"/>
      <c r="F484"/>
      <c r="G484"/>
      <c r="H484"/>
      <c r="I484"/>
      <c r="J484"/>
      <c r="K484" s="107"/>
    </row>
    <row r="485" spans="1:11" s="32" customFormat="1" ht="27" customHeight="1" x14ac:dyDescent="0.15">
      <c r="A485" s="30"/>
      <c r="B485" s="30"/>
      <c r="D485" s="107"/>
      <c r="E485"/>
      <c r="F485"/>
      <c r="G485"/>
      <c r="H485"/>
      <c r="I485"/>
      <c r="J485"/>
      <c r="K485" s="107"/>
    </row>
    <row r="486" spans="1:11" s="32" customFormat="1" ht="27" customHeight="1" x14ac:dyDescent="0.15">
      <c r="A486" s="30"/>
      <c r="B486" s="30"/>
      <c r="D486" s="107"/>
      <c r="E486"/>
      <c r="F486"/>
      <c r="G486"/>
      <c r="H486"/>
      <c r="I486"/>
      <c r="J486"/>
      <c r="K486" s="107"/>
    </row>
    <row r="487" spans="1:11" s="32" customFormat="1" ht="27" customHeight="1" x14ac:dyDescent="0.15">
      <c r="A487" s="30"/>
      <c r="B487" s="30"/>
      <c r="D487" s="107"/>
      <c r="E487"/>
      <c r="F487"/>
      <c r="G487"/>
      <c r="H487"/>
      <c r="I487"/>
      <c r="J487"/>
      <c r="K487" s="107"/>
    </row>
    <row r="488" spans="1:11" s="32" customFormat="1" ht="27" customHeight="1" x14ac:dyDescent="0.15">
      <c r="A488" s="30"/>
      <c r="B488" s="30"/>
      <c r="D488" s="107"/>
      <c r="E488"/>
      <c r="F488"/>
      <c r="G488"/>
      <c r="H488"/>
      <c r="I488"/>
      <c r="J488"/>
      <c r="K488" s="107"/>
    </row>
    <row r="489" spans="1:11" s="32" customFormat="1" ht="27" customHeight="1" x14ac:dyDescent="0.15">
      <c r="A489" s="30"/>
      <c r="B489" s="30"/>
      <c r="D489" s="107"/>
      <c r="E489"/>
      <c r="F489"/>
      <c r="G489"/>
      <c r="H489"/>
      <c r="I489"/>
      <c r="J489"/>
      <c r="K489" s="107"/>
    </row>
    <row r="490" spans="1:11" s="32" customFormat="1" ht="27" customHeight="1" x14ac:dyDescent="0.15">
      <c r="A490" s="30"/>
      <c r="B490" s="30"/>
      <c r="D490" s="107"/>
      <c r="E490"/>
      <c r="F490"/>
      <c r="G490"/>
      <c r="H490"/>
      <c r="I490"/>
      <c r="J490"/>
      <c r="K490" s="107"/>
    </row>
    <row r="491" spans="1:11" s="32" customFormat="1" ht="27" customHeight="1" x14ac:dyDescent="0.15">
      <c r="A491" s="30"/>
      <c r="B491" s="30"/>
      <c r="D491" s="107"/>
      <c r="E491"/>
      <c r="F491"/>
      <c r="G491"/>
      <c r="H491"/>
      <c r="I491"/>
      <c r="J491"/>
      <c r="K491" s="107"/>
    </row>
    <row r="492" spans="1:11" s="32" customFormat="1" ht="27" customHeight="1" x14ac:dyDescent="0.15">
      <c r="A492" s="30"/>
      <c r="B492" s="30"/>
      <c r="D492" s="107"/>
      <c r="E492"/>
      <c r="F492"/>
      <c r="G492"/>
      <c r="H492"/>
      <c r="I492"/>
      <c r="J492"/>
      <c r="K492" s="107"/>
    </row>
    <row r="493" spans="1:11" s="32" customFormat="1" ht="27" customHeight="1" x14ac:dyDescent="0.15">
      <c r="A493" s="30"/>
      <c r="B493" s="30"/>
      <c r="D493" s="107"/>
      <c r="E493"/>
      <c r="F493"/>
      <c r="G493"/>
      <c r="H493"/>
      <c r="I493"/>
      <c r="J493"/>
      <c r="K493" s="107"/>
    </row>
    <row r="494" spans="1:11" s="32" customFormat="1" ht="27" customHeight="1" x14ac:dyDescent="0.15">
      <c r="A494" s="30"/>
      <c r="B494" s="30"/>
      <c r="D494" s="107"/>
      <c r="E494"/>
      <c r="F494"/>
      <c r="G494"/>
      <c r="H494"/>
      <c r="I494"/>
      <c r="J494"/>
      <c r="K494" s="107"/>
    </row>
    <row r="495" spans="1:11" s="32" customFormat="1" ht="27" customHeight="1" x14ac:dyDescent="0.15">
      <c r="A495" s="30"/>
      <c r="B495" s="30"/>
      <c r="D495" s="107"/>
      <c r="E495"/>
      <c r="F495"/>
      <c r="G495"/>
      <c r="H495"/>
      <c r="I495"/>
      <c r="J495"/>
      <c r="K495" s="107"/>
    </row>
    <row r="496" spans="1:11" s="32" customFormat="1" ht="27" customHeight="1" x14ac:dyDescent="0.15">
      <c r="A496" s="30"/>
      <c r="B496" s="30"/>
      <c r="D496" s="107"/>
      <c r="E496"/>
      <c r="F496"/>
      <c r="G496"/>
      <c r="H496"/>
      <c r="I496"/>
      <c r="J496"/>
      <c r="K496" s="107"/>
    </row>
    <row r="497" spans="1:11" s="32" customFormat="1" ht="27" customHeight="1" x14ac:dyDescent="0.15">
      <c r="A497" s="30"/>
      <c r="B497" s="30"/>
      <c r="D497" s="107"/>
      <c r="E497"/>
      <c r="F497"/>
      <c r="G497"/>
      <c r="H497"/>
      <c r="I497"/>
      <c r="J497"/>
      <c r="K497" s="107"/>
    </row>
    <row r="498" spans="1:11" s="32" customFormat="1" ht="27" customHeight="1" x14ac:dyDescent="0.15">
      <c r="A498" s="30"/>
      <c r="B498" s="30"/>
      <c r="D498" s="107"/>
      <c r="E498"/>
      <c r="F498"/>
      <c r="G498"/>
      <c r="H498"/>
      <c r="I498"/>
      <c r="J498"/>
      <c r="K498" s="107"/>
    </row>
    <row r="499" spans="1:11" s="32" customFormat="1" ht="27" customHeight="1" x14ac:dyDescent="0.15">
      <c r="A499" s="30"/>
      <c r="B499" s="30"/>
      <c r="D499" s="107"/>
      <c r="E499"/>
      <c r="F499"/>
      <c r="G499"/>
      <c r="H499"/>
      <c r="I499"/>
      <c r="J499"/>
      <c r="K499" s="107"/>
    </row>
    <row r="500" spans="1:11" s="32" customFormat="1" ht="27" customHeight="1" x14ac:dyDescent="0.15">
      <c r="A500" s="30"/>
      <c r="B500" s="30"/>
      <c r="D500" s="107"/>
      <c r="E500"/>
      <c r="F500"/>
      <c r="G500"/>
      <c r="H500"/>
      <c r="I500"/>
      <c r="J500"/>
      <c r="K500" s="107"/>
    </row>
    <row r="501" spans="1:11" s="32" customFormat="1" ht="27" customHeight="1" x14ac:dyDescent="0.15">
      <c r="A501" s="30"/>
      <c r="B501" s="30"/>
      <c r="D501" s="107"/>
      <c r="E501"/>
      <c r="F501"/>
      <c r="G501"/>
      <c r="H501"/>
      <c r="I501"/>
      <c r="J501"/>
      <c r="K501" s="107"/>
    </row>
    <row r="502" spans="1:11" s="32" customFormat="1" ht="27" customHeight="1" x14ac:dyDescent="0.15">
      <c r="A502" s="30"/>
      <c r="B502" s="30"/>
      <c r="D502" s="107"/>
      <c r="E502"/>
      <c r="F502"/>
      <c r="G502"/>
      <c r="H502"/>
      <c r="I502"/>
      <c r="J502"/>
      <c r="K502" s="107"/>
    </row>
    <row r="503" spans="1:11" s="32" customFormat="1" ht="27" customHeight="1" x14ac:dyDescent="0.15">
      <c r="A503" s="30"/>
      <c r="B503" s="30"/>
      <c r="D503" s="107"/>
      <c r="E503"/>
      <c r="F503"/>
      <c r="G503"/>
      <c r="H503"/>
      <c r="I503"/>
      <c r="J503"/>
      <c r="K503" s="107"/>
    </row>
    <row r="504" spans="1:11" s="32" customFormat="1" ht="27" customHeight="1" x14ac:dyDescent="0.15">
      <c r="A504" s="30"/>
      <c r="B504" s="30"/>
      <c r="D504" s="107"/>
      <c r="E504"/>
      <c r="F504"/>
      <c r="G504"/>
      <c r="H504"/>
      <c r="I504"/>
      <c r="J504"/>
      <c r="K504" s="107"/>
    </row>
    <row r="505" spans="1:11" s="32" customFormat="1" ht="27" customHeight="1" x14ac:dyDescent="0.15">
      <c r="A505" s="30"/>
      <c r="B505" s="30"/>
      <c r="D505" s="107"/>
      <c r="E505"/>
      <c r="F505"/>
      <c r="G505"/>
      <c r="H505"/>
      <c r="I505"/>
      <c r="J505"/>
      <c r="K505" s="107"/>
    </row>
    <row r="506" spans="1:11" s="32" customFormat="1" ht="27" customHeight="1" x14ac:dyDescent="0.15">
      <c r="A506" s="30"/>
      <c r="B506" s="30"/>
      <c r="D506" s="107"/>
      <c r="E506"/>
      <c r="F506"/>
      <c r="G506"/>
      <c r="H506"/>
      <c r="I506"/>
      <c r="J506"/>
      <c r="K506" s="107"/>
    </row>
    <row r="507" spans="1:11" s="32" customFormat="1" ht="27" customHeight="1" x14ac:dyDescent="0.15">
      <c r="A507" s="30"/>
      <c r="B507" s="30"/>
      <c r="D507" s="107"/>
      <c r="E507"/>
      <c r="F507"/>
      <c r="G507"/>
      <c r="H507"/>
      <c r="I507"/>
      <c r="J507"/>
      <c r="K507" s="107"/>
    </row>
    <row r="508" spans="1:11" s="32" customFormat="1" ht="27" customHeight="1" x14ac:dyDescent="0.15">
      <c r="A508" s="30"/>
      <c r="B508" s="30"/>
      <c r="D508" s="107"/>
      <c r="E508"/>
      <c r="F508"/>
      <c r="G508"/>
      <c r="H508"/>
      <c r="I508"/>
      <c r="J508"/>
      <c r="K508" s="107"/>
    </row>
    <row r="509" spans="1:11" s="32" customFormat="1" ht="27" customHeight="1" x14ac:dyDescent="0.15">
      <c r="A509" s="30"/>
      <c r="B509" s="30"/>
      <c r="D509" s="107"/>
      <c r="E509"/>
      <c r="F509"/>
      <c r="G509"/>
      <c r="H509"/>
      <c r="I509"/>
      <c r="J509"/>
      <c r="K509" s="107"/>
    </row>
    <row r="510" spans="1:11" s="32" customFormat="1" ht="27" customHeight="1" x14ac:dyDescent="0.15">
      <c r="A510" s="30"/>
      <c r="B510" s="30"/>
      <c r="D510" s="107"/>
      <c r="E510"/>
      <c r="F510"/>
      <c r="G510"/>
      <c r="H510"/>
      <c r="I510"/>
      <c r="J510"/>
      <c r="K510" s="107"/>
    </row>
    <row r="511" spans="1:11" s="32" customFormat="1" ht="27" customHeight="1" x14ac:dyDescent="0.15">
      <c r="A511" s="30"/>
      <c r="B511" s="30"/>
      <c r="D511" s="107"/>
      <c r="E511"/>
      <c r="F511"/>
      <c r="G511"/>
      <c r="H511"/>
      <c r="I511"/>
      <c r="J511"/>
      <c r="K511" s="107"/>
    </row>
    <row r="512" spans="1:11" s="32" customFormat="1" ht="27" customHeight="1" x14ac:dyDescent="0.15">
      <c r="A512" s="30"/>
      <c r="B512" s="30"/>
      <c r="D512" s="107"/>
      <c r="E512"/>
      <c r="F512"/>
      <c r="G512"/>
      <c r="H512"/>
      <c r="I512"/>
      <c r="J512"/>
      <c r="K512" s="107"/>
    </row>
    <row r="513" spans="1:11" s="32" customFormat="1" ht="27" customHeight="1" x14ac:dyDescent="0.15">
      <c r="A513" s="30"/>
      <c r="B513" s="30"/>
      <c r="D513" s="107"/>
      <c r="E513"/>
      <c r="F513"/>
      <c r="G513"/>
      <c r="H513"/>
      <c r="I513"/>
      <c r="J513"/>
      <c r="K513" s="107"/>
    </row>
    <row r="514" spans="1:11" s="32" customFormat="1" ht="27" customHeight="1" x14ac:dyDescent="0.15">
      <c r="A514" s="30"/>
      <c r="B514" s="30"/>
      <c r="D514" s="107"/>
      <c r="E514"/>
      <c r="F514"/>
      <c r="G514"/>
      <c r="H514"/>
      <c r="I514"/>
      <c r="J514"/>
      <c r="K514" s="107"/>
    </row>
    <row r="515" spans="1:11" s="32" customFormat="1" ht="27" customHeight="1" x14ac:dyDescent="0.15">
      <c r="A515" s="30"/>
      <c r="B515" s="30"/>
      <c r="D515" s="107"/>
      <c r="E515"/>
      <c r="F515"/>
      <c r="G515"/>
      <c r="H515"/>
      <c r="I515"/>
      <c r="J515"/>
      <c r="K515" s="107"/>
    </row>
    <row r="516" spans="1:11" s="32" customFormat="1" ht="27" customHeight="1" x14ac:dyDescent="0.15">
      <c r="A516" s="30"/>
      <c r="B516" s="30"/>
      <c r="D516" s="107"/>
      <c r="E516"/>
      <c r="F516"/>
      <c r="G516"/>
      <c r="H516"/>
      <c r="I516"/>
      <c r="J516"/>
      <c r="K516" s="107"/>
    </row>
    <row r="517" spans="1:11" s="32" customFormat="1" ht="27" customHeight="1" x14ac:dyDescent="0.15">
      <c r="A517" s="30"/>
      <c r="B517" s="30"/>
      <c r="D517" s="107"/>
      <c r="E517"/>
      <c r="F517"/>
      <c r="G517"/>
      <c r="H517"/>
      <c r="I517"/>
      <c r="J517"/>
      <c r="K517" s="107"/>
    </row>
    <row r="518" spans="1:11" s="32" customFormat="1" ht="27" customHeight="1" x14ac:dyDescent="0.15">
      <c r="A518" s="30"/>
      <c r="B518" s="30"/>
      <c r="D518" s="107"/>
      <c r="E518"/>
      <c r="F518"/>
      <c r="G518"/>
      <c r="H518"/>
      <c r="I518"/>
      <c r="J518"/>
      <c r="K518" s="107"/>
    </row>
    <row r="519" spans="1:11" s="32" customFormat="1" ht="27" customHeight="1" x14ac:dyDescent="0.15">
      <c r="A519" s="30"/>
      <c r="B519" s="30"/>
      <c r="D519" s="107"/>
      <c r="E519"/>
      <c r="F519"/>
      <c r="G519"/>
      <c r="H519"/>
      <c r="I519"/>
      <c r="J519"/>
      <c r="K519" s="107"/>
    </row>
    <row r="520" spans="1:11" s="32" customFormat="1" ht="27" customHeight="1" x14ac:dyDescent="0.15">
      <c r="A520" s="30"/>
      <c r="B520" s="30"/>
      <c r="D520" s="107"/>
      <c r="E520"/>
      <c r="F520"/>
      <c r="G520"/>
      <c r="H520"/>
      <c r="I520"/>
      <c r="J520"/>
      <c r="K520" s="107"/>
    </row>
    <row r="521" spans="1:11" s="32" customFormat="1" ht="27" customHeight="1" x14ac:dyDescent="0.15">
      <c r="A521" s="30"/>
      <c r="B521" s="30"/>
      <c r="D521" s="107"/>
      <c r="E521"/>
      <c r="F521"/>
      <c r="G521"/>
      <c r="H521"/>
      <c r="I521"/>
      <c r="J521"/>
      <c r="K521" s="107"/>
    </row>
    <row r="522" spans="1:11" s="32" customFormat="1" ht="27" customHeight="1" x14ac:dyDescent="0.15">
      <c r="A522" s="30"/>
      <c r="B522" s="30"/>
      <c r="D522" s="107"/>
      <c r="E522"/>
      <c r="F522"/>
      <c r="G522"/>
      <c r="H522"/>
      <c r="I522"/>
      <c r="J522"/>
      <c r="K522" s="107"/>
    </row>
    <row r="523" spans="1:11" s="32" customFormat="1" ht="27" customHeight="1" x14ac:dyDescent="0.15">
      <c r="A523" s="30"/>
      <c r="B523" s="30"/>
      <c r="D523" s="107"/>
      <c r="E523"/>
      <c r="F523"/>
      <c r="G523"/>
      <c r="H523"/>
      <c r="I523"/>
      <c r="J523"/>
      <c r="K523" s="107"/>
    </row>
    <row r="524" spans="1:11" s="32" customFormat="1" ht="27" customHeight="1" x14ac:dyDescent="0.15">
      <c r="A524" s="30"/>
      <c r="B524" s="30"/>
      <c r="D524" s="107"/>
      <c r="E524"/>
      <c r="F524"/>
      <c r="G524"/>
      <c r="H524"/>
      <c r="I524"/>
      <c r="J524"/>
      <c r="K524" s="107"/>
    </row>
    <row r="525" spans="1:11" s="32" customFormat="1" ht="27" customHeight="1" x14ac:dyDescent="0.15">
      <c r="A525" s="30"/>
      <c r="B525" s="30"/>
      <c r="D525" s="107"/>
      <c r="E525"/>
      <c r="F525"/>
      <c r="G525"/>
      <c r="H525"/>
      <c r="I525"/>
      <c r="J525"/>
      <c r="K525" s="107"/>
    </row>
    <row r="526" spans="1:11" s="32" customFormat="1" ht="27" customHeight="1" x14ac:dyDescent="0.15">
      <c r="A526" s="30"/>
      <c r="B526" s="30"/>
      <c r="D526" s="107"/>
      <c r="E526"/>
      <c r="F526"/>
      <c r="G526"/>
      <c r="H526"/>
      <c r="I526"/>
      <c r="J526"/>
      <c r="K526" s="107"/>
    </row>
    <row r="527" spans="1:11" s="32" customFormat="1" ht="27" customHeight="1" x14ac:dyDescent="0.15">
      <c r="A527" s="30"/>
      <c r="B527" s="30"/>
      <c r="D527" s="107"/>
      <c r="E527"/>
      <c r="F527"/>
      <c r="G527"/>
      <c r="H527"/>
      <c r="I527"/>
      <c r="J527"/>
      <c r="K527" s="107"/>
    </row>
    <row r="528" spans="1:11" s="32" customFormat="1" ht="27" customHeight="1" x14ac:dyDescent="0.15">
      <c r="A528" s="30"/>
      <c r="B528" s="30"/>
      <c r="D528" s="107"/>
      <c r="E528"/>
      <c r="F528"/>
      <c r="G528"/>
      <c r="H528"/>
      <c r="I528"/>
      <c r="J528"/>
      <c r="K528" s="107"/>
    </row>
    <row r="529" spans="1:11" s="32" customFormat="1" ht="27" customHeight="1" x14ac:dyDescent="0.15">
      <c r="A529" s="30"/>
      <c r="B529" s="30"/>
      <c r="D529" s="107"/>
      <c r="E529"/>
      <c r="F529"/>
      <c r="G529"/>
      <c r="H529"/>
      <c r="I529"/>
      <c r="J529"/>
      <c r="K529" s="107"/>
    </row>
    <row r="530" spans="1:11" s="32" customFormat="1" ht="27" customHeight="1" x14ac:dyDescent="0.15">
      <c r="A530" s="30"/>
      <c r="B530" s="30"/>
      <c r="D530" s="107"/>
      <c r="E530"/>
      <c r="F530"/>
      <c r="G530"/>
      <c r="H530"/>
      <c r="I530"/>
      <c r="J530"/>
      <c r="K530" s="107"/>
    </row>
    <row r="531" spans="1:11" s="32" customFormat="1" ht="27" customHeight="1" x14ac:dyDescent="0.15">
      <c r="A531" s="30"/>
      <c r="B531" s="30"/>
      <c r="D531" s="107"/>
      <c r="E531"/>
      <c r="F531"/>
      <c r="G531"/>
      <c r="H531"/>
      <c r="I531"/>
      <c r="J531"/>
      <c r="K531" s="107"/>
    </row>
    <row r="532" spans="1:11" s="32" customFormat="1" ht="27" customHeight="1" x14ac:dyDescent="0.15">
      <c r="A532" s="30"/>
      <c r="B532" s="30"/>
      <c r="D532" s="107"/>
      <c r="E532"/>
      <c r="F532"/>
      <c r="G532"/>
      <c r="H532"/>
      <c r="I532"/>
      <c r="J532"/>
      <c r="K532" s="107"/>
    </row>
    <row r="533" spans="1:11" s="32" customFormat="1" ht="27" customHeight="1" x14ac:dyDescent="0.15">
      <c r="A533" s="30"/>
      <c r="B533" s="30"/>
      <c r="D533" s="107"/>
      <c r="E533"/>
      <c r="F533"/>
      <c r="G533"/>
      <c r="H533"/>
      <c r="I533"/>
      <c r="J533"/>
      <c r="K533" s="107"/>
    </row>
    <row r="534" spans="1:11" s="32" customFormat="1" ht="27" customHeight="1" x14ac:dyDescent="0.15">
      <c r="A534" s="30"/>
      <c r="B534" s="30"/>
      <c r="D534" s="107"/>
      <c r="E534"/>
      <c r="F534"/>
      <c r="G534"/>
      <c r="H534"/>
      <c r="I534"/>
      <c r="J534"/>
      <c r="K534" s="107"/>
    </row>
    <row r="535" spans="1:11" s="32" customFormat="1" ht="27" customHeight="1" x14ac:dyDescent="0.15">
      <c r="A535" s="30"/>
      <c r="B535" s="30"/>
      <c r="D535" s="107"/>
      <c r="E535"/>
      <c r="F535"/>
      <c r="G535"/>
      <c r="H535"/>
      <c r="I535"/>
      <c r="J535"/>
      <c r="K535" s="107"/>
    </row>
    <row r="536" spans="1:11" s="32" customFormat="1" ht="27" customHeight="1" x14ac:dyDescent="0.15">
      <c r="A536" s="30"/>
      <c r="B536" s="30"/>
      <c r="D536" s="107"/>
      <c r="E536"/>
      <c r="F536"/>
      <c r="G536"/>
      <c r="H536"/>
      <c r="I536"/>
      <c r="J536"/>
      <c r="K536" s="107"/>
    </row>
    <row r="537" spans="1:11" s="32" customFormat="1" ht="27" customHeight="1" x14ac:dyDescent="0.15">
      <c r="A537" s="30"/>
      <c r="B537" s="30"/>
      <c r="D537" s="107"/>
      <c r="E537"/>
      <c r="F537"/>
      <c r="G537"/>
      <c r="H537"/>
      <c r="I537"/>
      <c r="J537"/>
      <c r="K537" s="107"/>
    </row>
    <row r="538" spans="1:11" s="32" customFormat="1" ht="27" customHeight="1" x14ac:dyDescent="0.15">
      <c r="A538" s="30"/>
      <c r="B538" s="30"/>
      <c r="D538" s="107"/>
      <c r="E538"/>
      <c r="F538"/>
      <c r="G538"/>
      <c r="H538"/>
      <c r="I538"/>
      <c r="J538"/>
      <c r="K538" s="107"/>
    </row>
    <row r="539" spans="1:11" s="32" customFormat="1" ht="27" customHeight="1" x14ac:dyDescent="0.15">
      <c r="A539" s="30"/>
      <c r="B539" s="30"/>
      <c r="D539" s="107"/>
      <c r="E539"/>
      <c r="F539"/>
      <c r="G539"/>
      <c r="H539"/>
      <c r="I539"/>
      <c r="J539"/>
      <c r="K539" s="107"/>
    </row>
    <row r="540" spans="1:11" s="32" customFormat="1" ht="27" customHeight="1" x14ac:dyDescent="0.15">
      <c r="A540" s="30"/>
      <c r="B540" s="30"/>
      <c r="D540" s="107"/>
      <c r="E540"/>
      <c r="F540"/>
      <c r="G540"/>
      <c r="H540"/>
      <c r="I540"/>
      <c r="J540"/>
      <c r="K540" s="107"/>
    </row>
    <row r="541" spans="1:11" s="32" customFormat="1" ht="27" customHeight="1" x14ac:dyDescent="0.15">
      <c r="A541" s="30"/>
      <c r="B541" s="30"/>
      <c r="D541" s="107"/>
      <c r="E541"/>
      <c r="F541"/>
      <c r="G541"/>
      <c r="H541"/>
      <c r="I541"/>
      <c r="J541"/>
      <c r="K541" s="107"/>
    </row>
    <row r="542" spans="1:11" s="32" customFormat="1" ht="27" customHeight="1" x14ac:dyDescent="0.15">
      <c r="A542" s="30"/>
      <c r="B542" s="30"/>
      <c r="D542" s="107"/>
      <c r="E542"/>
      <c r="F542"/>
      <c r="G542"/>
      <c r="H542"/>
      <c r="I542"/>
      <c r="J542"/>
      <c r="K542" s="107"/>
    </row>
    <row r="543" spans="1:11" s="32" customFormat="1" ht="27" customHeight="1" x14ac:dyDescent="0.15">
      <c r="A543" s="30"/>
      <c r="B543" s="30"/>
      <c r="D543" s="107"/>
      <c r="E543"/>
      <c r="F543"/>
      <c r="G543"/>
      <c r="H543"/>
      <c r="I543"/>
      <c r="J543"/>
      <c r="K543" s="107"/>
    </row>
    <row r="544" spans="1:11" s="32" customFormat="1" ht="27" customHeight="1" x14ac:dyDescent="0.15">
      <c r="A544" s="30"/>
      <c r="B544" s="30"/>
      <c r="D544" s="107"/>
      <c r="E544"/>
      <c r="F544"/>
      <c r="G544"/>
      <c r="H544"/>
      <c r="I544"/>
      <c r="J544"/>
      <c r="K544" s="107"/>
    </row>
    <row r="545" spans="1:11" s="32" customFormat="1" ht="27" customHeight="1" x14ac:dyDescent="0.15">
      <c r="A545" s="30"/>
      <c r="B545" s="30"/>
      <c r="D545" s="107"/>
      <c r="E545"/>
      <c r="F545"/>
      <c r="G545"/>
      <c r="H545"/>
      <c r="I545"/>
      <c r="J545"/>
      <c r="K545" s="107"/>
    </row>
    <row r="546" spans="1:11" s="32" customFormat="1" ht="27" customHeight="1" x14ac:dyDescent="0.15">
      <c r="A546" s="30"/>
      <c r="B546" s="30"/>
      <c r="D546" s="107"/>
      <c r="E546"/>
      <c r="F546"/>
      <c r="G546"/>
      <c r="H546"/>
      <c r="I546"/>
      <c r="J546"/>
      <c r="K546" s="107"/>
    </row>
    <row r="547" spans="1:11" s="32" customFormat="1" ht="27" customHeight="1" x14ac:dyDescent="0.15">
      <c r="A547" s="30"/>
      <c r="B547" s="30"/>
      <c r="D547" s="107"/>
      <c r="E547"/>
      <c r="F547"/>
      <c r="G547"/>
      <c r="H547"/>
      <c r="I547"/>
      <c r="J547"/>
      <c r="K547" s="107"/>
    </row>
    <row r="548" spans="1:11" s="32" customFormat="1" ht="27" customHeight="1" x14ac:dyDescent="0.15">
      <c r="A548" s="30"/>
      <c r="B548" s="30"/>
      <c r="D548" s="107"/>
      <c r="E548"/>
      <c r="F548"/>
      <c r="G548"/>
      <c r="H548"/>
      <c r="I548"/>
      <c r="J548"/>
      <c r="K548" s="107"/>
    </row>
    <row r="549" spans="1:11" s="32" customFormat="1" ht="27" customHeight="1" x14ac:dyDescent="0.15">
      <c r="A549" s="30"/>
      <c r="B549" s="30"/>
      <c r="D549" s="107"/>
      <c r="E549"/>
      <c r="F549"/>
      <c r="G549"/>
      <c r="H549"/>
      <c r="I549"/>
      <c r="J549"/>
      <c r="K549" s="107"/>
    </row>
    <row r="550" spans="1:11" s="32" customFormat="1" ht="27" customHeight="1" x14ac:dyDescent="0.15">
      <c r="A550" s="30"/>
      <c r="B550" s="30"/>
      <c r="D550" s="107"/>
      <c r="E550"/>
      <c r="F550"/>
      <c r="G550"/>
      <c r="H550"/>
      <c r="I550"/>
      <c r="J550"/>
      <c r="K550" s="107"/>
    </row>
    <row r="551" spans="1:11" s="32" customFormat="1" ht="27" customHeight="1" x14ac:dyDescent="0.15">
      <c r="A551" s="30"/>
      <c r="B551" s="30"/>
      <c r="D551" s="107"/>
      <c r="E551"/>
      <c r="F551"/>
      <c r="G551"/>
      <c r="H551"/>
      <c r="I551"/>
      <c r="J551"/>
      <c r="K551" s="107"/>
    </row>
    <row r="552" spans="1:11" s="32" customFormat="1" ht="27" customHeight="1" x14ac:dyDescent="0.15">
      <c r="A552" s="30"/>
      <c r="B552" s="30"/>
      <c r="D552" s="107"/>
      <c r="E552"/>
      <c r="F552"/>
      <c r="G552"/>
      <c r="H552"/>
      <c r="I552"/>
      <c r="J552"/>
      <c r="K552" s="107"/>
    </row>
    <row r="553" spans="1:11" s="32" customFormat="1" ht="27" customHeight="1" x14ac:dyDescent="0.15">
      <c r="A553" s="30"/>
      <c r="B553" s="30"/>
      <c r="D553" s="107"/>
      <c r="E553"/>
      <c r="F553"/>
      <c r="G553"/>
      <c r="H553"/>
      <c r="I553"/>
      <c r="J553"/>
      <c r="K553" s="107"/>
    </row>
    <row r="554" spans="1:11" s="32" customFormat="1" ht="27" customHeight="1" x14ac:dyDescent="0.15">
      <c r="A554" s="30"/>
      <c r="B554" s="30"/>
      <c r="D554" s="107"/>
      <c r="E554"/>
      <c r="F554"/>
      <c r="G554"/>
      <c r="H554"/>
      <c r="I554"/>
      <c r="J554"/>
      <c r="K554" s="107"/>
    </row>
    <row r="555" spans="1:11" s="32" customFormat="1" ht="27" customHeight="1" x14ac:dyDescent="0.15">
      <c r="A555" s="30"/>
      <c r="B555" s="30"/>
      <c r="D555" s="107"/>
      <c r="E555"/>
      <c r="F555"/>
      <c r="G555"/>
      <c r="H555"/>
      <c r="I555"/>
      <c r="J555"/>
      <c r="K555" s="107"/>
    </row>
    <row r="556" spans="1:11" s="32" customFormat="1" ht="27" customHeight="1" x14ac:dyDescent="0.15">
      <c r="A556" s="30"/>
      <c r="B556" s="30"/>
      <c r="D556" s="107"/>
      <c r="E556"/>
      <c r="F556"/>
      <c r="G556"/>
      <c r="H556"/>
      <c r="I556"/>
      <c r="J556"/>
      <c r="K556" s="107"/>
    </row>
    <row r="557" spans="1:11" s="32" customFormat="1" ht="27" customHeight="1" x14ac:dyDescent="0.15">
      <c r="A557" s="30"/>
      <c r="B557" s="30"/>
      <c r="D557" s="107"/>
      <c r="E557"/>
      <c r="F557"/>
      <c r="G557"/>
      <c r="H557"/>
      <c r="I557"/>
      <c r="J557"/>
      <c r="K557" s="107"/>
    </row>
    <row r="558" spans="1:11" s="32" customFormat="1" ht="27" customHeight="1" x14ac:dyDescent="0.15">
      <c r="A558" s="30"/>
      <c r="B558" s="30"/>
      <c r="D558" s="107"/>
      <c r="E558"/>
      <c r="F558"/>
      <c r="G558"/>
      <c r="H558"/>
      <c r="I558"/>
      <c r="J558"/>
      <c r="K558" s="107"/>
    </row>
    <row r="559" spans="1:11" s="32" customFormat="1" ht="27" customHeight="1" x14ac:dyDescent="0.15">
      <c r="A559" s="30"/>
      <c r="B559" s="30"/>
      <c r="D559" s="107"/>
      <c r="E559"/>
      <c r="F559"/>
      <c r="G559"/>
      <c r="H559"/>
      <c r="I559"/>
      <c r="J559"/>
      <c r="K559" s="107"/>
    </row>
    <row r="560" spans="1:11" s="32" customFormat="1" ht="27" customHeight="1" x14ac:dyDescent="0.15">
      <c r="A560" s="30"/>
      <c r="B560" s="30"/>
      <c r="D560" s="107"/>
      <c r="E560"/>
      <c r="F560"/>
      <c r="G560"/>
      <c r="H560"/>
      <c r="I560"/>
      <c r="J560"/>
      <c r="K560" s="107"/>
    </row>
    <row r="561" spans="1:11" s="32" customFormat="1" ht="27" customHeight="1" x14ac:dyDescent="0.15">
      <c r="A561" s="30"/>
      <c r="B561" s="30"/>
      <c r="D561" s="107"/>
      <c r="E561"/>
      <c r="F561"/>
      <c r="G561"/>
      <c r="H561"/>
      <c r="I561"/>
      <c r="J561"/>
      <c r="K561" s="107"/>
    </row>
    <row r="562" spans="1:11" s="32" customFormat="1" ht="27" customHeight="1" x14ac:dyDescent="0.15">
      <c r="A562" s="30"/>
      <c r="B562" s="30"/>
      <c r="D562" s="107"/>
      <c r="E562"/>
      <c r="F562"/>
      <c r="G562"/>
      <c r="H562"/>
      <c r="I562"/>
      <c r="J562"/>
      <c r="K562" s="107"/>
    </row>
    <row r="563" spans="1:11" s="32" customFormat="1" ht="27" customHeight="1" x14ac:dyDescent="0.15">
      <c r="A563" s="30"/>
      <c r="B563" s="30"/>
      <c r="D563" s="107"/>
      <c r="E563"/>
      <c r="F563"/>
      <c r="G563"/>
      <c r="H563"/>
      <c r="I563"/>
      <c r="J563"/>
      <c r="K563" s="107"/>
    </row>
    <row r="564" spans="1:11" s="32" customFormat="1" ht="27" customHeight="1" x14ac:dyDescent="0.15">
      <c r="A564" s="30"/>
      <c r="B564" s="30"/>
      <c r="D564" s="107"/>
      <c r="E564"/>
      <c r="F564"/>
      <c r="G564"/>
      <c r="H564"/>
      <c r="I564"/>
      <c r="J564"/>
      <c r="K564" s="107"/>
    </row>
    <row r="565" spans="1:11" s="32" customFormat="1" ht="27" customHeight="1" x14ac:dyDescent="0.15">
      <c r="A565" s="30"/>
      <c r="B565" s="30"/>
      <c r="D565" s="107"/>
      <c r="E565"/>
      <c r="F565"/>
      <c r="G565"/>
      <c r="H565"/>
      <c r="I565"/>
      <c r="J565"/>
      <c r="K565" s="107"/>
    </row>
    <row r="566" spans="1:11" s="32" customFormat="1" ht="27" customHeight="1" x14ac:dyDescent="0.15">
      <c r="A566" s="30"/>
      <c r="B566" s="30"/>
      <c r="D566" s="107"/>
      <c r="E566"/>
      <c r="F566"/>
      <c r="G566"/>
      <c r="H566"/>
      <c r="I566"/>
      <c r="J566"/>
      <c r="K566" s="107"/>
    </row>
    <row r="567" spans="1:11" s="32" customFormat="1" ht="27" customHeight="1" x14ac:dyDescent="0.15">
      <c r="A567" s="30"/>
      <c r="B567" s="30"/>
      <c r="D567" s="107"/>
      <c r="E567"/>
      <c r="F567"/>
      <c r="G567"/>
      <c r="H567"/>
      <c r="I567"/>
      <c r="J567"/>
      <c r="K567" s="107"/>
    </row>
    <row r="568" spans="1:11" s="32" customFormat="1" ht="27" customHeight="1" x14ac:dyDescent="0.15">
      <c r="A568" s="30"/>
      <c r="B568" s="30"/>
      <c r="D568" s="107"/>
      <c r="E568"/>
      <c r="F568"/>
      <c r="G568"/>
      <c r="H568"/>
      <c r="I568"/>
      <c r="J568"/>
      <c r="K568" s="107"/>
    </row>
    <row r="569" spans="1:11" s="32" customFormat="1" ht="27" customHeight="1" x14ac:dyDescent="0.15">
      <c r="A569" s="30"/>
      <c r="B569" s="30"/>
      <c r="D569" s="107"/>
      <c r="E569"/>
      <c r="F569"/>
      <c r="G569"/>
      <c r="H569"/>
      <c r="I569"/>
      <c r="J569"/>
      <c r="K569" s="107"/>
    </row>
    <row r="570" spans="1:11" s="32" customFormat="1" ht="27" customHeight="1" x14ac:dyDescent="0.15">
      <c r="A570" s="30"/>
      <c r="B570" s="30"/>
      <c r="D570" s="107"/>
      <c r="E570"/>
      <c r="F570"/>
      <c r="G570"/>
      <c r="H570"/>
      <c r="I570"/>
      <c r="J570"/>
      <c r="K570" s="107"/>
    </row>
    <row r="571" spans="1:11" s="32" customFormat="1" ht="27" customHeight="1" x14ac:dyDescent="0.15">
      <c r="A571" s="30"/>
      <c r="B571" s="30"/>
      <c r="D571" s="107"/>
      <c r="E571"/>
      <c r="F571"/>
      <c r="G571"/>
      <c r="H571"/>
      <c r="I571"/>
      <c r="J571"/>
      <c r="K571" s="107"/>
    </row>
    <row r="572" spans="1:11" s="32" customFormat="1" ht="27" customHeight="1" x14ac:dyDescent="0.15">
      <c r="A572" s="30"/>
      <c r="B572" s="30"/>
      <c r="D572" s="107"/>
      <c r="E572"/>
      <c r="F572"/>
      <c r="G572"/>
      <c r="H572"/>
      <c r="I572"/>
      <c r="J572"/>
      <c r="K572" s="107"/>
    </row>
    <row r="573" spans="1:11" s="32" customFormat="1" ht="27" customHeight="1" x14ac:dyDescent="0.15">
      <c r="A573" s="30"/>
      <c r="B573" s="30"/>
      <c r="D573" s="107"/>
      <c r="E573"/>
      <c r="F573"/>
      <c r="G573"/>
      <c r="H573"/>
      <c r="I573"/>
      <c r="J573"/>
      <c r="K573" s="107"/>
    </row>
    <row r="574" spans="1:11" s="32" customFormat="1" ht="27" customHeight="1" x14ac:dyDescent="0.15">
      <c r="A574" s="30"/>
      <c r="B574" s="30"/>
      <c r="D574" s="107"/>
      <c r="E574"/>
      <c r="F574"/>
      <c r="G574"/>
      <c r="H574"/>
      <c r="I574"/>
      <c r="J574"/>
      <c r="K574" s="107"/>
    </row>
    <row r="575" spans="1:11" s="32" customFormat="1" ht="27" customHeight="1" x14ac:dyDescent="0.15">
      <c r="A575" s="30"/>
      <c r="B575" s="30"/>
      <c r="D575" s="107"/>
      <c r="E575"/>
      <c r="F575"/>
      <c r="G575"/>
      <c r="H575"/>
      <c r="I575"/>
      <c r="J575"/>
      <c r="K575" s="107"/>
    </row>
    <row r="576" spans="1:11" s="32" customFormat="1" ht="27" customHeight="1" x14ac:dyDescent="0.15">
      <c r="A576" s="30"/>
      <c r="B576" s="30"/>
      <c r="D576" s="107"/>
      <c r="E576"/>
      <c r="F576"/>
      <c r="G576"/>
      <c r="H576"/>
      <c r="I576"/>
      <c r="J576"/>
      <c r="K576" s="107"/>
    </row>
    <row r="577" spans="1:11" s="32" customFormat="1" ht="27" customHeight="1" x14ac:dyDescent="0.15">
      <c r="A577" s="30"/>
      <c r="B577" s="30"/>
      <c r="D577" s="107"/>
      <c r="E577"/>
      <c r="F577"/>
      <c r="G577"/>
      <c r="H577"/>
      <c r="I577"/>
      <c r="J577"/>
      <c r="K577" s="107"/>
    </row>
    <row r="578" spans="1:11" s="32" customFormat="1" ht="27" customHeight="1" x14ac:dyDescent="0.15">
      <c r="A578" s="30"/>
      <c r="B578" s="30"/>
      <c r="D578" s="107"/>
      <c r="E578"/>
      <c r="F578"/>
      <c r="G578"/>
      <c r="H578"/>
      <c r="I578"/>
      <c r="J578"/>
      <c r="K578" s="107"/>
    </row>
    <row r="579" spans="1:11" s="32" customFormat="1" ht="27" customHeight="1" x14ac:dyDescent="0.15">
      <c r="A579" s="30"/>
      <c r="B579" s="30"/>
      <c r="D579" s="107"/>
      <c r="E579"/>
      <c r="F579"/>
      <c r="G579"/>
      <c r="H579"/>
      <c r="I579"/>
      <c r="J579"/>
      <c r="K579" s="107"/>
    </row>
    <row r="580" spans="1:11" s="32" customFormat="1" ht="27" customHeight="1" x14ac:dyDescent="0.15">
      <c r="A580" s="30"/>
      <c r="B580" s="30"/>
      <c r="D580" s="107"/>
      <c r="E580"/>
      <c r="F580"/>
      <c r="G580"/>
      <c r="H580"/>
      <c r="I580"/>
      <c r="J580"/>
      <c r="K580" s="107"/>
    </row>
    <row r="581" spans="1:11" s="32" customFormat="1" ht="27" customHeight="1" x14ac:dyDescent="0.15">
      <c r="A581" s="30"/>
      <c r="B581" s="30"/>
      <c r="D581" s="107"/>
      <c r="E581"/>
      <c r="F581"/>
      <c r="G581"/>
      <c r="H581"/>
      <c r="I581"/>
      <c r="J581"/>
      <c r="K581" s="107"/>
    </row>
    <row r="582" spans="1:11" s="32" customFormat="1" ht="27" customHeight="1" x14ac:dyDescent="0.15">
      <c r="A582" s="30"/>
      <c r="B582" s="30"/>
      <c r="D582" s="107"/>
      <c r="E582"/>
      <c r="F582"/>
      <c r="G582"/>
      <c r="H582"/>
      <c r="I582"/>
      <c r="J582"/>
      <c r="K582" s="107"/>
    </row>
    <row r="583" spans="1:11" s="32" customFormat="1" ht="27" customHeight="1" x14ac:dyDescent="0.15">
      <c r="A583" s="30"/>
      <c r="B583" s="30"/>
      <c r="D583" s="107"/>
      <c r="E583"/>
      <c r="F583"/>
      <c r="G583"/>
      <c r="H583"/>
      <c r="I583"/>
      <c r="J583"/>
      <c r="K583" s="107"/>
    </row>
    <row r="584" spans="1:11" s="32" customFormat="1" ht="27" customHeight="1" x14ac:dyDescent="0.15">
      <c r="A584" s="30"/>
      <c r="B584" s="30"/>
      <c r="D584" s="107"/>
      <c r="E584"/>
      <c r="F584"/>
      <c r="G584"/>
      <c r="H584"/>
      <c r="I584"/>
      <c r="J584"/>
      <c r="K584" s="107"/>
    </row>
    <row r="585" spans="1:11" s="32" customFormat="1" ht="27" customHeight="1" x14ac:dyDescent="0.15">
      <c r="A585" s="30"/>
      <c r="B585" s="30"/>
      <c r="D585" s="107"/>
      <c r="E585"/>
      <c r="F585"/>
      <c r="G585"/>
      <c r="H585"/>
      <c r="I585"/>
      <c r="J585"/>
      <c r="K585" s="107"/>
    </row>
    <row r="586" spans="1:11" s="32" customFormat="1" ht="27" customHeight="1" x14ac:dyDescent="0.15">
      <c r="A586" s="30"/>
      <c r="B586" s="30"/>
      <c r="D586" s="107"/>
      <c r="E586"/>
      <c r="F586"/>
      <c r="G586"/>
      <c r="H586"/>
      <c r="I586"/>
      <c r="J586"/>
      <c r="K586" s="107"/>
    </row>
    <row r="587" spans="1:11" s="32" customFormat="1" ht="27" customHeight="1" x14ac:dyDescent="0.15">
      <c r="A587" s="30"/>
      <c r="B587" s="30"/>
      <c r="D587" s="107"/>
      <c r="E587"/>
      <c r="F587"/>
      <c r="G587"/>
      <c r="H587"/>
      <c r="I587"/>
      <c r="J587"/>
      <c r="K587" s="107"/>
    </row>
    <row r="588" spans="1:11" s="32" customFormat="1" ht="27" customHeight="1" x14ac:dyDescent="0.15">
      <c r="A588" s="30"/>
      <c r="B588" s="30"/>
      <c r="D588" s="107"/>
      <c r="E588"/>
      <c r="F588"/>
      <c r="G588"/>
      <c r="H588"/>
      <c r="I588"/>
      <c r="J588"/>
      <c r="K588" s="107"/>
    </row>
    <row r="589" spans="1:11" s="32" customFormat="1" ht="27" customHeight="1" x14ac:dyDescent="0.15">
      <c r="A589" s="30"/>
      <c r="B589" s="30"/>
      <c r="D589" s="107"/>
      <c r="E589"/>
      <c r="F589"/>
      <c r="G589"/>
      <c r="H589"/>
      <c r="I589"/>
      <c r="J589"/>
      <c r="K589" s="107"/>
    </row>
    <row r="590" spans="1:11" s="32" customFormat="1" ht="27" customHeight="1" x14ac:dyDescent="0.15">
      <c r="A590" s="30"/>
      <c r="B590" s="30"/>
      <c r="D590" s="107"/>
      <c r="E590"/>
      <c r="F590"/>
      <c r="G590"/>
      <c r="H590"/>
      <c r="I590"/>
      <c r="J590"/>
      <c r="K590" s="107"/>
    </row>
    <row r="591" spans="1:11" s="32" customFormat="1" ht="27" customHeight="1" x14ac:dyDescent="0.15">
      <c r="A591" s="30"/>
      <c r="B591" s="30"/>
      <c r="D591" s="107"/>
      <c r="E591"/>
      <c r="F591"/>
      <c r="G591"/>
      <c r="H591"/>
      <c r="I591"/>
      <c r="J591"/>
      <c r="K591" s="107"/>
    </row>
    <row r="592" spans="1:11" s="32" customFormat="1" ht="27" customHeight="1" x14ac:dyDescent="0.15">
      <c r="A592" s="30"/>
      <c r="B592" s="30"/>
      <c r="D592" s="107"/>
      <c r="E592"/>
      <c r="F592"/>
      <c r="G592"/>
      <c r="H592"/>
      <c r="I592"/>
      <c r="J592"/>
      <c r="K592" s="107"/>
    </row>
    <row r="593" spans="1:11" s="32" customFormat="1" ht="27" customHeight="1" x14ac:dyDescent="0.15">
      <c r="A593" s="30"/>
      <c r="B593" s="30"/>
      <c r="D593" s="107"/>
      <c r="E593"/>
      <c r="F593"/>
      <c r="G593"/>
      <c r="H593"/>
      <c r="I593"/>
      <c r="J593"/>
      <c r="K593" s="107"/>
    </row>
    <row r="594" spans="1:11" s="32" customFormat="1" ht="27" customHeight="1" x14ac:dyDescent="0.15">
      <c r="A594" s="30"/>
      <c r="B594" s="30"/>
      <c r="D594" s="107"/>
      <c r="E594"/>
      <c r="F594"/>
      <c r="G594"/>
      <c r="H594"/>
      <c r="I594"/>
      <c r="J594"/>
      <c r="K594" s="107"/>
    </row>
    <row r="595" spans="1:11" s="32" customFormat="1" x14ac:dyDescent="0.15">
      <c r="A595" s="30"/>
      <c r="B595" s="30"/>
      <c r="E595" s="83"/>
      <c r="F595" s="30"/>
      <c r="G595" s="84"/>
      <c r="H595" s="85"/>
      <c r="I595" s="85"/>
      <c r="J595" s="85"/>
    </row>
    <row r="596" spans="1:11" s="32" customFormat="1" x14ac:dyDescent="0.15">
      <c r="A596" s="30"/>
      <c r="B596" s="30"/>
      <c r="E596" s="83"/>
      <c r="F596" s="30"/>
      <c r="G596" s="84"/>
      <c r="H596" s="85"/>
      <c r="I596" s="85"/>
      <c r="J596" s="85"/>
    </row>
    <row r="597" spans="1:11" s="32" customFormat="1" x14ac:dyDescent="0.15">
      <c r="A597" s="30"/>
      <c r="B597" s="30"/>
      <c r="E597" s="83"/>
      <c r="F597" s="30"/>
      <c r="G597" s="84"/>
      <c r="H597" s="85"/>
      <c r="I597" s="85"/>
      <c r="J597" s="85"/>
    </row>
    <row r="598" spans="1:11" s="32" customFormat="1" x14ac:dyDescent="0.15">
      <c r="A598" s="30"/>
      <c r="B598" s="30"/>
      <c r="E598" s="83"/>
      <c r="F598" s="30"/>
      <c r="G598" s="84"/>
      <c r="H598" s="85"/>
      <c r="I598" s="85"/>
      <c r="J598" s="85"/>
    </row>
    <row r="599" spans="1:11" s="32" customFormat="1" x14ac:dyDescent="0.15">
      <c r="A599" s="30"/>
      <c r="B599" s="30"/>
      <c r="E599" s="83"/>
      <c r="F599" s="30"/>
      <c r="G599" s="84"/>
      <c r="H599" s="85"/>
      <c r="I599" s="85"/>
      <c r="J599" s="85"/>
    </row>
    <row r="600" spans="1:11" s="32" customFormat="1" x14ac:dyDescent="0.15">
      <c r="A600" s="30"/>
      <c r="B600" s="30"/>
      <c r="E600" s="83"/>
      <c r="F600" s="30"/>
      <c r="G600" s="84"/>
      <c r="H600" s="85"/>
      <c r="I600" s="85"/>
      <c r="J600" s="85"/>
    </row>
    <row r="601" spans="1:11" s="32" customFormat="1" x14ac:dyDescent="0.15">
      <c r="A601" s="30"/>
      <c r="B601" s="30"/>
      <c r="E601" s="83"/>
      <c r="F601" s="30"/>
      <c r="G601" s="84"/>
      <c r="H601" s="85"/>
      <c r="I601" s="85"/>
      <c r="J601" s="85"/>
    </row>
    <row r="602" spans="1:11" s="32" customFormat="1" x14ac:dyDescent="0.15">
      <c r="A602" s="30"/>
      <c r="B602" s="30"/>
      <c r="E602" s="83"/>
      <c r="F602" s="30"/>
      <c r="G602" s="84"/>
      <c r="H602" s="85"/>
      <c r="I602" s="85"/>
      <c r="J602" s="85"/>
    </row>
    <row r="603" spans="1:11" s="32" customFormat="1" x14ac:dyDescent="0.15">
      <c r="A603" s="30"/>
      <c r="B603" s="30"/>
      <c r="E603" s="83"/>
      <c r="F603" s="30"/>
      <c r="G603" s="84"/>
      <c r="H603" s="85"/>
      <c r="I603" s="85"/>
      <c r="J603" s="85"/>
    </row>
    <row r="604" spans="1:11" s="32" customFormat="1" x14ac:dyDescent="0.15">
      <c r="A604" s="30"/>
      <c r="B604" s="30"/>
      <c r="E604" s="83"/>
      <c r="F604" s="30"/>
      <c r="G604" s="84"/>
      <c r="H604" s="85"/>
      <c r="I604" s="85"/>
      <c r="J604" s="85"/>
    </row>
    <row r="605" spans="1:11" s="32" customFormat="1" x14ac:dyDescent="0.15">
      <c r="A605" s="30"/>
      <c r="B605" s="30"/>
      <c r="E605" s="83"/>
      <c r="F605" s="30"/>
      <c r="G605" s="84"/>
      <c r="H605" s="85"/>
      <c r="I605" s="85"/>
      <c r="J605" s="85"/>
    </row>
    <row r="606" spans="1:11" s="32" customFormat="1" x14ac:dyDescent="0.15">
      <c r="A606" s="30"/>
      <c r="B606" s="30"/>
      <c r="E606" s="83"/>
      <c r="F606" s="30"/>
      <c r="G606" s="84"/>
      <c r="H606" s="85"/>
      <c r="I606" s="85"/>
      <c r="J606" s="85"/>
    </row>
    <row r="607" spans="1:11" s="32" customFormat="1" x14ac:dyDescent="0.15">
      <c r="A607" s="30"/>
      <c r="B607" s="30"/>
      <c r="E607" s="83"/>
      <c r="F607" s="87"/>
      <c r="G607" s="84"/>
      <c r="H607" s="85"/>
      <c r="I607" s="85"/>
      <c r="J607" s="85"/>
    </row>
    <row r="608" spans="1:11" s="32" customFormat="1" x14ac:dyDescent="0.15">
      <c r="A608" s="30"/>
      <c r="B608" s="30"/>
      <c r="E608" s="89"/>
      <c r="F608" s="90"/>
      <c r="G608" s="84"/>
      <c r="H608" s="85"/>
      <c r="I608" s="85"/>
      <c r="J608" s="85"/>
    </row>
    <row r="609" spans="1:10" s="32" customFormat="1" x14ac:dyDescent="0.15">
      <c r="A609" s="30"/>
      <c r="B609" s="30"/>
      <c r="E609" s="83"/>
      <c r="F609" s="30"/>
      <c r="G609" s="84"/>
      <c r="H609" s="85"/>
      <c r="I609" s="85"/>
      <c r="J609" s="85"/>
    </row>
    <row r="610" spans="1:10" s="32" customFormat="1" x14ac:dyDescent="0.15">
      <c r="A610" s="30"/>
      <c r="B610" s="30"/>
      <c r="E610" s="83"/>
      <c r="F610" s="30"/>
      <c r="G610" s="84"/>
      <c r="H610" s="85"/>
      <c r="I610" s="85"/>
      <c r="J610" s="85"/>
    </row>
    <row r="611" spans="1:10" s="32" customFormat="1" x14ac:dyDescent="0.15">
      <c r="A611" s="30"/>
      <c r="B611" s="30"/>
      <c r="E611" s="83"/>
      <c r="F611" s="30"/>
      <c r="G611" s="84"/>
      <c r="H611" s="85"/>
      <c r="I611" s="85"/>
      <c r="J611" s="85"/>
    </row>
    <row r="612" spans="1:10" s="32" customFormat="1" x14ac:dyDescent="0.15">
      <c r="A612" s="30"/>
      <c r="B612" s="30"/>
      <c r="E612" s="83"/>
      <c r="F612" s="30"/>
      <c r="G612" s="84"/>
      <c r="H612" s="85"/>
      <c r="I612" s="85"/>
      <c r="J612" s="85"/>
    </row>
    <row r="613" spans="1:10" s="32" customFormat="1" x14ac:dyDescent="0.15">
      <c r="A613" s="30"/>
      <c r="B613" s="30"/>
      <c r="E613" s="83"/>
      <c r="F613" s="90"/>
      <c r="G613" s="84"/>
      <c r="H613" s="85"/>
      <c r="I613" s="85"/>
      <c r="J613" s="85"/>
    </row>
    <row r="614" spans="1:10" s="32" customFormat="1" x14ac:dyDescent="0.15">
      <c r="A614" s="30"/>
      <c r="B614" s="30"/>
      <c r="E614" s="83"/>
      <c r="F614" s="30"/>
      <c r="G614" s="84"/>
      <c r="H614" s="85"/>
      <c r="I614" s="85"/>
      <c r="J614" s="85"/>
    </row>
    <row r="615" spans="1:10" s="32" customFormat="1" x14ac:dyDescent="0.15">
      <c r="A615" s="30"/>
      <c r="B615" s="30"/>
      <c r="E615" s="83"/>
      <c r="F615" s="30"/>
      <c r="G615" s="84"/>
      <c r="H615" s="85"/>
      <c r="I615" s="85"/>
      <c r="J615" s="85"/>
    </row>
    <row r="616" spans="1:10" s="32" customFormat="1" x14ac:dyDescent="0.15">
      <c r="A616" s="30"/>
      <c r="B616" s="30"/>
      <c r="E616" s="83"/>
      <c r="F616" s="30"/>
      <c r="G616" s="84"/>
      <c r="H616" s="85"/>
      <c r="I616" s="85"/>
      <c r="J616" s="85"/>
    </row>
    <row r="617" spans="1:10" s="32" customFormat="1" x14ac:dyDescent="0.15">
      <c r="A617" s="30"/>
      <c r="B617" s="30"/>
      <c r="E617" s="83"/>
      <c r="F617" s="30"/>
      <c r="G617" s="84"/>
      <c r="H617" s="85"/>
      <c r="I617" s="85"/>
      <c r="J617" s="85"/>
    </row>
    <row r="618" spans="1:10" s="32" customFormat="1" x14ac:dyDescent="0.15">
      <c r="A618" s="30"/>
      <c r="B618" s="30"/>
      <c r="E618" s="83"/>
      <c r="F618" s="90"/>
      <c r="G618" s="84"/>
      <c r="H618" s="85"/>
      <c r="I618" s="85"/>
      <c r="J618" s="85"/>
    </row>
    <row r="619" spans="1:10" s="32" customFormat="1" x14ac:dyDescent="0.15">
      <c r="A619" s="30"/>
      <c r="B619" s="30"/>
      <c r="E619" s="83"/>
      <c r="F619" s="90"/>
      <c r="G619" s="84"/>
      <c r="H619" s="85"/>
      <c r="I619" s="85"/>
      <c r="J619" s="85"/>
    </row>
    <row r="620" spans="1:10" s="32" customFormat="1" x14ac:dyDescent="0.15">
      <c r="A620" s="30"/>
      <c r="B620" s="30"/>
      <c r="E620" s="83"/>
      <c r="F620" s="30"/>
      <c r="G620" s="84"/>
      <c r="H620" s="85"/>
      <c r="I620" s="85"/>
      <c r="J620" s="85"/>
    </row>
    <row r="621" spans="1:10" s="32" customFormat="1" x14ac:dyDescent="0.15">
      <c r="A621" s="30"/>
      <c r="B621" s="30"/>
      <c r="E621" s="83"/>
      <c r="F621" s="30"/>
      <c r="G621" s="84"/>
      <c r="H621" s="85"/>
      <c r="I621" s="85"/>
      <c r="J621" s="85"/>
    </row>
    <row r="622" spans="1:10" s="32" customFormat="1" x14ac:dyDescent="0.15">
      <c r="A622" s="30"/>
      <c r="B622" s="30"/>
      <c r="E622" s="83"/>
      <c r="F622" s="30"/>
      <c r="G622" s="84"/>
      <c r="H622" s="85"/>
      <c r="I622" s="85"/>
      <c r="J622" s="85"/>
    </row>
    <row r="623" spans="1:10" s="32" customFormat="1" x14ac:dyDescent="0.15">
      <c r="A623" s="30"/>
      <c r="B623" s="30"/>
      <c r="E623" s="83"/>
      <c r="F623" s="30"/>
      <c r="G623" s="84"/>
      <c r="H623" s="85"/>
      <c r="I623" s="85"/>
      <c r="J623" s="85"/>
    </row>
    <row r="624" spans="1:10" s="32" customFormat="1" x14ac:dyDescent="0.15">
      <c r="A624" s="30"/>
      <c r="B624" s="30"/>
      <c r="E624" s="83"/>
      <c r="F624" s="30"/>
      <c r="G624" s="84"/>
      <c r="H624" s="85"/>
      <c r="I624" s="85"/>
      <c r="J624" s="85"/>
    </row>
    <row r="625" spans="1:10" s="32" customFormat="1" x14ac:dyDescent="0.15">
      <c r="A625" s="30"/>
      <c r="B625" s="30"/>
      <c r="E625" s="83"/>
      <c r="F625" s="30"/>
      <c r="G625" s="84"/>
      <c r="H625" s="85"/>
      <c r="I625" s="85"/>
      <c r="J625" s="85"/>
    </row>
    <row r="626" spans="1:10" s="32" customFormat="1" x14ac:dyDescent="0.15">
      <c r="A626" s="30"/>
      <c r="B626" s="30"/>
      <c r="E626" s="91"/>
      <c r="F626" s="91"/>
      <c r="G626" s="84"/>
      <c r="H626" s="85"/>
      <c r="I626" s="85"/>
      <c r="J626" s="85"/>
    </row>
    <row r="627" spans="1:10" s="32" customFormat="1" x14ac:dyDescent="0.15">
      <c r="A627" s="30"/>
      <c r="B627" s="30"/>
      <c r="E627" s="83"/>
      <c r="F627" s="90"/>
      <c r="G627" s="84"/>
      <c r="H627" s="85"/>
      <c r="I627" s="85"/>
      <c r="J627" s="85"/>
    </row>
    <row r="628" spans="1:10" s="32" customFormat="1" x14ac:dyDescent="0.15">
      <c r="A628" s="30"/>
      <c r="B628" s="30"/>
      <c r="E628" s="83"/>
      <c r="F628" s="90"/>
      <c r="G628" s="84"/>
      <c r="H628" s="85"/>
      <c r="I628" s="85"/>
      <c r="J628" s="85"/>
    </row>
    <row r="629" spans="1:10" s="32" customFormat="1" x14ac:dyDescent="0.15">
      <c r="A629" s="30"/>
      <c r="B629" s="30"/>
      <c r="E629" s="83"/>
      <c r="F629" s="90"/>
      <c r="G629" s="84"/>
      <c r="H629" s="85"/>
      <c r="I629" s="85"/>
      <c r="J629" s="85"/>
    </row>
    <row r="630" spans="1:10" s="32" customFormat="1" x14ac:dyDescent="0.15">
      <c r="A630" s="30"/>
      <c r="B630" s="30"/>
      <c r="E630" s="83"/>
      <c r="F630" s="90"/>
      <c r="G630" s="84"/>
      <c r="H630" s="85"/>
      <c r="I630" s="85"/>
      <c r="J630" s="85"/>
    </row>
    <row r="631" spans="1:10" s="32" customFormat="1" x14ac:dyDescent="0.15">
      <c r="A631" s="30"/>
      <c r="B631" s="30"/>
      <c r="E631" s="83"/>
      <c r="F631" s="90"/>
      <c r="G631" s="84"/>
      <c r="H631" s="85"/>
      <c r="I631" s="85"/>
      <c r="J631" s="85"/>
    </row>
    <row r="632" spans="1:10" s="32" customFormat="1" x14ac:dyDescent="0.15">
      <c r="A632" s="30"/>
      <c r="B632" s="30"/>
      <c r="E632" s="83"/>
      <c r="F632" s="90"/>
      <c r="G632" s="84"/>
      <c r="H632" s="85"/>
      <c r="I632" s="85"/>
      <c r="J632" s="85"/>
    </row>
    <row r="633" spans="1:10" s="32" customFormat="1" x14ac:dyDescent="0.15">
      <c r="A633" s="30"/>
      <c r="B633" s="30"/>
      <c r="E633" s="91"/>
      <c r="F633" s="91"/>
      <c r="G633" s="84"/>
      <c r="H633" s="85"/>
      <c r="I633" s="85"/>
      <c r="J633" s="85"/>
    </row>
    <row r="634" spans="1:10" s="32" customFormat="1" x14ac:dyDescent="0.15">
      <c r="A634" s="30"/>
      <c r="B634" s="30"/>
      <c r="E634" s="83"/>
      <c r="F634" s="90"/>
      <c r="G634" s="84"/>
      <c r="H634" s="85"/>
      <c r="I634" s="85"/>
      <c r="J634" s="85"/>
    </row>
    <row r="635" spans="1:10" s="32" customFormat="1" x14ac:dyDescent="0.15">
      <c r="A635" s="30"/>
      <c r="B635" s="30"/>
      <c r="E635" s="83"/>
      <c r="F635" s="90"/>
      <c r="G635" s="84"/>
      <c r="H635" s="85"/>
      <c r="I635" s="85"/>
      <c r="J635" s="85"/>
    </row>
    <row r="636" spans="1:10" s="32" customFormat="1" x14ac:dyDescent="0.15">
      <c r="A636" s="30"/>
      <c r="B636" s="30"/>
      <c r="E636" s="83"/>
      <c r="F636" s="90"/>
      <c r="G636" s="84"/>
      <c r="H636" s="85"/>
      <c r="I636" s="85"/>
      <c r="J636" s="85"/>
    </row>
    <row r="637" spans="1:10" s="32" customFormat="1" x14ac:dyDescent="0.15">
      <c r="A637" s="30"/>
      <c r="B637" s="30"/>
      <c r="E637" s="83"/>
      <c r="F637" s="30"/>
      <c r="G637" s="84"/>
      <c r="H637" s="85"/>
      <c r="I637" s="85"/>
      <c r="J637" s="85"/>
    </row>
    <row r="638" spans="1:10" s="32" customFormat="1" x14ac:dyDescent="0.15">
      <c r="A638" s="30"/>
      <c r="B638" s="30"/>
      <c r="E638" s="83"/>
      <c r="F638" s="90"/>
      <c r="G638" s="84"/>
      <c r="H638" s="85"/>
      <c r="I638" s="85"/>
      <c r="J638" s="85"/>
    </row>
    <row r="639" spans="1:10" s="32" customFormat="1" x14ac:dyDescent="0.15">
      <c r="A639" s="30"/>
      <c r="B639" s="30"/>
      <c r="E639" s="83"/>
      <c r="F639" s="90"/>
      <c r="G639" s="84"/>
      <c r="H639" s="85"/>
      <c r="I639" s="85"/>
      <c r="J639" s="85"/>
    </row>
    <row r="640" spans="1:10" s="32" customFormat="1" x14ac:dyDescent="0.15">
      <c r="A640" s="30"/>
      <c r="B640" s="30"/>
      <c r="E640" s="83"/>
      <c r="F640" s="30"/>
      <c r="G640" s="84"/>
      <c r="H640" s="85"/>
      <c r="I640" s="85"/>
      <c r="J640" s="85"/>
    </row>
    <row r="641" spans="1:10" s="32" customFormat="1" x14ac:dyDescent="0.15">
      <c r="A641" s="30"/>
      <c r="B641" s="30"/>
      <c r="E641" s="83"/>
      <c r="F641" s="30"/>
      <c r="G641" s="84"/>
      <c r="H641" s="85"/>
      <c r="I641" s="85"/>
      <c r="J641" s="85"/>
    </row>
    <row r="642" spans="1:10" s="32" customFormat="1" x14ac:dyDescent="0.15">
      <c r="A642" s="30"/>
      <c r="B642" s="30"/>
      <c r="E642" s="92"/>
      <c r="F642" s="88"/>
      <c r="G642" s="84"/>
      <c r="H642" s="85"/>
      <c r="I642" s="85"/>
      <c r="J642" s="85"/>
    </row>
    <row r="643" spans="1:10" s="32" customFormat="1" x14ac:dyDescent="0.15">
      <c r="A643" s="30"/>
      <c r="B643" s="30"/>
      <c r="E643" s="92"/>
      <c r="F643" s="88"/>
      <c r="G643" s="84"/>
      <c r="H643" s="85"/>
      <c r="I643" s="85"/>
      <c r="J643" s="85"/>
    </row>
    <row r="644" spans="1:10" s="32" customFormat="1" x14ac:dyDescent="0.15">
      <c r="A644" s="30"/>
      <c r="B644" s="30"/>
      <c r="E644" s="92"/>
      <c r="F644" s="88"/>
      <c r="G644" s="84"/>
      <c r="H644" s="85"/>
      <c r="I644" s="85"/>
      <c r="J644" s="85"/>
    </row>
    <row r="645" spans="1:10" s="32" customFormat="1" x14ac:dyDescent="0.15">
      <c r="A645" s="30"/>
      <c r="B645" s="30"/>
      <c r="E645" s="89"/>
      <c r="F645" s="30"/>
      <c r="G645" s="84"/>
      <c r="H645" s="85"/>
      <c r="I645" s="85"/>
      <c r="J645" s="85"/>
    </row>
    <row r="646" spans="1:10" s="32" customFormat="1" x14ac:dyDescent="0.15">
      <c r="A646" s="30"/>
      <c r="B646" s="30"/>
      <c r="E646" s="89"/>
      <c r="F646" s="30"/>
      <c r="G646" s="84"/>
      <c r="H646" s="85"/>
      <c r="I646" s="85"/>
      <c r="J646" s="85"/>
    </row>
    <row r="647" spans="1:10" s="32" customFormat="1" x14ac:dyDescent="0.15">
      <c r="A647" s="30"/>
      <c r="B647" s="30"/>
      <c r="E647" s="89"/>
      <c r="F647" s="30"/>
      <c r="G647" s="84"/>
      <c r="H647" s="85"/>
      <c r="I647" s="85"/>
      <c r="J647" s="85"/>
    </row>
    <row r="648" spans="1:10" s="32" customFormat="1" x14ac:dyDescent="0.15">
      <c r="A648" s="30"/>
      <c r="B648" s="30"/>
      <c r="E648" s="89"/>
      <c r="F648" s="30"/>
      <c r="G648" s="84"/>
      <c r="H648" s="85"/>
      <c r="I648" s="85"/>
      <c r="J648" s="85"/>
    </row>
    <row r="649" spans="1:10" s="32" customFormat="1" x14ac:dyDescent="0.15">
      <c r="A649" s="30"/>
      <c r="B649" s="30"/>
      <c r="E649" s="89"/>
      <c r="F649" s="30"/>
      <c r="G649" s="84"/>
      <c r="H649" s="85"/>
      <c r="I649" s="85"/>
      <c r="J649" s="85"/>
    </row>
    <row r="650" spans="1:10" s="32" customFormat="1" x14ac:dyDescent="0.15">
      <c r="A650" s="30"/>
      <c r="B650" s="30"/>
      <c r="E650" s="89"/>
      <c r="F650" s="30"/>
      <c r="G650" s="84"/>
      <c r="H650" s="85"/>
      <c r="I650" s="85"/>
      <c r="J650" s="85"/>
    </row>
    <row r="651" spans="1:10" s="32" customFormat="1" x14ac:dyDescent="0.15">
      <c r="A651" s="30"/>
      <c r="B651" s="30"/>
      <c r="E651" s="86"/>
      <c r="F651" s="86"/>
      <c r="G651" s="84"/>
      <c r="H651" s="85"/>
      <c r="I651" s="85"/>
      <c r="J651" s="85"/>
    </row>
    <row r="652" spans="1:10" s="32" customFormat="1" x14ac:dyDescent="0.15">
      <c r="A652" s="30"/>
      <c r="B652" s="30"/>
      <c r="E652" s="86"/>
      <c r="F652" s="86"/>
      <c r="G652" s="84"/>
      <c r="H652" s="85"/>
      <c r="I652" s="85"/>
      <c r="J652" s="85"/>
    </row>
    <row r="653" spans="1:10" s="32" customFormat="1" x14ac:dyDescent="0.15">
      <c r="A653" s="30"/>
      <c r="B653" s="30"/>
      <c r="E653" s="89"/>
      <c r="F653" s="30"/>
      <c r="G653" s="84"/>
      <c r="H653" s="85"/>
      <c r="I653" s="85"/>
      <c r="J653" s="85"/>
    </row>
    <row r="654" spans="1:10" s="32" customFormat="1" x14ac:dyDescent="0.15">
      <c r="A654" s="30"/>
      <c r="B654" s="30"/>
      <c r="E654" s="89"/>
      <c r="F654" s="30"/>
      <c r="G654" s="84"/>
      <c r="H654" s="85"/>
      <c r="I654" s="85"/>
      <c r="J654" s="85"/>
    </row>
    <row r="655" spans="1:10" s="32" customFormat="1" x14ac:dyDescent="0.15">
      <c r="A655" s="30"/>
      <c r="B655" s="30"/>
      <c r="E655" s="89"/>
      <c r="F655" s="30"/>
      <c r="G655" s="84"/>
      <c r="H655" s="85"/>
      <c r="I655" s="85"/>
      <c r="J655" s="85"/>
    </row>
    <row r="656" spans="1:10" s="32" customFormat="1" x14ac:dyDescent="0.15">
      <c r="A656" s="30"/>
      <c r="B656" s="30"/>
      <c r="E656" s="89"/>
      <c r="F656" s="30"/>
      <c r="G656" s="84"/>
      <c r="H656" s="85"/>
      <c r="I656" s="85"/>
      <c r="J656" s="85"/>
    </row>
    <row r="657" spans="1:10" s="32" customFormat="1" x14ac:dyDescent="0.15">
      <c r="A657" s="30"/>
      <c r="B657" s="30"/>
      <c r="E657" s="89"/>
      <c r="F657" s="30"/>
      <c r="G657" s="84"/>
      <c r="H657" s="85"/>
      <c r="I657" s="85"/>
      <c r="J657" s="85"/>
    </row>
    <row r="658" spans="1:10" s="32" customFormat="1" x14ac:dyDescent="0.15">
      <c r="A658" s="30"/>
      <c r="B658" s="30"/>
      <c r="E658" s="89"/>
      <c r="F658" s="30"/>
      <c r="G658" s="84"/>
      <c r="H658" s="85"/>
      <c r="I658" s="85"/>
      <c r="J658" s="85"/>
    </row>
    <row r="659" spans="1:10" s="32" customFormat="1" x14ac:dyDescent="0.15">
      <c r="A659" s="30"/>
      <c r="B659" s="30"/>
      <c r="E659" s="89"/>
      <c r="F659" s="30"/>
      <c r="G659" s="84"/>
      <c r="H659" s="85"/>
      <c r="I659" s="85"/>
      <c r="J659" s="85"/>
    </row>
    <row r="660" spans="1:10" s="32" customFormat="1" x14ac:dyDescent="0.15">
      <c r="A660" s="30"/>
      <c r="B660" s="30"/>
      <c r="E660" s="89"/>
      <c r="F660" s="30"/>
      <c r="G660" s="84"/>
      <c r="H660" s="85"/>
      <c r="I660" s="85"/>
      <c r="J660" s="85"/>
    </row>
    <row r="661" spans="1:10" s="32" customFormat="1" x14ac:dyDescent="0.15">
      <c r="A661" s="30"/>
      <c r="B661" s="30"/>
      <c r="E661" s="89"/>
      <c r="F661" s="30"/>
      <c r="G661" s="84"/>
      <c r="H661" s="85"/>
      <c r="I661" s="85"/>
      <c r="J661" s="85"/>
    </row>
    <row r="662" spans="1:10" s="32" customFormat="1" x14ac:dyDescent="0.15">
      <c r="A662" s="30"/>
      <c r="B662" s="30"/>
      <c r="E662" s="89"/>
      <c r="F662" s="30"/>
      <c r="G662" s="84"/>
      <c r="H662" s="85"/>
      <c r="I662" s="85"/>
      <c r="J662" s="85"/>
    </row>
    <row r="663" spans="1:10" s="32" customFormat="1" x14ac:dyDescent="0.15">
      <c r="A663" s="30"/>
      <c r="B663" s="30"/>
      <c r="E663" s="89"/>
      <c r="F663" s="30"/>
      <c r="G663" s="84"/>
      <c r="H663" s="85"/>
      <c r="I663" s="85"/>
      <c r="J663" s="85"/>
    </row>
    <row r="664" spans="1:10" s="32" customFormat="1" x14ac:dyDescent="0.15">
      <c r="A664" s="30"/>
      <c r="B664" s="30"/>
      <c r="E664" s="93"/>
      <c r="F664" s="30"/>
      <c r="G664" s="84"/>
      <c r="H664" s="85"/>
      <c r="I664" s="85"/>
      <c r="J664" s="85"/>
    </row>
    <row r="665" spans="1:10" s="32" customFormat="1" x14ac:dyDescent="0.15">
      <c r="A665" s="30"/>
      <c r="B665" s="30"/>
      <c r="E665" s="89"/>
      <c r="F665" s="30"/>
      <c r="G665" s="84"/>
      <c r="H665" s="85"/>
      <c r="I665" s="85"/>
      <c r="J665" s="85"/>
    </row>
    <row r="666" spans="1:10" s="32" customFormat="1" x14ac:dyDescent="0.15">
      <c r="A666" s="30"/>
      <c r="B666" s="30"/>
      <c r="E666" s="89"/>
      <c r="F666" s="30"/>
      <c r="G666" s="84"/>
      <c r="H666" s="85"/>
      <c r="I666" s="85"/>
      <c r="J666" s="85"/>
    </row>
    <row r="667" spans="1:10" s="32" customFormat="1" x14ac:dyDescent="0.15">
      <c r="A667" s="30"/>
      <c r="B667" s="30"/>
      <c r="E667" s="89"/>
      <c r="F667" s="30"/>
      <c r="G667" s="84"/>
      <c r="H667" s="85"/>
      <c r="I667" s="85"/>
      <c r="J667" s="85"/>
    </row>
    <row r="668" spans="1:10" s="32" customFormat="1" x14ac:dyDescent="0.15">
      <c r="A668" s="30"/>
      <c r="B668" s="30"/>
      <c r="E668" s="89"/>
      <c r="F668" s="30"/>
      <c r="G668" s="84"/>
      <c r="H668" s="85"/>
      <c r="I668" s="85"/>
      <c r="J668" s="85"/>
    </row>
    <row r="669" spans="1:10" s="32" customFormat="1" x14ac:dyDescent="0.15">
      <c r="A669" s="30"/>
      <c r="B669" s="30"/>
      <c r="E669" s="89"/>
      <c r="F669" s="30"/>
      <c r="G669" s="84"/>
      <c r="H669" s="85"/>
      <c r="I669" s="85"/>
      <c r="J669" s="85"/>
    </row>
    <row r="670" spans="1:10" s="32" customFormat="1" x14ac:dyDescent="0.15">
      <c r="A670" s="30"/>
      <c r="B670" s="30"/>
      <c r="E670" s="89"/>
      <c r="F670" s="30"/>
      <c r="G670" s="84"/>
      <c r="H670" s="85"/>
      <c r="I670" s="85"/>
      <c r="J670" s="85"/>
    </row>
    <row r="671" spans="1:10" s="32" customFormat="1" x14ac:dyDescent="0.15">
      <c r="A671" s="30"/>
      <c r="B671" s="30"/>
      <c r="E671" s="89"/>
      <c r="F671" s="30"/>
      <c r="G671" s="84"/>
      <c r="H671" s="85"/>
      <c r="I671" s="85"/>
      <c r="J671" s="85"/>
    </row>
    <row r="672" spans="1:10" s="32" customFormat="1" x14ac:dyDescent="0.15">
      <c r="A672" s="30"/>
      <c r="B672" s="30"/>
      <c r="E672" s="89"/>
      <c r="F672" s="30"/>
      <c r="G672" s="84"/>
      <c r="H672" s="85"/>
      <c r="I672" s="85"/>
      <c r="J672" s="85"/>
    </row>
    <row r="673" spans="1:10" s="32" customFormat="1" x14ac:dyDescent="0.15">
      <c r="A673" s="30"/>
      <c r="B673" s="30"/>
      <c r="E673" s="87"/>
      <c r="F673" s="88"/>
      <c r="G673" s="84"/>
      <c r="H673" s="85"/>
      <c r="I673" s="85"/>
      <c r="J673" s="85"/>
    </row>
    <row r="674" spans="1:10" s="32" customFormat="1" x14ac:dyDescent="0.15">
      <c r="A674" s="30"/>
      <c r="B674" s="30"/>
      <c r="E674" s="87"/>
      <c r="F674" s="88"/>
      <c r="G674" s="84"/>
      <c r="H674" s="85"/>
      <c r="I674" s="85"/>
      <c r="J674" s="85"/>
    </row>
    <row r="675" spans="1:10" s="32" customFormat="1" x14ac:dyDescent="0.15">
      <c r="A675" s="30"/>
      <c r="B675" s="30"/>
      <c r="E675" s="87"/>
      <c r="F675" s="88"/>
      <c r="G675" s="84"/>
      <c r="H675" s="85"/>
      <c r="I675" s="85"/>
      <c r="J675" s="85"/>
    </row>
    <row r="676" spans="1:10" s="32" customFormat="1" x14ac:dyDescent="0.15">
      <c r="A676" s="30"/>
      <c r="B676" s="30"/>
      <c r="E676" s="87"/>
      <c r="F676" s="88"/>
      <c r="G676" s="84"/>
      <c r="H676" s="85"/>
      <c r="I676" s="85"/>
      <c r="J676" s="85"/>
    </row>
    <row r="677" spans="1:10" s="32" customFormat="1" x14ac:dyDescent="0.15">
      <c r="A677" s="30"/>
      <c r="B677" s="30"/>
      <c r="E677" s="87"/>
      <c r="F677" s="88"/>
      <c r="G677" s="84"/>
      <c r="H677" s="85"/>
      <c r="I677" s="85"/>
      <c r="J677" s="85"/>
    </row>
    <row r="678" spans="1:10" s="32" customFormat="1" x14ac:dyDescent="0.15">
      <c r="A678" s="30"/>
      <c r="B678" s="30"/>
      <c r="E678" s="87"/>
      <c r="F678" s="88"/>
      <c r="G678" s="84"/>
      <c r="H678" s="85"/>
      <c r="I678" s="85"/>
      <c r="J678" s="85"/>
    </row>
    <row r="679" spans="1:10" s="32" customFormat="1" x14ac:dyDescent="0.15">
      <c r="A679" s="30"/>
      <c r="B679" s="30"/>
      <c r="E679" s="87"/>
      <c r="F679" s="88"/>
      <c r="G679" s="84"/>
      <c r="H679" s="85"/>
      <c r="I679" s="85"/>
      <c r="J679" s="85"/>
    </row>
    <row r="680" spans="1:10" s="32" customFormat="1" x14ac:dyDescent="0.15">
      <c r="A680" s="30"/>
      <c r="B680" s="30"/>
      <c r="E680" s="83"/>
      <c r="F680" s="30"/>
      <c r="G680" s="84"/>
      <c r="H680" s="85"/>
      <c r="I680" s="85"/>
      <c r="J680" s="85"/>
    </row>
    <row r="681" spans="1:10" s="32" customFormat="1" x14ac:dyDescent="0.15">
      <c r="A681" s="30"/>
      <c r="B681" s="30"/>
      <c r="E681" s="83"/>
      <c r="F681" s="30"/>
      <c r="G681" s="84"/>
      <c r="H681" s="85"/>
      <c r="I681" s="85"/>
      <c r="J681" s="85"/>
    </row>
    <row r="682" spans="1:10" s="32" customFormat="1" x14ac:dyDescent="0.15">
      <c r="A682" s="30"/>
      <c r="B682" s="30"/>
      <c r="E682" s="83"/>
      <c r="F682" s="90"/>
      <c r="G682" s="84"/>
      <c r="H682" s="85"/>
      <c r="I682" s="85"/>
      <c r="J682" s="85"/>
    </row>
    <row r="683" spans="1:10" s="32" customFormat="1" x14ac:dyDescent="0.15">
      <c r="A683" s="30"/>
      <c r="B683" s="30"/>
      <c r="E683" s="83"/>
      <c r="F683" s="90"/>
      <c r="G683" s="84"/>
      <c r="H683" s="85"/>
      <c r="I683" s="85"/>
      <c r="J683" s="85"/>
    </row>
    <row r="684" spans="1:10" s="32" customFormat="1" x14ac:dyDescent="0.15">
      <c r="A684" s="30"/>
      <c r="B684" s="30"/>
      <c r="E684" s="83"/>
      <c r="F684" s="90"/>
      <c r="G684" s="84"/>
      <c r="H684" s="85"/>
      <c r="I684" s="85"/>
      <c r="J684" s="85"/>
    </row>
    <row r="685" spans="1:10" s="32" customFormat="1" x14ac:dyDescent="0.15">
      <c r="A685" s="30"/>
      <c r="B685" s="30"/>
      <c r="E685" s="83"/>
      <c r="F685" s="30"/>
      <c r="G685" s="84"/>
      <c r="H685" s="85"/>
      <c r="I685" s="85"/>
      <c r="J685" s="85"/>
    </row>
    <row r="686" spans="1:10" s="32" customFormat="1" x14ac:dyDescent="0.15">
      <c r="A686" s="30"/>
      <c r="B686" s="30"/>
      <c r="E686" s="83"/>
      <c r="F686" s="30"/>
      <c r="G686" s="84"/>
      <c r="H686" s="85"/>
      <c r="I686" s="85"/>
      <c r="J686" s="85"/>
    </row>
    <row r="687" spans="1:10" s="32" customFormat="1" x14ac:dyDescent="0.15">
      <c r="A687" s="30"/>
      <c r="B687" s="30"/>
      <c r="E687" s="83"/>
      <c r="F687" s="30"/>
      <c r="G687" s="84"/>
      <c r="H687" s="85"/>
      <c r="I687" s="85"/>
      <c r="J687" s="85"/>
    </row>
    <row r="688" spans="1:10" s="32" customFormat="1" x14ac:dyDescent="0.15">
      <c r="A688" s="30"/>
      <c r="B688" s="30"/>
      <c r="E688" s="83"/>
      <c r="F688" s="30"/>
      <c r="G688" s="84"/>
      <c r="H688" s="85"/>
      <c r="I688" s="85"/>
      <c r="J688" s="85"/>
    </row>
    <row r="689" spans="1:10" s="32" customFormat="1" x14ac:dyDescent="0.15">
      <c r="A689" s="30"/>
      <c r="B689" s="30"/>
      <c r="E689" s="83"/>
      <c r="F689" s="30"/>
      <c r="G689" s="84"/>
      <c r="H689" s="85"/>
      <c r="I689" s="85"/>
      <c r="J689" s="85"/>
    </row>
    <row r="690" spans="1:10" s="32" customFormat="1" x14ac:dyDescent="0.15">
      <c r="A690" s="30"/>
      <c r="B690" s="30"/>
      <c r="E690" s="83"/>
      <c r="F690" s="30"/>
      <c r="G690" s="84"/>
      <c r="H690" s="85"/>
      <c r="I690" s="85"/>
      <c r="J690" s="85"/>
    </row>
    <row r="691" spans="1:10" s="32" customFormat="1" x14ac:dyDescent="0.15">
      <c r="A691" s="30"/>
      <c r="B691" s="30"/>
      <c r="E691" s="83"/>
      <c r="F691" s="86"/>
      <c r="G691" s="84"/>
      <c r="H691" s="85"/>
      <c r="I691" s="85"/>
      <c r="J691" s="85"/>
    </row>
    <row r="692" spans="1:10" s="32" customFormat="1" x14ac:dyDescent="0.15">
      <c r="A692" s="30"/>
      <c r="B692" s="30"/>
      <c r="E692" s="83"/>
      <c r="F692" s="86"/>
      <c r="G692" s="84"/>
      <c r="H692" s="85"/>
      <c r="I692" s="85"/>
      <c r="J692" s="85"/>
    </row>
    <row r="693" spans="1:10" s="32" customFormat="1" x14ac:dyDescent="0.15">
      <c r="A693" s="30"/>
      <c r="B693" s="30"/>
      <c r="E693" s="83"/>
      <c r="F693" s="86"/>
      <c r="G693" s="84"/>
      <c r="H693" s="85"/>
      <c r="I693" s="85"/>
      <c r="J693" s="85"/>
    </row>
    <row r="694" spans="1:10" s="32" customFormat="1" x14ac:dyDescent="0.15">
      <c r="A694" s="30"/>
      <c r="B694" s="30"/>
      <c r="E694" s="83"/>
      <c r="F694" s="30"/>
      <c r="G694" s="84"/>
      <c r="H694" s="85"/>
      <c r="I694" s="85"/>
      <c r="J694" s="85"/>
    </row>
    <row r="695" spans="1:10" s="32" customFormat="1" x14ac:dyDescent="0.15">
      <c r="A695" s="30"/>
      <c r="B695" s="30"/>
      <c r="E695" s="83"/>
      <c r="F695" s="30"/>
      <c r="G695" s="84"/>
      <c r="H695" s="85"/>
      <c r="I695" s="85"/>
      <c r="J695" s="85"/>
    </row>
    <row r="696" spans="1:10" s="32" customFormat="1" x14ac:dyDescent="0.15">
      <c r="A696" s="30"/>
      <c r="B696" s="30"/>
      <c r="E696" s="83"/>
      <c r="F696" s="30"/>
      <c r="G696" s="84"/>
      <c r="H696" s="85"/>
      <c r="I696" s="85"/>
      <c r="J696" s="85"/>
    </row>
    <row r="697" spans="1:10" s="32" customFormat="1" x14ac:dyDescent="0.15">
      <c r="A697" s="30"/>
      <c r="B697" s="30"/>
      <c r="E697" s="83"/>
      <c r="F697" s="30"/>
      <c r="G697" s="84"/>
      <c r="H697" s="85"/>
      <c r="I697" s="85"/>
      <c r="J697" s="85"/>
    </row>
    <row r="698" spans="1:10" s="32" customFormat="1" x14ac:dyDescent="0.15">
      <c r="A698" s="30"/>
      <c r="B698" s="30"/>
      <c r="E698" s="83"/>
      <c r="F698" s="30"/>
      <c r="G698" s="84"/>
      <c r="H698" s="85"/>
      <c r="I698" s="85"/>
      <c r="J698" s="85"/>
    </row>
    <row r="699" spans="1:10" s="32" customFormat="1" x14ac:dyDescent="0.15">
      <c r="A699" s="30"/>
      <c r="B699" s="30"/>
      <c r="E699" s="83"/>
      <c r="F699" s="30"/>
      <c r="G699" s="84"/>
      <c r="H699" s="85"/>
      <c r="I699" s="85"/>
      <c r="J699" s="85"/>
    </row>
    <row r="700" spans="1:10" s="32" customFormat="1" x14ac:dyDescent="0.15">
      <c r="A700" s="30"/>
      <c r="B700" s="30"/>
      <c r="E700" s="83"/>
      <c r="F700" s="30"/>
      <c r="G700" s="84"/>
      <c r="H700" s="85"/>
      <c r="I700" s="85"/>
      <c r="J700" s="85"/>
    </row>
    <row r="701" spans="1:10" s="32" customFormat="1" x14ac:dyDescent="0.15">
      <c r="A701" s="30"/>
      <c r="B701" s="30"/>
      <c r="E701" s="83"/>
      <c r="F701" s="30"/>
      <c r="G701" s="84"/>
      <c r="H701" s="85"/>
      <c r="I701" s="85"/>
      <c r="J701" s="85"/>
    </row>
    <row r="702" spans="1:10" s="32" customFormat="1" x14ac:dyDescent="0.15">
      <c r="A702" s="30"/>
      <c r="B702" s="30"/>
      <c r="E702" s="83"/>
      <c r="F702" s="30"/>
      <c r="G702" s="84"/>
      <c r="H702" s="85"/>
      <c r="I702" s="85"/>
      <c r="J702" s="85"/>
    </row>
    <row r="703" spans="1:10" s="32" customFormat="1" x14ac:dyDescent="0.15">
      <c r="A703" s="30"/>
      <c r="B703" s="30"/>
      <c r="E703" s="83"/>
      <c r="F703" s="30"/>
      <c r="G703" s="84"/>
      <c r="H703" s="85"/>
      <c r="I703" s="85"/>
      <c r="J703" s="85"/>
    </row>
    <row r="704" spans="1:10" s="32" customFormat="1" x14ac:dyDescent="0.15">
      <c r="A704" s="30"/>
      <c r="B704" s="30"/>
      <c r="E704" s="83"/>
      <c r="F704" s="30"/>
      <c r="G704" s="84"/>
      <c r="H704" s="85"/>
      <c r="I704" s="85"/>
      <c r="J704" s="85"/>
    </row>
    <row r="705" spans="1:10" s="32" customFormat="1" x14ac:dyDescent="0.15">
      <c r="A705" s="30"/>
      <c r="B705" s="30"/>
      <c r="E705" s="83"/>
      <c r="F705" s="30"/>
      <c r="G705" s="84"/>
      <c r="H705" s="85"/>
      <c r="I705" s="85"/>
      <c r="J705" s="85"/>
    </row>
    <row r="706" spans="1:10" s="32" customFormat="1" x14ac:dyDescent="0.15">
      <c r="A706" s="30"/>
      <c r="B706" s="30"/>
      <c r="E706" s="83"/>
      <c r="F706" s="30"/>
      <c r="G706" s="84"/>
      <c r="H706" s="85"/>
      <c r="I706" s="85"/>
      <c r="J706" s="85"/>
    </row>
    <row r="707" spans="1:10" s="32" customFormat="1" x14ac:dyDescent="0.15">
      <c r="A707" s="30"/>
      <c r="B707" s="30"/>
      <c r="E707" s="83"/>
      <c r="F707" s="30"/>
      <c r="G707" s="84"/>
      <c r="H707" s="85"/>
      <c r="I707" s="85"/>
      <c r="J707" s="85"/>
    </row>
    <row r="708" spans="1:10" s="32" customFormat="1" x14ac:dyDescent="0.15">
      <c r="A708" s="30"/>
      <c r="B708" s="30"/>
      <c r="E708" s="83"/>
      <c r="F708" s="30"/>
      <c r="G708" s="84"/>
      <c r="H708" s="85"/>
      <c r="I708" s="85"/>
      <c r="J708" s="85"/>
    </row>
    <row r="709" spans="1:10" s="32" customFormat="1" x14ac:dyDescent="0.15">
      <c r="A709" s="30"/>
      <c r="B709" s="30"/>
      <c r="E709" s="83"/>
      <c r="F709" s="30"/>
      <c r="G709" s="84"/>
      <c r="H709" s="85"/>
      <c r="I709" s="85"/>
      <c r="J709" s="85"/>
    </row>
    <row r="710" spans="1:10" s="32" customFormat="1" x14ac:dyDescent="0.15">
      <c r="A710" s="30"/>
      <c r="B710" s="30"/>
      <c r="E710" s="83"/>
      <c r="F710" s="30"/>
      <c r="G710" s="84"/>
      <c r="H710" s="85"/>
      <c r="I710" s="85"/>
      <c r="J710" s="85"/>
    </row>
    <row r="711" spans="1:10" s="32" customFormat="1" x14ac:dyDescent="0.15">
      <c r="A711" s="30"/>
      <c r="B711" s="30"/>
      <c r="E711" s="83"/>
      <c r="F711" s="30"/>
      <c r="G711" s="84"/>
      <c r="H711" s="85"/>
      <c r="I711" s="85"/>
      <c r="J711" s="85"/>
    </row>
    <row r="712" spans="1:10" s="32" customFormat="1" x14ac:dyDescent="0.15">
      <c r="A712" s="30"/>
      <c r="B712" s="30"/>
      <c r="E712" s="83"/>
      <c r="F712" s="30"/>
      <c r="G712" s="84"/>
      <c r="H712" s="85"/>
      <c r="I712" s="85"/>
      <c r="J712" s="85"/>
    </row>
    <row r="713" spans="1:10" s="32" customFormat="1" x14ac:dyDescent="0.15">
      <c r="A713" s="30"/>
      <c r="B713" s="30"/>
      <c r="E713" s="83"/>
      <c r="F713" s="30"/>
      <c r="G713" s="84"/>
      <c r="H713" s="85"/>
      <c r="I713" s="85"/>
      <c r="J713" s="85"/>
    </row>
    <row r="714" spans="1:10" s="32" customFormat="1" x14ac:dyDescent="0.15">
      <c r="A714" s="30"/>
      <c r="B714" s="30"/>
      <c r="E714" s="83"/>
      <c r="F714" s="30"/>
      <c r="G714" s="84"/>
      <c r="H714" s="85"/>
      <c r="I714" s="85"/>
      <c r="J714" s="85"/>
    </row>
    <row r="715" spans="1:10" s="32" customFormat="1" x14ac:dyDescent="0.15">
      <c r="A715" s="30"/>
      <c r="B715" s="30"/>
      <c r="E715" s="83"/>
      <c r="F715" s="30"/>
      <c r="G715" s="84"/>
      <c r="H715" s="85"/>
      <c r="I715" s="85"/>
      <c r="J715" s="85"/>
    </row>
    <row r="716" spans="1:10" s="32" customFormat="1" x14ac:dyDescent="0.15">
      <c r="A716" s="30"/>
      <c r="B716" s="30"/>
      <c r="E716" s="83"/>
      <c r="F716" s="30"/>
      <c r="G716" s="84"/>
      <c r="H716" s="85"/>
      <c r="I716" s="85"/>
      <c r="J716" s="85"/>
    </row>
    <row r="717" spans="1:10" s="32" customFormat="1" x14ac:dyDescent="0.15">
      <c r="A717" s="30"/>
      <c r="B717" s="30"/>
      <c r="E717" s="83"/>
      <c r="F717" s="87"/>
      <c r="G717" s="84"/>
      <c r="H717" s="85"/>
      <c r="I717" s="85"/>
      <c r="J717" s="85"/>
    </row>
    <row r="718" spans="1:10" s="32" customFormat="1" x14ac:dyDescent="0.15">
      <c r="A718" s="30"/>
      <c r="B718" s="30"/>
      <c r="E718" s="83"/>
      <c r="F718" s="87"/>
      <c r="G718" s="84"/>
      <c r="H718" s="85"/>
      <c r="I718" s="85"/>
      <c r="J718" s="85"/>
    </row>
    <row r="719" spans="1:10" s="32" customFormat="1" x14ac:dyDescent="0.15">
      <c r="A719" s="30"/>
      <c r="B719" s="30"/>
      <c r="E719" s="83"/>
      <c r="F719" s="87"/>
      <c r="G719" s="84"/>
      <c r="H719" s="85"/>
      <c r="I719" s="85"/>
      <c r="J719" s="85"/>
    </row>
    <row r="720" spans="1:10" s="32" customFormat="1" x14ac:dyDescent="0.15">
      <c r="A720" s="30"/>
      <c r="B720" s="30"/>
      <c r="E720" s="83"/>
      <c r="F720" s="87"/>
      <c r="G720" s="84"/>
      <c r="H720" s="85"/>
      <c r="I720" s="85"/>
      <c r="J720" s="85"/>
    </row>
    <row r="721" spans="1:10" s="32" customFormat="1" x14ac:dyDescent="0.15">
      <c r="A721" s="30"/>
      <c r="B721" s="30"/>
      <c r="E721" s="83"/>
      <c r="F721" s="87"/>
      <c r="G721" s="84"/>
      <c r="H721" s="85"/>
      <c r="I721" s="85"/>
      <c r="J721" s="85"/>
    </row>
    <row r="722" spans="1:10" s="32" customFormat="1" x14ac:dyDescent="0.15">
      <c r="A722" s="30"/>
      <c r="B722" s="30"/>
      <c r="E722" s="83"/>
      <c r="F722" s="87"/>
      <c r="G722" s="84"/>
      <c r="H722" s="85"/>
      <c r="I722" s="85"/>
      <c r="J722" s="85"/>
    </row>
    <row r="723" spans="1:10" s="32" customFormat="1" x14ac:dyDescent="0.15">
      <c r="A723" s="30"/>
      <c r="B723" s="30"/>
      <c r="E723" s="83"/>
      <c r="F723" s="87"/>
      <c r="G723" s="84"/>
      <c r="H723" s="85"/>
      <c r="I723" s="85"/>
      <c r="J723" s="85"/>
    </row>
    <row r="724" spans="1:10" s="32" customFormat="1" x14ac:dyDescent="0.15">
      <c r="A724" s="30"/>
      <c r="B724" s="30"/>
      <c r="E724" s="83"/>
      <c r="F724" s="87"/>
      <c r="G724" s="84"/>
      <c r="H724" s="85"/>
      <c r="I724" s="85"/>
      <c r="J724" s="85"/>
    </row>
    <row r="725" spans="1:10" s="32" customFormat="1" x14ac:dyDescent="0.15">
      <c r="A725" s="30"/>
      <c r="B725" s="30"/>
      <c r="E725" s="83"/>
      <c r="F725" s="87"/>
      <c r="G725" s="84"/>
      <c r="H725" s="85"/>
      <c r="I725" s="85"/>
      <c r="J725" s="85"/>
    </row>
    <row r="726" spans="1:10" s="32" customFormat="1" x14ac:dyDescent="0.15">
      <c r="A726" s="30"/>
      <c r="B726" s="30"/>
      <c r="E726" s="83"/>
      <c r="F726" s="87"/>
      <c r="G726" s="84"/>
      <c r="H726" s="85"/>
      <c r="I726" s="85"/>
      <c r="J726" s="85"/>
    </row>
    <row r="727" spans="1:10" s="32" customFormat="1" x14ac:dyDescent="0.15">
      <c r="A727" s="30"/>
      <c r="B727" s="30"/>
      <c r="E727" s="83"/>
      <c r="F727" s="87"/>
      <c r="G727" s="84"/>
      <c r="H727" s="85"/>
      <c r="I727" s="85"/>
      <c r="J727" s="85"/>
    </row>
    <row r="728" spans="1:10" s="32" customFormat="1" x14ac:dyDescent="0.15">
      <c r="A728" s="30"/>
      <c r="B728" s="30"/>
      <c r="E728" s="83"/>
      <c r="F728" s="90"/>
      <c r="G728" s="84"/>
      <c r="H728" s="85"/>
      <c r="I728" s="85"/>
      <c r="J728" s="85"/>
    </row>
    <row r="729" spans="1:10" s="32" customFormat="1" x14ac:dyDescent="0.15">
      <c r="A729" s="30"/>
      <c r="B729" s="30"/>
      <c r="E729" s="83"/>
      <c r="F729" s="90"/>
      <c r="G729" s="84"/>
      <c r="H729" s="85"/>
      <c r="I729" s="85"/>
      <c r="J729" s="85"/>
    </row>
    <row r="730" spans="1:10" s="32" customFormat="1" x14ac:dyDescent="0.15">
      <c r="A730" s="30"/>
      <c r="B730" s="30"/>
      <c r="E730" s="83"/>
      <c r="F730" s="87"/>
      <c r="G730" s="84"/>
      <c r="H730" s="85"/>
      <c r="I730" s="85"/>
      <c r="J730" s="85"/>
    </row>
    <row r="731" spans="1:10" s="32" customFormat="1" x14ac:dyDescent="0.15">
      <c r="A731" s="30"/>
      <c r="B731" s="30"/>
      <c r="E731" s="83"/>
      <c r="F731" s="30"/>
      <c r="G731" s="84"/>
      <c r="H731" s="85"/>
      <c r="I731" s="85"/>
      <c r="J731" s="85"/>
    </row>
    <row r="732" spans="1:10" s="32" customFormat="1" x14ac:dyDescent="0.15">
      <c r="A732" s="30"/>
      <c r="B732" s="30"/>
      <c r="E732" s="83"/>
      <c r="F732" s="30"/>
      <c r="G732" s="84"/>
      <c r="H732" s="85"/>
      <c r="I732" s="85"/>
      <c r="J732" s="85"/>
    </row>
    <row r="733" spans="1:10" s="32" customFormat="1" x14ac:dyDescent="0.15">
      <c r="A733" s="30"/>
      <c r="B733" s="30"/>
      <c r="E733" s="83"/>
      <c r="F733" s="30"/>
      <c r="G733" s="84"/>
      <c r="H733" s="85"/>
      <c r="I733" s="85"/>
      <c r="J733" s="85"/>
    </row>
    <row r="734" spans="1:10" s="32" customFormat="1" x14ac:dyDescent="0.15">
      <c r="A734" s="30"/>
      <c r="B734" s="30"/>
      <c r="E734" s="83"/>
      <c r="F734" s="90"/>
      <c r="G734" s="84"/>
      <c r="H734" s="85"/>
      <c r="I734" s="85"/>
      <c r="J734" s="85"/>
    </row>
    <row r="735" spans="1:10" s="32" customFormat="1" x14ac:dyDescent="0.15">
      <c r="A735" s="30"/>
      <c r="B735" s="30"/>
      <c r="E735" s="83"/>
      <c r="F735" s="30"/>
      <c r="G735" s="84"/>
      <c r="H735" s="85"/>
      <c r="I735" s="85"/>
      <c r="J735" s="85"/>
    </row>
    <row r="736" spans="1:10" s="32" customFormat="1" x14ac:dyDescent="0.15">
      <c r="A736" s="30"/>
      <c r="B736" s="30"/>
      <c r="E736" s="83"/>
      <c r="F736" s="30"/>
      <c r="G736" s="84"/>
      <c r="H736" s="85"/>
      <c r="I736" s="85"/>
      <c r="J736" s="85"/>
    </row>
    <row r="737" spans="1:10" s="32" customFormat="1" x14ac:dyDescent="0.15">
      <c r="A737" s="30"/>
      <c r="B737" s="30"/>
      <c r="E737" s="83"/>
      <c r="F737" s="30"/>
      <c r="G737" s="84"/>
      <c r="H737" s="85"/>
      <c r="I737" s="85"/>
      <c r="J737" s="85"/>
    </row>
    <row r="738" spans="1:10" s="32" customFormat="1" x14ac:dyDescent="0.15">
      <c r="A738" s="30"/>
      <c r="B738" s="30"/>
      <c r="E738" s="83"/>
      <c r="F738" s="30"/>
      <c r="G738" s="84"/>
      <c r="H738" s="85"/>
      <c r="I738" s="85"/>
      <c r="J738" s="85"/>
    </row>
    <row r="739" spans="1:10" s="32" customFormat="1" x14ac:dyDescent="0.15">
      <c r="A739" s="30"/>
      <c r="B739" s="30"/>
      <c r="E739" s="83"/>
      <c r="F739" s="30"/>
      <c r="G739" s="84"/>
      <c r="H739" s="85"/>
      <c r="I739" s="85"/>
      <c r="J739" s="85"/>
    </row>
    <row r="740" spans="1:10" s="32" customFormat="1" x14ac:dyDescent="0.15">
      <c r="A740" s="30"/>
      <c r="B740" s="30"/>
      <c r="E740" s="83"/>
      <c r="F740" s="30"/>
      <c r="G740" s="84"/>
      <c r="H740" s="85"/>
      <c r="I740" s="85"/>
      <c r="J740" s="85"/>
    </row>
    <row r="741" spans="1:10" s="32" customFormat="1" x14ac:dyDescent="0.15">
      <c r="A741" s="30"/>
      <c r="B741" s="30"/>
      <c r="E741" s="83"/>
      <c r="F741" s="30"/>
      <c r="G741" s="84"/>
      <c r="H741" s="85"/>
      <c r="I741" s="85"/>
      <c r="J741" s="85"/>
    </row>
    <row r="742" spans="1:10" s="32" customFormat="1" x14ac:dyDescent="0.15">
      <c r="A742" s="30"/>
      <c r="B742" s="30"/>
      <c r="E742" s="83"/>
      <c r="F742" s="90"/>
      <c r="G742" s="84"/>
      <c r="H742" s="85"/>
      <c r="I742" s="85"/>
      <c r="J742" s="85"/>
    </row>
    <row r="743" spans="1:10" s="32" customFormat="1" x14ac:dyDescent="0.15">
      <c r="A743" s="30"/>
      <c r="B743" s="30"/>
      <c r="H743" s="85"/>
      <c r="I743" s="85"/>
      <c r="J743" s="85"/>
    </row>
    <row r="744" spans="1:10" s="32" customFormat="1" x14ac:dyDescent="0.15">
      <c r="A744" s="30"/>
      <c r="B744" s="30"/>
      <c r="H744" s="85"/>
      <c r="I744" s="85"/>
      <c r="J744" s="85"/>
    </row>
    <row r="745" spans="1:10" s="32" customFormat="1" x14ac:dyDescent="0.15">
      <c r="A745" s="30"/>
      <c r="B745" s="30"/>
    </row>
    <row r="746" spans="1:10" s="32" customFormat="1" x14ac:dyDescent="0.15">
      <c r="A746" s="30"/>
      <c r="B746" s="30"/>
    </row>
  </sheetData>
  <sheetProtection algorithmName="SHA-512" hashValue="AeWsaHvBY9j4uyBydJxWMfrutTkWg7j27IWCwbmj5WvXzv/5navbat0ltIkT2y9XX4UqRt/3FtVbvIE9MwHLEg==" saltValue="0oNiyelDxnCE4U/YkrdSdA==" spinCount="100000" sheet="1" objects="1" scenarios="1"/>
  <mergeCells count="18">
    <mergeCell ref="E109:F109"/>
    <mergeCell ref="E110:J110"/>
    <mergeCell ref="E112:G112"/>
    <mergeCell ref="E8:J8"/>
    <mergeCell ref="E9:J9"/>
    <mergeCell ref="E10:J10"/>
    <mergeCell ref="E12:J12"/>
    <mergeCell ref="E14:J14"/>
    <mergeCell ref="E15:J15"/>
    <mergeCell ref="E21:F21"/>
    <mergeCell ref="E22:F22"/>
    <mergeCell ref="E16:J16"/>
    <mergeCell ref="D2:J2"/>
    <mergeCell ref="E13:J13"/>
    <mergeCell ref="E11:J11"/>
    <mergeCell ref="E23:J23"/>
    <mergeCell ref="E108:F108"/>
    <mergeCell ref="E17:F17"/>
  </mergeCells>
  <dataValidations count="2">
    <dataValidation type="list" allowBlank="1" showInputMessage="1" showErrorMessage="1" sqref="E29 E115:G115">
      <formula1>Functies</formula1>
    </dataValidation>
    <dataValidation type="list" allowBlank="1" showInputMessage="1" showErrorMessage="1" sqref="F29 E117:G117">
      <formula1>FunctieNiveaus</formula1>
    </dataValidation>
  </dataValidations>
  <pageMargins left="0.7" right="0.7" top="0.75" bottom="0.75" header="0.3" footer="0.3"/>
  <pageSetup paperSize="9" scale="55" orientation="portrait" r:id="rId1"/>
  <colBreaks count="1" manualBreakCount="1">
    <brk id="11" max="74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Vergelijk!$R$2:$R$21</xm:f>
          </x14:formula1>
          <xm:sqref>E34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
  <dimension ref="A1:F298"/>
  <sheetViews>
    <sheetView showGridLines="0" zoomScaleNormal="100" workbookViewId="0">
      <selection activeCell="A39" sqref="A39"/>
    </sheetView>
  </sheetViews>
  <sheetFormatPr defaultRowHeight="11.25" x14ac:dyDescent="0.15"/>
  <cols>
    <col min="1" max="1" width="26.875" customWidth="1"/>
    <col min="2" max="2" width="29.5" customWidth="1"/>
    <col min="3" max="3" width="34.625" customWidth="1"/>
    <col min="4" max="6" width="18.375" customWidth="1"/>
  </cols>
  <sheetData>
    <row r="1" spans="1:6" ht="150.75" customHeight="1" x14ac:dyDescent="0.15">
      <c r="A1" s="146"/>
      <c r="B1" s="146"/>
      <c r="C1" s="146"/>
      <c r="D1" s="146"/>
      <c r="E1" s="146"/>
      <c r="F1" s="146"/>
    </row>
    <row r="3" spans="1:6" ht="16.5" customHeight="1" x14ac:dyDescent="0.15">
      <c r="A3" s="20"/>
    </row>
    <row r="5" spans="1:6" ht="40.5" customHeight="1" x14ac:dyDescent="0.15">
      <c r="A5" s="20"/>
    </row>
    <row r="6" spans="1:6" ht="23.25" customHeight="1" x14ac:dyDescent="0.15"/>
    <row r="7" spans="1:6" ht="23.25" customHeight="1" thickBot="1" x14ac:dyDescent="0.2">
      <c r="A7" s="61"/>
      <c r="B7" s="61"/>
      <c r="C7" s="108"/>
      <c r="D7" s="61"/>
      <c r="E7" s="61"/>
      <c r="F7" s="61"/>
    </row>
    <row r="8" spans="1:6" ht="23.25" customHeight="1" thickBot="1" x14ac:dyDescent="0.2">
      <c r="A8" s="57"/>
      <c r="B8" s="58"/>
      <c r="C8" s="113"/>
      <c r="D8" s="58"/>
      <c r="E8" s="58"/>
      <c r="F8" s="58"/>
    </row>
    <row r="9" spans="1:6" ht="23.25" customHeight="1" thickBot="1" x14ac:dyDescent="0.2">
      <c r="A9" s="57"/>
      <c r="B9" s="58"/>
      <c r="C9" s="113"/>
      <c r="D9" s="58"/>
      <c r="E9" s="58"/>
      <c r="F9" s="58"/>
    </row>
    <row r="10" spans="1:6" ht="23.25" customHeight="1" thickBot="1" x14ac:dyDescent="0.2">
      <c r="A10" s="57"/>
      <c r="B10" s="58"/>
      <c r="C10" s="113"/>
      <c r="D10" s="58"/>
      <c r="E10" s="58"/>
      <c r="F10" s="58"/>
    </row>
    <row r="11" spans="1:6" ht="23.25" customHeight="1" thickBot="1" x14ac:dyDescent="0.2">
      <c r="A11" s="57"/>
      <c r="B11" s="58"/>
      <c r="C11" s="113"/>
      <c r="D11" s="58"/>
      <c r="E11" s="58"/>
      <c r="F11" s="58"/>
    </row>
    <row r="12" spans="1:6" ht="23.25" customHeight="1" thickBot="1" x14ac:dyDescent="0.2">
      <c r="A12" s="57"/>
      <c r="B12" s="58"/>
      <c r="C12" s="113"/>
      <c r="D12" s="58"/>
      <c r="E12" s="58"/>
      <c r="F12" s="58"/>
    </row>
    <row r="13" spans="1:6" ht="23.25" customHeight="1" thickBot="1" x14ac:dyDescent="0.2">
      <c r="A13" s="57"/>
      <c r="B13" s="58"/>
      <c r="C13" s="113"/>
      <c r="D13" s="58"/>
      <c r="E13" s="58"/>
      <c r="F13" s="58"/>
    </row>
    <row r="14" spans="1:6" ht="23.25" customHeight="1" thickBot="1" x14ac:dyDescent="0.2">
      <c r="A14" s="57"/>
      <c r="B14" s="58"/>
      <c r="C14" s="113"/>
      <c r="D14" s="58"/>
      <c r="E14" s="58"/>
      <c r="F14" s="58"/>
    </row>
    <row r="15" spans="1:6" ht="23.25" customHeight="1" thickBot="1" x14ac:dyDescent="0.2">
      <c r="A15" s="57"/>
      <c r="B15" s="58"/>
      <c r="C15" s="113"/>
      <c r="D15" s="58"/>
      <c r="E15" s="58"/>
      <c r="F15" s="58"/>
    </row>
    <row r="16" spans="1:6" ht="23.25" customHeight="1" thickBot="1" x14ac:dyDescent="0.2">
      <c r="A16" s="57"/>
      <c r="B16" s="58"/>
      <c r="C16" s="113"/>
      <c r="D16" s="58"/>
      <c r="E16" s="58"/>
      <c r="F16" s="58"/>
    </row>
    <row r="17" spans="1:6" ht="23.25" customHeight="1" thickBot="1" x14ac:dyDescent="0.2">
      <c r="A17" s="119"/>
      <c r="B17" s="120"/>
      <c r="C17" s="113"/>
      <c r="D17" s="120"/>
      <c r="E17" s="120"/>
      <c r="F17" s="120"/>
    </row>
    <row r="18" spans="1:6" ht="23.25" customHeight="1" thickBot="1" x14ac:dyDescent="0.2">
      <c r="A18" s="57"/>
      <c r="B18" s="58"/>
      <c r="C18" s="113"/>
      <c r="D18" s="58"/>
      <c r="E18" s="58"/>
      <c r="F18" s="58"/>
    </row>
    <row r="19" spans="1:6" ht="23.25" customHeight="1" thickBot="1" x14ac:dyDescent="0.2">
      <c r="A19" s="57"/>
      <c r="B19" s="58"/>
      <c r="C19" s="113"/>
      <c r="D19" s="58"/>
      <c r="E19" s="58"/>
      <c r="F19" s="58"/>
    </row>
    <row r="20" spans="1:6" ht="23.25" customHeight="1" thickBot="1" x14ac:dyDescent="0.2">
      <c r="A20" s="117"/>
      <c r="B20" s="116"/>
      <c r="C20" s="113"/>
      <c r="D20" s="116"/>
      <c r="E20" s="116"/>
      <c r="F20" s="116"/>
    </row>
    <row r="21" spans="1:6" ht="23.25" customHeight="1" thickBot="1" x14ac:dyDescent="0.2">
      <c r="A21" s="57"/>
      <c r="B21" s="116"/>
      <c r="C21" s="113"/>
      <c r="D21" s="116"/>
      <c r="E21" s="116"/>
      <c r="F21" s="116"/>
    </row>
    <row r="22" spans="1:6" ht="23.25" customHeight="1" thickBot="1" x14ac:dyDescent="0.2">
      <c r="A22" s="57"/>
      <c r="B22" s="116"/>
      <c r="C22" s="113"/>
      <c r="D22" s="116"/>
      <c r="E22" s="116"/>
      <c r="F22" s="116"/>
    </row>
    <row r="23" spans="1:6" ht="23.25" customHeight="1" thickBot="1" x14ac:dyDescent="0.2">
      <c r="A23" s="117"/>
      <c r="B23" s="116"/>
      <c r="C23" s="113"/>
      <c r="D23" s="116"/>
      <c r="E23" s="116"/>
      <c r="F23" s="116"/>
    </row>
    <row r="24" spans="1:6" ht="23.25" customHeight="1" thickBot="1" x14ac:dyDescent="0.2">
      <c r="A24" s="117"/>
      <c r="B24" s="116"/>
      <c r="C24" s="113"/>
      <c r="D24" s="116"/>
      <c r="E24" s="116"/>
      <c r="F24" s="116"/>
    </row>
    <row r="25" spans="1:6" ht="23.25" customHeight="1" thickBot="1" x14ac:dyDescent="0.2">
      <c r="A25" s="117"/>
      <c r="B25" s="116"/>
      <c r="C25" s="113"/>
      <c r="D25" s="116"/>
      <c r="E25" s="116"/>
      <c r="F25" s="116"/>
    </row>
    <row r="26" spans="1:6" ht="23.25" customHeight="1" thickBot="1" x14ac:dyDescent="0.2">
      <c r="A26" s="57"/>
      <c r="B26" s="58"/>
      <c r="C26" s="113"/>
      <c r="D26" s="58"/>
      <c r="E26" s="58"/>
      <c r="F26" s="58"/>
    </row>
    <row r="27" spans="1:6" ht="23.25" customHeight="1" thickBot="1" x14ac:dyDescent="0.2">
      <c r="A27" s="57"/>
      <c r="B27" s="58"/>
      <c r="C27" s="113"/>
      <c r="D27" s="58"/>
      <c r="E27" s="58"/>
      <c r="F27" s="58"/>
    </row>
    <row r="28" spans="1:6" ht="23.25" customHeight="1" thickBot="1" x14ac:dyDescent="0.2">
      <c r="A28" s="57"/>
      <c r="B28" s="58"/>
      <c r="C28" s="113"/>
      <c r="D28" s="58"/>
      <c r="E28" s="58"/>
      <c r="F28" s="58"/>
    </row>
    <row r="29" spans="1:6" ht="23.25" customHeight="1" thickBot="1" x14ac:dyDescent="0.2">
      <c r="A29" s="57"/>
      <c r="B29" s="116"/>
      <c r="C29" s="113"/>
      <c r="D29" s="58"/>
      <c r="E29" s="58"/>
      <c r="F29" s="116"/>
    </row>
    <row r="30" spans="1:6" ht="23.25" customHeight="1" thickBot="1" x14ac:dyDescent="0.2">
      <c r="A30" s="57"/>
      <c r="B30" s="58"/>
      <c r="C30" s="113"/>
      <c r="D30" s="58"/>
      <c r="E30" s="58"/>
      <c r="F30" s="116"/>
    </row>
    <row r="31" spans="1:6" ht="23.25" customHeight="1" thickBot="1" x14ac:dyDescent="0.2">
      <c r="A31" s="118"/>
      <c r="B31" s="114"/>
      <c r="C31" s="115"/>
      <c r="D31" s="114"/>
      <c r="E31" s="114"/>
      <c r="F31" s="114"/>
    </row>
    <row r="32" spans="1:6" ht="23.25" customHeight="1" x14ac:dyDescent="0.15"/>
    <row r="33" ht="23.25" customHeight="1" x14ac:dyDescent="0.15"/>
    <row r="34" ht="23.25" customHeight="1" x14ac:dyDescent="0.15"/>
    <row r="35" ht="23.25" customHeight="1" x14ac:dyDescent="0.15"/>
    <row r="36" ht="23.25" customHeight="1" x14ac:dyDescent="0.15"/>
    <row r="37" ht="23.25" customHeight="1" x14ac:dyDescent="0.15"/>
    <row r="38" ht="23.25" customHeight="1" x14ac:dyDescent="0.15"/>
    <row r="39" ht="23.25" customHeight="1" x14ac:dyDescent="0.15"/>
    <row r="40" ht="23.25" customHeight="1" x14ac:dyDescent="0.15"/>
    <row r="41" ht="23.25" customHeight="1" x14ac:dyDescent="0.15"/>
    <row r="42" ht="23.25" customHeight="1" x14ac:dyDescent="0.15"/>
    <row r="43" ht="23.25" customHeight="1" x14ac:dyDescent="0.15"/>
    <row r="44" ht="23.25" customHeight="1" x14ac:dyDescent="0.15"/>
    <row r="45" ht="23.25" customHeight="1" x14ac:dyDescent="0.15"/>
    <row r="46" ht="23.25" customHeight="1" x14ac:dyDescent="0.15"/>
    <row r="47" ht="23.25" customHeight="1" x14ac:dyDescent="0.15"/>
    <row r="48" ht="23.25" customHeight="1" x14ac:dyDescent="0.15"/>
    <row r="49" ht="23.25" customHeight="1" x14ac:dyDescent="0.15"/>
    <row r="50" ht="23.25" customHeight="1" x14ac:dyDescent="0.15"/>
    <row r="51" ht="23.25" customHeight="1" x14ac:dyDescent="0.15"/>
    <row r="52" ht="23.25" customHeight="1" x14ac:dyDescent="0.15"/>
    <row r="53" ht="23.25" customHeight="1" x14ac:dyDescent="0.15"/>
    <row r="54" ht="23.25" customHeight="1" x14ac:dyDescent="0.15"/>
    <row r="55" ht="23.25" customHeight="1" x14ac:dyDescent="0.15"/>
    <row r="56" ht="23.25" customHeight="1" x14ac:dyDescent="0.15"/>
    <row r="57" ht="23.25" customHeight="1" x14ac:dyDescent="0.15"/>
    <row r="58" ht="23.25" customHeight="1" x14ac:dyDescent="0.15"/>
    <row r="59" ht="23.25" customHeight="1" x14ac:dyDescent="0.15"/>
    <row r="60" ht="23.25" customHeight="1" x14ac:dyDescent="0.15"/>
    <row r="61" ht="23.25" customHeight="1" x14ac:dyDescent="0.15"/>
    <row r="62" ht="23.25" customHeight="1" x14ac:dyDescent="0.15"/>
    <row r="63" ht="23.25" customHeight="1" x14ac:dyDescent="0.15"/>
    <row r="64" ht="23.25" customHeight="1" x14ac:dyDescent="0.15"/>
    <row r="65" ht="23.25" customHeight="1" x14ac:dyDescent="0.15"/>
    <row r="66" ht="23.25" customHeight="1" x14ac:dyDescent="0.15"/>
    <row r="67" ht="23.25" customHeight="1" x14ac:dyDescent="0.15"/>
    <row r="68" ht="23.25" customHeight="1" x14ac:dyDescent="0.15"/>
    <row r="69" ht="23.25" customHeight="1" x14ac:dyDescent="0.15"/>
    <row r="70" ht="23.25" customHeight="1" x14ac:dyDescent="0.15"/>
    <row r="71" ht="23.25" customHeight="1" x14ac:dyDescent="0.15"/>
    <row r="72" ht="23.25" customHeight="1" x14ac:dyDescent="0.15"/>
    <row r="73" ht="23.25" customHeight="1" x14ac:dyDescent="0.15"/>
    <row r="74" ht="23.25" customHeight="1" x14ac:dyDescent="0.15"/>
    <row r="75" ht="23.25" customHeight="1" x14ac:dyDescent="0.15"/>
    <row r="76" ht="23.25" customHeight="1" x14ac:dyDescent="0.15"/>
    <row r="77" ht="23.25" customHeight="1" x14ac:dyDescent="0.15"/>
    <row r="78" ht="23.25" customHeight="1" x14ac:dyDescent="0.15"/>
    <row r="79" ht="23.25" customHeight="1" x14ac:dyDescent="0.15"/>
    <row r="80" ht="23.25" customHeight="1" x14ac:dyDescent="0.15"/>
    <row r="81" ht="23.25" customHeight="1" x14ac:dyDescent="0.15"/>
    <row r="82" ht="23.25" customHeight="1" x14ac:dyDescent="0.15"/>
    <row r="83" ht="23.25" customHeight="1" x14ac:dyDescent="0.15"/>
    <row r="84" ht="23.25" customHeight="1" x14ac:dyDescent="0.15"/>
    <row r="85" ht="23.25" customHeight="1" x14ac:dyDescent="0.15"/>
    <row r="86" ht="23.25" customHeight="1" x14ac:dyDescent="0.15"/>
    <row r="87" ht="23.25" customHeight="1" x14ac:dyDescent="0.15"/>
    <row r="88" ht="23.25" customHeight="1" x14ac:dyDescent="0.15"/>
    <row r="89" ht="23.25" customHeight="1" x14ac:dyDescent="0.15"/>
    <row r="90" ht="23.25" customHeight="1" x14ac:dyDescent="0.15"/>
    <row r="91" ht="23.25" customHeight="1" x14ac:dyDescent="0.15"/>
    <row r="92" ht="23.25" customHeight="1" x14ac:dyDescent="0.15"/>
    <row r="93" ht="23.25" customHeight="1" x14ac:dyDescent="0.15"/>
    <row r="94" ht="23.25" customHeight="1" x14ac:dyDescent="0.15"/>
    <row r="95" ht="23.25" customHeight="1" x14ac:dyDescent="0.15"/>
    <row r="96" ht="23.25" customHeight="1" x14ac:dyDescent="0.15"/>
    <row r="97" ht="23.25" customHeight="1" x14ac:dyDescent="0.15"/>
    <row r="98" ht="23.25" customHeight="1" x14ac:dyDescent="0.15"/>
    <row r="99" ht="23.25" customHeight="1" x14ac:dyDescent="0.15"/>
    <row r="100" ht="23.25" customHeight="1" x14ac:dyDescent="0.15"/>
    <row r="101" ht="23.25" customHeight="1" x14ac:dyDescent="0.15"/>
    <row r="102" ht="23.25" customHeight="1" x14ac:dyDescent="0.15"/>
    <row r="103" ht="23.25" customHeight="1" x14ac:dyDescent="0.15"/>
    <row r="104" ht="23.25" customHeight="1" x14ac:dyDescent="0.15"/>
    <row r="105" ht="23.25" customHeight="1" x14ac:dyDescent="0.15"/>
    <row r="106" ht="23.25" customHeight="1" x14ac:dyDescent="0.15"/>
    <row r="107" ht="23.25" customHeight="1" x14ac:dyDescent="0.15"/>
    <row r="108" ht="23.25" customHeight="1" x14ac:dyDescent="0.15"/>
    <row r="109" ht="23.25" customHeight="1" x14ac:dyDescent="0.15"/>
    <row r="110" ht="23.25" customHeight="1" x14ac:dyDescent="0.15"/>
    <row r="111" ht="23.25" customHeight="1" x14ac:dyDescent="0.15"/>
    <row r="112" ht="23.25" customHeight="1" x14ac:dyDescent="0.15"/>
    <row r="113" ht="23.25" customHeight="1" x14ac:dyDescent="0.15"/>
    <row r="114" ht="23.25" customHeight="1" x14ac:dyDescent="0.15"/>
    <row r="115" ht="23.25" customHeight="1" x14ac:dyDescent="0.15"/>
    <row r="116" ht="23.25" customHeight="1" x14ac:dyDescent="0.15"/>
    <row r="117" ht="23.25" customHeight="1" x14ac:dyDescent="0.15"/>
    <row r="118" ht="23.25" customHeight="1" x14ac:dyDescent="0.15"/>
    <row r="119" ht="23.25" customHeight="1" x14ac:dyDescent="0.15"/>
    <row r="120" ht="23.25" customHeight="1" x14ac:dyDescent="0.15"/>
    <row r="121" ht="23.25" customHeight="1" x14ac:dyDescent="0.15"/>
    <row r="122" ht="23.25" customHeight="1" x14ac:dyDescent="0.15"/>
    <row r="123" ht="23.25" customHeight="1" x14ac:dyDescent="0.15"/>
    <row r="124" ht="23.25" customHeight="1" x14ac:dyDescent="0.15"/>
    <row r="125" ht="23.25" customHeight="1" x14ac:dyDescent="0.15"/>
    <row r="126" ht="23.25" customHeight="1" x14ac:dyDescent="0.15"/>
    <row r="127" ht="23.25" customHeight="1" x14ac:dyDescent="0.15"/>
    <row r="128" ht="23.25" customHeight="1" x14ac:dyDescent="0.15"/>
    <row r="129" ht="23.25" customHeight="1" x14ac:dyDescent="0.15"/>
    <row r="130" ht="23.25" customHeight="1" x14ac:dyDescent="0.15"/>
    <row r="131" ht="23.25" customHeight="1" x14ac:dyDescent="0.15"/>
    <row r="132" ht="23.25" customHeight="1" x14ac:dyDescent="0.15"/>
    <row r="133" ht="23.25" customHeight="1" x14ac:dyDescent="0.15"/>
    <row r="134" ht="23.25" customHeight="1" x14ac:dyDescent="0.15"/>
    <row r="135" ht="23.25" customHeight="1" x14ac:dyDescent="0.15"/>
    <row r="136" ht="23.25" customHeight="1" x14ac:dyDescent="0.15"/>
    <row r="137" ht="23.25" customHeight="1" x14ac:dyDescent="0.15"/>
    <row r="138" ht="23.25" customHeight="1" x14ac:dyDescent="0.15"/>
    <row r="139" ht="23.25" customHeight="1" x14ac:dyDescent="0.15"/>
    <row r="140" ht="23.25" customHeight="1" x14ac:dyDescent="0.15"/>
    <row r="141" ht="23.25" customHeight="1" x14ac:dyDescent="0.15"/>
    <row r="142" ht="23.25" customHeight="1" x14ac:dyDescent="0.15"/>
    <row r="143" ht="23.25" customHeight="1" x14ac:dyDescent="0.15"/>
    <row r="144" ht="23.25" customHeight="1" x14ac:dyDescent="0.15"/>
    <row r="145" ht="23.25" customHeight="1" x14ac:dyDescent="0.15"/>
    <row r="146" ht="23.25" customHeight="1" x14ac:dyDescent="0.15"/>
    <row r="147" ht="23.25" customHeight="1" x14ac:dyDescent="0.15"/>
    <row r="148" ht="23.25" customHeight="1" x14ac:dyDescent="0.15"/>
    <row r="149" ht="23.25" customHeight="1" x14ac:dyDescent="0.15"/>
    <row r="150" ht="23.25" customHeight="1" x14ac:dyDescent="0.15"/>
    <row r="151" ht="23.25" customHeight="1" x14ac:dyDescent="0.15"/>
    <row r="152" ht="23.25" customHeight="1" x14ac:dyDescent="0.15"/>
    <row r="153" ht="23.25" customHeight="1" x14ac:dyDescent="0.15"/>
    <row r="154" ht="23.25" customHeight="1" x14ac:dyDescent="0.15"/>
    <row r="155" ht="23.25" customHeight="1" x14ac:dyDescent="0.15"/>
    <row r="156" ht="23.25" customHeight="1" x14ac:dyDescent="0.15"/>
    <row r="157" ht="23.25" customHeight="1" x14ac:dyDescent="0.15"/>
    <row r="158" ht="23.25" customHeight="1" x14ac:dyDescent="0.15"/>
    <row r="159" ht="23.25" customHeight="1" x14ac:dyDescent="0.15"/>
    <row r="160" ht="23.25" customHeight="1" x14ac:dyDescent="0.15"/>
    <row r="161" ht="23.25" customHeight="1" x14ac:dyDescent="0.15"/>
    <row r="162" ht="23.25" customHeight="1" x14ac:dyDescent="0.15"/>
    <row r="163" ht="23.25" customHeight="1" x14ac:dyDescent="0.15"/>
    <row r="164" ht="23.25" customHeight="1" x14ac:dyDescent="0.15"/>
    <row r="165" ht="23.25" customHeight="1" x14ac:dyDescent="0.15"/>
    <row r="166" ht="23.25" customHeight="1" x14ac:dyDescent="0.15"/>
    <row r="167" ht="23.25" customHeight="1" x14ac:dyDescent="0.15"/>
    <row r="168" ht="23.25" customHeight="1" x14ac:dyDescent="0.15"/>
    <row r="169" ht="23.25" customHeight="1" x14ac:dyDescent="0.15"/>
    <row r="170" ht="23.25" customHeight="1" x14ac:dyDescent="0.15"/>
    <row r="171" ht="23.25" customHeight="1" x14ac:dyDescent="0.15"/>
    <row r="172" ht="23.25" customHeight="1" x14ac:dyDescent="0.15"/>
    <row r="173" ht="23.25" customHeight="1" x14ac:dyDescent="0.15"/>
    <row r="174" ht="23.25" customHeight="1" x14ac:dyDescent="0.15"/>
    <row r="175" ht="23.25" customHeight="1" x14ac:dyDescent="0.15"/>
    <row r="176" ht="23.25" customHeight="1" x14ac:dyDescent="0.15"/>
    <row r="177" ht="23.25" customHeight="1" x14ac:dyDescent="0.15"/>
    <row r="178" ht="23.25" customHeight="1" x14ac:dyDescent="0.15"/>
    <row r="179" ht="23.25" customHeight="1" x14ac:dyDescent="0.15"/>
    <row r="180" ht="23.25" customHeight="1" x14ac:dyDescent="0.15"/>
    <row r="181" ht="23.25" customHeight="1" x14ac:dyDescent="0.15"/>
    <row r="182" ht="23.25" customHeight="1" x14ac:dyDescent="0.15"/>
    <row r="183" ht="23.25" customHeight="1" x14ac:dyDescent="0.15"/>
    <row r="184" ht="23.25" customHeight="1" x14ac:dyDescent="0.15"/>
    <row r="185" ht="23.25" customHeight="1" x14ac:dyDescent="0.15"/>
    <row r="186" ht="23.25" customHeight="1" x14ac:dyDescent="0.15"/>
    <row r="187" ht="23.25" customHeight="1" x14ac:dyDescent="0.15"/>
    <row r="188" ht="23.25" customHeight="1" x14ac:dyDescent="0.15"/>
    <row r="189" ht="23.25" customHeight="1" x14ac:dyDescent="0.15"/>
    <row r="190" ht="23.25" customHeight="1" x14ac:dyDescent="0.15"/>
    <row r="191" ht="23.25" customHeight="1" x14ac:dyDescent="0.15"/>
    <row r="192" ht="23.25" customHeight="1" x14ac:dyDescent="0.15"/>
    <row r="193" ht="23.25" customHeight="1" x14ac:dyDescent="0.15"/>
    <row r="194" ht="23.25" customHeight="1" x14ac:dyDescent="0.15"/>
    <row r="195" ht="23.25" customHeight="1" x14ac:dyDescent="0.15"/>
    <row r="196" ht="23.25" customHeight="1" x14ac:dyDescent="0.15"/>
    <row r="197" ht="23.25" customHeight="1" x14ac:dyDescent="0.15"/>
    <row r="198" ht="23.25" customHeight="1" x14ac:dyDescent="0.15"/>
    <row r="199" ht="23.25" customHeight="1" x14ac:dyDescent="0.15"/>
    <row r="200" ht="23.25" customHeight="1" x14ac:dyDescent="0.15"/>
    <row r="201" ht="23.25" customHeight="1" x14ac:dyDescent="0.15"/>
    <row r="202" ht="23.25" customHeight="1" x14ac:dyDescent="0.15"/>
    <row r="203" ht="23.25" customHeight="1" x14ac:dyDescent="0.15"/>
    <row r="204" ht="23.25" customHeight="1" x14ac:dyDescent="0.15"/>
    <row r="205" ht="23.25" customHeight="1" x14ac:dyDescent="0.15"/>
    <row r="206" ht="23.25" customHeight="1" x14ac:dyDescent="0.15"/>
    <row r="207" ht="23.25" customHeight="1" x14ac:dyDescent="0.15"/>
    <row r="208" ht="23.25" customHeight="1" x14ac:dyDescent="0.15"/>
    <row r="209" ht="23.25" customHeight="1" x14ac:dyDescent="0.15"/>
    <row r="210" ht="23.25" customHeight="1" x14ac:dyDescent="0.15"/>
    <row r="211" ht="23.25" customHeight="1" x14ac:dyDescent="0.15"/>
    <row r="212" ht="23.25" customHeight="1" x14ac:dyDescent="0.15"/>
    <row r="213" ht="23.25" customHeight="1" x14ac:dyDescent="0.15"/>
    <row r="214" ht="23.25" customHeight="1" x14ac:dyDescent="0.15"/>
    <row r="215" ht="23.25" customHeight="1" x14ac:dyDescent="0.15"/>
    <row r="216" ht="23.25" customHeight="1" x14ac:dyDescent="0.15"/>
    <row r="217" ht="23.25" customHeight="1" x14ac:dyDescent="0.15"/>
    <row r="218" ht="23.25" customHeight="1" x14ac:dyDescent="0.15"/>
    <row r="219" ht="23.25" customHeight="1" x14ac:dyDescent="0.15"/>
    <row r="220" ht="23.25" customHeight="1" x14ac:dyDescent="0.15"/>
    <row r="221" ht="23.25" customHeight="1" x14ac:dyDescent="0.15"/>
    <row r="222" ht="23.25" customHeight="1" x14ac:dyDescent="0.15"/>
    <row r="223" ht="23.25" customHeight="1" x14ac:dyDescent="0.15"/>
    <row r="224" ht="23.25" customHeight="1" x14ac:dyDescent="0.15"/>
    <row r="225" ht="23.25" customHeight="1" x14ac:dyDescent="0.15"/>
    <row r="226" ht="23.25" customHeight="1" x14ac:dyDescent="0.15"/>
    <row r="227" ht="23.25" customHeight="1" x14ac:dyDescent="0.15"/>
    <row r="228" ht="23.25" customHeight="1" x14ac:dyDescent="0.15"/>
    <row r="229" ht="23.25" customHeight="1" x14ac:dyDescent="0.15"/>
    <row r="230" ht="23.25" customHeight="1" x14ac:dyDescent="0.15"/>
    <row r="231" ht="23.25" customHeight="1" x14ac:dyDescent="0.15"/>
    <row r="232" ht="23.25" customHeight="1" x14ac:dyDescent="0.15"/>
    <row r="233" ht="23.25" customHeight="1" x14ac:dyDescent="0.15"/>
    <row r="234" ht="23.25" customHeight="1" x14ac:dyDescent="0.15"/>
    <row r="235" ht="23.25" customHeight="1" x14ac:dyDescent="0.15"/>
    <row r="236" ht="23.25" customHeight="1" x14ac:dyDescent="0.15"/>
    <row r="237" ht="23.25" customHeight="1" x14ac:dyDescent="0.15"/>
    <row r="238" ht="23.25" customHeight="1" x14ac:dyDescent="0.15"/>
    <row r="239" ht="23.25" customHeight="1" x14ac:dyDescent="0.15"/>
    <row r="240" ht="23.25" customHeight="1" x14ac:dyDescent="0.15"/>
    <row r="241" ht="23.25" customHeight="1" x14ac:dyDescent="0.15"/>
    <row r="242" ht="23.25" customHeight="1" x14ac:dyDescent="0.15"/>
    <row r="243" ht="23.25" customHeight="1" x14ac:dyDescent="0.15"/>
    <row r="244" ht="23.25" customHeight="1" x14ac:dyDescent="0.15"/>
    <row r="245" ht="23.25" customHeight="1" x14ac:dyDescent="0.15"/>
    <row r="246" ht="23.25" customHeight="1" x14ac:dyDescent="0.15"/>
    <row r="247" ht="23.25" customHeight="1" x14ac:dyDescent="0.15"/>
    <row r="248" ht="23.25" customHeight="1" x14ac:dyDescent="0.15"/>
    <row r="249" ht="23.25" customHeight="1" x14ac:dyDescent="0.15"/>
    <row r="250" ht="23.25" customHeight="1" x14ac:dyDescent="0.15"/>
    <row r="251" ht="23.25" customHeight="1" x14ac:dyDescent="0.15"/>
    <row r="252" ht="23.25" customHeight="1" x14ac:dyDescent="0.15"/>
    <row r="253" ht="23.25" customHeight="1" x14ac:dyDescent="0.15"/>
    <row r="254" ht="23.25" customHeight="1" x14ac:dyDescent="0.15"/>
    <row r="255" ht="23.25" customHeight="1" x14ac:dyDescent="0.15"/>
    <row r="256" ht="23.25" customHeight="1" x14ac:dyDescent="0.15"/>
    <row r="257" ht="23.25" customHeight="1" x14ac:dyDescent="0.15"/>
    <row r="258" ht="23.25" customHeight="1" x14ac:dyDescent="0.15"/>
    <row r="259" ht="23.25" customHeight="1" x14ac:dyDescent="0.15"/>
    <row r="260" ht="23.25" customHeight="1" x14ac:dyDescent="0.15"/>
    <row r="261" ht="23.25" customHeight="1" x14ac:dyDescent="0.15"/>
    <row r="262" ht="23.25" customHeight="1" x14ac:dyDescent="0.15"/>
    <row r="263" ht="23.25" customHeight="1" x14ac:dyDescent="0.15"/>
    <row r="264" ht="23.25" customHeight="1" x14ac:dyDescent="0.15"/>
    <row r="265" ht="23.25" customHeight="1" x14ac:dyDescent="0.15"/>
    <row r="266" ht="23.25" customHeight="1" x14ac:dyDescent="0.15"/>
    <row r="267" ht="23.25" customHeight="1" x14ac:dyDescent="0.15"/>
    <row r="268" ht="23.25" customHeight="1" x14ac:dyDescent="0.15"/>
    <row r="269" ht="23.25" customHeight="1" x14ac:dyDescent="0.15"/>
    <row r="270" ht="23.25" customHeight="1" x14ac:dyDescent="0.15"/>
    <row r="271" ht="23.25" customHeight="1" x14ac:dyDescent="0.15"/>
    <row r="272" ht="23.25" customHeight="1" x14ac:dyDescent="0.15"/>
    <row r="273" spans="1:6" ht="23.25" customHeight="1" x14ac:dyDescent="0.15"/>
    <row r="274" spans="1:6" ht="23.25" customHeight="1" x14ac:dyDescent="0.15"/>
    <row r="275" spans="1:6" ht="23.25" customHeight="1" x14ac:dyDescent="0.15"/>
    <row r="276" spans="1:6" ht="23.25" customHeight="1" x14ac:dyDescent="0.15"/>
    <row r="277" spans="1:6" ht="23.25" customHeight="1" x14ac:dyDescent="0.15"/>
    <row r="278" spans="1:6" ht="23.25" customHeight="1" x14ac:dyDescent="0.15"/>
    <row r="279" spans="1:6" ht="23.25" customHeight="1" x14ac:dyDescent="0.15"/>
    <row r="280" spans="1:6" ht="23.25" customHeight="1" x14ac:dyDescent="0.15"/>
    <row r="281" spans="1:6" ht="23.25" customHeight="1" x14ac:dyDescent="0.15"/>
    <row r="282" spans="1:6" ht="23.25" customHeight="1" x14ac:dyDescent="0.15"/>
    <row r="283" spans="1:6" ht="23.25" customHeight="1" x14ac:dyDescent="0.15"/>
    <row r="284" spans="1:6" ht="23.25" customHeight="1" x14ac:dyDescent="0.15"/>
    <row r="285" spans="1:6" ht="23.25" customHeight="1" x14ac:dyDescent="0.15"/>
    <row r="286" spans="1:6" ht="23.25" customHeight="1" thickBot="1" x14ac:dyDescent="0.2"/>
    <row r="287" spans="1:6" ht="23.25" customHeight="1" thickBot="1" x14ac:dyDescent="0.2">
      <c r="A287" s="57"/>
      <c r="B287" s="57"/>
      <c r="C287" s="113"/>
      <c r="D287" s="58"/>
      <c r="E287" s="58"/>
      <c r="F287" s="58"/>
    </row>
    <row r="288" spans="1:6" ht="23.25" customHeight="1" thickBot="1" x14ac:dyDescent="0.2">
      <c r="A288" s="57"/>
      <c r="B288" s="57"/>
      <c r="C288" s="113"/>
      <c r="D288" s="58"/>
      <c r="E288" s="58"/>
      <c r="F288" s="58"/>
    </row>
    <row r="289" spans="1:6" ht="23.25" customHeight="1" thickBot="1" x14ac:dyDescent="0.2">
      <c r="A289" s="57"/>
      <c r="B289" s="57"/>
      <c r="C289" s="113"/>
      <c r="D289" s="58"/>
      <c r="E289" s="58"/>
      <c r="F289" s="58"/>
    </row>
    <row r="290" spans="1:6" ht="23.25" customHeight="1" thickBot="1" x14ac:dyDescent="0.2">
      <c r="A290" s="57"/>
      <c r="B290" s="57"/>
      <c r="C290" s="113"/>
      <c r="D290" s="58"/>
      <c r="E290" s="58"/>
      <c r="F290" s="58"/>
    </row>
    <row r="291" spans="1:6" ht="23.25" customHeight="1" thickBot="1" x14ac:dyDescent="0.2">
      <c r="A291" s="57"/>
      <c r="B291" s="57"/>
      <c r="C291" s="113"/>
      <c r="D291" s="58"/>
      <c r="E291" s="58"/>
      <c r="F291" s="58"/>
    </row>
    <row r="292" spans="1:6" ht="23.25" customHeight="1" thickBot="1" x14ac:dyDescent="0.2">
      <c r="A292" s="57"/>
      <c r="B292" s="57"/>
      <c r="C292" s="113"/>
      <c r="D292" s="58"/>
      <c r="E292" s="58"/>
      <c r="F292" s="58"/>
    </row>
    <row r="293" spans="1:6" ht="23.25" customHeight="1" thickBot="1" x14ac:dyDescent="0.2">
      <c r="A293" s="57"/>
      <c r="B293" s="57"/>
      <c r="C293" s="113"/>
      <c r="D293" s="58"/>
      <c r="E293" s="58"/>
      <c r="F293" s="58"/>
    </row>
    <row r="294" spans="1:6" ht="23.25" customHeight="1" thickBot="1" x14ac:dyDescent="0.2">
      <c r="A294" s="57"/>
      <c r="B294" s="57"/>
      <c r="C294" s="113"/>
      <c r="D294" s="58"/>
      <c r="E294" s="58"/>
      <c r="F294" s="58"/>
    </row>
    <row r="295" spans="1:6" ht="23.25" customHeight="1" thickBot="1" x14ac:dyDescent="0.2">
      <c r="A295" s="57"/>
      <c r="B295" s="57"/>
      <c r="C295" s="113"/>
      <c r="D295" s="58"/>
      <c r="E295" s="58"/>
      <c r="F295" s="58"/>
    </row>
    <row r="296" spans="1:6" ht="23.25" customHeight="1" thickBot="1" x14ac:dyDescent="0.2">
      <c r="A296" s="57"/>
      <c r="B296" s="57"/>
      <c r="C296" s="113"/>
      <c r="D296" s="58"/>
      <c r="E296" s="58"/>
      <c r="F296" s="58"/>
    </row>
    <row r="297" spans="1:6" ht="23.25" customHeight="1" thickBot="1" x14ac:dyDescent="0.2">
      <c r="A297" s="57"/>
      <c r="B297" s="57"/>
      <c r="C297" s="113"/>
      <c r="D297" s="58"/>
      <c r="E297" s="58"/>
      <c r="F297" s="58"/>
    </row>
    <row r="298" spans="1:6" ht="23.25" customHeight="1" x14ac:dyDescent="0.15">
      <c r="A298" s="57"/>
      <c r="B298" s="57"/>
      <c r="C298" s="113"/>
      <c r="D298" s="58"/>
      <c r="E298" s="58"/>
      <c r="F298" s="58"/>
    </row>
  </sheetData>
  <sheetProtection algorithmName="SHA-512" hashValue="ZDe+vygIwRyZbKOZ4kDFCCZAt6qW1qfUrcXaSn+gHo8PXC/IuRN82uc5ROSbSyyWN1p2LvMpzNxJbW+7iCSlhw==" saltValue="TzX0GxCI4MgptFO6tGcYiw==" spinCount="100000" sheet="1" objects="1" scenarios="1"/>
  <mergeCells count="1">
    <mergeCell ref="A1:F1"/>
  </mergeCells>
  <pageMargins left="0.7" right="0.7" top="0.75" bottom="0.75" header="0.3" footer="0.3"/>
  <pageSetup paperSize="9" scale="5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1:FV612"/>
  <sheetViews>
    <sheetView showGridLines="0" defaultGridColor="0" topLeftCell="AE1" colorId="8" workbookViewId="0">
      <selection activeCell="AI8" sqref="AI8"/>
    </sheetView>
  </sheetViews>
  <sheetFormatPr defaultRowHeight="11.25" x14ac:dyDescent="0.15"/>
  <cols>
    <col min="1" max="1" width="26.25" style="78" customWidth="1"/>
    <col min="2" max="2" width="28.625" style="79" customWidth="1"/>
    <col min="3" max="3" width="34.25" style="112" customWidth="1"/>
    <col min="4" max="4" width="8.25" style="79" customWidth="1"/>
    <col min="5" max="5" width="9.25" style="79" bestFit="1" customWidth="1"/>
    <col min="6" max="6" width="35.25" style="79" customWidth="1"/>
    <col min="7" max="7" width="41.625" style="80" customWidth="1"/>
    <col min="8" max="8" width="24.875" style="79" customWidth="1"/>
    <col min="9" max="9" width="10.5" style="81" customWidth="1"/>
    <col min="10" max="10" width="10.125" style="81" customWidth="1"/>
    <col min="11" max="17" width="9.75" style="81" customWidth="1"/>
    <col min="18" max="18" width="9.375" style="81" customWidth="1"/>
    <col min="19" max="27" width="9.75" style="81" customWidth="1"/>
    <col min="28" max="28" width="9.375" style="81" customWidth="1"/>
    <col min="29" max="33" width="9.75" style="81" customWidth="1"/>
    <col min="34" max="37" width="9.75" style="30" customWidth="1"/>
    <col min="38" max="38" width="9.375" style="30" customWidth="1"/>
    <col min="39" max="47" width="9.75" style="30" customWidth="1"/>
    <col min="48" max="48" width="9.375" style="30" customWidth="1"/>
    <col min="49" max="49" width="9.375" style="95" customWidth="1"/>
    <col min="50" max="52" width="9.375" style="30" customWidth="1"/>
    <col min="53" max="61" width="9.75" style="30" customWidth="1"/>
    <col min="62" max="62" width="9.375" style="30" customWidth="1"/>
    <col min="63" max="70" width="9.75" style="30" customWidth="1"/>
    <col min="71" max="71" width="10.5" style="30" customWidth="1"/>
    <col min="72" max="72" width="10.125" style="30" customWidth="1"/>
    <col min="73" max="80" width="10.5" style="30" customWidth="1"/>
    <col min="81" max="81" width="10.125" style="30" customWidth="1"/>
    <col min="82" max="82" width="9.875" style="30" customWidth="1"/>
    <col min="83" max="90" width="10.125" style="30" customWidth="1"/>
    <col min="91" max="91" width="10.5" style="30" customWidth="1"/>
    <col min="92" max="92" width="10.125" style="30" customWidth="1"/>
    <col min="93" max="101" width="10.5" style="30" customWidth="1"/>
    <col min="102" max="102" width="10.125" style="30" customWidth="1"/>
    <col min="103" max="111" width="10.5" style="30" customWidth="1"/>
    <col min="112" max="112" width="10.125" style="30" customWidth="1"/>
    <col min="113" max="121" width="10.5" style="30" customWidth="1"/>
    <col min="122" max="122" width="10.125" style="30" customWidth="1"/>
    <col min="123" max="131" width="10.5" style="30" customWidth="1"/>
    <col min="132" max="132" width="10.125" style="30" customWidth="1"/>
    <col min="133" max="141" width="10.5" style="30" customWidth="1"/>
    <col min="142" max="142" width="10.125" style="30" customWidth="1"/>
    <col min="143" max="151" width="10.5" style="30" customWidth="1"/>
    <col min="152" max="152" width="10.125" style="30" customWidth="1"/>
    <col min="153" max="161" width="10.5" style="30" customWidth="1"/>
    <col min="162" max="162" width="10.125" style="30" customWidth="1"/>
    <col min="163" max="170" width="10.5" style="30" customWidth="1"/>
    <col min="171" max="171" width="10.75" style="30" customWidth="1"/>
    <col min="172" max="172" width="10.5" style="30" customWidth="1"/>
    <col min="173" max="180" width="10.75" style="30" customWidth="1"/>
    <col min="181" max="181" width="10.5" style="30" customWidth="1"/>
    <col min="182" max="182" width="10.125" style="30" customWidth="1"/>
    <col min="183" max="190" width="10.5" style="30" customWidth="1"/>
    <col min="191" max="191" width="10.75" style="30" customWidth="1"/>
    <col min="192" max="192" width="10.5" style="30" customWidth="1"/>
    <col min="193" max="201" width="10.75" style="30" customWidth="1"/>
    <col min="202" max="202" width="10.5" style="30" customWidth="1"/>
    <col min="203" max="211" width="10.75" style="30" customWidth="1"/>
    <col min="212" max="212" width="10.5" style="30" customWidth="1"/>
    <col min="213" max="221" width="10.75" style="30" customWidth="1"/>
    <col min="222" max="222" width="10.5" style="30" customWidth="1"/>
    <col min="223" max="231" width="10.75" style="30" customWidth="1"/>
    <col min="232" max="232" width="10.5" style="30" customWidth="1"/>
    <col min="233" max="241" width="10.75" style="30" customWidth="1"/>
    <col min="242" max="242" width="10.5" style="30" customWidth="1"/>
    <col min="243" max="251" width="10.75" style="30" customWidth="1"/>
    <col min="252" max="252" width="10.5" style="30" customWidth="1"/>
    <col min="253" max="261" width="10.75" style="30" customWidth="1"/>
    <col min="262" max="262" width="10.5" style="30" customWidth="1"/>
    <col min="263" max="271" width="10.75" style="30" customWidth="1"/>
    <col min="272" max="272" width="10.5" style="30" customWidth="1"/>
    <col min="273" max="280" width="10.75" style="30" customWidth="1"/>
    <col min="281" max="281" width="10.5" style="30" customWidth="1"/>
    <col min="282" max="282" width="10.125" style="30" customWidth="1"/>
    <col min="283" max="290" width="10.5" style="30" customWidth="1"/>
    <col min="291" max="291" width="10.75" style="30" customWidth="1"/>
    <col min="292" max="292" width="10.5" style="30" customWidth="1"/>
    <col min="293" max="301" width="10.75" style="30" customWidth="1"/>
    <col min="302" max="302" width="10.5" style="30" customWidth="1"/>
    <col min="303" max="311" width="10.75" style="30" customWidth="1"/>
    <col min="312" max="312" width="10.5" style="30" customWidth="1"/>
    <col min="313" max="321" width="10.75" style="30" customWidth="1"/>
    <col min="322" max="322" width="10.5" style="30" customWidth="1"/>
    <col min="323" max="331" width="10.75" style="30" customWidth="1"/>
    <col min="332" max="332" width="10.5" style="30" customWidth="1"/>
    <col min="333" max="341" width="10.75" style="30" customWidth="1"/>
    <col min="342" max="342" width="10.5" style="30" customWidth="1"/>
    <col min="343" max="351" width="10.75" style="30" customWidth="1"/>
    <col min="352" max="352" width="10.5" style="30" customWidth="1"/>
    <col min="353" max="361" width="10.75" style="30" customWidth="1"/>
    <col min="362" max="362" width="10.5" style="30" customWidth="1"/>
    <col min="363" max="371" width="10.75" style="30" customWidth="1"/>
    <col min="372" max="372" width="10.5" style="30" customWidth="1"/>
    <col min="373" max="380" width="10.75" style="30" customWidth="1"/>
    <col min="381" max="381" width="10.5" style="30" customWidth="1"/>
    <col min="382" max="382" width="10.125" style="30" customWidth="1"/>
    <col min="383" max="390" width="10.5" style="30" customWidth="1"/>
    <col min="391" max="391" width="10.75" style="30" customWidth="1"/>
    <col min="392" max="392" width="10.5" style="30" customWidth="1"/>
    <col min="393" max="401" width="10.75" style="30" customWidth="1"/>
    <col min="402" max="402" width="10.5" style="30" customWidth="1"/>
    <col min="403" max="411" width="10.75" style="30" customWidth="1"/>
    <col min="412" max="412" width="10.5" style="30" customWidth="1"/>
    <col min="413" max="421" width="10.75" style="30" customWidth="1"/>
    <col min="422" max="422" width="10.5" style="30" customWidth="1"/>
    <col min="423" max="431" width="10.75" style="30" customWidth="1"/>
    <col min="432" max="432" width="10.5" style="30" customWidth="1"/>
    <col min="433" max="441" width="10.75" style="30" customWidth="1"/>
    <col min="442" max="442" width="10.5" style="30" customWidth="1"/>
    <col min="443" max="451" width="10.75" style="30" customWidth="1"/>
    <col min="452" max="452" width="10.5" style="30" customWidth="1"/>
    <col min="453" max="461" width="10.75" style="30" customWidth="1"/>
    <col min="462" max="462" width="10.5" style="30" customWidth="1"/>
    <col min="463" max="471" width="10.75" style="30" customWidth="1"/>
    <col min="472" max="472" width="10.5" style="30" customWidth="1"/>
    <col min="473" max="480" width="10.75" style="30" customWidth="1"/>
    <col min="481" max="481" width="10.5" style="30" customWidth="1"/>
    <col min="482" max="482" width="10.125" style="30" customWidth="1"/>
    <col min="483" max="490" width="10.5" style="30" customWidth="1"/>
    <col min="491" max="491" width="10.75" style="30" customWidth="1"/>
    <col min="492" max="492" width="10.5" style="30" customWidth="1"/>
    <col min="493" max="501" width="10.75" style="30" customWidth="1"/>
    <col min="502" max="502" width="10.5" style="30" customWidth="1"/>
    <col min="503" max="511" width="10.75" style="30" customWidth="1"/>
    <col min="512" max="512" width="10.5" style="30" customWidth="1"/>
    <col min="513" max="521" width="10.75" style="30" customWidth="1"/>
    <col min="522" max="522" width="10.5" style="30" customWidth="1"/>
    <col min="523" max="531" width="10.75" style="30" customWidth="1"/>
    <col min="532" max="532" width="10.5" style="30" customWidth="1"/>
    <col min="533" max="541" width="10.75" style="30" customWidth="1"/>
    <col min="542" max="542" width="10.5" style="30" customWidth="1"/>
    <col min="543" max="551" width="10.75" style="30" customWidth="1"/>
    <col min="552" max="552" width="10.5" style="30" customWidth="1"/>
    <col min="553" max="561" width="10.75" style="30" customWidth="1"/>
    <col min="562" max="562" width="10.5" style="30" customWidth="1"/>
    <col min="563" max="571" width="10.75" style="30" customWidth="1"/>
    <col min="572" max="572" width="10.5" style="30" customWidth="1"/>
    <col min="573" max="580" width="10.75" style="30" customWidth="1"/>
    <col min="581" max="581" width="10.5" style="30" customWidth="1"/>
    <col min="582" max="582" width="10.125" style="30" customWidth="1"/>
    <col min="583" max="590" width="10.5" style="30" customWidth="1"/>
    <col min="591" max="591" width="10.75" style="30" customWidth="1"/>
    <col min="592" max="592" width="10.5" style="30" customWidth="1"/>
    <col min="593" max="601" width="10.75" style="30" customWidth="1"/>
    <col min="602" max="602" width="10.5" style="30" customWidth="1"/>
    <col min="603" max="611" width="10.75" style="30" customWidth="1"/>
    <col min="612" max="612" width="10.5" style="30" customWidth="1"/>
    <col min="613" max="621" width="10.75" style="30" customWidth="1"/>
    <col min="622" max="622" width="10.5" style="30" customWidth="1"/>
    <col min="623" max="631" width="10.75" style="30" customWidth="1"/>
    <col min="632" max="632" width="10.5" style="30" customWidth="1"/>
    <col min="633" max="641" width="10.75" style="30" customWidth="1"/>
    <col min="642" max="642" width="10.5" style="30" customWidth="1"/>
    <col min="643" max="651" width="10.75" style="30" customWidth="1"/>
    <col min="652" max="652" width="10.5" style="30" customWidth="1"/>
    <col min="653" max="661" width="10.75" style="30" customWidth="1"/>
    <col min="662" max="662" width="10.5" style="30" customWidth="1"/>
    <col min="663" max="671" width="10.75" style="30" customWidth="1"/>
    <col min="672" max="672" width="10.5" style="30" customWidth="1"/>
    <col min="673" max="680" width="10.75" style="30" customWidth="1"/>
    <col min="681" max="681" width="10.5" style="30" customWidth="1"/>
    <col min="682" max="682" width="10.125" style="30" customWidth="1"/>
    <col min="683" max="690" width="10.5" style="30" customWidth="1"/>
    <col min="691" max="691" width="10.75" style="30" customWidth="1"/>
    <col min="692" max="692" width="10.5" style="30" customWidth="1"/>
    <col min="693" max="701" width="10.75" style="30" customWidth="1"/>
    <col min="702" max="702" width="10.5" style="30" customWidth="1"/>
    <col min="703" max="711" width="10.75" style="30" customWidth="1"/>
    <col min="712" max="712" width="10.5" style="30" customWidth="1"/>
    <col min="713" max="721" width="10.75" style="30" customWidth="1"/>
    <col min="722" max="722" width="10.5" style="30" customWidth="1"/>
    <col min="723" max="731" width="10.75" style="30" customWidth="1"/>
    <col min="732" max="732" width="10.5" style="30" customWidth="1"/>
    <col min="733" max="741" width="10.75" style="30" customWidth="1"/>
    <col min="742" max="742" width="10.5" style="30" customWidth="1"/>
    <col min="743" max="751" width="10.75" style="30" customWidth="1"/>
    <col min="752" max="752" width="10.5" style="30" customWidth="1"/>
    <col min="753" max="761" width="10.75" style="30" customWidth="1"/>
    <col min="762" max="762" width="10.5" style="30" customWidth="1"/>
    <col min="763" max="771" width="10.75" style="30" customWidth="1"/>
    <col min="772" max="772" width="10.5" style="30" customWidth="1"/>
    <col min="773" max="780" width="10.75" style="30" customWidth="1"/>
    <col min="781" max="781" width="10.5" style="30" customWidth="1"/>
    <col min="782" max="782" width="10.125" style="30" customWidth="1"/>
    <col min="783" max="790" width="10.5" style="30" customWidth="1"/>
    <col min="791" max="791" width="10.75" style="30" customWidth="1"/>
    <col min="792" max="792" width="10.5" style="30" customWidth="1"/>
    <col min="793" max="801" width="10.75" style="30" customWidth="1"/>
    <col min="802" max="802" width="10.5" style="30" customWidth="1"/>
    <col min="803" max="811" width="10.75" style="30" customWidth="1"/>
    <col min="812" max="812" width="10.5" style="30" customWidth="1"/>
    <col min="813" max="821" width="10.75" style="30" customWidth="1"/>
    <col min="822" max="822" width="10.5" style="30" customWidth="1"/>
    <col min="823" max="831" width="10.75" style="30" customWidth="1"/>
    <col min="832" max="832" width="10.5" style="30" customWidth="1"/>
    <col min="833" max="841" width="10.75" style="30" customWidth="1"/>
    <col min="842" max="842" width="10.5" style="30" customWidth="1"/>
    <col min="843" max="851" width="10.75" style="30" customWidth="1"/>
    <col min="852" max="852" width="10.5" style="30" customWidth="1"/>
    <col min="853" max="861" width="10.75" style="30" customWidth="1"/>
    <col min="862" max="862" width="10.5" style="30" customWidth="1"/>
    <col min="863" max="871" width="10.75" style="30" customWidth="1"/>
    <col min="872" max="872" width="10.5" style="30" customWidth="1"/>
    <col min="873" max="880" width="10.75" style="30" customWidth="1"/>
    <col min="881" max="881" width="10.5" style="30" customWidth="1"/>
    <col min="882" max="882" width="10.125" style="30" customWidth="1"/>
    <col min="883" max="890" width="10.5" style="30" customWidth="1"/>
    <col min="891" max="891" width="10.75" style="30" customWidth="1"/>
    <col min="892" max="892" width="10.5" style="30" customWidth="1"/>
    <col min="893" max="901" width="10.75" style="30" customWidth="1"/>
    <col min="902" max="902" width="10.5" style="30" customWidth="1"/>
    <col min="903" max="911" width="10.75" style="30" customWidth="1"/>
    <col min="912" max="912" width="10.5" style="30" customWidth="1"/>
    <col min="913" max="921" width="10.75" style="30" customWidth="1"/>
    <col min="922" max="922" width="10.5" style="30" customWidth="1"/>
    <col min="923" max="931" width="10.75" style="30" customWidth="1"/>
    <col min="932" max="932" width="10.5" style="30" customWidth="1"/>
    <col min="933" max="941" width="10.75" style="30" customWidth="1"/>
    <col min="942" max="942" width="10.5" style="30" customWidth="1"/>
    <col min="943" max="951" width="10.75" style="30" customWidth="1"/>
    <col min="952" max="952" width="10.5" style="30" customWidth="1"/>
    <col min="953" max="961" width="10.75" style="30" customWidth="1"/>
    <col min="962" max="962" width="10.5" style="30" customWidth="1"/>
    <col min="963" max="970" width="10.75" style="30" customWidth="1"/>
    <col min="971" max="971" width="11.5" style="30" customWidth="1"/>
    <col min="972" max="972" width="11.125" style="30" customWidth="1"/>
    <col min="973" max="980" width="11.5" style="30" customWidth="1"/>
    <col min="981" max="981" width="11.125" style="30" customWidth="1"/>
    <col min="982" max="982" width="10.875" style="30" customWidth="1"/>
    <col min="983" max="990" width="11.125" style="30" customWidth="1"/>
    <col min="991" max="991" width="11.5" style="30" customWidth="1"/>
    <col min="992" max="992" width="11.125" style="30" customWidth="1"/>
    <col min="993" max="1001" width="11.5" style="30" customWidth="1"/>
    <col min="1002" max="1002" width="11.125" style="30" customWidth="1"/>
    <col min="1003" max="1011" width="11.5" style="30" customWidth="1"/>
    <col min="1012" max="1012" width="11.125" style="30" customWidth="1"/>
    <col min="1013" max="1021" width="11.5" style="30" customWidth="1"/>
    <col min="1022" max="1022" width="11.125" style="30" customWidth="1"/>
    <col min="1023" max="1031" width="11.5" style="30" customWidth="1"/>
    <col min="1032" max="1032" width="11.125" style="30" customWidth="1"/>
    <col min="1033" max="1041" width="11.5" style="30" customWidth="1"/>
    <col min="1042" max="1042" width="11.125" style="30" customWidth="1"/>
    <col min="1043" max="1051" width="11.5" style="30" customWidth="1"/>
    <col min="1052" max="1052" width="11.125" style="30" customWidth="1"/>
    <col min="1053" max="1061" width="11.5" style="30" customWidth="1"/>
    <col min="1062" max="1062" width="11.125" style="30" customWidth="1"/>
    <col min="1063" max="1070" width="11.5" style="30" customWidth="1"/>
    <col min="1071" max="1071" width="11.125" style="30" customWidth="1"/>
    <col min="1072" max="1072" width="10.875" style="30" customWidth="1"/>
    <col min="1073" max="1080" width="11.125" style="30" customWidth="1"/>
    <col min="1081" max="1081" width="10.875" style="30" customWidth="1"/>
    <col min="1082" max="1082" width="10.625" style="30" customWidth="1"/>
    <col min="1083" max="1090" width="10.875" style="30" customWidth="1"/>
    <col min="1091" max="1091" width="11.125" style="30" customWidth="1"/>
    <col min="1092" max="1092" width="10.875" style="30" customWidth="1"/>
    <col min="1093" max="1101" width="11.125" style="30" customWidth="1"/>
    <col min="1102" max="1102" width="10.875" style="30" customWidth="1"/>
    <col min="1103" max="1111" width="11.125" style="30" customWidth="1"/>
    <col min="1112" max="1112" width="10.875" style="30" customWidth="1"/>
    <col min="1113" max="1121" width="11.125" style="30" customWidth="1"/>
    <col min="1122" max="1122" width="10.875" style="30" customWidth="1"/>
    <col min="1123" max="1131" width="11.125" style="30" customWidth="1"/>
    <col min="1132" max="1132" width="10.875" style="30" customWidth="1"/>
    <col min="1133" max="1141" width="11.125" style="30" customWidth="1"/>
    <col min="1142" max="1142" width="10.875" style="30" customWidth="1"/>
    <col min="1143" max="1151" width="11.125" style="30" customWidth="1"/>
    <col min="1152" max="1152" width="10.875" style="30" customWidth="1"/>
    <col min="1153" max="1161" width="11.125" style="30" customWidth="1"/>
    <col min="1162" max="1162" width="10.875" style="30" customWidth="1"/>
    <col min="1163" max="1170" width="11.125" style="30" customWidth="1"/>
    <col min="1171" max="1171" width="11.5" style="30" customWidth="1"/>
    <col min="1172" max="1172" width="11.125" style="30" customWidth="1"/>
    <col min="1173" max="1180" width="11.5" style="30" customWidth="1"/>
    <col min="1181" max="1181" width="11.125" style="30" customWidth="1"/>
    <col min="1182" max="1182" width="10.875" style="30" customWidth="1"/>
    <col min="1183" max="1190" width="11.125" style="30" customWidth="1"/>
    <col min="1191" max="1191" width="11.5" style="30" customWidth="1"/>
    <col min="1192" max="1192" width="11.125" style="30" customWidth="1"/>
    <col min="1193" max="1201" width="11.5" style="30" customWidth="1"/>
    <col min="1202" max="1202" width="11.125" style="30" customWidth="1"/>
    <col min="1203" max="1211" width="11.5" style="30" customWidth="1"/>
    <col min="1212" max="1212" width="11.125" style="30" customWidth="1"/>
    <col min="1213" max="1221" width="11.5" style="30" customWidth="1"/>
    <col min="1222" max="1222" width="11.125" style="30" customWidth="1"/>
    <col min="1223" max="1231" width="11.5" style="30" customWidth="1"/>
    <col min="1232" max="1232" width="11.125" style="30" customWidth="1"/>
    <col min="1233" max="1241" width="11.5" style="30" customWidth="1"/>
    <col min="1242" max="1242" width="11.125" style="30" customWidth="1"/>
    <col min="1243" max="1251" width="11.5" style="30" customWidth="1"/>
    <col min="1252" max="1252" width="11.125" style="30" customWidth="1"/>
    <col min="1253" max="1261" width="11.5" style="30" customWidth="1"/>
    <col min="1262" max="1262" width="11.125" style="30" customWidth="1"/>
    <col min="1263" max="1271" width="11.5" style="30" customWidth="1"/>
    <col min="1272" max="1272" width="11.125" style="30" customWidth="1"/>
    <col min="1273" max="1280" width="11.5" style="30" customWidth="1"/>
    <col min="1281" max="1281" width="11.125" style="30" customWidth="1"/>
    <col min="1282" max="1282" width="10.875" style="30" customWidth="1"/>
    <col min="1283" max="1290" width="11.125" style="30" customWidth="1"/>
    <col min="1291" max="1291" width="11.5" style="30" customWidth="1"/>
    <col min="1292" max="1292" width="11.125" style="30" customWidth="1"/>
    <col min="1293" max="1301" width="11.5" style="30" customWidth="1"/>
    <col min="1302" max="1302" width="11.125" style="30" customWidth="1"/>
    <col min="1303" max="1311" width="11.5" style="30" customWidth="1"/>
    <col min="1312" max="1312" width="11.125" style="30" customWidth="1"/>
    <col min="1313" max="1321" width="11.5" style="30" customWidth="1"/>
    <col min="1322" max="1322" width="11.125" style="30" customWidth="1"/>
    <col min="1323" max="1331" width="11.5" style="30" customWidth="1"/>
    <col min="1332" max="1332" width="11.125" style="30" customWidth="1"/>
    <col min="1333" max="1341" width="11.5" style="30" customWidth="1"/>
    <col min="1342" max="1342" width="11.125" style="30" customWidth="1"/>
    <col min="1343" max="1351" width="11.5" style="30" customWidth="1"/>
    <col min="1352" max="1352" width="11.125" style="30" customWidth="1"/>
    <col min="1353" max="1361" width="11.5" style="30" customWidth="1"/>
    <col min="1362" max="1362" width="11.125" style="30" customWidth="1"/>
    <col min="1363" max="1371" width="11.5" style="30" customWidth="1"/>
    <col min="1372" max="1372" width="11.125" style="30" customWidth="1"/>
    <col min="1373" max="1380" width="11.5" style="30" customWidth="1"/>
    <col min="1381" max="1381" width="11.125" style="30" customWidth="1"/>
    <col min="1382" max="1382" width="10.875" style="30" customWidth="1"/>
    <col min="1383" max="1390" width="11.125" style="30" customWidth="1"/>
    <col min="1391" max="1391" width="11.5" style="30" customWidth="1"/>
    <col min="1392" max="1392" width="11.125" style="30" customWidth="1"/>
    <col min="1393" max="1401" width="11.5" style="30" customWidth="1"/>
    <col min="1402" max="1402" width="11.125" style="30" customWidth="1"/>
    <col min="1403" max="1411" width="11.5" style="30" customWidth="1"/>
    <col min="1412" max="1412" width="11.125" style="30" customWidth="1"/>
    <col min="1413" max="1421" width="11.5" style="30" customWidth="1"/>
    <col min="1422" max="1422" width="11.125" style="30" customWidth="1"/>
    <col min="1423" max="1431" width="11.5" style="30" customWidth="1"/>
    <col min="1432" max="1432" width="11.125" style="30" customWidth="1"/>
    <col min="1433" max="1441" width="11.5" style="30" customWidth="1"/>
    <col min="1442" max="1442" width="11.125" style="30" customWidth="1"/>
    <col min="1443" max="1451" width="11.5" style="30" customWidth="1"/>
    <col min="1452" max="1452" width="11.125" style="30" customWidth="1"/>
    <col min="1453" max="1461" width="11.5" style="30" customWidth="1"/>
    <col min="1462" max="1462" width="11.125" style="30" customWidth="1"/>
    <col min="1463" max="1471" width="11.5" style="30" customWidth="1"/>
    <col min="1472" max="1472" width="11.125" style="30" customWidth="1"/>
    <col min="1473" max="1480" width="11.5" style="30" customWidth="1"/>
    <col min="1481" max="1481" width="11.125" style="30" customWidth="1"/>
    <col min="1482" max="1482" width="10.875" style="30" customWidth="1"/>
    <col min="1483" max="1490" width="11.125" style="30" customWidth="1"/>
    <col min="1491" max="1491" width="11.5" style="30" customWidth="1"/>
    <col min="1492" max="1492" width="11.125" style="30" customWidth="1"/>
    <col min="1493" max="1501" width="11.5" style="30" customWidth="1"/>
    <col min="1502" max="1502" width="11.125" style="30" customWidth="1"/>
    <col min="1503" max="1511" width="11.5" style="30" customWidth="1"/>
    <col min="1512" max="1512" width="11.125" style="30" customWidth="1"/>
    <col min="1513" max="1521" width="11.5" style="30" customWidth="1"/>
    <col min="1522" max="1522" width="11.125" style="30" customWidth="1"/>
    <col min="1523" max="1531" width="11.5" style="30" customWidth="1"/>
    <col min="1532" max="1532" width="11.125" style="30" customWidth="1"/>
    <col min="1533" max="1541" width="11.5" style="30" customWidth="1"/>
    <col min="1542" max="1542" width="11.125" style="30" customWidth="1"/>
    <col min="1543" max="1551" width="11.5" style="30" customWidth="1"/>
    <col min="1552" max="1552" width="11.125" style="30" customWidth="1"/>
    <col min="1553" max="1561" width="11.5" style="30" customWidth="1"/>
    <col min="1562" max="1562" width="11.125" style="30" customWidth="1"/>
    <col min="1563" max="1571" width="11.5" style="30" customWidth="1"/>
    <col min="1572" max="1572" width="11.125" style="30" customWidth="1"/>
    <col min="1573" max="1580" width="11.5" style="30" customWidth="1"/>
    <col min="1581" max="1581" width="11.125" style="30" customWidth="1"/>
    <col min="1582" max="1582" width="10.875" style="30" customWidth="1"/>
    <col min="1583" max="1590" width="11.125" style="30" customWidth="1"/>
    <col min="1591" max="1591" width="11.5" style="30" customWidth="1"/>
    <col min="1592" max="1592" width="11.125" style="30" customWidth="1"/>
    <col min="1593" max="1601" width="11.5" style="30" customWidth="1"/>
    <col min="1602" max="1602" width="11.125" style="30" customWidth="1"/>
    <col min="1603" max="1611" width="11.5" style="30" customWidth="1"/>
    <col min="1612" max="1612" width="11.125" style="30" customWidth="1"/>
    <col min="1613" max="1621" width="11.5" style="30" customWidth="1"/>
    <col min="1622" max="1622" width="11.125" style="30" customWidth="1"/>
    <col min="1623" max="1631" width="11.5" style="30" customWidth="1"/>
    <col min="1632" max="1632" width="11.125" style="30" customWidth="1"/>
    <col min="1633" max="1641" width="11.5" style="30" customWidth="1"/>
    <col min="1642" max="1642" width="11.125" style="30" customWidth="1"/>
    <col min="1643" max="1651" width="11.5" style="30" customWidth="1"/>
    <col min="1652" max="1652" width="11.125" style="30" customWidth="1"/>
    <col min="1653" max="1661" width="11.5" style="30" customWidth="1"/>
    <col min="1662" max="1662" width="11.125" style="30" customWidth="1"/>
    <col min="1663" max="1671" width="11.5" style="30" customWidth="1"/>
    <col min="1672" max="1672" width="11.125" style="30" customWidth="1"/>
    <col min="1673" max="1680" width="11.5" style="30" customWidth="1"/>
    <col min="1681" max="1681" width="11.125" style="30" customWidth="1"/>
    <col min="1682" max="1682" width="10.875" style="30" customWidth="1"/>
    <col min="1683" max="1690" width="11.125" style="30" customWidth="1"/>
    <col min="1691" max="1691" width="11.5" style="30" customWidth="1"/>
    <col min="1692" max="1692" width="11.125" style="30" customWidth="1"/>
    <col min="1693" max="1701" width="11.5" style="30" customWidth="1"/>
    <col min="1702" max="1702" width="11.125" style="30" customWidth="1"/>
    <col min="1703" max="1711" width="11.5" style="30" customWidth="1"/>
    <col min="1712" max="1712" width="11.125" style="30" customWidth="1"/>
    <col min="1713" max="1721" width="11.5" style="30" customWidth="1"/>
    <col min="1722" max="1722" width="11.125" style="30" customWidth="1"/>
    <col min="1723" max="1731" width="11.5" style="30" customWidth="1"/>
    <col min="1732" max="1732" width="11.125" style="30" customWidth="1"/>
    <col min="1733" max="1741" width="11.5" style="30" customWidth="1"/>
    <col min="1742" max="1742" width="11.125" style="30" customWidth="1"/>
    <col min="1743" max="1751" width="11.5" style="30" customWidth="1"/>
    <col min="1752" max="1752" width="11.125" style="30" customWidth="1"/>
    <col min="1753" max="1761" width="11.5" style="30" customWidth="1"/>
    <col min="1762" max="1762" width="11.125" style="30" customWidth="1"/>
    <col min="1763" max="1771" width="11.5" style="30" customWidth="1"/>
    <col min="1772" max="1772" width="11.125" style="30" customWidth="1"/>
    <col min="1773" max="1780" width="11.5" style="30" customWidth="1"/>
    <col min="1781" max="1781" width="11.125" style="30" customWidth="1"/>
    <col min="1782" max="1782" width="10.875" style="30" customWidth="1"/>
    <col min="1783" max="1790" width="11.125" style="30" customWidth="1"/>
    <col min="1791" max="1791" width="11.5" style="30" customWidth="1"/>
    <col min="1792" max="1792" width="11.125" style="30" customWidth="1"/>
    <col min="1793" max="1801" width="11.5" style="30" customWidth="1"/>
    <col min="1802" max="1802" width="11.125" style="30" customWidth="1"/>
    <col min="1803" max="1811" width="11.5" style="30" customWidth="1"/>
    <col min="1812" max="1812" width="11.125" style="30" customWidth="1"/>
    <col min="1813" max="1821" width="11.5" style="30" customWidth="1"/>
    <col min="1822" max="1822" width="11.125" style="30" customWidth="1"/>
    <col min="1823" max="1831" width="11.5" style="30" customWidth="1"/>
    <col min="1832" max="1832" width="11.125" style="30" customWidth="1"/>
    <col min="1833" max="1841" width="11.5" style="30" customWidth="1"/>
    <col min="1842" max="1842" width="11.125" style="30" customWidth="1"/>
    <col min="1843" max="1851" width="11.5" style="30" customWidth="1"/>
    <col min="1852" max="1852" width="11.125" style="30" customWidth="1"/>
    <col min="1853" max="1861" width="11.5" style="30" customWidth="1"/>
    <col min="1862" max="1862" width="11.125" style="30" customWidth="1"/>
    <col min="1863" max="1871" width="11.5" style="30" customWidth="1"/>
    <col min="1872" max="1872" width="11.125" style="30" customWidth="1"/>
    <col min="1873" max="1880" width="11.5" style="30" customWidth="1"/>
    <col min="1881" max="1881" width="11.125" style="30" customWidth="1"/>
    <col min="1882" max="1882" width="10.875" style="30" customWidth="1"/>
    <col min="1883" max="1890" width="11.125" style="30" customWidth="1"/>
    <col min="1891" max="1891" width="11.5" style="30" customWidth="1"/>
    <col min="1892" max="1892" width="11.125" style="30" customWidth="1"/>
    <col min="1893" max="1901" width="11.5" style="30" customWidth="1"/>
    <col min="1902" max="1902" width="11.125" style="30" customWidth="1"/>
    <col min="1903" max="1911" width="11.5" style="30" customWidth="1"/>
    <col min="1912" max="1912" width="11.125" style="30" customWidth="1"/>
    <col min="1913" max="1921" width="11.5" style="30" customWidth="1"/>
    <col min="1922" max="1922" width="11.125" style="30" customWidth="1"/>
    <col min="1923" max="1931" width="11.5" style="30" customWidth="1"/>
    <col min="1932" max="1932" width="11.125" style="30" customWidth="1"/>
    <col min="1933" max="1941" width="11.5" style="30" customWidth="1"/>
    <col min="1942" max="1942" width="11.125" style="30" customWidth="1"/>
    <col min="1943" max="1951" width="11.5" style="30" customWidth="1"/>
    <col min="1952" max="1952" width="11.125" style="30" customWidth="1"/>
    <col min="1953" max="1961" width="11.5" style="30" customWidth="1"/>
    <col min="1962" max="1962" width="11.125" style="30" customWidth="1"/>
    <col min="1963" max="1970" width="11.5" style="30" customWidth="1"/>
    <col min="1971" max="1971" width="11.75" style="30" customWidth="1"/>
    <col min="1972" max="1972" width="11.5" style="30" customWidth="1"/>
    <col min="1973" max="1980" width="11.75" style="30" customWidth="1"/>
    <col min="1981" max="1981" width="11.5" style="30" customWidth="1"/>
    <col min="1982" max="1982" width="11.125" style="30" customWidth="1"/>
    <col min="1983" max="1990" width="11.5" style="30" customWidth="1"/>
    <col min="1991" max="1991" width="11.75" style="30" customWidth="1"/>
    <col min="1992" max="1992" width="11.5" style="30" customWidth="1"/>
    <col min="1993" max="2001" width="11.75" style="30" customWidth="1"/>
    <col min="2002" max="2002" width="11.5" style="30" customWidth="1"/>
    <col min="2003" max="2011" width="11.75" style="30" customWidth="1"/>
    <col min="2012" max="2012" width="11.5" style="30" customWidth="1"/>
    <col min="2013" max="2021" width="11.75" style="30" customWidth="1"/>
    <col min="2022" max="2022" width="11.5" style="30" customWidth="1"/>
    <col min="2023" max="2031" width="11.75" style="30" customWidth="1"/>
    <col min="2032" max="2032" width="11.5" style="30" customWidth="1"/>
    <col min="2033" max="2041" width="11.75" style="30" customWidth="1"/>
    <col min="2042" max="2042" width="11.5" style="30" customWidth="1"/>
    <col min="2043" max="2051" width="11.75" style="30" customWidth="1"/>
    <col min="2052" max="2052" width="11.5" style="30" customWidth="1"/>
    <col min="2053" max="2061" width="11.75" style="30" customWidth="1"/>
    <col min="2062" max="2062" width="11.5" style="30" customWidth="1"/>
    <col min="2063" max="2070" width="11.75" style="30" customWidth="1"/>
    <col min="2071" max="2071" width="11.5" style="30" customWidth="1"/>
    <col min="2072" max="2072" width="11.125" style="30" customWidth="1"/>
    <col min="2073" max="2080" width="11.5" style="30" customWidth="1"/>
    <col min="2081" max="2081" width="11.125" style="30" customWidth="1"/>
    <col min="2082" max="2082" width="10.875" style="30" customWidth="1"/>
    <col min="2083" max="2090" width="11.125" style="30" customWidth="1"/>
    <col min="2091" max="2091" width="11.5" style="30" customWidth="1"/>
    <col min="2092" max="2092" width="11.125" style="30" customWidth="1"/>
    <col min="2093" max="2101" width="11.5" style="30" customWidth="1"/>
    <col min="2102" max="2102" width="11.125" style="30" customWidth="1"/>
    <col min="2103" max="2111" width="11.5" style="30" customWidth="1"/>
    <col min="2112" max="2112" width="11.125" style="30" customWidth="1"/>
    <col min="2113" max="2121" width="11.5" style="30" customWidth="1"/>
    <col min="2122" max="2122" width="11.125" style="30" customWidth="1"/>
    <col min="2123" max="2131" width="11.5" style="30" customWidth="1"/>
    <col min="2132" max="2132" width="11.125" style="30" customWidth="1"/>
    <col min="2133" max="2141" width="11.5" style="30" customWidth="1"/>
    <col min="2142" max="2142" width="11.125" style="30" customWidth="1"/>
    <col min="2143" max="2151" width="11.5" style="30" customWidth="1"/>
    <col min="2152" max="2152" width="11.125" style="30" customWidth="1"/>
    <col min="2153" max="2161" width="11.5" style="30" customWidth="1"/>
    <col min="2162" max="2162" width="11.125" style="30" customWidth="1"/>
    <col min="2163" max="2170" width="11.5" style="30" customWidth="1"/>
    <col min="2171" max="2171" width="11.75" style="30" customWidth="1"/>
    <col min="2172" max="2172" width="11.5" style="30" customWidth="1"/>
    <col min="2173" max="2180" width="11.75" style="30" customWidth="1"/>
    <col min="2181" max="2181" width="11.5" style="30" customWidth="1"/>
    <col min="2182" max="2182" width="11.125" style="30" customWidth="1"/>
    <col min="2183" max="2190" width="11.5" style="30" customWidth="1"/>
    <col min="2191" max="2191" width="11.75" style="30" customWidth="1"/>
    <col min="2192" max="2192" width="11.5" style="30" customWidth="1"/>
    <col min="2193" max="2201" width="11.75" style="30" customWidth="1"/>
    <col min="2202" max="2202" width="11.5" style="30" customWidth="1"/>
    <col min="2203" max="2211" width="11.75" style="30" customWidth="1"/>
    <col min="2212" max="2212" width="11.5" style="30" customWidth="1"/>
    <col min="2213" max="2221" width="11.75" style="30" customWidth="1"/>
    <col min="2222" max="2222" width="11.5" style="30" customWidth="1"/>
    <col min="2223" max="2231" width="11.75" style="30" customWidth="1"/>
    <col min="2232" max="2232" width="11.5" style="30" customWidth="1"/>
    <col min="2233" max="2241" width="11.75" style="30" customWidth="1"/>
    <col min="2242" max="2242" width="11.5" style="30" customWidth="1"/>
    <col min="2243" max="2251" width="11.75" style="30" customWidth="1"/>
    <col min="2252" max="2252" width="11.5" style="30" customWidth="1"/>
    <col min="2253" max="2261" width="11.75" style="30" customWidth="1"/>
    <col min="2262" max="2262" width="11.5" style="30" customWidth="1"/>
    <col min="2263" max="2271" width="11.75" style="30" customWidth="1"/>
    <col min="2272" max="2272" width="11.5" style="30" customWidth="1"/>
    <col min="2273" max="2280" width="11.75" style="30" customWidth="1"/>
    <col min="2281" max="2281" width="11.5" style="30" customWidth="1"/>
    <col min="2282" max="2282" width="11.125" style="30" customWidth="1"/>
    <col min="2283" max="2290" width="11.5" style="30" customWidth="1"/>
    <col min="2291" max="2291" width="11.75" style="30" customWidth="1"/>
    <col min="2292" max="2292" width="11.5" style="30" customWidth="1"/>
    <col min="2293" max="2301" width="11.75" style="30" customWidth="1"/>
    <col min="2302" max="2302" width="11.5" style="30" customWidth="1"/>
    <col min="2303" max="2311" width="11.75" style="30" customWidth="1"/>
    <col min="2312" max="2312" width="11.5" style="30" customWidth="1"/>
    <col min="2313" max="2321" width="11.75" style="30" customWidth="1"/>
    <col min="2322" max="2322" width="11.5" style="30" customWidth="1"/>
    <col min="2323" max="2331" width="11.75" style="30" customWidth="1"/>
    <col min="2332" max="2332" width="11.5" style="30" customWidth="1"/>
    <col min="2333" max="2341" width="11.75" style="30" customWidth="1"/>
    <col min="2342" max="2342" width="11.5" style="30" customWidth="1"/>
    <col min="2343" max="2351" width="11.75" style="30" customWidth="1"/>
    <col min="2352" max="2352" width="11.5" style="30" customWidth="1"/>
    <col min="2353" max="2361" width="11.75" style="30" customWidth="1"/>
    <col min="2362" max="2362" width="11.5" style="30" customWidth="1"/>
    <col min="2363" max="2371" width="11.75" style="30" customWidth="1"/>
    <col min="2372" max="2372" width="11.5" style="30" customWidth="1"/>
    <col min="2373" max="2380" width="11.75" style="30" customWidth="1"/>
    <col min="2381" max="2381" width="11.5" style="30" customWidth="1"/>
    <col min="2382" max="2382" width="11.125" style="30" customWidth="1"/>
    <col min="2383" max="2390" width="11.5" style="30" customWidth="1"/>
    <col min="2391" max="2391" width="11.75" style="30" customWidth="1"/>
    <col min="2392" max="2392" width="11.5" style="30" customWidth="1"/>
    <col min="2393" max="2401" width="11.75" style="30" customWidth="1"/>
    <col min="2402" max="2402" width="11.5" style="30" customWidth="1"/>
    <col min="2403" max="2411" width="11.75" style="30" customWidth="1"/>
    <col min="2412" max="2412" width="11.5" style="30" customWidth="1"/>
    <col min="2413" max="2421" width="11.75" style="30" customWidth="1"/>
    <col min="2422" max="2422" width="11.5" style="30" customWidth="1"/>
    <col min="2423" max="2431" width="11.75" style="30" customWidth="1"/>
    <col min="2432" max="2432" width="11.5" style="30" customWidth="1"/>
    <col min="2433" max="2441" width="11.75" style="30" customWidth="1"/>
    <col min="2442" max="2442" width="11.5" style="30" customWidth="1"/>
    <col min="2443" max="2451" width="11.75" style="30" customWidth="1"/>
    <col min="2452" max="2452" width="11.5" style="30" customWidth="1"/>
    <col min="2453" max="2461" width="11.75" style="30" customWidth="1"/>
    <col min="2462" max="2462" width="11.5" style="30" customWidth="1"/>
    <col min="2463" max="2471" width="11.75" style="30" customWidth="1"/>
    <col min="2472" max="2472" width="11.5" style="30" customWidth="1"/>
    <col min="2473" max="2480" width="11.75" style="30" customWidth="1"/>
    <col min="2481" max="2481" width="11.5" style="30" customWidth="1"/>
    <col min="2482" max="2482" width="11.125" style="30" customWidth="1"/>
    <col min="2483" max="2490" width="11.5" style="30" customWidth="1"/>
    <col min="2491" max="2491" width="11.75" style="30" customWidth="1"/>
    <col min="2492" max="2492" width="11.5" style="30" customWidth="1"/>
    <col min="2493" max="2501" width="11.75" style="30" customWidth="1"/>
    <col min="2502" max="2502" width="11.5" style="30" customWidth="1"/>
    <col min="2503" max="2511" width="11.75" style="30" customWidth="1"/>
    <col min="2512" max="2512" width="11.5" style="30" customWidth="1"/>
    <col min="2513" max="2521" width="11.75" style="30" customWidth="1"/>
    <col min="2522" max="2522" width="11.5" style="30" customWidth="1"/>
    <col min="2523" max="2531" width="11.75" style="30" customWidth="1"/>
    <col min="2532" max="2532" width="11.5" style="30" customWidth="1"/>
    <col min="2533" max="2541" width="11.75" style="30" customWidth="1"/>
    <col min="2542" max="2542" width="11.5" style="30" customWidth="1"/>
    <col min="2543" max="2551" width="11.75" style="30" customWidth="1"/>
    <col min="2552" max="2552" width="11.5" style="30" customWidth="1"/>
    <col min="2553" max="2561" width="11.75" style="30" customWidth="1"/>
    <col min="2562" max="2562" width="11.5" style="30" customWidth="1"/>
    <col min="2563" max="2571" width="11.75" style="30" customWidth="1"/>
    <col min="2572" max="2572" width="11.5" style="30" customWidth="1"/>
    <col min="2573" max="2580" width="11.75" style="30" customWidth="1"/>
    <col min="2581" max="2581" width="11.5" style="30" customWidth="1"/>
    <col min="2582" max="2582" width="11.125" style="30" customWidth="1"/>
    <col min="2583" max="2590" width="11.5" style="30" customWidth="1"/>
    <col min="2591" max="2591" width="11.75" style="30" customWidth="1"/>
    <col min="2592" max="2592" width="11.5" style="30" customWidth="1"/>
    <col min="2593" max="2601" width="11.75" style="30" customWidth="1"/>
    <col min="2602" max="2602" width="11.5" style="30" customWidth="1"/>
    <col min="2603" max="2611" width="11.75" style="30" customWidth="1"/>
    <col min="2612" max="2612" width="11.5" style="30" customWidth="1"/>
    <col min="2613" max="2621" width="11.75" style="30" customWidth="1"/>
    <col min="2622" max="2622" width="11.5" style="30" customWidth="1"/>
    <col min="2623" max="2631" width="11.75" style="30" customWidth="1"/>
    <col min="2632" max="2632" width="11.5" style="30" customWidth="1"/>
    <col min="2633" max="2641" width="11.75" style="30" customWidth="1"/>
    <col min="2642" max="2642" width="11.5" style="30" customWidth="1"/>
    <col min="2643" max="2651" width="11.75" style="30" customWidth="1"/>
    <col min="2652" max="2652" width="11.5" style="30" customWidth="1"/>
    <col min="2653" max="2661" width="11.75" style="30" customWidth="1"/>
    <col min="2662" max="2662" width="11.5" style="30" customWidth="1"/>
    <col min="2663" max="2671" width="11.75" style="30" customWidth="1"/>
    <col min="2672" max="2672" width="11.5" style="30" customWidth="1"/>
    <col min="2673" max="2680" width="11.75" style="30" customWidth="1"/>
    <col min="2681" max="2681" width="11.5" style="30" customWidth="1"/>
    <col min="2682" max="2682" width="11.125" style="30" customWidth="1"/>
    <col min="2683" max="2690" width="11.5" style="30" customWidth="1"/>
    <col min="2691" max="2691" width="11.75" style="30" customWidth="1"/>
    <col min="2692" max="2692" width="11.5" style="30" customWidth="1"/>
    <col min="2693" max="2701" width="11.75" style="30" customWidth="1"/>
    <col min="2702" max="2702" width="11.5" style="30" customWidth="1"/>
    <col min="2703" max="2711" width="11.75" style="30" customWidth="1"/>
    <col min="2712" max="2712" width="11.5" style="30" customWidth="1"/>
    <col min="2713" max="2721" width="11.75" style="30" customWidth="1"/>
    <col min="2722" max="2722" width="11.5" style="30" customWidth="1"/>
    <col min="2723" max="2731" width="11.75" style="30" customWidth="1"/>
    <col min="2732" max="2732" width="11.5" style="30" customWidth="1"/>
    <col min="2733" max="2741" width="11.75" style="30" customWidth="1"/>
    <col min="2742" max="2742" width="11.5" style="30" customWidth="1"/>
    <col min="2743" max="2751" width="11.75" style="30" customWidth="1"/>
    <col min="2752" max="2752" width="11.5" style="30" customWidth="1"/>
    <col min="2753" max="2761" width="11.75" style="30" customWidth="1"/>
    <col min="2762" max="2762" width="11.5" style="30" customWidth="1"/>
    <col min="2763" max="2771" width="11.75" style="30" customWidth="1"/>
    <col min="2772" max="2772" width="11.5" style="30" customWidth="1"/>
    <col min="2773" max="2780" width="11.75" style="30" customWidth="1"/>
    <col min="2781" max="2781" width="11.5" style="30" customWidth="1"/>
    <col min="2782" max="2782" width="11.125" style="30" customWidth="1"/>
    <col min="2783" max="2790" width="11.5" style="30" customWidth="1"/>
    <col min="2791" max="2791" width="11.75" style="30" customWidth="1"/>
    <col min="2792" max="2792" width="11.5" style="30" customWidth="1"/>
    <col min="2793" max="2801" width="11.75" style="30" customWidth="1"/>
    <col min="2802" max="2802" width="11.5" style="30" customWidth="1"/>
    <col min="2803" max="2811" width="11.75" style="30" customWidth="1"/>
    <col min="2812" max="2812" width="11.5" style="30" customWidth="1"/>
    <col min="2813" max="2821" width="11.75" style="30" customWidth="1"/>
    <col min="2822" max="2822" width="11.5" style="30" customWidth="1"/>
    <col min="2823" max="2831" width="11.75" style="30" customWidth="1"/>
    <col min="2832" max="2832" width="11.5" style="30" customWidth="1"/>
    <col min="2833" max="2841" width="11.75" style="30" customWidth="1"/>
    <col min="2842" max="2842" width="11.5" style="30" customWidth="1"/>
    <col min="2843" max="2851" width="11.75" style="30" customWidth="1"/>
    <col min="2852" max="2852" width="11.5" style="30" customWidth="1"/>
    <col min="2853" max="2861" width="11.75" style="30" customWidth="1"/>
    <col min="2862" max="2862" width="11.5" style="30" customWidth="1"/>
    <col min="2863" max="2871" width="11.75" style="30" customWidth="1"/>
    <col min="2872" max="2872" width="11.5" style="30" customWidth="1"/>
    <col min="2873" max="2880" width="11.75" style="30" customWidth="1"/>
    <col min="2881" max="2881" width="11.5" style="30" customWidth="1"/>
    <col min="2882" max="2882" width="11.125" style="30" customWidth="1"/>
    <col min="2883" max="2890" width="11.5" style="30" customWidth="1"/>
    <col min="2891" max="2891" width="11.75" style="30" customWidth="1"/>
    <col min="2892" max="2892" width="11.5" style="30" customWidth="1"/>
    <col min="2893" max="2901" width="11.75" style="30" customWidth="1"/>
    <col min="2902" max="2902" width="11.5" style="30" customWidth="1"/>
    <col min="2903" max="2911" width="11.75" style="30" customWidth="1"/>
    <col min="2912" max="2912" width="11.5" style="30" customWidth="1"/>
    <col min="2913" max="2921" width="11.75" style="30" customWidth="1"/>
    <col min="2922" max="2922" width="11.5" style="30" customWidth="1"/>
    <col min="2923" max="2931" width="11.75" style="30" customWidth="1"/>
    <col min="2932" max="2932" width="11.5" style="30" customWidth="1"/>
    <col min="2933" max="2941" width="11.75" style="30" customWidth="1"/>
    <col min="2942" max="2942" width="11.5" style="30" customWidth="1"/>
    <col min="2943" max="2951" width="11.75" style="30" customWidth="1"/>
    <col min="2952" max="2952" width="11.5" style="30" customWidth="1"/>
    <col min="2953" max="2961" width="11.75" style="30" customWidth="1"/>
    <col min="2962" max="2962" width="11.5" style="30" customWidth="1"/>
    <col min="2963" max="2971" width="11.75" style="30" customWidth="1"/>
    <col min="2972" max="2972" width="11.5" style="30" customWidth="1"/>
    <col min="2973" max="2980" width="11.75" style="30" customWidth="1"/>
    <col min="2981" max="2981" width="11.5" style="30" customWidth="1"/>
    <col min="2982" max="2982" width="11.125" style="30" customWidth="1"/>
    <col min="2983" max="2990" width="11.5" style="30" customWidth="1"/>
    <col min="2991" max="2991" width="11.75" style="30" customWidth="1"/>
    <col min="2992" max="2992" width="11.5" style="30" customWidth="1"/>
    <col min="2993" max="3001" width="11.75" style="30" customWidth="1"/>
    <col min="3002" max="3002" width="11.5" style="30" customWidth="1"/>
    <col min="3003" max="3011" width="11.75" style="30" customWidth="1"/>
    <col min="3012" max="3012" width="11.5" style="30" customWidth="1"/>
    <col min="3013" max="3021" width="11.75" style="30" customWidth="1"/>
    <col min="3022" max="3022" width="11.5" style="30" customWidth="1"/>
    <col min="3023" max="3031" width="11.75" style="30" customWidth="1"/>
    <col min="3032" max="3032" width="11.5" style="30" customWidth="1"/>
    <col min="3033" max="3041" width="11.75" style="30" customWidth="1"/>
    <col min="3042" max="3042" width="11.5" style="30" customWidth="1"/>
    <col min="3043" max="3051" width="11.75" style="30" customWidth="1"/>
    <col min="3052" max="3052" width="11.5" style="30" customWidth="1"/>
    <col min="3053" max="3061" width="11.75" style="30" customWidth="1"/>
    <col min="3062" max="3062" width="11.5" style="30" customWidth="1"/>
    <col min="3063" max="3070" width="11.75" style="30" customWidth="1"/>
    <col min="3071" max="3071" width="11.5" style="30" customWidth="1"/>
    <col min="3072" max="3072" width="11.125" style="30" customWidth="1"/>
    <col min="3073" max="3080" width="11.5" style="30" customWidth="1"/>
    <col min="3081" max="3081" width="11.125" style="30" customWidth="1"/>
    <col min="3082" max="3082" width="10.875" style="30" customWidth="1"/>
    <col min="3083" max="3090" width="11.125" style="30" customWidth="1"/>
    <col min="3091" max="3091" width="11.5" style="30" customWidth="1"/>
    <col min="3092" max="3092" width="11.125" style="30" customWidth="1"/>
    <col min="3093" max="3101" width="11.5" style="30" customWidth="1"/>
    <col min="3102" max="3102" width="11.125" style="30" customWidth="1"/>
    <col min="3103" max="3111" width="11.5" style="30" customWidth="1"/>
    <col min="3112" max="3112" width="11.125" style="30" customWidth="1"/>
    <col min="3113" max="3121" width="11.5" style="30" customWidth="1"/>
    <col min="3122" max="3122" width="11.125" style="30" customWidth="1"/>
    <col min="3123" max="3131" width="11.5" style="30" customWidth="1"/>
    <col min="3132" max="3132" width="11.125" style="30" customWidth="1"/>
    <col min="3133" max="3141" width="11.5" style="30" customWidth="1"/>
    <col min="3142" max="3142" width="11.125" style="30" customWidth="1"/>
    <col min="3143" max="3151" width="11.5" style="30" customWidth="1"/>
    <col min="3152" max="3152" width="11.125" style="30" customWidth="1"/>
    <col min="3153" max="3161" width="11.5" style="30" customWidth="1"/>
    <col min="3162" max="3162" width="11.125" style="30" customWidth="1"/>
    <col min="3163" max="3170" width="11.5" style="30" customWidth="1"/>
    <col min="3171" max="3171" width="11.75" style="30" customWidth="1"/>
    <col min="3172" max="3172" width="11.5" style="30" customWidth="1"/>
    <col min="3173" max="3180" width="11.75" style="30" customWidth="1"/>
    <col min="3181" max="3181" width="11.5" style="30" customWidth="1"/>
    <col min="3182" max="3182" width="11.125" style="30" customWidth="1"/>
    <col min="3183" max="3190" width="11.5" style="30" customWidth="1"/>
    <col min="3191" max="3191" width="11.75" style="30" customWidth="1"/>
    <col min="3192" max="3192" width="11.5" style="30" customWidth="1"/>
    <col min="3193" max="3201" width="11.75" style="30" customWidth="1"/>
    <col min="3202" max="3202" width="11.5" style="30" customWidth="1"/>
    <col min="3203" max="3211" width="11.75" style="30" customWidth="1"/>
    <col min="3212" max="3212" width="11.5" style="30" customWidth="1"/>
    <col min="3213" max="3221" width="11.75" style="30" customWidth="1"/>
    <col min="3222" max="3222" width="11.5" style="30" customWidth="1"/>
    <col min="3223" max="3231" width="11.75" style="30" customWidth="1"/>
    <col min="3232" max="3232" width="11.5" style="30" customWidth="1"/>
    <col min="3233" max="3241" width="11.75" style="30" customWidth="1"/>
    <col min="3242" max="3242" width="11.5" style="30" customWidth="1"/>
    <col min="3243" max="3251" width="11.75" style="30" customWidth="1"/>
    <col min="3252" max="3252" width="11.5" style="30" customWidth="1"/>
    <col min="3253" max="3261" width="11.75" style="30" customWidth="1"/>
    <col min="3262" max="3262" width="11.5" style="30" customWidth="1"/>
    <col min="3263" max="3271" width="11.75" style="30" customWidth="1"/>
    <col min="3272" max="3272" width="11.5" style="30" customWidth="1"/>
    <col min="3273" max="3280" width="11.75" style="30" customWidth="1"/>
    <col min="3281" max="3281" width="11.5" style="30" customWidth="1"/>
    <col min="3282" max="3282" width="11.125" style="30" customWidth="1"/>
    <col min="3283" max="3290" width="11.5" style="30" customWidth="1"/>
    <col min="3291" max="3291" width="11.75" style="30" customWidth="1"/>
    <col min="3292" max="3292" width="11.5" style="30" customWidth="1"/>
    <col min="3293" max="3301" width="11.75" style="30" customWidth="1"/>
    <col min="3302" max="3302" width="11.5" style="30" customWidth="1"/>
    <col min="3303" max="3311" width="11.75" style="30" customWidth="1"/>
    <col min="3312" max="3312" width="11.5" style="30" customWidth="1"/>
    <col min="3313" max="3321" width="11.75" style="30" customWidth="1"/>
    <col min="3322" max="3322" width="11.5" style="30" customWidth="1"/>
    <col min="3323" max="3331" width="11.75" style="30" customWidth="1"/>
    <col min="3332" max="3332" width="11.5" style="30" customWidth="1"/>
    <col min="3333" max="3341" width="11.75" style="30" customWidth="1"/>
    <col min="3342" max="3342" width="11.5" style="30" customWidth="1"/>
    <col min="3343" max="3351" width="11.75" style="30" customWidth="1"/>
    <col min="3352" max="3352" width="11.5" style="30" customWidth="1"/>
    <col min="3353" max="3361" width="11.75" style="30" customWidth="1"/>
    <col min="3362" max="3362" width="11.5" style="30" customWidth="1"/>
    <col min="3363" max="3371" width="11.75" style="30" customWidth="1"/>
    <col min="3372" max="3372" width="11.5" style="30" customWidth="1"/>
    <col min="3373" max="3380" width="11.75" style="30" customWidth="1"/>
    <col min="3381" max="3381" width="11.5" style="30" customWidth="1"/>
    <col min="3382" max="3382" width="11.125" style="30" customWidth="1"/>
    <col min="3383" max="3390" width="11.5" style="30" customWidth="1"/>
    <col min="3391" max="3391" width="11.75" style="30" customWidth="1"/>
    <col min="3392" max="3392" width="11.5" style="30" customWidth="1"/>
    <col min="3393" max="3401" width="11.75" style="30" customWidth="1"/>
    <col min="3402" max="3402" width="11.5" style="30" customWidth="1"/>
    <col min="3403" max="3411" width="11.75" style="30" customWidth="1"/>
    <col min="3412" max="3412" width="11.5" style="30" customWidth="1"/>
    <col min="3413" max="3421" width="11.75" style="30" customWidth="1"/>
    <col min="3422" max="3422" width="11.5" style="30" customWidth="1"/>
    <col min="3423" max="3431" width="11.75" style="30" customWidth="1"/>
    <col min="3432" max="3432" width="11.5" style="30" customWidth="1"/>
    <col min="3433" max="3441" width="11.75" style="30" customWidth="1"/>
    <col min="3442" max="3442" width="11.5" style="30" customWidth="1"/>
    <col min="3443" max="3451" width="11.75" style="30" customWidth="1"/>
    <col min="3452" max="3452" width="11.5" style="30" customWidth="1"/>
    <col min="3453" max="3461" width="11.75" style="30" customWidth="1"/>
    <col min="3462" max="3462" width="11.5" style="30" customWidth="1"/>
    <col min="3463" max="3471" width="11.75" style="30" customWidth="1"/>
    <col min="3472" max="3472" width="11.5" style="30" customWidth="1"/>
    <col min="3473" max="3480" width="11.75" style="30" customWidth="1"/>
    <col min="3481" max="3481" width="11.5" style="30" customWidth="1"/>
    <col min="3482" max="3482" width="11.125" style="30" customWidth="1"/>
    <col min="3483" max="3490" width="11.5" style="30" customWidth="1"/>
    <col min="3491" max="3491" width="11.75" style="30" customWidth="1"/>
    <col min="3492" max="3492" width="11.5" style="30" customWidth="1"/>
    <col min="3493" max="3501" width="11.75" style="30" customWidth="1"/>
    <col min="3502" max="3502" width="11.5" style="30" customWidth="1"/>
    <col min="3503" max="3511" width="11.75" style="30" customWidth="1"/>
    <col min="3512" max="3512" width="11.5" style="30" customWidth="1"/>
    <col min="3513" max="3521" width="11.75" style="30" customWidth="1"/>
    <col min="3522" max="3522" width="11.5" style="30" customWidth="1"/>
    <col min="3523" max="3531" width="11.75" style="30" customWidth="1"/>
    <col min="3532" max="3532" width="11.5" style="30" customWidth="1"/>
    <col min="3533" max="3541" width="11.75" style="30" customWidth="1"/>
    <col min="3542" max="3542" width="11.5" style="30" customWidth="1"/>
    <col min="3543" max="3551" width="11.75" style="30" customWidth="1"/>
    <col min="3552" max="3552" width="11.5" style="30" customWidth="1"/>
    <col min="3553" max="3561" width="11.75" style="30" customWidth="1"/>
    <col min="3562" max="3562" width="11.5" style="30" customWidth="1"/>
    <col min="3563" max="3571" width="11.75" style="30" customWidth="1"/>
    <col min="3572" max="3572" width="11.5" style="30" customWidth="1"/>
    <col min="3573" max="3580" width="11.75" style="30" customWidth="1"/>
    <col min="3581" max="3581" width="11.5" style="30" customWidth="1"/>
    <col min="3582" max="3582" width="11.125" style="30" customWidth="1"/>
    <col min="3583" max="3590" width="11.5" style="30" customWidth="1"/>
    <col min="3591" max="3591" width="11.75" style="30" customWidth="1"/>
    <col min="3592" max="3592" width="11.5" style="30" customWidth="1"/>
    <col min="3593" max="3601" width="11.75" style="30" customWidth="1"/>
    <col min="3602" max="3602" width="11.5" style="30" customWidth="1"/>
    <col min="3603" max="3611" width="11.75" style="30" customWidth="1"/>
    <col min="3612" max="3612" width="11.5" style="30" customWidth="1"/>
    <col min="3613" max="3621" width="11.75" style="30" customWidth="1"/>
    <col min="3622" max="3622" width="11.5" style="30" customWidth="1"/>
    <col min="3623" max="3631" width="11.75" style="30" customWidth="1"/>
    <col min="3632" max="3632" width="11.5" style="30" customWidth="1"/>
    <col min="3633" max="3641" width="11.75" style="30" customWidth="1"/>
    <col min="3642" max="3642" width="11.5" style="30" customWidth="1"/>
    <col min="3643" max="3651" width="11.75" style="30" customWidth="1"/>
    <col min="3652" max="3652" width="11.5" style="30" customWidth="1"/>
    <col min="3653" max="3661" width="11.75" style="30" customWidth="1"/>
    <col min="3662" max="3662" width="11.5" style="30" customWidth="1"/>
    <col min="3663" max="3671" width="11.75" style="30" customWidth="1"/>
    <col min="3672" max="3672" width="11.5" style="30" customWidth="1"/>
    <col min="3673" max="3680" width="11.75" style="30" customWidth="1"/>
    <col min="3681" max="3681" width="11.5" style="30" customWidth="1"/>
    <col min="3682" max="3682" width="11.125" style="30" customWidth="1"/>
    <col min="3683" max="3690" width="11.5" style="30" customWidth="1"/>
    <col min="3691" max="3691" width="11.75" style="30" customWidth="1"/>
    <col min="3692" max="3692" width="11.5" style="30" customWidth="1"/>
    <col min="3693" max="3701" width="11.75" style="30" customWidth="1"/>
    <col min="3702" max="3702" width="11.5" style="30" customWidth="1"/>
    <col min="3703" max="3711" width="11.75" style="30" customWidth="1"/>
    <col min="3712" max="3712" width="11.5" style="30" customWidth="1"/>
    <col min="3713" max="3721" width="11.75" style="30" customWidth="1"/>
    <col min="3722" max="3722" width="11.5" style="30" customWidth="1"/>
    <col min="3723" max="3731" width="11.75" style="30" customWidth="1"/>
    <col min="3732" max="3732" width="11.5" style="30" customWidth="1"/>
    <col min="3733" max="3741" width="11.75" style="30" customWidth="1"/>
    <col min="3742" max="3742" width="11.5" style="30" customWidth="1"/>
    <col min="3743" max="3751" width="11.75" style="30" customWidth="1"/>
    <col min="3752" max="3752" width="11.5" style="30" customWidth="1"/>
    <col min="3753" max="3761" width="11.75" style="30" customWidth="1"/>
    <col min="3762" max="3762" width="11.5" style="30" customWidth="1"/>
    <col min="3763" max="3771" width="11.75" style="30" customWidth="1"/>
    <col min="3772" max="3772" width="11.5" style="30" customWidth="1"/>
    <col min="3773" max="3780" width="11.75" style="30" customWidth="1"/>
    <col min="3781" max="3781" width="11.5" style="30" customWidth="1"/>
    <col min="3782" max="3782" width="11.125" style="30" customWidth="1"/>
    <col min="3783" max="3790" width="11.5" style="30" customWidth="1"/>
    <col min="3791" max="3791" width="11.75" style="30" customWidth="1"/>
    <col min="3792" max="3792" width="11.5" style="30" customWidth="1"/>
    <col min="3793" max="3801" width="11.75" style="30" customWidth="1"/>
    <col min="3802" max="3802" width="11.5" style="30" customWidth="1"/>
    <col min="3803" max="3811" width="11.75" style="30" customWidth="1"/>
    <col min="3812" max="3812" width="11.5" style="30" customWidth="1"/>
    <col min="3813" max="3821" width="11.75" style="30" customWidth="1"/>
    <col min="3822" max="3822" width="11.5" style="30" customWidth="1"/>
    <col min="3823" max="3831" width="11.75" style="30" customWidth="1"/>
    <col min="3832" max="3832" width="11.5" style="30" customWidth="1"/>
    <col min="3833" max="3841" width="11.75" style="30" customWidth="1"/>
    <col min="3842" max="3842" width="11.5" style="30" customWidth="1"/>
    <col min="3843" max="3851" width="11.75" style="30" customWidth="1"/>
    <col min="3852" max="3852" width="11.5" style="30" customWidth="1"/>
    <col min="3853" max="3861" width="11.75" style="30" customWidth="1"/>
    <col min="3862" max="3862" width="11.5" style="30" customWidth="1"/>
    <col min="3863" max="3871" width="11.75" style="30" customWidth="1"/>
    <col min="3872" max="3872" width="11.5" style="30" customWidth="1"/>
    <col min="3873" max="3880" width="11.75" style="30" customWidth="1"/>
    <col min="3881" max="3881" width="11.5" style="30" customWidth="1"/>
    <col min="3882" max="3882" width="11.125" style="30" customWidth="1"/>
    <col min="3883" max="3890" width="11.5" style="30" customWidth="1"/>
    <col min="3891" max="3891" width="11.75" style="30" customWidth="1"/>
    <col min="3892" max="3892" width="11.5" style="30" customWidth="1"/>
    <col min="3893" max="3901" width="11.75" style="30" customWidth="1"/>
    <col min="3902" max="3902" width="11.5" style="30" customWidth="1"/>
    <col min="3903" max="3911" width="11.75" style="30" customWidth="1"/>
    <col min="3912" max="3912" width="11.5" style="30" customWidth="1"/>
    <col min="3913" max="3921" width="11.75" style="30" customWidth="1"/>
    <col min="3922" max="3922" width="11.5" style="30" customWidth="1"/>
    <col min="3923" max="3931" width="11.75" style="30" customWidth="1"/>
    <col min="3932" max="3932" width="11.5" style="30" customWidth="1"/>
    <col min="3933" max="3941" width="11.75" style="30" customWidth="1"/>
    <col min="3942" max="3942" width="11.5" style="30" customWidth="1"/>
    <col min="3943" max="3951" width="11.75" style="30" customWidth="1"/>
    <col min="3952" max="3952" width="11.5" style="30" customWidth="1"/>
    <col min="3953" max="3961" width="11.75" style="30" customWidth="1"/>
    <col min="3962" max="3962" width="11.5" style="30" customWidth="1"/>
    <col min="3963" max="3971" width="11.75" style="30" customWidth="1"/>
    <col min="3972" max="3972" width="11.5" style="30" customWidth="1"/>
    <col min="3973" max="3980" width="11.75" style="30" customWidth="1"/>
    <col min="3981" max="3981" width="11.5" style="30" customWidth="1"/>
    <col min="3982" max="3982" width="11.125" style="30" customWidth="1"/>
    <col min="3983" max="3990" width="11.5" style="30" customWidth="1"/>
    <col min="3991" max="3991" width="11.75" style="30" customWidth="1"/>
    <col min="3992" max="3992" width="11.5" style="30" customWidth="1"/>
    <col min="3993" max="4001" width="11.75" style="30" customWidth="1"/>
    <col min="4002" max="4002" width="11.5" style="30" customWidth="1"/>
    <col min="4003" max="4011" width="11.75" style="30" customWidth="1"/>
    <col min="4012" max="4012" width="11.5" style="30" customWidth="1"/>
    <col min="4013" max="4021" width="11.75" style="30" customWidth="1"/>
    <col min="4022" max="4022" width="11.5" style="30" customWidth="1"/>
    <col min="4023" max="4031" width="11.75" style="30" customWidth="1"/>
    <col min="4032" max="4032" width="11.5" style="30" customWidth="1"/>
    <col min="4033" max="4041" width="11.75" style="30" customWidth="1"/>
    <col min="4042" max="4042" width="11.5" style="30" customWidth="1"/>
    <col min="4043" max="4051" width="11.75" style="30" customWidth="1"/>
    <col min="4052" max="4052" width="11.5" style="30" customWidth="1"/>
    <col min="4053" max="4061" width="11.75" style="30" customWidth="1"/>
    <col min="4062" max="4062" width="11.5" style="30" customWidth="1"/>
    <col min="4063" max="4070" width="11.75" style="30" customWidth="1"/>
    <col min="4071" max="4071" width="11.5" style="30" customWidth="1"/>
    <col min="4072" max="4072" width="11.125" style="30" customWidth="1"/>
    <col min="4073" max="4080" width="11.5" style="30" customWidth="1"/>
    <col min="4081" max="4081" width="11.125" style="30" customWidth="1"/>
    <col min="4082" max="4082" width="10.875" style="30" customWidth="1"/>
    <col min="4083" max="4090" width="11.125" style="30" customWidth="1"/>
    <col min="4091" max="4091" width="11.5" style="30" customWidth="1"/>
    <col min="4092" max="4092" width="11.125" style="30" customWidth="1"/>
    <col min="4093" max="4101" width="11.5" style="30" customWidth="1"/>
    <col min="4102" max="4102" width="11.125" style="30" customWidth="1"/>
    <col min="4103" max="4111" width="11.5" style="30" customWidth="1"/>
    <col min="4112" max="4112" width="11.125" style="30" customWidth="1"/>
    <col min="4113" max="4121" width="11.5" style="30" customWidth="1"/>
    <col min="4122" max="4122" width="11.125" style="30" customWidth="1"/>
    <col min="4123" max="4131" width="11.5" style="30" customWidth="1"/>
    <col min="4132" max="4132" width="11.125" style="30" customWidth="1"/>
    <col min="4133" max="4141" width="11.5" style="30" customWidth="1"/>
    <col min="4142" max="4142" width="11.125" style="30" customWidth="1"/>
    <col min="4143" max="4151" width="11.5" style="30" customWidth="1"/>
    <col min="4152" max="4152" width="11.125" style="30" customWidth="1"/>
    <col min="4153" max="4161" width="11.5" style="30" customWidth="1"/>
    <col min="4162" max="4162" width="11.125" style="30" customWidth="1"/>
    <col min="4163" max="4170" width="11.5" style="30" customWidth="1"/>
    <col min="4171" max="4171" width="11.75" style="30" customWidth="1"/>
    <col min="4172" max="4172" width="11.5" style="30" customWidth="1"/>
    <col min="4173" max="4180" width="11.75" style="30" customWidth="1"/>
    <col min="4181" max="4181" width="11.5" style="30" customWidth="1"/>
    <col min="4182" max="4182" width="11.125" style="30" customWidth="1"/>
    <col min="4183" max="4190" width="11.5" style="30" customWidth="1"/>
    <col min="4191" max="4191" width="11.75" style="30" customWidth="1"/>
    <col min="4192" max="4192" width="11.5" style="30" customWidth="1"/>
    <col min="4193" max="4201" width="11.75" style="30" customWidth="1"/>
    <col min="4202" max="4202" width="11.5" style="30" customWidth="1"/>
    <col min="4203" max="4211" width="11.75" style="30" customWidth="1"/>
    <col min="4212" max="4212" width="11.5" style="30" customWidth="1"/>
    <col min="4213" max="4221" width="11.75" style="30" customWidth="1"/>
    <col min="4222" max="4222" width="11.5" style="30" customWidth="1"/>
    <col min="4223" max="4231" width="11.75" style="30" customWidth="1"/>
    <col min="4232" max="4232" width="11.5" style="30" customWidth="1"/>
    <col min="4233" max="4241" width="11.75" style="30" customWidth="1"/>
    <col min="4242" max="4242" width="11.5" style="30" customWidth="1"/>
    <col min="4243" max="4251" width="11.75" style="30" customWidth="1"/>
    <col min="4252" max="4252" width="11.5" style="30" customWidth="1"/>
    <col min="4253" max="4261" width="11.75" style="30" customWidth="1"/>
    <col min="4262" max="4262" width="11.5" style="30" customWidth="1"/>
    <col min="4263" max="4271" width="11.75" style="30" customWidth="1"/>
    <col min="4272" max="4272" width="11.5" style="30" customWidth="1"/>
    <col min="4273" max="4280" width="11.75" style="30" customWidth="1"/>
    <col min="4281" max="4281" width="11.5" style="30" customWidth="1"/>
    <col min="4282" max="4282" width="11.125" style="30" customWidth="1"/>
    <col min="4283" max="4290" width="11.5" style="30" customWidth="1"/>
    <col min="4291" max="4291" width="11.75" style="30" customWidth="1"/>
    <col min="4292" max="4292" width="11.5" style="30" customWidth="1"/>
    <col min="4293" max="4301" width="11.75" style="30" customWidth="1"/>
    <col min="4302" max="4302" width="11.5" style="30" customWidth="1"/>
    <col min="4303" max="4311" width="11.75" style="30" customWidth="1"/>
    <col min="4312" max="4312" width="11.5" style="30" customWidth="1"/>
    <col min="4313" max="4321" width="11.75" style="30" customWidth="1"/>
    <col min="4322" max="4322" width="11.5" style="30" customWidth="1"/>
    <col min="4323" max="4331" width="11.75" style="30" customWidth="1"/>
    <col min="4332" max="4332" width="11.5" style="30" customWidth="1"/>
    <col min="4333" max="4341" width="11.75" style="30" customWidth="1"/>
    <col min="4342" max="4342" width="11.5" style="30" customWidth="1"/>
    <col min="4343" max="4351" width="11.75" style="30" customWidth="1"/>
    <col min="4352" max="4352" width="11.5" style="30" customWidth="1"/>
    <col min="4353" max="4361" width="11.75" style="30" customWidth="1"/>
    <col min="4362" max="4362" width="11.5" style="30" customWidth="1"/>
    <col min="4363" max="4371" width="11.75" style="30" customWidth="1"/>
    <col min="4372" max="4372" width="11.5" style="30" customWidth="1"/>
    <col min="4373" max="4380" width="11.75" style="30" customWidth="1"/>
    <col min="4381" max="4381" width="11.5" style="30" customWidth="1"/>
    <col min="4382" max="4382" width="11.125" style="30" customWidth="1"/>
    <col min="4383" max="4390" width="11.5" style="30" customWidth="1"/>
    <col min="4391" max="4391" width="11.75" style="30" customWidth="1"/>
    <col min="4392" max="4392" width="11.5" style="30" customWidth="1"/>
    <col min="4393" max="4401" width="11.75" style="30" customWidth="1"/>
    <col min="4402" max="4402" width="11.5" style="30" customWidth="1"/>
    <col min="4403" max="4411" width="11.75" style="30" customWidth="1"/>
    <col min="4412" max="4412" width="11.5" style="30" customWidth="1"/>
    <col min="4413" max="4421" width="11.75" style="30" customWidth="1"/>
    <col min="4422" max="4422" width="11.5" style="30" customWidth="1"/>
    <col min="4423" max="4431" width="11.75" style="30" customWidth="1"/>
    <col min="4432" max="4432" width="11.5" style="30" customWidth="1"/>
    <col min="4433" max="4441" width="11.75" style="30" customWidth="1"/>
    <col min="4442" max="4442" width="11.5" style="30" customWidth="1"/>
    <col min="4443" max="4451" width="11.75" style="30" customWidth="1"/>
    <col min="4452" max="4452" width="11.5" style="30" customWidth="1"/>
    <col min="4453" max="4461" width="11.75" style="30" customWidth="1"/>
    <col min="4462" max="4462" width="11.5" style="30" customWidth="1"/>
    <col min="4463" max="4471" width="11.75" style="30" customWidth="1"/>
    <col min="4472" max="4472" width="11.5" style="30" customWidth="1"/>
    <col min="4473" max="4480" width="11.75" style="30" customWidth="1"/>
    <col min="4481" max="4481" width="11.5" style="30" customWidth="1"/>
    <col min="4482" max="4482" width="11.125" style="30" customWidth="1"/>
    <col min="4483" max="4490" width="11.5" style="30" customWidth="1"/>
    <col min="4491" max="4491" width="11.75" style="30" customWidth="1"/>
    <col min="4492" max="4492" width="11.5" style="30" customWidth="1"/>
    <col min="4493" max="4501" width="11.75" style="30" customWidth="1"/>
    <col min="4502" max="4502" width="11.5" style="30" customWidth="1"/>
    <col min="4503" max="4511" width="11.75" style="30" customWidth="1"/>
    <col min="4512" max="4512" width="11.5" style="30" customWidth="1"/>
    <col min="4513" max="4521" width="11.75" style="30" customWidth="1"/>
    <col min="4522" max="4522" width="11.5" style="30" customWidth="1"/>
    <col min="4523" max="4531" width="11.75" style="30" customWidth="1"/>
    <col min="4532" max="4532" width="11.5" style="30" customWidth="1"/>
    <col min="4533" max="4541" width="11.75" style="30" customWidth="1"/>
    <col min="4542" max="4542" width="11.5" style="30" customWidth="1"/>
    <col min="4543" max="4551" width="11.75" style="30" customWidth="1"/>
    <col min="4552" max="4552" width="11.5" style="30" customWidth="1"/>
    <col min="4553" max="4561" width="11.75" style="30" customWidth="1"/>
    <col min="4562" max="4562" width="11.5" style="30" customWidth="1"/>
    <col min="4563" max="4571" width="11.75" style="30" customWidth="1"/>
    <col min="4572" max="4572" width="11.5" style="30" customWidth="1"/>
    <col min="4573" max="4580" width="11.75" style="30" customWidth="1"/>
    <col min="4581" max="4581" width="11.5" style="30" customWidth="1"/>
    <col min="4582" max="4582" width="11.125" style="30" customWidth="1"/>
    <col min="4583" max="4590" width="11.5" style="30" customWidth="1"/>
    <col min="4591" max="4591" width="11.75" style="30" customWidth="1"/>
    <col min="4592" max="4592" width="11.5" style="30" customWidth="1"/>
    <col min="4593" max="4601" width="11.75" style="30" customWidth="1"/>
    <col min="4602" max="4602" width="11.5" style="30" customWidth="1"/>
    <col min="4603" max="4611" width="11.75" style="30" customWidth="1"/>
    <col min="4612" max="4612" width="11.5" style="30" customWidth="1"/>
    <col min="4613" max="4621" width="11.75" style="30" customWidth="1"/>
    <col min="4622" max="4622" width="11.5" style="30" customWidth="1"/>
    <col min="4623" max="4631" width="11.75" style="30" customWidth="1"/>
    <col min="4632" max="4632" width="11.5" style="30" customWidth="1"/>
    <col min="4633" max="4641" width="11.75" style="30" customWidth="1"/>
    <col min="4642" max="4642" width="11.5" style="30" customWidth="1"/>
    <col min="4643" max="4651" width="11.75" style="30" customWidth="1"/>
    <col min="4652" max="4652" width="11.5" style="30" customWidth="1"/>
    <col min="4653" max="4661" width="11.75" style="30" customWidth="1"/>
    <col min="4662" max="4662" width="11.5" style="30" customWidth="1"/>
    <col min="4663" max="4671" width="11.75" style="30" customWidth="1"/>
    <col min="4672" max="4672" width="11.5" style="30" customWidth="1"/>
    <col min="4673" max="4680" width="11.75" style="30" customWidth="1"/>
    <col min="4681" max="4681" width="11.5" style="30" customWidth="1"/>
    <col min="4682" max="4682" width="11.125" style="30" customWidth="1"/>
    <col min="4683" max="4690" width="11.5" style="30" customWidth="1"/>
    <col min="4691" max="4691" width="11.75" style="30" customWidth="1"/>
    <col min="4692" max="4692" width="11.5" style="30" customWidth="1"/>
    <col min="4693" max="4701" width="11.75" style="30" customWidth="1"/>
    <col min="4702" max="4702" width="11.5" style="30" customWidth="1"/>
    <col min="4703" max="4711" width="11.75" style="30" customWidth="1"/>
    <col min="4712" max="4712" width="11.5" style="30" customWidth="1"/>
    <col min="4713" max="4721" width="11.75" style="30" customWidth="1"/>
    <col min="4722" max="4722" width="11.5" style="30" customWidth="1"/>
    <col min="4723" max="4731" width="11.75" style="30" customWidth="1"/>
    <col min="4732" max="4732" width="11.5" style="30" customWidth="1"/>
    <col min="4733" max="4741" width="11.75" style="30" customWidth="1"/>
    <col min="4742" max="4742" width="11.5" style="30" customWidth="1"/>
    <col min="4743" max="4751" width="11.75" style="30" customWidth="1"/>
    <col min="4752" max="4752" width="11.5" style="30" customWidth="1"/>
    <col min="4753" max="4761" width="11.75" style="30" customWidth="1"/>
    <col min="4762" max="4762" width="11.5" style="30" customWidth="1"/>
    <col min="4763" max="4771" width="11.75" style="30" customWidth="1"/>
    <col min="4772" max="4772" width="11.5" style="30" customWidth="1"/>
    <col min="4773" max="4780" width="11.75" style="30" customWidth="1"/>
    <col min="4781" max="4781" width="11.5" style="30" customWidth="1"/>
    <col min="4782" max="4782" width="11.125" style="30" customWidth="1"/>
    <col min="4783" max="4790" width="11.5" style="30" customWidth="1"/>
    <col min="4791" max="4791" width="11.75" style="30" customWidth="1"/>
    <col min="4792" max="4792" width="11.5" style="30" customWidth="1"/>
    <col min="4793" max="4801" width="11.75" style="30" customWidth="1"/>
    <col min="4802" max="4802" width="11.5" style="30" customWidth="1"/>
    <col min="4803" max="4811" width="11.75" style="30" customWidth="1"/>
    <col min="4812" max="4812" width="11.5" style="30" customWidth="1"/>
    <col min="4813" max="4821" width="11.75" style="30" customWidth="1"/>
    <col min="4822" max="4822" width="11.5" style="30" customWidth="1"/>
    <col min="4823" max="4831" width="11.75" style="30" customWidth="1"/>
    <col min="4832" max="4832" width="11.5" style="30" customWidth="1"/>
    <col min="4833" max="4841" width="11.75" style="30" customWidth="1"/>
    <col min="4842" max="4842" width="11.5" style="30" customWidth="1"/>
    <col min="4843" max="4851" width="11.75" style="30" customWidth="1"/>
    <col min="4852" max="4852" width="11.5" style="30" customWidth="1"/>
    <col min="4853" max="4861" width="11.75" style="30" customWidth="1"/>
    <col min="4862" max="4862" width="11.5" style="30" customWidth="1"/>
    <col min="4863" max="4871" width="11.75" style="30" customWidth="1"/>
    <col min="4872" max="4872" width="11.5" style="30" customWidth="1"/>
    <col min="4873" max="4880" width="11.75" style="30" customWidth="1"/>
    <col min="4881" max="4881" width="11.5" style="30" customWidth="1"/>
    <col min="4882" max="4882" width="11.125" style="30" customWidth="1"/>
    <col min="4883" max="4890" width="11.5" style="30" customWidth="1"/>
    <col min="4891" max="4891" width="11.75" style="30" customWidth="1"/>
    <col min="4892" max="4892" width="11.5" style="30" customWidth="1"/>
    <col min="4893" max="4901" width="11.75" style="30" customWidth="1"/>
    <col min="4902" max="4902" width="11.5" style="30" customWidth="1"/>
    <col min="4903" max="4911" width="11.75" style="30" customWidth="1"/>
    <col min="4912" max="4912" width="11.5" style="30" customWidth="1"/>
    <col min="4913" max="4921" width="11.75" style="30" customWidth="1"/>
    <col min="4922" max="4922" width="11.5" style="30" customWidth="1"/>
    <col min="4923" max="4931" width="11.75" style="30" customWidth="1"/>
    <col min="4932" max="4932" width="11.5" style="30" customWidth="1"/>
    <col min="4933" max="4941" width="11.75" style="30" customWidth="1"/>
    <col min="4942" max="4942" width="11.5" style="30" customWidth="1"/>
    <col min="4943" max="4951" width="11.75" style="30" customWidth="1"/>
    <col min="4952" max="4952" width="11.5" style="30" customWidth="1"/>
    <col min="4953" max="4961" width="11.75" style="30" customWidth="1"/>
    <col min="4962" max="4962" width="11.5" style="30" customWidth="1"/>
    <col min="4963" max="4971" width="11.75" style="30" customWidth="1"/>
    <col min="4972" max="4972" width="11.5" style="30" customWidth="1"/>
    <col min="4973" max="4980" width="11.75" style="30" customWidth="1"/>
    <col min="4981" max="4981" width="11.5" style="30" customWidth="1"/>
    <col min="4982" max="4982" width="11.125" style="30" customWidth="1"/>
    <col min="4983" max="4990" width="11.5" style="30" customWidth="1"/>
    <col min="4991" max="4991" width="11.75" style="30" customWidth="1"/>
    <col min="4992" max="4992" width="11.5" style="30" customWidth="1"/>
    <col min="4993" max="5001" width="11.75" style="30" customWidth="1"/>
    <col min="5002" max="5002" width="11.5" style="30" customWidth="1"/>
    <col min="5003" max="5011" width="11.75" style="30" customWidth="1"/>
    <col min="5012" max="5012" width="11.5" style="30" customWidth="1"/>
    <col min="5013" max="5021" width="11.75" style="30" customWidth="1"/>
    <col min="5022" max="5022" width="11.5" style="30" customWidth="1"/>
    <col min="5023" max="5031" width="11.75" style="30" customWidth="1"/>
    <col min="5032" max="5032" width="11.5" style="30" customWidth="1"/>
    <col min="5033" max="5041" width="11.75" style="30" customWidth="1"/>
    <col min="5042" max="5042" width="11.5" style="30" customWidth="1"/>
    <col min="5043" max="5051" width="11.75" style="30" customWidth="1"/>
    <col min="5052" max="5052" width="11.5" style="30" customWidth="1"/>
    <col min="5053" max="5061" width="11.75" style="30" customWidth="1"/>
    <col min="5062" max="5062" width="11.5" style="30" customWidth="1"/>
    <col min="5063" max="5070" width="11.75" style="30" customWidth="1"/>
    <col min="5071" max="5071" width="11.5" style="30" customWidth="1"/>
    <col min="5072" max="5072" width="11.125" style="30" customWidth="1"/>
    <col min="5073" max="5080" width="11.5" style="30" customWidth="1"/>
    <col min="5081" max="5081" width="11.125" style="30" customWidth="1"/>
    <col min="5082" max="5082" width="10.875" style="30" customWidth="1"/>
    <col min="5083" max="5090" width="11.125" style="30" customWidth="1"/>
    <col min="5091" max="5091" width="11.5" style="30" customWidth="1"/>
    <col min="5092" max="5092" width="11.125" style="30" customWidth="1"/>
    <col min="5093" max="5101" width="11.5" style="30" customWidth="1"/>
    <col min="5102" max="5102" width="11.125" style="30" customWidth="1"/>
    <col min="5103" max="5111" width="11.5" style="30" customWidth="1"/>
    <col min="5112" max="5112" width="11.125" style="30" customWidth="1"/>
    <col min="5113" max="5121" width="11.5" style="30" customWidth="1"/>
    <col min="5122" max="5122" width="11.125" style="30" customWidth="1"/>
    <col min="5123" max="5131" width="11.5" style="30" customWidth="1"/>
    <col min="5132" max="5132" width="11.125" style="30" customWidth="1"/>
    <col min="5133" max="5141" width="11.5" style="30" customWidth="1"/>
    <col min="5142" max="5142" width="11.125" style="30" customWidth="1"/>
    <col min="5143" max="5151" width="11.5" style="30" customWidth="1"/>
    <col min="5152" max="5152" width="11.125" style="30" customWidth="1"/>
    <col min="5153" max="5161" width="11.5" style="30" customWidth="1"/>
    <col min="5162" max="5162" width="11.125" style="30" customWidth="1"/>
    <col min="5163" max="5170" width="11.5" style="30" customWidth="1"/>
    <col min="5171" max="5171" width="11.75" style="30" customWidth="1"/>
    <col min="5172" max="5172" width="11.5" style="30" customWidth="1"/>
    <col min="5173" max="5180" width="11.75" style="30" customWidth="1"/>
    <col min="5181" max="5181" width="11.5" style="30" customWidth="1"/>
    <col min="5182" max="5182" width="11.125" style="30" customWidth="1"/>
    <col min="5183" max="5190" width="11.5" style="30" customWidth="1"/>
    <col min="5191" max="5191" width="11.75" style="30" customWidth="1"/>
    <col min="5192" max="5192" width="11.5" style="30" customWidth="1"/>
    <col min="5193" max="5201" width="11.75" style="30" customWidth="1"/>
    <col min="5202" max="5202" width="11.5" style="30" customWidth="1"/>
    <col min="5203" max="5211" width="11.75" style="30" customWidth="1"/>
    <col min="5212" max="5212" width="11.5" style="30" customWidth="1"/>
    <col min="5213" max="5221" width="11.75" style="30" customWidth="1"/>
    <col min="5222" max="5222" width="11.5" style="30" customWidth="1"/>
    <col min="5223" max="5231" width="11.75" style="30" customWidth="1"/>
    <col min="5232" max="5232" width="11.5" style="30" customWidth="1"/>
    <col min="5233" max="5241" width="11.75" style="30" customWidth="1"/>
    <col min="5242" max="5242" width="11.5" style="30" customWidth="1"/>
    <col min="5243" max="5251" width="11.75" style="30" customWidth="1"/>
    <col min="5252" max="5252" width="11.5" style="30" customWidth="1"/>
    <col min="5253" max="5261" width="11.75" style="30" customWidth="1"/>
    <col min="5262" max="5262" width="11.5" style="30" customWidth="1"/>
    <col min="5263" max="5271" width="11.75" style="30" customWidth="1"/>
    <col min="5272" max="5272" width="11.5" style="30" customWidth="1"/>
    <col min="5273" max="5280" width="11.75" style="30" customWidth="1"/>
    <col min="5281" max="5281" width="11.5" style="30" customWidth="1"/>
    <col min="5282" max="5282" width="11.125" style="30" customWidth="1"/>
    <col min="5283" max="5290" width="11.5" style="30" customWidth="1"/>
    <col min="5291" max="5291" width="11.75" style="30" customWidth="1"/>
    <col min="5292" max="5292" width="11.5" style="30" customWidth="1"/>
    <col min="5293" max="5301" width="11.75" style="30" customWidth="1"/>
    <col min="5302" max="5302" width="11.5" style="30" customWidth="1"/>
    <col min="5303" max="5311" width="11.75" style="30" customWidth="1"/>
    <col min="5312" max="5312" width="11.5" style="30" customWidth="1"/>
    <col min="5313" max="5321" width="11.75" style="30" customWidth="1"/>
    <col min="5322" max="5322" width="11.5" style="30" customWidth="1"/>
    <col min="5323" max="5331" width="11.75" style="30" customWidth="1"/>
    <col min="5332" max="5332" width="11.5" style="30" customWidth="1"/>
    <col min="5333" max="5341" width="11.75" style="30" customWidth="1"/>
    <col min="5342" max="5342" width="11.5" style="30" customWidth="1"/>
    <col min="5343" max="5351" width="11.75" style="30" customWidth="1"/>
    <col min="5352" max="5352" width="11.5" style="30" customWidth="1"/>
    <col min="5353" max="5361" width="11.75" style="30" customWidth="1"/>
    <col min="5362" max="5362" width="11.5" style="30" customWidth="1"/>
    <col min="5363" max="5371" width="11.75" style="30" customWidth="1"/>
    <col min="5372" max="5372" width="11.5" style="30" customWidth="1"/>
    <col min="5373" max="5380" width="11.75" style="30" customWidth="1"/>
    <col min="5381" max="5381" width="11.5" style="30" customWidth="1"/>
    <col min="5382" max="5382" width="11.125" style="30" customWidth="1"/>
    <col min="5383" max="5390" width="11.5" style="30" customWidth="1"/>
    <col min="5391" max="5391" width="11.75" style="30" customWidth="1"/>
    <col min="5392" max="5392" width="11.5" style="30" customWidth="1"/>
    <col min="5393" max="5401" width="11.75" style="30" customWidth="1"/>
    <col min="5402" max="5402" width="11.5" style="30" customWidth="1"/>
    <col min="5403" max="5411" width="11.75" style="30" customWidth="1"/>
    <col min="5412" max="5412" width="11.5" style="30" customWidth="1"/>
    <col min="5413" max="5421" width="11.75" style="30" customWidth="1"/>
    <col min="5422" max="5422" width="11.5" style="30" customWidth="1"/>
    <col min="5423" max="5431" width="11.75" style="30" customWidth="1"/>
    <col min="5432" max="5432" width="11.5" style="30" customWidth="1"/>
    <col min="5433" max="5441" width="11.75" style="30" customWidth="1"/>
    <col min="5442" max="5442" width="11.5" style="30" customWidth="1"/>
    <col min="5443" max="5451" width="11.75" style="30" customWidth="1"/>
    <col min="5452" max="5452" width="11.5" style="30" customWidth="1"/>
    <col min="5453" max="5461" width="11.75" style="30" customWidth="1"/>
    <col min="5462" max="5462" width="11.5" style="30" customWidth="1"/>
    <col min="5463" max="5471" width="11.75" style="30" customWidth="1"/>
    <col min="5472" max="5472" width="11.5" style="30" customWidth="1"/>
    <col min="5473" max="5480" width="11.75" style="30" customWidth="1"/>
    <col min="5481" max="5481" width="11.5" style="30" customWidth="1"/>
    <col min="5482" max="5482" width="11.125" style="30" customWidth="1"/>
    <col min="5483" max="5490" width="11.5" style="30" customWidth="1"/>
    <col min="5491" max="5491" width="11.75" style="30" customWidth="1"/>
    <col min="5492" max="5492" width="11.5" style="30" customWidth="1"/>
    <col min="5493" max="5501" width="11.75" style="30" customWidth="1"/>
    <col min="5502" max="5502" width="11.5" style="30" customWidth="1"/>
    <col min="5503" max="5511" width="11.75" style="30" customWidth="1"/>
    <col min="5512" max="5512" width="11.5" style="30" customWidth="1"/>
    <col min="5513" max="5521" width="11.75" style="30" customWidth="1"/>
    <col min="5522" max="5522" width="11.5" style="30" customWidth="1"/>
    <col min="5523" max="5531" width="11.75" style="30" customWidth="1"/>
    <col min="5532" max="5532" width="11.5" style="30" customWidth="1"/>
    <col min="5533" max="5541" width="11.75" style="30" customWidth="1"/>
    <col min="5542" max="5542" width="11.5" style="30" customWidth="1"/>
    <col min="5543" max="5551" width="11.75" style="30" customWidth="1"/>
    <col min="5552" max="5552" width="11.5" style="30" customWidth="1"/>
    <col min="5553" max="5561" width="11.75" style="30" customWidth="1"/>
    <col min="5562" max="5562" width="11.5" style="30" customWidth="1"/>
    <col min="5563" max="5571" width="11.75" style="30" customWidth="1"/>
    <col min="5572" max="5572" width="11.5" style="30" customWidth="1"/>
    <col min="5573" max="5580" width="11.75" style="30" customWidth="1"/>
    <col min="5581" max="5581" width="11.5" style="30" customWidth="1"/>
    <col min="5582" max="5582" width="11.125" style="30" customWidth="1"/>
    <col min="5583" max="5590" width="11.5" style="30" customWidth="1"/>
    <col min="5591" max="5591" width="11.75" style="30" customWidth="1"/>
    <col min="5592" max="5592" width="11.5" style="30" customWidth="1"/>
    <col min="5593" max="5601" width="11.75" style="30" customWidth="1"/>
    <col min="5602" max="5602" width="11.5" style="30" customWidth="1"/>
    <col min="5603" max="5611" width="11.75" style="30" customWidth="1"/>
    <col min="5612" max="5612" width="11.5" style="30" customWidth="1"/>
    <col min="5613" max="5621" width="11.75" style="30" customWidth="1"/>
    <col min="5622" max="5622" width="11.5" style="30" customWidth="1"/>
    <col min="5623" max="5631" width="11.75" style="30" customWidth="1"/>
    <col min="5632" max="5632" width="11.5" style="30" customWidth="1"/>
    <col min="5633" max="5641" width="11.75" style="30" customWidth="1"/>
    <col min="5642" max="5642" width="11.5" style="30" customWidth="1"/>
    <col min="5643" max="5651" width="11.75" style="30" customWidth="1"/>
    <col min="5652" max="5652" width="11.5" style="30" customWidth="1"/>
    <col min="5653" max="5661" width="11.75" style="30" customWidth="1"/>
    <col min="5662" max="5662" width="11.5" style="30" customWidth="1"/>
    <col min="5663" max="5671" width="11.75" style="30" customWidth="1"/>
    <col min="5672" max="5672" width="11.5" style="30" customWidth="1"/>
    <col min="5673" max="5680" width="11.75" style="30" customWidth="1"/>
    <col min="5681" max="5681" width="11.5" style="30" customWidth="1"/>
    <col min="5682" max="5682" width="11.125" style="30" customWidth="1"/>
    <col min="5683" max="5690" width="11.5" style="30" customWidth="1"/>
    <col min="5691" max="5691" width="11.75" style="30" customWidth="1"/>
    <col min="5692" max="5692" width="11.5" style="30" customWidth="1"/>
    <col min="5693" max="5701" width="11.75" style="30" customWidth="1"/>
    <col min="5702" max="5702" width="11.5" style="30" customWidth="1"/>
    <col min="5703" max="5711" width="11.75" style="30" customWidth="1"/>
    <col min="5712" max="5712" width="11.5" style="30" customWidth="1"/>
    <col min="5713" max="5721" width="11.75" style="30" customWidth="1"/>
    <col min="5722" max="5722" width="11.5" style="30" customWidth="1"/>
    <col min="5723" max="5731" width="11.75" style="30" customWidth="1"/>
    <col min="5732" max="5732" width="11.5" style="30" customWidth="1"/>
    <col min="5733" max="5741" width="11.75" style="30" customWidth="1"/>
    <col min="5742" max="5742" width="11.5" style="30" customWidth="1"/>
    <col min="5743" max="5751" width="11.75" style="30" customWidth="1"/>
    <col min="5752" max="5752" width="11.5" style="30" customWidth="1"/>
    <col min="5753" max="5761" width="11.75" style="30" customWidth="1"/>
    <col min="5762" max="5762" width="11.5" style="30" customWidth="1"/>
    <col min="5763" max="5771" width="11.75" style="30" customWidth="1"/>
    <col min="5772" max="5772" width="11.5" style="30" customWidth="1"/>
    <col min="5773" max="5780" width="11.75" style="30" customWidth="1"/>
    <col min="5781" max="5781" width="11.5" style="30" customWidth="1"/>
    <col min="5782" max="5782" width="11.125" style="30" customWidth="1"/>
    <col min="5783" max="5790" width="11.5" style="30" customWidth="1"/>
    <col min="5791" max="5791" width="11.75" style="30" customWidth="1"/>
    <col min="5792" max="5792" width="11.5" style="30" customWidth="1"/>
    <col min="5793" max="5801" width="11.75" style="30" customWidth="1"/>
    <col min="5802" max="5802" width="11.5" style="30" customWidth="1"/>
    <col min="5803" max="5811" width="11.75" style="30" customWidth="1"/>
    <col min="5812" max="5812" width="11.5" style="30" customWidth="1"/>
    <col min="5813" max="5821" width="11.75" style="30" customWidth="1"/>
    <col min="5822" max="5822" width="11.5" style="30" customWidth="1"/>
    <col min="5823" max="5831" width="11.75" style="30" customWidth="1"/>
    <col min="5832" max="5832" width="11.5" style="30" customWidth="1"/>
    <col min="5833" max="5841" width="11.75" style="30" customWidth="1"/>
    <col min="5842" max="5842" width="11.5" style="30" customWidth="1"/>
    <col min="5843" max="5851" width="11.75" style="30" customWidth="1"/>
    <col min="5852" max="5852" width="11.5" style="30" customWidth="1"/>
    <col min="5853" max="5861" width="11.75" style="30" customWidth="1"/>
    <col min="5862" max="5862" width="11.5" style="30" customWidth="1"/>
    <col min="5863" max="5871" width="11.75" style="30" customWidth="1"/>
    <col min="5872" max="5872" width="11.5" style="30" customWidth="1"/>
    <col min="5873" max="5880" width="11.75" style="30" customWidth="1"/>
    <col min="5881" max="5881" width="11.5" style="30" customWidth="1"/>
    <col min="5882" max="5882" width="11.125" style="30" customWidth="1"/>
    <col min="5883" max="5890" width="11.5" style="30" customWidth="1"/>
    <col min="5891" max="5891" width="11.75" style="30" customWidth="1"/>
    <col min="5892" max="5892" width="11.5" style="30" customWidth="1"/>
    <col min="5893" max="5901" width="11.75" style="30" customWidth="1"/>
    <col min="5902" max="5902" width="11.5" style="30" customWidth="1"/>
    <col min="5903" max="5911" width="11.75" style="30" customWidth="1"/>
    <col min="5912" max="5912" width="11.5" style="30" customWidth="1"/>
    <col min="5913" max="5921" width="11.75" style="30" customWidth="1"/>
    <col min="5922" max="5922" width="11.5" style="30" customWidth="1"/>
    <col min="5923" max="5931" width="11.75" style="30" customWidth="1"/>
    <col min="5932" max="5932" width="11.5" style="30" customWidth="1"/>
    <col min="5933" max="5941" width="11.75" style="30" customWidth="1"/>
    <col min="5942" max="5942" width="11.5" style="30" customWidth="1"/>
    <col min="5943" max="5951" width="11.75" style="30" customWidth="1"/>
    <col min="5952" max="5952" width="11.5" style="30" customWidth="1"/>
    <col min="5953" max="5961" width="11.75" style="30" customWidth="1"/>
    <col min="5962" max="5962" width="11.5" style="30" customWidth="1"/>
    <col min="5963" max="5971" width="11.75" style="30" customWidth="1"/>
    <col min="5972" max="5972" width="11.5" style="30" customWidth="1"/>
    <col min="5973" max="5980" width="11.75" style="30" customWidth="1"/>
    <col min="5981" max="5981" width="11.5" style="30" customWidth="1"/>
    <col min="5982" max="5982" width="11.125" style="30" customWidth="1"/>
    <col min="5983" max="5990" width="11.5" style="30" customWidth="1"/>
    <col min="5991" max="5991" width="11.75" style="30" customWidth="1"/>
    <col min="5992" max="5992" width="11.5" style="30" customWidth="1"/>
    <col min="5993" max="6001" width="11.75" style="30" customWidth="1"/>
    <col min="6002" max="6002" width="11.5" style="30" customWidth="1"/>
    <col min="6003" max="6011" width="11.75" style="30" customWidth="1"/>
    <col min="6012" max="6012" width="11.5" style="30" customWidth="1"/>
    <col min="6013" max="6021" width="11.75" style="30" customWidth="1"/>
    <col min="6022" max="6022" width="11.5" style="30" customWidth="1"/>
    <col min="6023" max="6031" width="11.75" style="30" customWidth="1"/>
    <col min="6032" max="6032" width="11.5" style="30" customWidth="1"/>
    <col min="6033" max="6041" width="11.75" style="30" customWidth="1"/>
    <col min="6042" max="6042" width="11.5" style="30" customWidth="1"/>
    <col min="6043" max="6051" width="11.75" style="30" customWidth="1"/>
    <col min="6052" max="6052" width="11.5" style="30" customWidth="1"/>
    <col min="6053" max="6061" width="11.75" style="30" customWidth="1"/>
    <col min="6062" max="6062" width="11.5" style="30" customWidth="1"/>
    <col min="6063" max="6070" width="11.75" style="30" customWidth="1"/>
    <col min="6071" max="6071" width="11.5" style="30" customWidth="1"/>
    <col min="6072" max="6072" width="11.125" style="30" customWidth="1"/>
    <col min="6073" max="6080" width="11.5" style="30" customWidth="1"/>
    <col min="6081" max="6081" width="11.125" style="30" customWidth="1"/>
    <col min="6082" max="6082" width="10.875" style="30" customWidth="1"/>
    <col min="6083" max="6090" width="11.125" style="30" customWidth="1"/>
    <col min="6091" max="6091" width="11.5" style="30" customWidth="1"/>
    <col min="6092" max="6092" width="11.125" style="30" customWidth="1"/>
    <col min="6093" max="6101" width="11.5" style="30" customWidth="1"/>
    <col min="6102" max="6102" width="11.125" style="30" customWidth="1"/>
    <col min="6103" max="6111" width="11.5" style="30" customWidth="1"/>
    <col min="6112" max="6112" width="11.125" style="30" customWidth="1"/>
    <col min="6113" max="6121" width="11.5" style="30" customWidth="1"/>
    <col min="6122" max="6122" width="11.125" style="30" customWidth="1"/>
    <col min="6123" max="6131" width="11.5" style="30" customWidth="1"/>
    <col min="6132" max="6132" width="11.125" style="30" customWidth="1"/>
    <col min="6133" max="6141" width="11.5" style="30" customWidth="1"/>
    <col min="6142" max="6142" width="11.125" style="30" customWidth="1"/>
    <col min="6143" max="6151" width="11.5" style="30" customWidth="1"/>
    <col min="6152" max="6152" width="11.125" style="30" customWidth="1"/>
    <col min="6153" max="6161" width="11.5" style="30" customWidth="1"/>
    <col min="6162" max="6162" width="11.125" style="30" customWidth="1"/>
    <col min="6163" max="6170" width="11.5" style="30" customWidth="1"/>
    <col min="6171" max="6171" width="11.75" style="30" customWidth="1"/>
    <col min="6172" max="6172" width="11.5" style="30" customWidth="1"/>
    <col min="6173" max="6180" width="11.75" style="30" customWidth="1"/>
    <col min="6181" max="6181" width="11.5" style="30" customWidth="1"/>
    <col min="6182" max="6182" width="11.125" style="30" customWidth="1"/>
    <col min="6183" max="6190" width="11.5" style="30" customWidth="1"/>
    <col min="6191" max="6191" width="11.75" style="30" customWidth="1"/>
    <col min="6192" max="6192" width="11.5" style="30" customWidth="1"/>
    <col min="6193" max="6201" width="11.75" style="30" customWidth="1"/>
    <col min="6202" max="6202" width="11.5" style="30" customWidth="1"/>
    <col min="6203" max="6211" width="11.75" style="30" customWidth="1"/>
    <col min="6212" max="6212" width="11.5" style="30" customWidth="1"/>
    <col min="6213" max="6221" width="11.75" style="30" customWidth="1"/>
    <col min="6222" max="6222" width="11.5" style="30" customWidth="1"/>
    <col min="6223" max="6231" width="11.75" style="30" customWidth="1"/>
    <col min="6232" max="6232" width="11.5" style="30" customWidth="1"/>
    <col min="6233" max="6241" width="11.75" style="30" customWidth="1"/>
    <col min="6242" max="6242" width="11.5" style="30" customWidth="1"/>
    <col min="6243" max="6251" width="11.75" style="30" customWidth="1"/>
    <col min="6252" max="6252" width="11.5" style="30" customWidth="1"/>
    <col min="6253" max="6261" width="11.75" style="30" customWidth="1"/>
    <col min="6262" max="6262" width="11.5" style="30" customWidth="1"/>
    <col min="6263" max="6271" width="11.75" style="30" customWidth="1"/>
    <col min="6272" max="6272" width="11.5" style="30" customWidth="1"/>
    <col min="6273" max="6280" width="11.75" style="30" customWidth="1"/>
    <col min="6281" max="6281" width="11.5" style="30" customWidth="1"/>
    <col min="6282" max="6282" width="11.125" style="30" customWidth="1"/>
    <col min="6283" max="6290" width="11.5" style="30" customWidth="1"/>
    <col min="6291" max="6291" width="11.75" style="30" customWidth="1"/>
    <col min="6292" max="6292" width="11.5" style="30" customWidth="1"/>
    <col min="6293" max="6301" width="11.75" style="30" customWidth="1"/>
    <col min="6302" max="6302" width="11.5" style="30" customWidth="1"/>
    <col min="6303" max="6311" width="11.75" style="30" customWidth="1"/>
    <col min="6312" max="6312" width="11.5" style="30" customWidth="1"/>
    <col min="6313" max="6321" width="11.75" style="30" customWidth="1"/>
    <col min="6322" max="6322" width="11.5" style="30" customWidth="1"/>
    <col min="6323" max="6331" width="11.75" style="30" customWidth="1"/>
    <col min="6332" max="6332" width="11.5" style="30" customWidth="1"/>
    <col min="6333" max="6341" width="11.75" style="30" customWidth="1"/>
    <col min="6342" max="6342" width="11.5" style="30" customWidth="1"/>
    <col min="6343" max="6351" width="11.75" style="30" customWidth="1"/>
    <col min="6352" max="6352" width="11.5" style="30" customWidth="1"/>
    <col min="6353" max="6361" width="11.75" style="30" customWidth="1"/>
    <col min="6362" max="6362" width="11.5" style="30" customWidth="1"/>
    <col min="6363" max="6371" width="11.75" style="30" customWidth="1"/>
    <col min="6372" max="6372" width="11.5" style="30" customWidth="1"/>
    <col min="6373" max="6380" width="11.75" style="30" customWidth="1"/>
    <col min="6381" max="6381" width="11.5" style="30" customWidth="1"/>
    <col min="6382" max="6382" width="11.125" style="30" customWidth="1"/>
    <col min="6383" max="6390" width="11.5" style="30" customWidth="1"/>
    <col min="6391" max="6391" width="11.75" style="30" customWidth="1"/>
    <col min="6392" max="6392" width="11.5" style="30" customWidth="1"/>
    <col min="6393" max="6401" width="11.75" style="30" customWidth="1"/>
    <col min="6402" max="6402" width="11.5" style="30" customWidth="1"/>
    <col min="6403" max="6411" width="11.75" style="30" customWidth="1"/>
    <col min="6412" max="6412" width="11.5" style="30" customWidth="1"/>
    <col min="6413" max="6421" width="11.75" style="30" customWidth="1"/>
    <col min="6422" max="6422" width="11.5" style="30" customWidth="1"/>
    <col min="6423" max="6431" width="11.75" style="30" customWidth="1"/>
    <col min="6432" max="6432" width="11.5" style="30" customWidth="1"/>
    <col min="6433" max="6441" width="11.75" style="30" customWidth="1"/>
    <col min="6442" max="6442" width="11.5" style="30" customWidth="1"/>
    <col min="6443" max="6451" width="11.75" style="30" customWidth="1"/>
    <col min="6452" max="6452" width="11.5" style="30" customWidth="1"/>
    <col min="6453" max="6461" width="11.75" style="30" customWidth="1"/>
    <col min="6462" max="6462" width="11.5" style="30" customWidth="1"/>
    <col min="6463" max="6471" width="11.75" style="30" customWidth="1"/>
    <col min="6472" max="6472" width="11.5" style="30" customWidth="1"/>
    <col min="6473" max="6480" width="11.75" style="30" customWidth="1"/>
    <col min="6481" max="6481" width="11.5" style="30" customWidth="1"/>
    <col min="6482" max="6482" width="11.125" style="30" customWidth="1"/>
    <col min="6483" max="6490" width="11.5" style="30" customWidth="1"/>
    <col min="6491" max="6491" width="11.75" style="30" customWidth="1"/>
    <col min="6492" max="6492" width="11.5" style="30" customWidth="1"/>
    <col min="6493" max="6501" width="11.75" style="30" customWidth="1"/>
    <col min="6502" max="6502" width="11.5" style="30" customWidth="1"/>
    <col min="6503" max="6511" width="11.75" style="30" customWidth="1"/>
    <col min="6512" max="6512" width="11.5" style="30" customWidth="1"/>
    <col min="6513" max="6521" width="11.75" style="30" customWidth="1"/>
    <col min="6522" max="6522" width="11.5" style="30" customWidth="1"/>
    <col min="6523" max="6531" width="11.75" style="30" customWidth="1"/>
    <col min="6532" max="6532" width="11.5" style="30" customWidth="1"/>
    <col min="6533" max="6541" width="11.75" style="30" customWidth="1"/>
    <col min="6542" max="6542" width="11.5" style="30" customWidth="1"/>
    <col min="6543" max="6551" width="11.75" style="30" customWidth="1"/>
    <col min="6552" max="6552" width="11.5" style="30" customWidth="1"/>
    <col min="6553" max="6561" width="11.75" style="30" customWidth="1"/>
    <col min="6562" max="6562" width="11.5" style="30" customWidth="1"/>
    <col min="6563" max="6571" width="11.75" style="30" customWidth="1"/>
    <col min="6572" max="6572" width="11.5" style="30" customWidth="1"/>
    <col min="6573" max="6580" width="11.75" style="30" customWidth="1"/>
    <col min="6581" max="6581" width="11.5" style="30" customWidth="1"/>
    <col min="6582" max="6582" width="11.125" style="30" customWidth="1"/>
    <col min="6583" max="6590" width="11.5" style="30" customWidth="1"/>
    <col min="6591" max="6591" width="11.75" style="30" customWidth="1"/>
    <col min="6592" max="6592" width="11.5" style="30" customWidth="1"/>
    <col min="6593" max="6601" width="11.75" style="30" customWidth="1"/>
    <col min="6602" max="6602" width="11.5" style="30" customWidth="1"/>
    <col min="6603" max="6611" width="11.75" style="30" customWidth="1"/>
    <col min="6612" max="6612" width="11.5" style="30" customWidth="1"/>
    <col min="6613" max="6621" width="11.75" style="30" customWidth="1"/>
    <col min="6622" max="6622" width="11.5" style="30" customWidth="1"/>
    <col min="6623" max="6631" width="11.75" style="30" customWidth="1"/>
    <col min="6632" max="6632" width="11.5" style="30" customWidth="1"/>
    <col min="6633" max="6641" width="11.75" style="30" customWidth="1"/>
    <col min="6642" max="6642" width="11.5" style="30" customWidth="1"/>
    <col min="6643" max="6651" width="11.75" style="30" customWidth="1"/>
    <col min="6652" max="6652" width="11.5" style="30" customWidth="1"/>
    <col min="6653" max="6661" width="11.75" style="30" customWidth="1"/>
    <col min="6662" max="6662" width="11.5" style="30" customWidth="1"/>
    <col min="6663" max="6671" width="11.75" style="30" customWidth="1"/>
    <col min="6672" max="6672" width="11.5" style="30" customWidth="1"/>
    <col min="6673" max="6680" width="11.75" style="30" customWidth="1"/>
    <col min="6681" max="6681" width="11.5" style="30" customWidth="1"/>
    <col min="6682" max="6682" width="11.125" style="30" customWidth="1"/>
    <col min="6683" max="6690" width="11.5" style="30" customWidth="1"/>
    <col min="6691" max="6691" width="11.75" style="30" customWidth="1"/>
    <col min="6692" max="6692" width="11.5" style="30" customWidth="1"/>
    <col min="6693" max="6701" width="11.75" style="30" customWidth="1"/>
    <col min="6702" max="6702" width="11.5" style="30" customWidth="1"/>
    <col min="6703" max="6711" width="11.75" style="30" customWidth="1"/>
    <col min="6712" max="6712" width="11.5" style="30" customWidth="1"/>
    <col min="6713" max="6721" width="11.75" style="30" customWidth="1"/>
    <col min="6722" max="6722" width="11.5" style="30" customWidth="1"/>
    <col min="6723" max="6731" width="11.75" style="30" customWidth="1"/>
    <col min="6732" max="6732" width="11.5" style="30" customWidth="1"/>
    <col min="6733" max="6741" width="11.75" style="30" customWidth="1"/>
    <col min="6742" max="6742" width="11.5" style="30" customWidth="1"/>
    <col min="6743" max="6751" width="11.75" style="30" customWidth="1"/>
    <col min="6752" max="6752" width="11.5" style="30" customWidth="1"/>
    <col min="6753" max="6761" width="11.75" style="30" customWidth="1"/>
    <col min="6762" max="6762" width="11.5" style="30" customWidth="1"/>
    <col min="6763" max="6771" width="11.75" style="30" customWidth="1"/>
    <col min="6772" max="6772" width="11.5" style="30" customWidth="1"/>
    <col min="6773" max="6780" width="11.75" style="30" customWidth="1"/>
    <col min="6781" max="6781" width="11.5" style="30" customWidth="1"/>
    <col min="6782" max="6782" width="11.125" style="30" customWidth="1"/>
    <col min="6783" max="6790" width="11.5" style="30" customWidth="1"/>
    <col min="6791" max="6791" width="11.75" style="30" customWidth="1"/>
    <col min="6792" max="6792" width="11.5" style="30" customWidth="1"/>
    <col min="6793" max="6801" width="11.75" style="30" customWidth="1"/>
    <col min="6802" max="6802" width="11.5" style="30" customWidth="1"/>
    <col min="6803" max="6811" width="11.75" style="30" customWidth="1"/>
    <col min="6812" max="6812" width="11.5" style="30" customWidth="1"/>
    <col min="6813" max="6821" width="11.75" style="30" customWidth="1"/>
    <col min="6822" max="6822" width="11.5" style="30" customWidth="1"/>
    <col min="6823" max="6831" width="11.75" style="30" customWidth="1"/>
    <col min="6832" max="6832" width="11.5" style="30" customWidth="1"/>
    <col min="6833" max="6841" width="11.75" style="30" customWidth="1"/>
    <col min="6842" max="6842" width="11.5" style="30" customWidth="1"/>
    <col min="6843" max="6851" width="11.75" style="30" customWidth="1"/>
    <col min="6852" max="6852" width="11.5" style="30" customWidth="1"/>
    <col min="6853" max="6861" width="11.75" style="30" customWidth="1"/>
    <col min="6862" max="6862" width="11.5" style="30" customWidth="1"/>
    <col min="6863" max="6871" width="11.75" style="30" customWidth="1"/>
    <col min="6872" max="6872" width="11.5" style="30" customWidth="1"/>
    <col min="6873" max="6880" width="11.75" style="30" customWidth="1"/>
    <col min="6881" max="6881" width="11.5" style="30" customWidth="1"/>
    <col min="6882" max="6882" width="11.125" style="30" customWidth="1"/>
    <col min="6883" max="6890" width="11.5" style="30" customWidth="1"/>
    <col min="6891" max="6891" width="11.75" style="30" customWidth="1"/>
    <col min="6892" max="6892" width="11.5" style="30" customWidth="1"/>
    <col min="6893" max="6901" width="11.75" style="30" customWidth="1"/>
    <col min="6902" max="6902" width="11.5" style="30" customWidth="1"/>
    <col min="6903" max="6911" width="11.75" style="30" customWidth="1"/>
    <col min="6912" max="6912" width="11.5" style="30" customWidth="1"/>
    <col min="6913" max="6921" width="11.75" style="30" customWidth="1"/>
    <col min="6922" max="6922" width="11.5" style="30" customWidth="1"/>
    <col min="6923" max="6931" width="11.75" style="30" customWidth="1"/>
    <col min="6932" max="6932" width="11.5" style="30" customWidth="1"/>
    <col min="6933" max="6941" width="11.75" style="30" customWidth="1"/>
    <col min="6942" max="6942" width="11.5" style="30" customWidth="1"/>
    <col min="6943" max="6951" width="11.75" style="30" customWidth="1"/>
    <col min="6952" max="6952" width="11.5" style="30" customWidth="1"/>
    <col min="6953" max="6961" width="11.75" style="30" customWidth="1"/>
    <col min="6962" max="6962" width="11.5" style="30" customWidth="1"/>
    <col min="6963" max="6971" width="11.75" style="30" customWidth="1"/>
    <col min="6972" max="6972" width="11.5" style="30" customWidth="1"/>
    <col min="6973" max="6980" width="11.75" style="30" customWidth="1"/>
    <col min="6981" max="6981" width="11.5" style="30" customWidth="1"/>
    <col min="6982" max="6982" width="11.125" style="30" customWidth="1"/>
    <col min="6983" max="6990" width="11.5" style="30" customWidth="1"/>
    <col min="6991" max="6991" width="11.75" style="30" customWidth="1"/>
    <col min="6992" max="6992" width="11.5" style="30" customWidth="1"/>
    <col min="6993" max="7001" width="11.75" style="30" customWidth="1"/>
    <col min="7002" max="7002" width="11.5" style="30" customWidth="1"/>
    <col min="7003" max="7011" width="11.75" style="30" customWidth="1"/>
    <col min="7012" max="7012" width="11.5" style="30" customWidth="1"/>
    <col min="7013" max="7021" width="11.75" style="30" customWidth="1"/>
    <col min="7022" max="7022" width="11.5" style="30" customWidth="1"/>
    <col min="7023" max="7031" width="11.75" style="30" customWidth="1"/>
    <col min="7032" max="7032" width="11.5" style="30" customWidth="1"/>
    <col min="7033" max="7041" width="11.75" style="30" customWidth="1"/>
    <col min="7042" max="7042" width="11.5" style="30" customWidth="1"/>
    <col min="7043" max="7051" width="11.75" style="30" customWidth="1"/>
    <col min="7052" max="7052" width="11.5" style="30" customWidth="1"/>
    <col min="7053" max="7061" width="11.75" style="30" customWidth="1"/>
    <col min="7062" max="7062" width="11.5" style="30" customWidth="1"/>
    <col min="7063" max="7070" width="11.75" style="30" customWidth="1"/>
    <col min="7071" max="7071" width="11.5" style="30" customWidth="1"/>
    <col min="7072" max="7072" width="11.125" style="30" customWidth="1"/>
    <col min="7073" max="7080" width="11.5" style="30" customWidth="1"/>
    <col min="7081" max="7081" width="11.125" style="30" customWidth="1"/>
    <col min="7082" max="7082" width="10.875" style="30" customWidth="1"/>
    <col min="7083" max="7090" width="11.125" style="30" customWidth="1"/>
    <col min="7091" max="7091" width="11.5" style="30" customWidth="1"/>
    <col min="7092" max="7092" width="11.125" style="30" customWidth="1"/>
    <col min="7093" max="7101" width="11.5" style="30" customWidth="1"/>
    <col min="7102" max="7102" width="11.125" style="30" customWidth="1"/>
    <col min="7103" max="7111" width="11.5" style="30" customWidth="1"/>
    <col min="7112" max="7112" width="11.125" style="30" customWidth="1"/>
    <col min="7113" max="7121" width="11.5" style="30" customWidth="1"/>
    <col min="7122" max="7122" width="11.125" style="30" customWidth="1"/>
    <col min="7123" max="7131" width="11.5" style="30" customWidth="1"/>
    <col min="7132" max="7132" width="11.125" style="30" customWidth="1"/>
    <col min="7133" max="7141" width="11.5" style="30" customWidth="1"/>
    <col min="7142" max="7142" width="11.125" style="30" customWidth="1"/>
    <col min="7143" max="7151" width="11.5" style="30" customWidth="1"/>
    <col min="7152" max="7152" width="11.125" style="30" customWidth="1"/>
    <col min="7153" max="7161" width="11.5" style="30" customWidth="1"/>
    <col min="7162" max="7162" width="11.125" style="30" customWidth="1"/>
    <col min="7163" max="7170" width="11.5" style="30" customWidth="1"/>
    <col min="7171" max="7171" width="11.75" style="30" customWidth="1"/>
    <col min="7172" max="7172" width="11.5" style="30" customWidth="1"/>
    <col min="7173" max="7180" width="11.75" style="30" customWidth="1"/>
    <col min="7181" max="7181" width="11.5" style="30" customWidth="1"/>
    <col min="7182" max="7182" width="11.125" style="30" customWidth="1"/>
    <col min="7183" max="7190" width="11.5" style="30" customWidth="1"/>
    <col min="7191" max="7191" width="11.75" style="30" customWidth="1"/>
    <col min="7192" max="7192" width="11.5" style="30" customWidth="1"/>
    <col min="7193" max="7201" width="11.75" style="30" customWidth="1"/>
    <col min="7202" max="7202" width="11.5" style="30" customWidth="1"/>
    <col min="7203" max="7211" width="11.75" style="30" customWidth="1"/>
    <col min="7212" max="7212" width="11.5" style="30" customWidth="1"/>
    <col min="7213" max="7221" width="11.75" style="30" customWidth="1"/>
    <col min="7222" max="7222" width="11.5" style="30" customWidth="1"/>
    <col min="7223" max="7231" width="11.75" style="30" customWidth="1"/>
    <col min="7232" max="7232" width="11.5" style="30" customWidth="1"/>
    <col min="7233" max="7241" width="11.75" style="30" customWidth="1"/>
    <col min="7242" max="7242" width="11.5" style="30" customWidth="1"/>
    <col min="7243" max="7251" width="11.75" style="30" customWidth="1"/>
    <col min="7252" max="7252" width="11.5" style="30" customWidth="1"/>
    <col min="7253" max="7261" width="11.75" style="30" customWidth="1"/>
    <col min="7262" max="7262" width="11.5" style="30" customWidth="1"/>
    <col min="7263" max="7271" width="11.75" style="30" customWidth="1"/>
    <col min="7272" max="7272" width="11.5" style="30" customWidth="1"/>
    <col min="7273" max="7280" width="11.75" style="30" customWidth="1"/>
    <col min="7281" max="7281" width="11.5" style="30" customWidth="1"/>
    <col min="7282" max="7282" width="11.125" style="30" customWidth="1"/>
    <col min="7283" max="7290" width="11.5" style="30" customWidth="1"/>
    <col min="7291" max="7291" width="11.75" style="30" customWidth="1"/>
    <col min="7292" max="7292" width="11.5" style="30" customWidth="1"/>
    <col min="7293" max="7301" width="11.75" style="30" customWidth="1"/>
    <col min="7302" max="7302" width="11.5" style="30" customWidth="1"/>
    <col min="7303" max="7311" width="11.75" style="30" customWidth="1"/>
    <col min="7312" max="7312" width="11.5" style="30" customWidth="1"/>
    <col min="7313" max="7321" width="11.75" style="30" customWidth="1"/>
    <col min="7322" max="7322" width="11.5" style="30" customWidth="1"/>
    <col min="7323" max="7331" width="11.75" style="30" customWidth="1"/>
    <col min="7332" max="7332" width="11.5" style="30" customWidth="1"/>
    <col min="7333" max="7341" width="11.75" style="30" customWidth="1"/>
    <col min="7342" max="7342" width="11.5" style="30" customWidth="1"/>
    <col min="7343" max="7351" width="11.75" style="30" customWidth="1"/>
    <col min="7352" max="7352" width="11.5" style="30" customWidth="1"/>
    <col min="7353" max="7361" width="11.75" style="30" customWidth="1"/>
    <col min="7362" max="7362" width="11.5" style="30" customWidth="1"/>
    <col min="7363" max="7371" width="11.75" style="30" customWidth="1"/>
    <col min="7372" max="7372" width="11.5" style="30" customWidth="1"/>
    <col min="7373" max="7380" width="11.75" style="30" customWidth="1"/>
    <col min="7381" max="7381" width="11.5" style="30" customWidth="1"/>
    <col min="7382" max="7382" width="11.125" style="30" customWidth="1"/>
    <col min="7383" max="7390" width="11.5" style="30" customWidth="1"/>
    <col min="7391" max="7391" width="11.75" style="30" customWidth="1"/>
    <col min="7392" max="7392" width="11.5" style="30" customWidth="1"/>
    <col min="7393" max="7401" width="11.75" style="30" customWidth="1"/>
    <col min="7402" max="7402" width="11.5" style="30" customWidth="1"/>
    <col min="7403" max="7411" width="11.75" style="30" customWidth="1"/>
    <col min="7412" max="7412" width="11.5" style="30" customWidth="1"/>
    <col min="7413" max="7421" width="11.75" style="30" customWidth="1"/>
    <col min="7422" max="7422" width="11.5" style="30" customWidth="1"/>
    <col min="7423" max="7431" width="11.75" style="30" customWidth="1"/>
    <col min="7432" max="7432" width="11.5" style="30" customWidth="1"/>
    <col min="7433" max="7441" width="11.75" style="30" customWidth="1"/>
    <col min="7442" max="7442" width="11.5" style="30" customWidth="1"/>
    <col min="7443" max="7451" width="11.75" style="30" customWidth="1"/>
    <col min="7452" max="7452" width="11.5" style="30" customWidth="1"/>
    <col min="7453" max="7461" width="11.75" style="30" customWidth="1"/>
    <col min="7462" max="7462" width="11.5" style="30" customWidth="1"/>
    <col min="7463" max="7471" width="11.75" style="30" customWidth="1"/>
    <col min="7472" max="7472" width="11.5" style="30" customWidth="1"/>
    <col min="7473" max="7480" width="11.75" style="30" customWidth="1"/>
    <col min="7481" max="7481" width="11.5" style="30" customWidth="1"/>
    <col min="7482" max="7482" width="11.125" style="30" customWidth="1"/>
    <col min="7483" max="7490" width="11.5" style="30" customWidth="1"/>
    <col min="7491" max="7491" width="11.75" style="30" customWidth="1"/>
    <col min="7492" max="7492" width="11.5" style="30" customWidth="1"/>
    <col min="7493" max="7501" width="11.75" style="30" customWidth="1"/>
    <col min="7502" max="7502" width="11.5" style="30" customWidth="1"/>
    <col min="7503" max="7511" width="11.75" style="30" customWidth="1"/>
    <col min="7512" max="7512" width="11.5" style="30" customWidth="1"/>
    <col min="7513" max="7521" width="11.75" style="30" customWidth="1"/>
    <col min="7522" max="7522" width="11.5" style="30" customWidth="1"/>
    <col min="7523" max="7531" width="11.75" style="30" customWidth="1"/>
    <col min="7532" max="7532" width="11.5" style="30" customWidth="1"/>
    <col min="7533" max="7541" width="11.75" style="30" customWidth="1"/>
    <col min="7542" max="7542" width="11.5" style="30" customWidth="1"/>
    <col min="7543" max="7551" width="11.75" style="30" customWidth="1"/>
    <col min="7552" max="7552" width="11.5" style="30" customWidth="1"/>
    <col min="7553" max="7561" width="11.75" style="30" customWidth="1"/>
    <col min="7562" max="7562" width="11.5" style="30" customWidth="1"/>
    <col min="7563" max="7571" width="11.75" style="30" customWidth="1"/>
    <col min="7572" max="7572" width="11.5" style="30" customWidth="1"/>
    <col min="7573" max="7580" width="11.75" style="30" customWidth="1"/>
    <col min="7581" max="7581" width="11.5" style="30" customWidth="1"/>
    <col min="7582" max="7582" width="11.125" style="30" customWidth="1"/>
    <col min="7583" max="7590" width="11.5" style="30" customWidth="1"/>
    <col min="7591" max="7591" width="11.75" style="30" customWidth="1"/>
    <col min="7592" max="7592" width="11.5" style="30" customWidth="1"/>
    <col min="7593" max="7601" width="11.75" style="30" customWidth="1"/>
    <col min="7602" max="7602" width="11.5" style="30" customWidth="1"/>
    <col min="7603" max="7611" width="11.75" style="30" customWidth="1"/>
    <col min="7612" max="7612" width="11.5" style="30" customWidth="1"/>
    <col min="7613" max="7621" width="11.75" style="30" customWidth="1"/>
    <col min="7622" max="7622" width="11.5" style="30" customWidth="1"/>
    <col min="7623" max="7631" width="11.75" style="30" customWidth="1"/>
    <col min="7632" max="7632" width="11.5" style="30" customWidth="1"/>
    <col min="7633" max="7641" width="11.75" style="30" customWidth="1"/>
    <col min="7642" max="7642" width="11.5" style="30" customWidth="1"/>
    <col min="7643" max="7651" width="11.75" style="30" customWidth="1"/>
    <col min="7652" max="7652" width="11.5" style="30" customWidth="1"/>
    <col min="7653" max="7661" width="11.75" style="30" customWidth="1"/>
    <col min="7662" max="7662" width="11.5" style="30" customWidth="1"/>
    <col min="7663" max="7671" width="11.75" style="30" customWidth="1"/>
    <col min="7672" max="7672" width="11.5" style="30" customWidth="1"/>
    <col min="7673" max="7680" width="11.75" style="30" customWidth="1"/>
    <col min="7681" max="7681" width="11.5" style="30" customWidth="1"/>
    <col min="7682" max="7682" width="11.125" style="30" customWidth="1"/>
    <col min="7683" max="7690" width="11.5" style="30" customWidth="1"/>
    <col min="7691" max="7691" width="11.75" style="30" customWidth="1"/>
    <col min="7692" max="7692" width="11.5" style="30" customWidth="1"/>
    <col min="7693" max="7701" width="11.75" style="30" customWidth="1"/>
    <col min="7702" max="7702" width="11.5" style="30" customWidth="1"/>
    <col min="7703" max="7711" width="11.75" style="30" customWidth="1"/>
    <col min="7712" max="7712" width="11.5" style="30" customWidth="1"/>
    <col min="7713" max="7721" width="11.75" style="30" customWidth="1"/>
    <col min="7722" max="7722" width="11.5" style="30" customWidth="1"/>
    <col min="7723" max="7731" width="11.75" style="30" customWidth="1"/>
    <col min="7732" max="7732" width="11.5" style="30" customWidth="1"/>
    <col min="7733" max="7741" width="11.75" style="30" customWidth="1"/>
    <col min="7742" max="7742" width="11.5" style="30" customWidth="1"/>
    <col min="7743" max="7751" width="11.75" style="30" customWidth="1"/>
    <col min="7752" max="7752" width="11.5" style="30" customWidth="1"/>
    <col min="7753" max="7761" width="11.75" style="30" customWidth="1"/>
    <col min="7762" max="7762" width="11.5" style="30" customWidth="1"/>
    <col min="7763" max="7771" width="11.75" style="30" customWidth="1"/>
    <col min="7772" max="7772" width="11.5" style="30" customWidth="1"/>
    <col min="7773" max="7780" width="11.75" style="30" customWidth="1"/>
    <col min="7781" max="7781" width="11.5" style="30" customWidth="1"/>
    <col min="7782" max="7782" width="11.125" style="30" customWidth="1"/>
    <col min="7783" max="7790" width="11.5" style="30" customWidth="1"/>
    <col min="7791" max="7791" width="11.75" style="30" customWidth="1"/>
    <col min="7792" max="7792" width="11.5" style="30" customWidth="1"/>
    <col min="7793" max="7801" width="11.75" style="30" customWidth="1"/>
    <col min="7802" max="7802" width="11.5" style="30" customWidth="1"/>
    <col min="7803" max="7811" width="11.75" style="30" customWidth="1"/>
    <col min="7812" max="7812" width="11.5" style="30" customWidth="1"/>
    <col min="7813" max="7821" width="11.75" style="30" customWidth="1"/>
    <col min="7822" max="7822" width="11.5" style="30" customWidth="1"/>
    <col min="7823" max="7831" width="11.75" style="30" customWidth="1"/>
    <col min="7832" max="7832" width="11.5" style="30" customWidth="1"/>
    <col min="7833" max="7841" width="11.75" style="30" customWidth="1"/>
    <col min="7842" max="7842" width="11.5" style="30" customWidth="1"/>
    <col min="7843" max="7851" width="11.75" style="30" customWidth="1"/>
    <col min="7852" max="7852" width="11.5" style="30" customWidth="1"/>
    <col min="7853" max="7861" width="11.75" style="30" customWidth="1"/>
    <col min="7862" max="7862" width="11.5" style="30" customWidth="1"/>
    <col min="7863" max="7871" width="11.75" style="30" customWidth="1"/>
    <col min="7872" max="7872" width="11.5" style="30" customWidth="1"/>
    <col min="7873" max="7880" width="11.75" style="30" customWidth="1"/>
    <col min="7881" max="7881" width="11.5" style="30" customWidth="1"/>
    <col min="7882" max="7882" width="11.125" style="30" customWidth="1"/>
    <col min="7883" max="7890" width="11.5" style="30" customWidth="1"/>
    <col min="7891" max="7891" width="11.75" style="30" customWidth="1"/>
    <col min="7892" max="7892" width="11.5" style="30" customWidth="1"/>
    <col min="7893" max="7901" width="11.75" style="30" customWidth="1"/>
    <col min="7902" max="7902" width="11.5" style="30" customWidth="1"/>
    <col min="7903" max="7911" width="11.75" style="30" customWidth="1"/>
    <col min="7912" max="7912" width="11.5" style="30" customWidth="1"/>
    <col min="7913" max="7921" width="11.75" style="30" customWidth="1"/>
    <col min="7922" max="7922" width="11.5" style="30" customWidth="1"/>
    <col min="7923" max="7931" width="11.75" style="30" customWidth="1"/>
    <col min="7932" max="7932" width="11.5" style="30" customWidth="1"/>
    <col min="7933" max="7941" width="11.75" style="30" customWidth="1"/>
    <col min="7942" max="7942" width="11.5" style="30" customWidth="1"/>
    <col min="7943" max="7951" width="11.75" style="30" customWidth="1"/>
    <col min="7952" max="7952" width="11.5" style="30" customWidth="1"/>
    <col min="7953" max="7961" width="11.75" style="30" customWidth="1"/>
    <col min="7962" max="7962" width="11.5" style="30" customWidth="1"/>
    <col min="7963" max="7971" width="11.75" style="30" customWidth="1"/>
    <col min="7972" max="7972" width="11.5" style="30" customWidth="1"/>
    <col min="7973" max="7980" width="11.75" style="30" customWidth="1"/>
    <col min="7981" max="7981" width="11.5" style="30" customWidth="1"/>
    <col min="7982" max="7982" width="11.125" style="30" customWidth="1"/>
    <col min="7983" max="7990" width="11.5" style="30" customWidth="1"/>
    <col min="7991" max="7991" width="11.75" style="30" customWidth="1"/>
    <col min="7992" max="7992" width="11.5" style="30" customWidth="1"/>
    <col min="7993" max="8001" width="11.75" style="30" customWidth="1"/>
    <col min="8002" max="8002" width="11.5" style="30" customWidth="1"/>
    <col min="8003" max="8011" width="11.75" style="30" customWidth="1"/>
    <col min="8012" max="8012" width="11.5" style="30" customWidth="1"/>
    <col min="8013" max="8021" width="11.75" style="30" customWidth="1"/>
    <col min="8022" max="8022" width="11.5" style="30" customWidth="1"/>
    <col min="8023" max="8031" width="11.75" style="30" customWidth="1"/>
    <col min="8032" max="8032" width="11.5" style="30" customWidth="1"/>
    <col min="8033" max="8041" width="11.75" style="30" customWidth="1"/>
    <col min="8042" max="8042" width="11.5" style="30" customWidth="1"/>
    <col min="8043" max="8051" width="11.75" style="30" customWidth="1"/>
    <col min="8052" max="8052" width="11.5" style="30" customWidth="1"/>
    <col min="8053" max="8061" width="11.75" style="30" customWidth="1"/>
    <col min="8062" max="8062" width="11.5" style="30" customWidth="1"/>
    <col min="8063" max="8070" width="11.75" style="30" customWidth="1"/>
    <col min="8071" max="8071" width="11.5" style="30" customWidth="1"/>
    <col min="8072" max="8072" width="11.125" style="30" customWidth="1"/>
    <col min="8073" max="8080" width="11.5" style="30" customWidth="1"/>
    <col min="8081" max="8081" width="11.125" style="30" customWidth="1"/>
    <col min="8082" max="8082" width="10.875" style="30" customWidth="1"/>
    <col min="8083" max="8090" width="11.125" style="30" customWidth="1"/>
    <col min="8091" max="8091" width="11.5" style="30" customWidth="1"/>
    <col min="8092" max="8092" width="11.125" style="30" customWidth="1"/>
    <col min="8093" max="8101" width="11.5" style="30" customWidth="1"/>
    <col min="8102" max="8102" width="11.125" style="30" customWidth="1"/>
    <col min="8103" max="8111" width="11.5" style="30" customWidth="1"/>
    <col min="8112" max="8112" width="11.125" style="30" customWidth="1"/>
    <col min="8113" max="8121" width="11.5" style="30" customWidth="1"/>
    <col min="8122" max="8122" width="11.125" style="30" customWidth="1"/>
    <col min="8123" max="8131" width="11.5" style="30" customWidth="1"/>
    <col min="8132" max="8132" width="11.125" style="30" customWidth="1"/>
    <col min="8133" max="8141" width="11.5" style="30" customWidth="1"/>
    <col min="8142" max="8142" width="11.125" style="30" customWidth="1"/>
    <col min="8143" max="8151" width="11.5" style="30" customWidth="1"/>
    <col min="8152" max="8152" width="11.125" style="30" customWidth="1"/>
    <col min="8153" max="8161" width="11.5" style="30" customWidth="1"/>
    <col min="8162" max="8162" width="11.125" style="30" customWidth="1"/>
    <col min="8163" max="8170" width="11.5" style="30" customWidth="1"/>
    <col min="8171" max="8171" width="11.75" style="30" customWidth="1"/>
    <col min="8172" max="8172" width="11.5" style="30" customWidth="1"/>
    <col min="8173" max="8180" width="11.75" style="30" customWidth="1"/>
    <col min="8181" max="8181" width="11.5" style="30" customWidth="1"/>
    <col min="8182" max="8182" width="11.125" style="30" customWidth="1"/>
    <col min="8183" max="8190" width="11.5" style="30" customWidth="1"/>
    <col min="8191" max="8191" width="11.75" style="30" customWidth="1"/>
    <col min="8192" max="8192" width="11.5" style="30" customWidth="1"/>
    <col min="8193" max="8201" width="11.75" style="30" customWidth="1"/>
    <col min="8202" max="8202" width="11.5" style="30" customWidth="1"/>
    <col min="8203" max="8211" width="11.75" style="30" customWidth="1"/>
    <col min="8212" max="8212" width="11.5" style="30" customWidth="1"/>
    <col min="8213" max="8221" width="11.75" style="30" customWidth="1"/>
    <col min="8222" max="8222" width="11.5" style="30" customWidth="1"/>
    <col min="8223" max="8231" width="11.75" style="30" customWidth="1"/>
    <col min="8232" max="8232" width="11.5" style="30" customWidth="1"/>
    <col min="8233" max="8241" width="11.75" style="30" customWidth="1"/>
    <col min="8242" max="8242" width="11.5" style="30" customWidth="1"/>
    <col min="8243" max="8251" width="11.75" style="30" customWidth="1"/>
    <col min="8252" max="8252" width="11.5" style="30" customWidth="1"/>
    <col min="8253" max="8261" width="11.75" style="30" customWidth="1"/>
    <col min="8262" max="8262" width="11.5" style="30" customWidth="1"/>
    <col min="8263" max="8271" width="11.75" style="30" customWidth="1"/>
    <col min="8272" max="8272" width="11.5" style="30" customWidth="1"/>
    <col min="8273" max="8280" width="11.75" style="30" customWidth="1"/>
    <col min="8281" max="8281" width="11.5" style="30" customWidth="1"/>
    <col min="8282" max="8282" width="11.125" style="30" customWidth="1"/>
    <col min="8283" max="8290" width="11.5" style="30" customWidth="1"/>
    <col min="8291" max="8291" width="11.75" style="30" customWidth="1"/>
    <col min="8292" max="8292" width="11.5" style="30" customWidth="1"/>
    <col min="8293" max="8301" width="11.75" style="30" customWidth="1"/>
    <col min="8302" max="8302" width="11.5" style="30" customWidth="1"/>
    <col min="8303" max="8311" width="11.75" style="30" customWidth="1"/>
    <col min="8312" max="8312" width="11.5" style="30" customWidth="1"/>
    <col min="8313" max="8321" width="11.75" style="30" customWidth="1"/>
    <col min="8322" max="8322" width="11.5" style="30" customWidth="1"/>
    <col min="8323" max="8331" width="11.75" style="30" customWidth="1"/>
    <col min="8332" max="8332" width="11.5" style="30" customWidth="1"/>
    <col min="8333" max="8341" width="11.75" style="30" customWidth="1"/>
    <col min="8342" max="8342" width="11.5" style="30" customWidth="1"/>
    <col min="8343" max="8351" width="11.75" style="30" customWidth="1"/>
    <col min="8352" max="8352" width="11.5" style="30" customWidth="1"/>
    <col min="8353" max="8361" width="11.75" style="30" customWidth="1"/>
    <col min="8362" max="8362" width="11.5" style="30" customWidth="1"/>
    <col min="8363" max="8371" width="11.75" style="30" customWidth="1"/>
    <col min="8372" max="8372" width="11.5" style="30" customWidth="1"/>
    <col min="8373" max="8380" width="11.75" style="30" customWidth="1"/>
    <col min="8381" max="8381" width="11.5" style="30" customWidth="1"/>
    <col min="8382" max="8382" width="11.125" style="30" customWidth="1"/>
    <col min="8383" max="8390" width="11.5" style="30" customWidth="1"/>
    <col min="8391" max="8391" width="11.75" style="30" customWidth="1"/>
    <col min="8392" max="8392" width="11.5" style="30" customWidth="1"/>
    <col min="8393" max="8401" width="11.75" style="30" customWidth="1"/>
    <col min="8402" max="8402" width="11.5" style="30" customWidth="1"/>
    <col min="8403" max="8411" width="11.75" style="30" customWidth="1"/>
    <col min="8412" max="8412" width="11.5" style="30" customWidth="1"/>
    <col min="8413" max="8421" width="11.75" style="30" customWidth="1"/>
    <col min="8422" max="8422" width="11.5" style="30" customWidth="1"/>
    <col min="8423" max="8431" width="11.75" style="30" customWidth="1"/>
    <col min="8432" max="8432" width="11.5" style="30" customWidth="1"/>
    <col min="8433" max="8441" width="11.75" style="30" customWidth="1"/>
    <col min="8442" max="8442" width="11.5" style="30" customWidth="1"/>
    <col min="8443" max="8451" width="11.75" style="30" customWidth="1"/>
    <col min="8452" max="8452" width="11.5" style="30" customWidth="1"/>
    <col min="8453" max="8461" width="11.75" style="30" customWidth="1"/>
    <col min="8462" max="8462" width="11.5" style="30" customWidth="1"/>
    <col min="8463" max="8471" width="11.75" style="30" customWidth="1"/>
    <col min="8472" max="8472" width="11.5" style="30" customWidth="1"/>
    <col min="8473" max="8480" width="11.75" style="30" customWidth="1"/>
    <col min="8481" max="8481" width="11.5" style="30" customWidth="1"/>
    <col min="8482" max="8482" width="11.125" style="30" customWidth="1"/>
    <col min="8483" max="8490" width="11.5" style="30" customWidth="1"/>
    <col min="8491" max="8491" width="11.75" style="30" customWidth="1"/>
    <col min="8492" max="8492" width="11.5" style="30" customWidth="1"/>
    <col min="8493" max="8501" width="11.75" style="30" customWidth="1"/>
    <col min="8502" max="8502" width="11.5" style="30" customWidth="1"/>
    <col min="8503" max="8511" width="11.75" style="30" customWidth="1"/>
    <col min="8512" max="8512" width="11.5" style="30" customWidth="1"/>
    <col min="8513" max="8521" width="11.75" style="30" customWidth="1"/>
    <col min="8522" max="8522" width="11.5" style="30" customWidth="1"/>
    <col min="8523" max="8531" width="11.75" style="30" customWidth="1"/>
    <col min="8532" max="8532" width="11.5" style="30" customWidth="1"/>
    <col min="8533" max="8541" width="11.75" style="30" customWidth="1"/>
    <col min="8542" max="8542" width="11.5" style="30" customWidth="1"/>
    <col min="8543" max="8551" width="11.75" style="30" customWidth="1"/>
    <col min="8552" max="8552" width="11.5" style="30" customWidth="1"/>
    <col min="8553" max="8561" width="11.75" style="30" customWidth="1"/>
    <col min="8562" max="8562" width="11.5" style="30" customWidth="1"/>
    <col min="8563" max="8571" width="11.75" style="30" customWidth="1"/>
    <col min="8572" max="8572" width="11.5" style="30" customWidth="1"/>
    <col min="8573" max="8580" width="11.75" style="30" customWidth="1"/>
    <col min="8581" max="8581" width="11.5" style="30" customWidth="1"/>
    <col min="8582" max="8582" width="11.125" style="30" customWidth="1"/>
    <col min="8583" max="8590" width="11.5" style="30" customWidth="1"/>
    <col min="8591" max="8591" width="11.75" style="30" customWidth="1"/>
    <col min="8592" max="8592" width="11.5" style="30" customWidth="1"/>
    <col min="8593" max="8601" width="11.75" style="30" customWidth="1"/>
    <col min="8602" max="8602" width="11.5" style="30" customWidth="1"/>
    <col min="8603" max="8611" width="11.75" style="30" customWidth="1"/>
    <col min="8612" max="8612" width="11.5" style="30" customWidth="1"/>
    <col min="8613" max="8621" width="11.75" style="30" customWidth="1"/>
    <col min="8622" max="8622" width="11.5" style="30" customWidth="1"/>
    <col min="8623" max="8631" width="11.75" style="30" customWidth="1"/>
    <col min="8632" max="8632" width="11.5" style="30" customWidth="1"/>
    <col min="8633" max="8641" width="11.75" style="30" customWidth="1"/>
    <col min="8642" max="8642" width="11.5" style="30" customWidth="1"/>
    <col min="8643" max="8651" width="11.75" style="30" customWidth="1"/>
    <col min="8652" max="8652" width="11.5" style="30" customWidth="1"/>
    <col min="8653" max="8661" width="11.75" style="30" customWidth="1"/>
    <col min="8662" max="8662" width="11.5" style="30" customWidth="1"/>
    <col min="8663" max="8671" width="11.75" style="30" customWidth="1"/>
    <col min="8672" max="8672" width="11.5" style="30" customWidth="1"/>
    <col min="8673" max="8680" width="11.75" style="30" customWidth="1"/>
    <col min="8681" max="8681" width="11.5" style="30" customWidth="1"/>
    <col min="8682" max="8682" width="11.125" style="30" customWidth="1"/>
    <col min="8683" max="8690" width="11.5" style="30" customWidth="1"/>
    <col min="8691" max="8691" width="11.75" style="30" customWidth="1"/>
    <col min="8692" max="8692" width="11.5" style="30" customWidth="1"/>
    <col min="8693" max="8701" width="11.75" style="30" customWidth="1"/>
    <col min="8702" max="8702" width="11.5" style="30" customWidth="1"/>
    <col min="8703" max="8711" width="11.75" style="30" customWidth="1"/>
    <col min="8712" max="8712" width="11.5" style="30" customWidth="1"/>
    <col min="8713" max="8721" width="11.75" style="30" customWidth="1"/>
    <col min="8722" max="8722" width="11.5" style="30" customWidth="1"/>
    <col min="8723" max="8731" width="11.75" style="30" customWidth="1"/>
    <col min="8732" max="8732" width="11.5" style="30" customWidth="1"/>
    <col min="8733" max="8741" width="11.75" style="30" customWidth="1"/>
    <col min="8742" max="8742" width="11.5" style="30" customWidth="1"/>
    <col min="8743" max="8751" width="11.75" style="30" customWidth="1"/>
    <col min="8752" max="8752" width="11.5" style="30" customWidth="1"/>
    <col min="8753" max="8761" width="11.75" style="30" customWidth="1"/>
    <col min="8762" max="8762" width="11.5" style="30" customWidth="1"/>
    <col min="8763" max="8771" width="11.75" style="30" customWidth="1"/>
    <col min="8772" max="8772" width="11.5" style="30" customWidth="1"/>
    <col min="8773" max="8780" width="11.75" style="30" customWidth="1"/>
    <col min="8781" max="8781" width="11.5" style="30" customWidth="1"/>
    <col min="8782" max="8782" width="11.125" style="30" customWidth="1"/>
    <col min="8783" max="8790" width="11.5" style="30" customWidth="1"/>
    <col min="8791" max="8791" width="11.75" style="30" customWidth="1"/>
    <col min="8792" max="8792" width="11.5" style="30" customWidth="1"/>
    <col min="8793" max="8801" width="11.75" style="30" customWidth="1"/>
    <col min="8802" max="8802" width="11.5" style="30" customWidth="1"/>
    <col min="8803" max="8811" width="11.75" style="30" customWidth="1"/>
    <col min="8812" max="8812" width="11.5" style="30" customWidth="1"/>
    <col min="8813" max="8821" width="11.75" style="30" customWidth="1"/>
    <col min="8822" max="8822" width="11.5" style="30" customWidth="1"/>
    <col min="8823" max="8831" width="11.75" style="30" customWidth="1"/>
    <col min="8832" max="8832" width="11.5" style="30" customWidth="1"/>
    <col min="8833" max="8841" width="11.75" style="30" customWidth="1"/>
    <col min="8842" max="8842" width="11.5" style="30" customWidth="1"/>
    <col min="8843" max="8851" width="11.75" style="30" customWidth="1"/>
    <col min="8852" max="8852" width="11.5" style="30" customWidth="1"/>
    <col min="8853" max="8861" width="11.75" style="30" customWidth="1"/>
    <col min="8862" max="8862" width="11.5" style="30" customWidth="1"/>
    <col min="8863" max="8871" width="11.75" style="30" customWidth="1"/>
    <col min="8872" max="8872" width="11.5" style="30" customWidth="1"/>
    <col min="8873" max="8880" width="11.75" style="30" customWidth="1"/>
    <col min="8881" max="8881" width="11.5" style="30" customWidth="1"/>
    <col min="8882" max="8882" width="11.125" style="30" customWidth="1"/>
    <col min="8883" max="8890" width="11.5" style="30" customWidth="1"/>
    <col min="8891" max="8891" width="11.75" style="30" customWidth="1"/>
    <col min="8892" max="8892" width="11.5" style="30" customWidth="1"/>
    <col min="8893" max="8901" width="11.75" style="30" customWidth="1"/>
    <col min="8902" max="8902" width="11.5" style="30" customWidth="1"/>
    <col min="8903" max="8911" width="11.75" style="30" customWidth="1"/>
    <col min="8912" max="8912" width="11.5" style="30" customWidth="1"/>
    <col min="8913" max="8921" width="11.75" style="30" customWidth="1"/>
    <col min="8922" max="8922" width="11.5" style="30" customWidth="1"/>
    <col min="8923" max="8931" width="11.75" style="30" customWidth="1"/>
    <col min="8932" max="8932" width="11.5" style="30" customWidth="1"/>
    <col min="8933" max="8941" width="11.75" style="30" customWidth="1"/>
    <col min="8942" max="8942" width="11.5" style="30" customWidth="1"/>
    <col min="8943" max="8951" width="11.75" style="30" customWidth="1"/>
    <col min="8952" max="8952" width="11.5" style="30" customWidth="1"/>
    <col min="8953" max="8961" width="11.75" style="30" customWidth="1"/>
    <col min="8962" max="8962" width="11.5" style="30" customWidth="1"/>
    <col min="8963" max="8971" width="11.75" style="30" customWidth="1"/>
    <col min="8972" max="8972" width="11.5" style="30" customWidth="1"/>
    <col min="8973" max="8980" width="11.75" style="30" customWidth="1"/>
    <col min="8981" max="8981" width="11.5" style="30" customWidth="1"/>
    <col min="8982" max="8982" width="11.125" style="30" customWidth="1"/>
    <col min="8983" max="8990" width="11.5" style="30" customWidth="1"/>
    <col min="8991" max="8991" width="11.75" style="30" customWidth="1"/>
    <col min="8992" max="8992" width="11.5" style="30" customWidth="1"/>
    <col min="8993" max="9001" width="11.75" style="30" customWidth="1"/>
    <col min="9002" max="9002" width="11.5" style="30" customWidth="1"/>
    <col min="9003" max="9011" width="11.75" style="30" customWidth="1"/>
    <col min="9012" max="9012" width="11.5" style="30" customWidth="1"/>
    <col min="9013" max="9021" width="11.75" style="30" customWidth="1"/>
    <col min="9022" max="9022" width="11.5" style="30" customWidth="1"/>
    <col min="9023" max="9031" width="11.75" style="30" customWidth="1"/>
    <col min="9032" max="9032" width="11.5" style="30" customWidth="1"/>
    <col min="9033" max="9041" width="11.75" style="30" customWidth="1"/>
    <col min="9042" max="9042" width="11.5" style="30" customWidth="1"/>
    <col min="9043" max="9051" width="11.75" style="30" customWidth="1"/>
    <col min="9052" max="9052" width="11.5" style="30" customWidth="1"/>
    <col min="9053" max="9061" width="11.75" style="30" customWidth="1"/>
    <col min="9062" max="9062" width="11.5" style="30" customWidth="1"/>
    <col min="9063" max="9070" width="11.75" style="30" customWidth="1"/>
    <col min="9071" max="9071" width="11.5" style="30" customWidth="1"/>
    <col min="9072" max="9072" width="11.125" style="30" customWidth="1"/>
    <col min="9073" max="9080" width="11.5" style="30" customWidth="1"/>
    <col min="9081" max="9081" width="11.125" style="30" customWidth="1"/>
    <col min="9082" max="9082" width="10.875" style="30" customWidth="1"/>
    <col min="9083" max="9090" width="11.125" style="30" customWidth="1"/>
    <col min="9091" max="9091" width="11.5" style="30" customWidth="1"/>
    <col min="9092" max="9092" width="11.125" style="30" customWidth="1"/>
    <col min="9093" max="9101" width="11.5" style="30" customWidth="1"/>
    <col min="9102" max="9102" width="11.125" style="30" customWidth="1"/>
    <col min="9103" max="9111" width="11.5" style="30" customWidth="1"/>
    <col min="9112" max="9112" width="11.125" style="30" customWidth="1"/>
    <col min="9113" max="9121" width="11.5" style="30" customWidth="1"/>
    <col min="9122" max="9122" width="11.125" style="30" customWidth="1"/>
    <col min="9123" max="9131" width="11.5" style="30" customWidth="1"/>
    <col min="9132" max="9132" width="11.125" style="30" customWidth="1"/>
    <col min="9133" max="9141" width="11.5" style="30" customWidth="1"/>
    <col min="9142" max="9142" width="11.125" style="30" customWidth="1"/>
    <col min="9143" max="9151" width="11.5" style="30" customWidth="1"/>
    <col min="9152" max="9152" width="11.125" style="30" customWidth="1"/>
    <col min="9153" max="9161" width="11.5" style="30" customWidth="1"/>
    <col min="9162" max="9162" width="11.125" style="30" customWidth="1"/>
    <col min="9163" max="9170" width="11.5" style="30" customWidth="1"/>
    <col min="9171" max="9171" width="11.75" style="30" customWidth="1"/>
    <col min="9172" max="9172" width="11.5" style="30" customWidth="1"/>
    <col min="9173" max="9180" width="11.75" style="30" customWidth="1"/>
    <col min="9181" max="9181" width="11.5" style="30" customWidth="1"/>
    <col min="9182" max="9182" width="11.125" style="30" customWidth="1"/>
    <col min="9183" max="9190" width="11.5" style="30" customWidth="1"/>
    <col min="9191" max="9191" width="11.75" style="30" customWidth="1"/>
    <col min="9192" max="9192" width="11.5" style="30" customWidth="1"/>
    <col min="9193" max="9201" width="11.75" style="30" customWidth="1"/>
    <col min="9202" max="9202" width="11.5" style="30" customWidth="1"/>
    <col min="9203" max="9211" width="11.75" style="30" customWidth="1"/>
    <col min="9212" max="9212" width="11.5" style="30" customWidth="1"/>
    <col min="9213" max="9221" width="11.75" style="30" customWidth="1"/>
    <col min="9222" max="9222" width="11.5" style="30" customWidth="1"/>
    <col min="9223" max="9231" width="11.75" style="30" customWidth="1"/>
    <col min="9232" max="9232" width="11.5" style="30" customWidth="1"/>
    <col min="9233" max="9241" width="11.75" style="30" customWidth="1"/>
    <col min="9242" max="9242" width="11.5" style="30" customWidth="1"/>
    <col min="9243" max="9251" width="11.75" style="30" customWidth="1"/>
    <col min="9252" max="9252" width="11.5" style="30" customWidth="1"/>
    <col min="9253" max="9261" width="11.75" style="30" customWidth="1"/>
    <col min="9262" max="9262" width="11.5" style="30" customWidth="1"/>
    <col min="9263" max="9271" width="11.75" style="30" customWidth="1"/>
    <col min="9272" max="9272" width="11.5" style="30" customWidth="1"/>
    <col min="9273" max="9280" width="11.75" style="30" customWidth="1"/>
    <col min="9281" max="9281" width="11.5" style="30" customWidth="1"/>
    <col min="9282" max="9282" width="11.125" style="30" customWidth="1"/>
    <col min="9283" max="9290" width="11.5" style="30" customWidth="1"/>
    <col min="9291" max="9291" width="11.75" style="30" customWidth="1"/>
    <col min="9292" max="9292" width="11.5" style="30" customWidth="1"/>
    <col min="9293" max="9301" width="11.75" style="30" customWidth="1"/>
    <col min="9302" max="9302" width="11.5" style="30" customWidth="1"/>
    <col min="9303" max="9311" width="11.75" style="30" customWidth="1"/>
    <col min="9312" max="9312" width="11.5" style="30" customWidth="1"/>
    <col min="9313" max="9321" width="11.75" style="30" customWidth="1"/>
    <col min="9322" max="9322" width="11.5" style="30" customWidth="1"/>
    <col min="9323" max="9331" width="11.75" style="30" customWidth="1"/>
    <col min="9332" max="9332" width="11.5" style="30" customWidth="1"/>
    <col min="9333" max="9341" width="11.75" style="30" customWidth="1"/>
    <col min="9342" max="9342" width="11.5" style="30" customWidth="1"/>
    <col min="9343" max="9351" width="11.75" style="30" customWidth="1"/>
    <col min="9352" max="9352" width="11.5" style="30" customWidth="1"/>
    <col min="9353" max="9361" width="11.75" style="30" customWidth="1"/>
    <col min="9362" max="9362" width="11.5" style="30" customWidth="1"/>
    <col min="9363" max="9371" width="11.75" style="30" customWidth="1"/>
    <col min="9372" max="9372" width="11.5" style="30" customWidth="1"/>
    <col min="9373" max="9380" width="11.75" style="30" customWidth="1"/>
    <col min="9381" max="9381" width="11.5" style="30" customWidth="1"/>
    <col min="9382" max="9382" width="11.125" style="30" customWidth="1"/>
    <col min="9383" max="9390" width="11.5" style="30" customWidth="1"/>
    <col min="9391" max="9391" width="11.75" style="30" customWidth="1"/>
    <col min="9392" max="9392" width="11.5" style="30" customWidth="1"/>
    <col min="9393" max="9401" width="11.75" style="30" customWidth="1"/>
    <col min="9402" max="9402" width="11.5" style="30" customWidth="1"/>
    <col min="9403" max="9411" width="11.75" style="30" customWidth="1"/>
    <col min="9412" max="9412" width="11.5" style="30" customWidth="1"/>
    <col min="9413" max="9421" width="11.75" style="30" customWidth="1"/>
    <col min="9422" max="9422" width="11.5" style="30" customWidth="1"/>
    <col min="9423" max="9431" width="11.75" style="30" customWidth="1"/>
    <col min="9432" max="9432" width="11.5" style="30" customWidth="1"/>
    <col min="9433" max="9441" width="11.75" style="30" customWidth="1"/>
    <col min="9442" max="9442" width="11.5" style="30" customWidth="1"/>
    <col min="9443" max="9451" width="11.75" style="30" customWidth="1"/>
    <col min="9452" max="9452" width="11.5" style="30" customWidth="1"/>
    <col min="9453" max="9461" width="11.75" style="30" customWidth="1"/>
    <col min="9462" max="9462" width="11.5" style="30" customWidth="1"/>
    <col min="9463" max="9471" width="11.75" style="30" customWidth="1"/>
    <col min="9472" max="9472" width="11.5" style="30" customWidth="1"/>
    <col min="9473" max="9480" width="11.75" style="30" customWidth="1"/>
    <col min="9481" max="9481" width="11.5" style="30" customWidth="1"/>
    <col min="9482" max="9482" width="11.125" style="30" customWidth="1"/>
    <col min="9483" max="9490" width="11.5" style="30" customWidth="1"/>
    <col min="9491" max="9491" width="11.75" style="30" customWidth="1"/>
    <col min="9492" max="9492" width="11.5" style="30" customWidth="1"/>
    <col min="9493" max="9501" width="11.75" style="30" customWidth="1"/>
    <col min="9502" max="9502" width="11.5" style="30" customWidth="1"/>
    <col min="9503" max="9511" width="11.75" style="30" customWidth="1"/>
    <col min="9512" max="9512" width="11.5" style="30" customWidth="1"/>
    <col min="9513" max="9521" width="11.75" style="30" customWidth="1"/>
    <col min="9522" max="9522" width="11.5" style="30" customWidth="1"/>
    <col min="9523" max="9531" width="11.75" style="30" customWidth="1"/>
    <col min="9532" max="9532" width="11.5" style="30" customWidth="1"/>
    <col min="9533" max="9541" width="11.75" style="30" customWidth="1"/>
    <col min="9542" max="9542" width="11.5" style="30" customWidth="1"/>
    <col min="9543" max="9551" width="11.75" style="30" customWidth="1"/>
    <col min="9552" max="9552" width="11.5" style="30" customWidth="1"/>
    <col min="9553" max="9561" width="11.75" style="30" customWidth="1"/>
    <col min="9562" max="9562" width="11.5" style="30" customWidth="1"/>
    <col min="9563" max="9571" width="11.75" style="30" customWidth="1"/>
    <col min="9572" max="9572" width="11.5" style="30" customWidth="1"/>
    <col min="9573" max="9580" width="11.75" style="30" customWidth="1"/>
    <col min="9581" max="9581" width="11.5" style="30" customWidth="1"/>
    <col min="9582" max="9582" width="11.125" style="30" customWidth="1"/>
    <col min="9583" max="9590" width="11.5" style="30" customWidth="1"/>
    <col min="9591" max="9591" width="11.75" style="30" customWidth="1"/>
    <col min="9592" max="9592" width="11.5" style="30" customWidth="1"/>
    <col min="9593" max="9601" width="11.75" style="30" customWidth="1"/>
    <col min="9602" max="9602" width="11.5" style="30" customWidth="1"/>
    <col min="9603" max="9611" width="11.75" style="30" customWidth="1"/>
    <col min="9612" max="9612" width="11.5" style="30" customWidth="1"/>
    <col min="9613" max="9621" width="11.75" style="30" customWidth="1"/>
    <col min="9622" max="9622" width="11.5" style="30" customWidth="1"/>
    <col min="9623" max="9631" width="11.75" style="30" customWidth="1"/>
    <col min="9632" max="9632" width="11.5" style="30" customWidth="1"/>
    <col min="9633" max="9641" width="11.75" style="30" customWidth="1"/>
    <col min="9642" max="9642" width="11.5" style="30" customWidth="1"/>
    <col min="9643" max="9651" width="11.75" style="30" customWidth="1"/>
    <col min="9652" max="9652" width="11.5" style="30" customWidth="1"/>
    <col min="9653" max="9661" width="11.75" style="30" customWidth="1"/>
    <col min="9662" max="9662" width="11.5" style="30" customWidth="1"/>
    <col min="9663" max="9671" width="11.75" style="30" customWidth="1"/>
    <col min="9672" max="9672" width="11.5" style="30" customWidth="1"/>
    <col min="9673" max="9680" width="11.75" style="30" customWidth="1"/>
    <col min="9681" max="9681" width="11.5" style="30" customWidth="1"/>
    <col min="9682" max="9682" width="11.125" style="30" customWidth="1"/>
    <col min="9683" max="9690" width="11.5" style="30" customWidth="1"/>
    <col min="9691" max="9691" width="11.75" style="30" customWidth="1"/>
    <col min="9692" max="9692" width="11.5" style="30" customWidth="1"/>
    <col min="9693" max="9701" width="11.75" style="30" customWidth="1"/>
    <col min="9702" max="9702" width="11.5" style="30" customWidth="1"/>
    <col min="9703" max="9711" width="11.75" style="30" customWidth="1"/>
    <col min="9712" max="9712" width="11.5" style="30" customWidth="1"/>
    <col min="9713" max="9721" width="11.75" style="30" customWidth="1"/>
    <col min="9722" max="9722" width="11.5" style="30" customWidth="1"/>
    <col min="9723" max="9731" width="11.75" style="30" customWidth="1"/>
    <col min="9732" max="9732" width="11.5" style="30" customWidth="1"/>
    <col min="9733" max="9741" width="11.75" style="30" customWidth="1"/>
    <col min="9742" max="9742" width="11.5" style="30" customWidth="1"/>
    <col min="9743" max="9751" width="11.75" style="30" customWidth="1"/>
    <col min="9752" max="9752" width="11.5" style="30" customWidth="1"/>
    <col min="9753" max="9761" width="11.75" style="30" customWidth="1"/>
    <col min="9762" max="9762" width="11.5" style="30" customWidth="1"/>
    <col min="9763" max="9771" width="11.75" style="30" customWidth="1"/>
    <col min="9772" max="9772" width="11.5" style="30" customWidth="1"/>
    <col min="9773" max="9780" width="11.75" style="30" customWidth="1"/>
    <col min="9781" max="9781" width="11.5" style="30" customWidth="1"/>
    <col min="9782" max="9782" width="11.125" style="30" customWidth="1"/>
    <col min="9783" max="9790" width="11.5" style="30" customWidth="1"/>
    <col min="9791" max="9791" width="11.75" style="30" customWidth="1"/>
    <col min="9792" max="9792" width="11.5" style="30" customWidth="1"/>
    <col min="9793" max="9801" width="11.75" style="30" customWidth="1"/>
    <col min="9802" max="9802" width="11.5" style="30" customWidth="1"/>
    <col min="9803" max="9811" width="11.75" style="30" customWidth="1"/>
    <col min="9812" max="9812" width="11.5" style="30" customWidth="1"/>
    <col min="9813" max="9821" width="11.75" style="30" customWidth="1"/>
    <col min="9822" max="9822" width="11.5" style="30" customWidth="1"/>
    <col min="9823" max="9831" width="11.75" style="30" customWidth="1"/>
    <col min="9832" max="9832" width="11.5" style="30" customWidth="1"/>
    <col min="9833" max="9841" width="11.75" style="30" customWidth="1"/>
    <col min="9842" max="9842" width="11.5" style="30" customWidth="1"/>
    <col min="9843" max="9851" width="11.75" style="30" customWidth="1"/>
    <col min="9852" max="9852" width="11.5" style="30" customWidth="1"/>
    <col min="9853" max="9861" width="11.75" style="30" customWidth="1"/>
    <col min="9862" max="9862" width="11.5" style="30" customWidth="1"/>
    <col min="9863" max="9871" width="11.75" style="30" customWidth="1"/>
    <col min="9872" max="9872" width="11.5" style="30" customWidth="1"/>
    <col min="9873" max="9880" width="11.75" style="30" customWidth="1"/>
    <col min="9881" max="9881" width="11.5" style="30" customWidth="1"/>
    <col min="9882" max="9882" width="11.125" style="30" customWidth="1"/>
    <col min="9883" max="9890" width="11.5" style="30" customWidth="1"/>
    <col min="9891" max="9891" width="11.75" style="30" customWidth="1"/>
    <col min="9892" max="9892" width="11.5" style="30" customWidth="1"/>
    <col min="9893" max="9901" width="11.75" style="30" customWidth="1"/>
    <col min="9902" max="9902" width="11.5" style="30" customWidth="1"/>
    <col min="9903" max="9911" width="11.75" style="30" customWidth="1"/>
    <col min="9912" max="9912" width="11.5" style="30" customWidth="1"/>
    <col min="9913" max="9921" width="11.75" style="30" customWidth="1"/>
    <col min="9922" max="9922" width="11.5" style="30" customWidth="1"/>
    <col min="9923" max="9931" width="11.75" style="30" customWidth="1"/>
    <col min="9932" max="9932" width="11.5" style="30" customWidth="1"/>
    <col min="9933" max="9941" width="11.75" style="30" customWidth="1"/>
    <col min="9942" max="9942" width="11.5" style="30" customWidth="1"/>
    <col min="9943" max="9951" width="11.75" style="30" customWidth="1"/>
    <col min="9952" max="9952" width="11.5" style="30" customWidth="1"/>
    <col min="9953" max="9961" width="11.75" style="30" customWidth="1"/>
    <col min="9962" max="9962" width="11.5" style="30" customWidth="1"/>
    <col min="9963" max="9970" width="11.75" style="30" customWidth="1"/>
    <col min="9971" max="9971" width="12.5" style="30" customWidth="1"/>
    <col min="9972" max="9972" width="12.25" style="30" customWidth="1"/>
    <col min="9973" max="9980" width="12.5" style="30" customWidth="1"/>
    <col min="9981" max="9981" width="12.25" style="30" customWidth="1"/>
    <col min="9982" max="9982" width="11.875" style="30" customWidth="1"/>
    <col min="9983" max="9990" width="12.25" style="30" customWidth="1"/>
    <col min="9991" max="9991" width="12.5" style="30" customWidth="1"/>
    <col min="9992" max="9992" width="12.25" style="30" customWidth="1"/>
    <col min="9993" max="10001" width="12.5" style="30" customWidth="1"/>
    <col min="10002" max="10002" width="12.25" style="30" customWidth="1"/>
    <col min="10003" max="10011" width="12.5" style="30" customWidth="1"/>
    <col min="10012" max="10012" width="12.25" style="30" customWidth="1"/>
    <col min="10013" max="10021" width="12.5" style="30" customWidth="1"/>
    <col min="10022" max="10022" width="12.25" style="30" customWidth="1"/>
    <col min="10023" max="10031" width="12.5" style="30" customWidth="1"/>
    <col min="10032" max="10032" width="12.25" style="30" customWidth="1"/>
    <col min="10033" max="10041" width="12.5" style="30" customWidth="1"/>
    <col min="10042" max="10042" width="12.25" style="30" customWidth="1"/>
    <col min="10043" max="10051" width="12.5" style="30" customWidth="1"/>
    <col min="10052" max="10052" width="12.25" style="30" customWidth="1"/>
    <col min="10053" max="10061" width="12.5" style="30" customWidth="1"/>
    <col min="10062" max="10062" width="12.25" style="30" customWidth="1"/>
    <col min="10063" max="10070" width="12.5" style="30" customWidth="1"/>
    <col min="10071" max="10071" width="12.25" style="30" customWidth="1"/>
    <col min="10072" max="10072" width="11.875" style="30" customWidth="1"/>
    <col min="10073" max="10080" width="12.25" style="30" customWidth="1"/>
    <col min="10081" max="10081" width="11.875" style="30" customWidth="1"/>
    <col min="10082" max="10082" width="11.625" style="30" customWidth="1"/>
    <col min="10083" max="10090" width="11.875" style="30" customWidth="1"/>
    <col min="10091" max="10091" width="12.25" style="30" customWidth="1"/>
    <col min="10092" max="10092" width="11.875" style="30" customWidth="1"/>
    <col min="10093" max="10101" width="12.25" style="30" customWidth="1"/>
    <col min="10102" max="10102" width="11.875" style="30" customWidth="1"/>
    <col min="10103" max="10111" width="12.25" style="30" customWidth="1"/>
    <col min="10112" max="10112" width="11.875" style="30" customWidth="1"/>
    <col min="10113" max="10121" width="12.25" style="30" customWidth="1"/>
    <col min="10122" max="10122" width="11.875" style="30" customWidth="1"/>
    <col min="10123" max="10131" width="12.25" style="30" customWidth="1"/>
    <col min="10132" max="10132" width="11.875" style="30" customWidth="1"/>
    <col min="10133" max="10141" width="12.25" style="30" customWidth="1"/>
    <col min="10142" max="10142" width="11.875" style="30" customWidth="1"/>
    <col min="10143" max="10151" width="12.25" style="30" customWidth="1"/>
    <col min="10152" max="10152" width="11.875" style="30" customWidth="1"/>
    <col min="10153" max="10161" width="12.25" style="30" customWidth="1"/>
    <col min="10162" max="10162" width="11.875" style="30" customWidth="1"/>
    <col min="10163" max="10170" width="12.25" style="30" customWidth="1"/>
    <col min="10171" max="10171" width="12.5" style="30" customWidth="1"/>
    <col min="10172" max="10172" width="12.25" style="30" customWidth="1"/>
    <col min="10173" max="10180" width="12.5" style="30" customWidth="1"/>
    <col min="10181" max="10181" width="12.25" style="30" customWidth="1"/>
    <col min="10182" max="10182" width="11.875" style="30" customWidth="1"/>
    <col min="10183" max="10190" width="12.25" style="30" customWidth="1"/>
    <col min="10191" max="10191" width="12.5" style="30" customWidth="1"/>
    <col min="10192" max="10192" width="12.25" style="30" customWidth="1"/>
    <col min="10193" max="10201" width="12.5" style="30" customWidth="1"/>
    <col min="10202" max="10202" width="12.25" style="30" customWidth="1"/>
    <col min="10203" max="10211" width="12.5" style="30" customWidth="1"/>
    <col min="10212" max="10212" width="12.25" style="30" customWidth="1"/>
    <col min="10213" max="10221" width="12.5" style="30" customWidth="1"/>
    <col min="10222" max="10222" width="12.25" style="30" customWidth="1"/>
    <col min="10223" max="10231" width="12.5" style="30" customWidth="1"/>
    <col min="10232" max="10232" width="12.25" style="30" customWidth="1"/>
    <col min="10233" max="10241" width="12.5" style="30" customWidth="1"/>
    <col min="10242" max="10242" width="12.25" style="30" customWidth="1"/>
    <col min="10243" max="10251" width="12.5" style="30" customWidth="1"/>
    <col min="10252" max="10252" width="12.25" style="30" customWidth="1"/>
    <col min="10253" max="10261" width="12.5" style="30" customWidth="1"/>
    <col min="10262" max="10262" width="12.25" style="30" customWidth="1"/>
    <col min="10263" max="10271" width="12.5" style="30" customWidth="1"/>
    <col min="10272" max="10272" width="12.25" style="30" customWidth="1"/>
    <col min="10273" max="10280" width="12.5" style="30" customWidth="1"/>
    <col min="10281" max="10281" width="12.25" style="30" customWidth="1"/>
    <col min="10282" max="10282" width="11.875" style="30" customWidth="1"/>
    <col min="10283" max="10290" width="12.25" style="30" customWidth="1"/>
    <col min="10291" max="10291" width="12.5" style="30" customWidth="1"/>
    <col min="10292" max="10292" width="12.25" style="30" customWidth="1"/>
    <col min="10293" max="10301" width="12.5" style="30" customWidth="1"/>
    <col min="10302" max="10302" width="12.25" style="30" customWidth="1"/>
    <col min="10303" max="10311" width="12.5" style="30" customWidth="1"/>
    <col min="10312" max="10312" width="12.25" style="30" customWidth="1"/>
    <col min="10313" max="10321" width="12.5" style="30" customWidth="1"/>
    <col min="10322" max="10322" width="12.25" style="30" customWidth="1"/>
    <col min="10323" max="10331" width="12.5" style="30" customWidth="1"/>
    <col min="10332" max="10332" width="12.25" style="30" customWidth="1"/>
    <col min="10333" max="10341" width="12.5" style="30" customWidth="1"/>
    <col min="10342" max="10342" width="12.25" style="30" customWidth="1"/>
    <col min="10343" max="10351" width="12.5" style="30" customWidth="1"/>
    <col min="10352" max="10352" width="12.25" style="30" customWidth="1"/>
    <col min="10353" max="10361" width="12.5" style="30" customWidth="1"/>
    <col min="10362" max="10362" width="12.25" style="30" customWidth="1"/>
    <col min="10363" max="10371" width="12.5" style="30" customWidth="1"/>
    <col min="10372" max="10372" width="12.25" style="30" customWidth="1"/>
    <col min="10373" max="10380" width="12.5" style="30" customWidth="1"/>
    <col min="10381" max="10381" width="12.25" style="30" customWidth="1"/>
    <col min="10382" max="10382" width="11.875" style="30" customWidth="1"/>
    <col min="10383" max="10390" width="12.25" style="30" customWidth="1"/>
    <col min="10391" max="10391" width="12.5" style="30" customWidth="1"/>
    <col min="10392" max="10392" width="12.25" style="30" customWidth="1"/>
    <col min="10393" max="10401" width="12.5" style="30" customWidth="1"/>
    <col min="10402" max="10402" width="12.25" style="30" customWidth="1"/>
    <col min="10403" max="10411" width="12.5" style="30" customWidth="1"/>
    <col min="10412" max="10412" width="12.25" style="30" customWidth="1"/>
    <col min="10413" max="10421" width="12.5" style="30" customWidth="1"/>
    <col min="10422" max="10422" width="12.25" style="30" customWidth="1"/>
    <col min="10423" max="10431" width="12.5" style="30" customWidth="1"/>
    <col min="10432" max="10432" width="12.25" style="30" customWidth="1"/>
    <col min="10433" max="10441" width="12.5" style="30" customWidth="1"/>
    <col min="10442" max="10442" width="12.25" style="30" customWidth="1"/>
    <col min="10443" max="10451" width="12.5" style="30" customWidth="1"/>
    <col min="10452" max="10452" width="12.25" style="30" customWidth="1"/>
    <col min="10453" max="10461" width="12.5" style="30" customWidth="1"/>
    <col min="10462" max="10462" width="12.25" style="30" customWidth="1"/>
    <col min="10463" max="10471" width="12.5" style="30" customWidth="1"/>
    <col min="10472" max="10472" width="12.25" style="30" customWidth="1"/>
    <col min="10473" max="10480" width="12.5" style="30" customWidth="1"/>
    <col min="10481" max="10481" width="12.25" style="30" customWidth="1"/>
    <col min="10482" max="10482" width="11.875" style="30" customWidth="1"/>
    <col min="10483" max="10490" width="12.25" style="30" customWidth="1"/>
    <col min="10491" max="10491" width="12.5" style="30" customWidth="1"/>
    <col min="10492" max="10492" width="12.25" style="30" customWidth="1"/>
    <col min="10493" max="10501" width="12.5" style="30" customWidth="1"/>
    <col min="10502" max="10502" width="12.25" style="30" customWidth="1"/>
    <col min="10503" max="10511" width="12.5" style="30" customWidth="1"/>
    <col min="10512" max="10512" width="12.25" style="30" customWidth="1"/>
    <col min="10513" max="10521" width="12.5" style="30" customWidth="1"/>
    <col min="10522" max="10522" width="12.25" style="30" customWidth="1"/>
    <col min="10523" max="10531" width="12.5" style="30" customWidth="1"/>
    <col min="10532" max="10532" width="12.25" style="30" customWidth="1"/>
    <col min="10533" max="10541" width="12.5" style="30" customWidth="1"/>
    <col min="10542" max="10542" width="12.25" style="30" customWidth="1"/>
    <col min="10543" max="10551" width="12.5" style="30" customWidth="1"/>
    <col min="10552" max="10552" width="12.25" style="30" customWidth="1"/>
    <col min="10553" max="10561" width="12.5" style="30" customWidth="1"/>
    <col min="10562" max="10562" width="12.25" style="30" customWidth="1"/>
    <col min="10563" max="10571" width="12.5" style="30" customWidth="1"/>
    <col min="10572" max="10572" width="12.25" style="30" customWidth="1"/>
    <col min="10573" max="10580" width="12.5" style="30" customWidth="1"/>
    <col min="10581" max="10581" width="12.25" style="30" customWidth="1"/>
    <col min="10582" max="10582" width="11.875" style="30" customWidth="1"/>
    <col min="10583" max="10590" width="12.25" style="30" customWidth="1"/>
    <col min="10591" max="10591" width="12.5" style="30" customWidth="1"/>
    <col min="10592" max="10592" width="12.25" style="30" customWidth="1"/>
    <col min="10593" max="10601" width="12.5" style="30" customWidth="1"/>
    <col min="10602" max="10602" width="12.25" style="30" customWidth="1"/>
    <col min="10603" max="10611" width="12.5" style="30" customWidth="1"/>
    <col min="10612" max="10612" width="12.25" style="30" customWidth="1"/>
    <col min="10613" max="10621" width="12.5" style="30" customWidth="1"/>
    <col min="10622" max="10622" width="12.25" style="30" customWidth="1"/>
    <col min="10623" max="10631" width="12.5" style="30" customWidth="1"/>
    <col min="10632" max="10632" width="12.25" style="30" customWidth="1"/>
    <col min="10633" max="10641" width="12.5" style="30" customWidth="1"/>
    <col min="10642" max="10642" width="12.25" style="30" customWidth="1"/>
    <col min="10643" max="10651" width="12.5" style="30" customWidth="1"/>
    <col min="10652" max="10652" width="12.25" style="30" customWidth="1"/>
    <col min="10653" max="10661" width="12.5" style="30" customWidth="1"/>
    <col min="10662" max="10662" width="12.25" style="30" customWidth="1"/>
    <col min="10663" max="10671" width="12.5" style="30" customWidth="1"/>
    <col min="10672" max="10672" width="12.25" style="30" customWidth="1"/>
    <col min="10673" max="10680" width="12.5" style="30" customWidth="1"/>
    <col min="10681" max="10681" width="12.25" style="30" customWidth="1"/>
    <col min="10682" max="10682" width="11.875" style="30" customWidth="1"/>
    <col min="10683" max="10690" width="12.25" style="30" customWidth="1"/>
    <col min="10691" max="10691" width="12.5" style="30" customWidth="1"/>
    <col min="10692" max="10692" width="12.25" style="30" customWidth="1"/>
    <col min="10693" max="10701" width="12.5" style="30" customWidth="1"/>
    <col min="10702" max="10702" width="12.25" style="30" customWidth="1"/>
    <col min="10703" max="10711" width="12.5" style="30" customWidth="1"/>
    <col min="10712" max="10712" width="12.25" style="30" customWidth="1"/>
    <col min="10713" max="10721" width="12.5" style="30" customWidth="1"/>
    <col min="10722" max="10722" width="12.25" style="30" customWidth="1"/>
    <col min="10723" max="10731" width="12.5" style="30" customWidth="1"/>
    <col min="10732" max="10732" width="12.25" style="30" customWidth="1"/>
    <col min="10733" max="10741" width="12.5" style="30" customWidth="1"/>
    <col min="10742" max="10742" width="12.25" style="30" customWidth="1"/>
    <col min="10743" max="10751" width="12.5" style="30" customWidth="1"/>
    <col min="10752" max="10752" width="12.25" style="30" customWidth="1"/>
    <col min="10753" max="10761" width="12.5" style="30" customWidth="1"/>
    <col min="10762" max="10762" width="12.25" style="30" customWidth="1"/>
    <col min="10763" max="10771" width="12.5" style="30" customWidth="1"/>
    <col min="10772" max="10772" width="12.25" style="30" customWidth="1"/>
    <col min="10773" max="10780" width="12.5" style="30" customWidth="1"/>
    <col min="10781" max="10781" width="12.25" style="30" customWidth="1"/>
    <col min="10782" max="10782" width="11.875" style="30" customWidth="1"/>
    <col min="10783" max="10790" width="12.25" style="30" customWidth="1"/>
    <col min="10791" max="10791" width="12.5" style="30" customWidth="1"/>
    <col min="10792" max="10792" width="12.25" style="30" customWidth="1"/>
    <col min="10793" max="10801" width="12.5" style="30" customWidth="1"/>
    <col min="10802" max="10802" width="12.25" style="30" customWidth="1"/>
    <col min="10803" max="10811" width="12.5" style="30" customWidth="1"/>
    <col min="10812" max="10812" width="12.25" style="30" customWidth="1"/>
    <col min="10813" max="10821" width="12.5" style="30" customWidth="1"/>
    <col min="10822" max="10822" width="12.25" style="30" customWidth="1"/>
    <col min="10823" max="10831" width="12.5" style="30" customWidth="1"/>
    <col min="10832" max="10832" width="12.25" style="30" customWidth="1"/>
    <col min="10833" max="10841" width="12.5" style="30" customWidth="1"/>
    <col min="10842" max="10842" width="12.25" style="30" customWidth="1"/>
    <col min="10843" max="10851" width="12.5" style="30" customWidth="1"/>
    <col min="10852" max="10852" width="12.25" style="30" customWidth="1"/>
    <col min="10853" max="10861" width="12.5" style="30" customWidth="1"/>
    <col min="10862" max="10862" width="12.25" style="30" customWidth="1"/>
    <col min="10863" max="10871" width="12.5" style="30" customWidth="1"/>
    <col min="10872" max="10872" width="12.25" style="30" customWidth="1"/>
    <col min="10873" max="10880" width="12.5" style="30" customWidth="1"/>
    <col min="10881" max="10881" width="12.25" style="30" customWidth="1"/>
    <col min="10882" max="10882" width="11.875" style="30" customWidth="1"/>
    <col min="10883" max="10890" width="12.25" style="30" customWidth="1"/>
    <col min="10891" max="10891" width="12.5" style="30" customWidth="1"/>
    <col min="10892" max="10892" width="12.25" style="30" customWidth="1"/>
    <col min="10893" max="10901" width="12.5" style="30" customWidth="1"/>
    <col min="10902" max="10902" width="12.25" style="30" customWidth="1"/>
    <col min="10903" max="10911" width="12.5" style="30" customWidth="1"/>
    <col min="10912" max="10912" width="12.25" style="30" customWidth="1"/>
    <col min="10913" max="10921" width="12.5" style="30" customWidth="1"/>
    <col min="10922" max="10922" width="12.25" style="30" customWidth="1"/>
    <col min="10923" max="10931" width="12.5" style="30" customWidth="1"/>
    <col min="10932" max="10932" width="12.25" style="30" customWidth="1"/>
    <col min="10933" max="10941" width="12.5" style="30" customWidth="1"/>
    <col min="10942" max="10942" width="12.25" style="30" customWidth="1"/>
    <col min="10943" max="10951" width="12.5" style="30" customWidth="1"/>
    <col min="10952" max="10952" width="12.25" style="30" customWidth="1"/>
    <col min="10953" max="10961" width="12.5" style="30" customWidth="1"/>
    <col min="10962" max="10962" width="12.25" style="30" customWidth="1"/>
    <col min="10963" max="10970" width="12.5" style="30" customWidth="1"/>
    <col min="10971" max="10971" width="12.25" style="30" customWidth="1"/>
    <col min="10972" max="10972" width="11.875" style="30" customWidth="1"/>
    <col min="10973" max="10980" width="12.25" style="30" customWidth="1"/>
    <col min="10981" max="10981" width="11.875" style="30" customWidth="1"/>
    <col min="10982" max="10982" width="11.625" style="30" customWidth="1"/>
    <col min="10983" max="10990" width="11.875" style="30" customWidth="1"/>
    <col min="10991" max="10991" width="12.25" style="30" customWidth="1"/>
    <col min="10992" max="10992" width="11.875" style="30" customWidth="1"/>
    <col min="10993" max="11001" width="12.25" style="30" customWidth="1"/>
    <col min="11002" max="11002" width="11.875" style="30" customWidth="1"/>
    <col min="11003" max="11011" width="12.25" style="30" customWidth="1"/>
    <col min="11012" max="11012" width="11.875" style="30" customWidth="1"/>
    <col min="11013" max="11021" width="12.25" style="30" customWidth="1"/>
    <col min="11022" max="11022" width="11.875" style="30" customWidth="1"/>
    <col min="11023" max="11031" width="12.25" style="30" customWidth="1"/>
    <col min="11032" max="11032" width="11.875" style="30" customWidth="1"/>
    <col min="11033" max="11041" width="12.25" style="30" customWidth="1"/>
    <col min="11042" max="11042" width="11.875" style="30" customWidth="1"/>
    <col min="11043" max="11051" width="12.25" style="30" customWidth="1"/>
    <col min="11052" max="11052" width="11.875" style="30" customWidth="1"/>
    <col min="11053" max="11061" width="12.25" style="30" customWidth="1"/>
    <col min="11062" max="11062" width="11.875" style="30" customWidth="1"/>
    <col min="11063" max="11070" width="12.25" style="30" customWidth="1"/>
    <col min="11071" max="11071" width="11.875" style="30" customWidth="1"/>
    <col min="11072" max="11072" width="11.625" style="30" customWidth="1"/>
    <col min="11073" max="11080" width="11.875" style="30" customWidth="1"/>
    <col min="11081" max="11081" width="11.625" style="30" customWidth="1"/>
    <col min="11082" max="11082" width="11.375" style="30" customWidth="1"/>
    <col min="11083" max="11090" width="11.625" style="30" customWidth="1"/>
    <col min="11091" max="11091" width="11.875" style="30" customWidth="1"/>
    <col min="11092" max="11092" width="11.625" style="30" customWidth="1"/>
    <col min="11093" max="11101" width="11.875" style="30" customWidth="1"/>
    <col min="11102" max="11102" width="11.625" style="30" customWidth="1"/>
    <col min="11103" max="11111" width="11.875" style="30" customWidth="1"/>
    <col min="11112" max="11112" width="11.625" style="30" customWidth="1"/>
    <col min="11113" max="11121" width="11.875" style="30" customWidth="1"/>
    <col min="11122" max="11122" width="11.625" style="30" customWidth="1"/>
    <col min="11123" max="11131" width="11.875" style="30" customWidth="1"/>
    <col min="11132" max="11132" width="11.625" style="30" customWidth="1"/>
    <col min="11133" max="11141" width="11.875" style="30" customWidth="1"/>
    <col min="11142" max="11142" width="11.625" style="30" customWidth="1"/>
    <col min="11143" max="11151" width="11.875" style="30" customWidth="1"/>
    <col min="11152" max="11152" width="11.625" style="30" customWidth="1"/>
    <col min="11153" max="11161" width="11.875" style="30" customWidth="1"/>
    <col min="11162" max="11162" width="11.625" style="30" customWidth="1"/>
    <col min="11163" max="11170" width="11.875" style="30" customWidth="1"/>
    <col min="11171" max="11171" width="12.25" style="30" customWidth="1"/>
    <col min="11172" max="11172" width="11.875" style="30" customWidth="1"/>
    <col min="11173" max="11180" width="12.25" style="30" customWidth="1"/>
    <col min="11181" max="11181" width="11.875" style="30" customWidth="1"/>
    <col min="11182" max="11182" width="11.625" style="30" customWidth="1"/>
    <col min="11183" max="11190" width="11.875" style="30" customWidth="1"/>
    <col min="11191" max="11191" width="12.25" style="30" customWidth="1"/>
    <col min="11192" max="11192" width="11.875" style="30" customWidth="1"/>
    <col min="11193" max="11201" width="12.25" style="30" customWidth="1"/>
    <col min="11202" max="11202" width="11.875" style="30" customWidth="1"/>
    <col min="11203" max="11211" width="12.25" style="30" customWidth="1"/>
    <col min="11212" max="11212" width="11.875" style="30" customWidth="1"/>
    <col min="11213" max="11221" width="12.25" style="30" customWidth="1"/>
    <col min="11222" max="11222" width="11.875" style="30" customWidth="1"/>
    <col min="11223" max="11231" width="12.25" style="30" customWidth="1"/>
    <col min="11232" max="11232" width="11.875" style="30" customWidth="1"/>
    <col min="11233" max="11241" width="12.25" style="30" customWidth="1"/>
    <col min="11242" max="11242" width="11.875" style="30" customWidth="1"/>
    <col min="11243" max="11251" width="12.25" style="30" customWidth="1"/>
    <col min="11252" max="11252" width="11.875" style="30" customWidth="1"/>
    <col min="11253" max="11261" width="12.25" style="30" customWidth="1"/>
    <col min="11262" max="11262" width="11.875" style="30" customWidth="1"/>
    <col min="11263" max="11271" width="12.25" style="30" customWidth="1"/>
    <col min="11272" max="11272" width="11.875" style="30" customWidth="1"/>
    <col min="11273" max="11280" width="12.25" style="30" customWidth="1"/>
    <col min="11281" max="11281" width="11.875" style="30" customWidth="1"/>
    <col min="11282" max="11282" width="11.625" style="30" customWidth="1"/>
    <col min="11283" max="11290" width="11.875" style="30" customWidth="1"/>
    <col min="11291" max="11291" width="12.25" style="30" customWidth="1"/>
    <col min="11292" max="11292" width="11.875" style="30" customWidth="1"/>
    <col min="11293" max="11301" width="12.25" style="30" customWidth="1"/>
    <col min="11302" max="11302" width="11.875" style="30" customWidth="1"/>
    <col min="11303" max="11311" width="12.25" style="30" customWidth="1"/>
    <col min="11312" max="11312" width="11.875" style="30" customWidth="1"/>
    <col min="11313" max="11321" width="12.25" style="30" customWidth="1"/>
    <col min="11322" max="11322" width="11.875" style="30" customWidth="1"/>
    <col min="11323" max="11331" width="12.25" style="30" customWidth="1"/>
    <col min="11332" max="11332" width="11.875" style="30" customWidth="1"/>
    <col min="11333" max="11341" width="12.25" style="30" customWidth="1"/>
    <col min="11342" max="11342" width="11.875" style="30" customWidth="1"/>
    <col min="11343" max="11351" width="12.25" style="30" customWidth="1"/>
    <col min="11352" max="11352" width="11.875" style="30" customWidth="1"/>
    <col min="11353" max="11361" width="12.25" style="30" customWidth="1"/>
    <col min="11362" max="11362" width="11.875" style="30" customWidth="1"/>
    <col min="11363" max="11371" width="12.25" style="30" customWidth="1"/>
    <col min="11372" max="11372" width="11.875" style="30" customWidth="1"/>
    <col min="11373" max="11380" width="12.25" style="30" customWidth="1"/>
    <col min="11381" max="11381" width="11.875" style="30" customWidth="1"/>
    <col min="11382" max="11382" width="11.625" style="30" customWidth="1"/>
    <col min="11383" max="11390" width="11.875" style="30" customWidth="1"/>
    <col min="11391" max="11391" width="12.25" style="30" customWidth="1"/>
    <col min="11392" max="11392" width="11.875" style="30" customWidth="1"/>
    <col min="11393" max="11401" width="12.25" style="30" customWidth="1"/>
    <col min="11402" max="11402" width="11.875" style="30" customWidth="1"/>
    <col min="11403" max="11411" width="12.25" style="30" customWidth="1"/>
    <col min="11412" max="11412" width="11.875" style="30" customWidth="1"/>
    <col min="11413" max="11421" width="12.25" style="30" customWidth="1"/>
    <col min="11422" max="11422" width="11.875" style="30" customWidth="1"/>
    <col min="11423" max="11431" width="12.25" style="30" customWidth="1"/>
    <col min="11432" max="11432" width="11.875" style="30" customWidth="1"/>
    <col min="11433" max="11441" width="12.25" style="30" customWidth="1"/>
    <col min="11442" max="11442" width="11.875" style="30" customWidth="1"/>
    <col min="11443" max="11451" width="12.25" style="30" customWidth="1"/>
    <col min="11452" max="11452" width="11.875" style="30" customWidth="1"/>
    <col min="11453" max="11461" width="12.25" style="30" customWidth="1"/>
    <col min="11462" max="11462" width="11.875" style="30" customWidth="1"/>
    <col min="11463" max="11471" width="12.25" style="30" customWidth="1"/>
    <col min="11472" max="11472" width="11.875" style="30" customWidth="1"/>
    <col min="11473" max="11480" width="12.25" style="30" customWidth="1"/>
    <col min="11481" max="11481" width="11.875" style="30" customWidth="1"/>
    <col min="11482" max="11482" width="11.625" style="30" customWidth="1"/>
    <col min="11483" max="11490" width="11.875" style="30" customWidth="1"/>
    <col min="11491" max="11491" width="12.25" style="30" customWidth="1"/>
    <col min="11492" max="11492" width="11.875" style="30" customWidth="1"/>
    <col min="11493" max="11501" width="12.25" style="30" customWidth="1"/>
    <col min="11502" max="11502" width="11.875" style="30" customWidth="1"/>
    <col min="11503" max="11511" width="12.25" style="30" customWidth="1"/>
    <col min="11512" max="11512" width="11.875" style="30" customWidth="1"/>
    <col min="11513" max="11521" width="12.25" style="30" customWidth="1"/>
    <col min="11522" max="11522" width="11.875" style="30" customWidth="1"/>
    <col min="11523" max="11531" width="12.25" style="30" customWidth="1"/>
    <col min="11532" max="11532" width="11.875" style="30" customWidth="1"/>
    <col min="11533" max="11541" width="12.25" style="30" customWidth="1"/>
    <col min="11542" max="11542" width="11.875" style="30" customWidth="1"/>
    <col min="11543" max="11551" width="12.25" style="30" customWidth="1"/>
    <col min="11552" max="11552" width="11.875" style="30" customWidth="1"/>
    <col min="11553" max="11561" width="12.25" style="30" customWidth="1"/>
    <col min="11562" max="11562" width="11.875" style="30" customWidth="1"/>
    <col min="11563" max="11571" width="12.25" style="30" customWidth="1"/>
    <col min="11572" max="11572" width="11.875" style="30" customWidth="1"/>
    <col min="11573" max="11580" width="12.25" style="30" customWidth="1"/>
    <col min="11581" max="11581" width="11.875" style="30" customWidth="1"/>
    <col min="11582" max="11582" width="11.625" style="30" customWidth="1"/>
    <col min="11583" max="11590" width="11.875" style="30" customWidth="1"/>
    <col min="11591" max="11591" width="12.25" style="30" customWidth="1"/>
    <col min="11592" max="11592" width="11.875" style="30" customWidth="1"/>
    <col min="11593" max="11601" width="12.25" style="30" customWidth="1"/>
    <col min="11602" max="11602" width="11.875" style="30" customWidth="1"/>
    <col min="11603" max="11611" width="12.25" style="30" customWidth="1"/>
    <col min="11612" max="11612" width="11.875" style="30" customWidth="1"/>
    <col min="11613" max="11621" width="12.25" style="30" customWidth="1"/>
    <col min="11622" max="11622" width="11.875" style="30" customWidth="1"/>
    <col min="11623" max="11631" width="12.25" style="30" customWidth="1"/>
    <col min="11632" max="11632" width="11.875" style="30" customWidth="1"/>
    <col min="11633" max="11641" width="12.25" style="30" customWidth="1"/>
    <col min="11642" max="11642" width="11.875" style="30" customWidth="1"/>
    <col min="11643" max="11651" width="12.25" style="30" customWidth="1"/>
    <col min="11652" max="11652" width="11.875" style="30" customWidth="1"/>
    <col min="11653" max="11661" width="12.25" style="30" customWidth="1"/>
    <col min="11662" max="11662" width="11.875" style="30" customWidth="1"/>
    <col min="11663" max="11671" width="12.25" style="30" customWidth="1"/>
    <col min="11672" max="11672" width="11.875" style="30" customWidth="1"/>
    <col min="11673" max="11680" width="12.25" style="30" customWidth="1"/>
    <col min="11681" max="11681" width="11.875" style="30" customWidth="1"/>
    <col min="11682" max="11682" width="11.625" style="30" customWidth="1"/>
    <col min="11683" max="11690" width="11.875" style="30" customWidth="1"/>
    <col min="11691" max="11691" width="12.25" style="30" customWidth="1"/>
    <col min="11692" max="11692" width="11.875" style="30" customWidth="1"/>
    <col min="11693" max="11701" width="12.25" style="30" customWidth="1"/>
    <col min="11702" max="11702" width="11.875" style="30" customWidth="1"/>
    <col min="11703" max="11711" width="12.25" style="30" customWidth="1"/>
    <col min="11712" max="11712" width="11.875" style="30" customWidth="1"/>
    <col min="11713" max="11721" width="12.25" style="30" customWidth="1"/>
    <col min="11722" max="11722" width="11.875" style="30" customWidth="1"/>
    <col min="11723" max="11731" width="12.25" style="30" customWidth="1"/>
    <col min="11732" max="11732" width="11.875" style="30" customWidth="1"/>
    <col min="11733" max="11741" width="12.25" style="30" customWidth="1"/>
    <col min="11742" max="11742" width="11.875" style="30" customWidth="1"/>
    <col min="11743" max="11751" width="12.25" style="30" customWidth="1"/>
    <col min="11752" max="11752" width="11.875" style="30" customWidth="1"/>
    <col min="11753" max="11761" width="12.25" style="30" customWidth="1"/>
    <col min="11762" max="11762" width="11.875" style="30" customWidth="1"/>
    <col min="11763" max="11771" width="12.25" style="30" customWidth="1"/>
    <col min="11772" max="11772" width="11.875" style="30" customWidth="1"/>
    <col min="11773" max="11780" width="12.25" style="30" customWidth="1"/>
    <col min="11781" max="11781" width="11.875" style="30" customWidth="1"/>
    <col min="11782" max="11782" width="11.625" style="30" customWidth="1"/>
    <col min="11783" max="11790" width="11.875" style="30" customWidth="1"/>
    <col min="11791" max="11791" width="12.25" style="30" customWidth="1"/>
    <col min="11792" max="11792" width="11.875" style="30" customWidth="1"/>
    <col min="11793" max="11801" width="12.25" style="30" customWidth="1"/>
    <col min="11802" max="11802" width="11.875" style="30" customWidth="1"/>
    <col min="11803" max="11811" width="12.25" style="30" customWidth="1"/>
    <col min="11812" max="11812" width="11.875" style="30" customWidth="1"/>
    <col min="11813" max="11821" width="12.25" style="30" customWidth="1"/>
    <col min="11822" max="11822" width="11.875" style="30" customWidth="1"/>
    <col min="11823" max="11831" width="12.25" style="30" customWidth="1"/>
    <col min="11832" max="11832" width="11.875" style="30" customWidth="1"/>
    <col min="11833" max="11841" width="12.25" style="30" customWidth="1"/>
    <col min="11842" max="11842" width="11.875" style="30" customWidth="1"/>
    <col min="11843" max="11851" width="12.25" style="30" customWidth="1"/>
    <col min="11852" max="11852" width="11.875" style="30" customWidth="1"/>
    <col min="11853" max="11861" width="12.25" style="30" customWidth="1"/>
    <col min="11862" max="11862" width="11.875" style="30" customWidth="1"/>
    <col min="11863" max="11871" width="12.25" style="30" customWidth="1"/>
    <col min="11872" max="11872" width="11.875" style="30" customWidth="1"/>
    <col min="11873" max="11880" width="12.25" style="30" customWidth="1"/>
    <col min="11881" max="11881" width="11.875" style="30" customWidth="1"/>
    <col min="11882" max="11882" width="11.625" style="30" customWidth="1"/>
    <col min="11883" max="11890" width="11.875" style="30" customWidth="1"/>
    <col min="11891" max="11891" width="12.25" style="30" customWidth="1"/>
    <col min="11892" max="11892" width="11.875" style="30" customWidth="1"/>
    <col min="11893" max="11901" width="12.25" style="30" customWidth="1"/>
    <col min="11902" max="11902" width="11.875" style="30" customWidth="1"/>
    <col min="11903" max="11911" width="12.25" style="30" customWidth="1"/>
    <col min="11912" max="11912" width="11.875" style="30" customWidth="1"/>
    <col min="11913" max="11921" width="12.25" style="30" customWidth="1"/>
    <col min="11922" max="11922" width="11.875" style="30" customWidth="1"/>
    <col min="11923" max="11931" width="12.25" style="30" customWidth="1"/>
    <col min="11932" max="11932" width="11.875" style="30" customWidth="1"/>
    <col min="11933" max="11941" width="12.25" style="30" customWidth="1"/>
    <col min="11942" max="11942" width="11.875" style="30" customWidth="1"/>
    <col min="11943" max="11951" width="12.25" style="30" customWidth="1"/>
    <col min="11952" max="11952" width="11.875" style="30" customWidth="1"/>
    <col min="11953" max="11961" width="12.25" style="30" customWidth="1"/>
    <col min="11962" max="11962" width="11.875" style="30" customWidth="1"/>
    <col min="11963" max="11970" width="12.25" style="30" customWidth="1"/>
    <col min="11971" max="11971" width="12.5" style="30" customWidth="1"/>
    <col min="11972" max="11972" width="12.25" style="30" customWidth="1"/>
    <col min="11973" max="11980" width="12.5" style="30" customWidth="1"/>
    <col min="11981" max="11981" width="12.25" style="30" customWidth="1"/>
    <col min="11982" max="11982" width="11.875" style="30" customWidth="1"/>
    <col min="11983" max="11990" width="12.25" style="30" customWidth="1"/>
    <col min="11991" max="11991" width="12.5" style="30" customWidth="1"/>
    <col min="11992" max="11992" width="12.25" style="30" customWidth="1"/>
    <col min="11993" max="12001" width="12.5" style="30" customWidth="1"/>
    <col min="12002" max="12002" width="12.25" style="30" customWidth="1"/>
    <col min="12003" max="12011" width="12.5" style="30" customWidth="1"/>
    <col min="12012" max="12012" width="12.25" style="30" customWidth="1"/>
    <col min="12013" max="12021" width="12.5" style="30" customWidth="1"/>
    <col min="12022" max="12022" width="12.25" style="30" customWidth="1"/>
    <col min="12023" max="12031" width="12.5" style="30" customWidth="1"/>
    <col min="12032" max="12032" width="12.25" style="30" customWidth="1"/>
    <col min="12033" max="12041" width="12.5" style="30" customWidth="1"/>
    <col min="12042" max="12042" width="12.25" style="30" customWidth="1"/>
    <col min="12043" max="12051" width="12.5" style="30" customWidth="1"/>
    <col min="12052" max="12052" width="12.25" style="30" customWidth="1"/>
    <col min="12053" max="12061" width="12.5" style="30" customWidth="1"/>
    <col min="12062" max="12062" width="12.25" style="30" customWidth="1"/>
    <col min="12063" max="12070" width="12.5" style="30" customWidth="1"/>
    <col min="12071" max="12071" width="12.25" style="30" customWidth="1"/>
    <col min="12072" max="12072" width="11.875" style="30" customWidth="1"/>
    <col min="12073" max="12080" width="12.25" style="30" customWidth="1"/>
    <col min="12081" max="12081" width="11.875" style="30" customWidth="1"/>
    <col min="12082" max="12082" width="11.625" style="30" customWidth="1"/>
    <col min="12083" max="12090" width="11.875" style="30" customWidth="1"/>
    <col min="12091" max="12091" width="12.25" style="30" customWidth="1"/>
    <col min="12092" max="12092" width="11.875" style="30" customWidth="1"/>
    <col min="12093" max="12101" width="12.25" style="30" customWidth="1"/>
    <col min="12102" max="12102" width="11.875" style="30" customWidth="1"/>
    <col min="12103" max="12111" width="12.25" style="30" customWidth="1"/>
    <col min="12112" max="12112" width="11.875" style="30" customWidth="1"/>
    <col min="12113" max="12121" width="12.25" style="30" customWidth="1"/>
    <col min="12122" max="12122" width="11.875" style="30" customWidth="1"/>
    <col min="12123" max="12131" width="12.25" style="30" customWidth="1"/>
    <col min="12132" max="12132" width="11.875" style="30" customWidth="1"/>
    <col min="12133" max="12141" width="12.25" style="30" customWidth="1"/>
    <col min="12142" max="12142" width="11.875" style="30" customWidth="1"/>
    <col min="12143" max="12151" width="12.25" style="30" customWidth="1"/>
    <col min="12152" max="12152" width="11.875" style="30" customWidth="1"/>
    <col min="12153" max="12161" width="12.25" style="30" customWidth="1"/>
    <col min="12162" max="12162" width="11.875" style="30" customWidth="1"/>
    <col min="12163" max="12170" width="12.25" style="30" customWidth="1"/>
    <col min="12171" max="12171" width="12.5" style="30" customWidth="1"/>
    <col min="12172" max="12172" width="12.25" style="30" customWidth="1"/>
    <col min="12173" max="12180" width="12.5" style="30" customWidth="1"/>
    <col min="12181" max="12181" width="12.25" style="30" customWidth="1"/>
    <col min="12182" max="12182" width="11.875" style="30" customWidth="1"/>
    <col min="12183" max="12190" width="12.25" style="30" customWidth="1"/>
    <col min="12191" max="12191" width="12.5" style="30" customWidth="1"/>
    <col min="12192" max="12192" width="12.25" style="30" customWidth="1"/>
    <col min="12193" max="12201" width="12.5" style="30" customWidth="1"/>
    <col min="12202" max="12202" width="12.25" style="30" customWidth="1"/>
    <col min="12203" max="12211" width="12.5" style="30" customWidth="1"/>
    <col min="12212" max="12212" width="12.25" style="30" customWidth="1"/>
    <col min="12213" max="12221" width="12.5" style="30" customWidth="1"/>
    <col min="12222" max="12222" width="12.25" style="30" customWidth="1"/>
    <col min="12223" max="12231" width="12.5" style="30" customWidth="1"/>
    <col min="12232" max="12232" width="12.25" style="30" customWidth="1"/>
    <col min="12233" max="12241" width="12.5" style="30" customWidth="1"/>
    <col min="12242" max="12242" width="12.25" style="30" customWidth="1"/>
    <col min="12243" max="12251" width="12.5" style="30" customWidth="1"/>
    <col min="12252" max="12252" width="12.25" style="30" customWidth="1"/>
    <col min="12253" max="12261" width="12.5" style="30" customWidth="1"/>
    <col min="12262" max="12262" width="12.25" style="30" customWidth="1"/>
    <col min="12263" max="12271" width="12.5" style="30" customWidth="1"/>
    <col min="12272" max="12272" width="12.25" style="30" customWidth="1"/>
    <col min="12273" max="12280" width="12.5" style="30" customWidth="1"/>
    <col min="12281" max="12281" width="12.25" style="30" customWidth="1"/>
    <col min="12282" max="12282" width="11.875" style="30" customWidth="1"/>
    <col min="12283" max="12290" width="12.25" style="30" customWidth="1"/>
    <col min="12291" max="12291" width="12.5" style="30" customWidth="1"/>
    <col min="12292" max="12292" width="12.25" style="30" customWidth="1"/>
    <col min="12293" max="12301" width="12.5" style="30" customWidth="1"/>
    <col min="12302" max="12302" width="12.25" style="30" customWidth="1"/>
    <col min="12303" max="12311" width="12.5" style="30" customWidth="1"/>
    <col min="12312" max="12312" width="12.25" style="30" customWidth="1"/>
    <col min="12313" max="12321" width="12.5" style="30" customWidth="1"/>
    <col min="12322" max="12322" width="12.25" style="30" customWidth="1"/>
    <col min="12323" max="12331" width="12.5" style="30" customWidth="1"/>
    <col min="12332" max="12332" width="12.25" style="30" customWidth="1"/>
    <col min="12333" max="12341" width="12.5" style="30" customWidth="1"/>
    <col min="12342" max="12342" width="12.25" style="30" customWidth="1"/>
    <col min="12343" max="12351" width="12.5" style="30" customWidth="1"/>
    <col min="12352" max="12352" width="12.25" style="30" customWidth="1"/>
    <col min="12353" max="12361" width="12.5" style="30" customWidth="1"/>
    <col min="12362" max="12362" width="12.25" style="30" customWidth="1"/>
    <col min="12363" max="12371" width="12.5" style="30" customWidth="1"/>
    <col min="12372" max="12372" width="12.25" style="30" customWidth="1"/>
    <col min="12373" max="12380" width="12.5" style="30" customWidth="1"/>
    <col min="12381" max="12381" width="12.25" style="30" customWidth="1"/>
    <col min="12382" max="12382" width="11.875" style="30" customWidth="1"/>
    <col min="12383" max="12390" width="12.25" style="30" customWidth="1"/>
    <col min="12391" max="12391" width="12.5" style="30" customWidth="1"/>
    <col min="12392" max="12392" width="12.25" style="30" customWidth="1"/>
    <col min="12393" max="12401" width="12.5" style="30" customWidth="1"/>
    <col min="12402" max="12402" width="12.25" style="30" customWidth="1"/>
    <col min="12403" max="12411" width="12.5" style="30" customWidth="1"/>
    <col min="12412" max="12412" width="12.25" style="30" customWidth="1"/>
    <col min="12413" max="12421" width="12.5" style="30" customWidth="1"/>
    <col min="12422" max="12422" width="12.25" style="30" customWidth="1"/>
    <col min="12423" max="12431" width="12.5" style="30" customWidth="1"/>
    <col min="12432" max="12432" width="12.25" style="30" customWidth="1"/>
    <col min="12433" max="12441" width="12.5" style="30" customWidth="1"/>
    <col min="12442" max="12442" width="12.25" style="30" customWidth="1"/>
    <col min="12443" max="12451" width="12.5" style="30" customWidth="1"/>
    <col min="12452" max="12452" width="12.25" style="30" customWidth="1"/>
    <col min="12453" max="12461" width="12.5" style="30" customWidth="1"/>
    <col min="12462" max="12462" width="12.25" style="30" customWidth="1"/>
    <col min="12463" max="12471" width="12.5" style="30" customWidth="1"/>
    <col min="12472" max="12472" width="12.25" style="30" customWidth="1"/>
    <col min="12473" max="12480" width="12.5" style="30" customWidth="1"/>
    <col min="12481" max="12481" width="12.25" style="30" customWidth="1"/>
    <col min="12482" max="12482" width="11.875" style="30" customWidth="1"/>
    <col min="12483" max="12490" width="12.25" style="30" customWidth="1"/>
    <col min="12491" max="12491" width="12.5" style="30" customWidth="1"/>
    <col min="12492" max="12492" width="12.25" style="30" customWidth="1"/>
    <col min="12493" max="12501" width="12.5" style="30" customWidth="1"/>
    <col min="12502" max="12502" width="12.25" style="30" customWidth="1"/>
    <col min="12503" max="12511" width="12.5" style="30" customWidth="1"/>
    <col min="12512" max="12512" width="12.25" style="30" customWidth="1"/>
    <col min="12513" max="12521" width="12.5" style="30" customWidth="1"/>
    <col min="12522" max="12522" width="12.25" style="30" customWidth="1"/>
    <col min="12523" max="12531" width="12.5" style="30" customWidth="1"/>
    <col min="12532" max="12532" width="12.25" style="30" customWidth="1"/>
    <col min="12533" max="12541" width="12.5" style="30" customWidth="1"/>
    <col min="12542" max="12542" width="12.25" style="30" customWidth="1"/>
    <col min="12543" max="12551" width="12.5" style="30" customWidth="1"/>
    <col min="12552" max="12552" width="12.25" style="30" customWidth="1"/>
    <col min="12553" max="12561" width="12.5" style="30" customWidth="1"/>
    <col min="12562" max="12562" width="12.25" style="30" customWidth="1"/>
    <col min="12563" max="12571" width="12.5" style="30" customWidth="1"/>
    <col min="12572" max="12572" width="12.25" style="30" customWidth="1"/>
    <col min="12573" max="12580" width="12.5" style="30" customWidth="1"/>
    <col min="12581" max="12581" width="12.25" style="30" customWidth="1"/>
    <col min="12582" max="12582" width="11.875" style="30" customWidth="1"/>
    <col min="12583" max="12590" width="12.25" style="30" customWidth="1"/>
    <col min="12591" max="12591" width="12.5" style="30" customWidth="1"/>
    <col min="12592" max="12592" width="12.25" style="30" customWidth="1"/>
    <col min="12593" max="12601" width="12.5" style="30" customWidth="1"/>
    <col min="12602" max="12602" width="12.25" style="30" customWidth="1"/>
    <col min="12603" max="12611" width="12.5" style="30" customWidth="1"/>
    <col min="12612" max="12612" width="12.25" style="30" customWidth="1"/>
    <col min="12613" max="12621" width="12.5" style="30" customWidth="1"/>
    <col min="12622" max="12622" width="12.25" style="30" customWidth="1"/>
    <col min="12623" max="12631" width="12.5" style="30" customWidth="1"/>
    <col min="12632" max="12632" width="12.25" style="30" customWidth="1"/>
    <col min="12633" max="12641" width="12.5" style="30" customWidth="1"/>
    <col min="12642" max="12642" width="12.25" style="30" customWidth="1"/>
    <col min="12643" max="12651" width="12.5" style="30" customWidth="1"/>
    <col min="12652" max="12652" width="12.25" style="30" customWidth="1"/>
    <col min="12653" max="12661" width="12.5" style="30" customWidth="1"/>
    <col min="12662" max="12662" width="12.25" style="30" customWidth="1"/>
    <col min="12663" max="12671" width="12.5" style="30" customWidth="1"/>
    <col min="12672" max="12672" width="12.25" style="30" customWidth="1"/>
    <col min="12673" max="12680" width="12.5" style="30" customWidth="1"/>
    <col min="12681" max="12681" width="12.25" style="30" customWidth="1"/>
    <col min="12682" max="12682" width="11.875" style="30" customWidth="1"/>
    <col min="12683" max="12690" width="12.25" style="30" customWidth="1"/>
    <col min="12691" max="12691" width="12.5" style="30" customWidth="1"/>
    <col min="12692" max="12692" width="12.25" style="30" customWidth="1"/>
    <col min="12693" max="12701" width="12.5" style="30" customWidth="1"/>
    <col min="12702" max="12702" width="12.25" style="30" customWidth="1"/>
    <col min="12703" max="12711" width="12.5" style="30" customWidth="1"/>
    <col min="12712" max="12712" width="12.25" style="30" customWidth="1"/>
    <col min="12713" max="12721" width="12.5" style="30" customWidth="1"/>
    <col min="12722" max="12722" width="12.25" style="30" customWidth="1"/>
    <col min="12723" max="12731" width="12.5" style="30" customWidth="1"/>
    <col min="12732" max="12732" width="12.25" style="30" customWidth="1"/>
    <col min="12733" max="12741" width="12.5" style="30" customWidth="1"/>
    <col min="12742" max="12742" width="12.25" style="30" customWidth="1"/>
    <col min="12743" max="12751" width="12.5" style="30" customWidth="1"/>
    <col min="12752" max="12752" width="12.25" style="30" customWidth="1"/>
    <col min="12753" max="12761" width="12.5" style="30" customWidth="1"/>
    <col min="12762" max="12762" width="12.25" style="30" customWidth="1"/>
    <col min="12763" max="12771" width="12.5" style="30" customWidth="1"/>
    <col min="12772" max="12772" width="12.25" style="30" customWidth="1"/>
    <col min="12773" max="12780" width="12.5" style="30" customWidth="1"/>
    <col min="12781" max="12781" width="12.25" style="30" customWidth="1"/>
    <col min="12782" max="12782" width="11.875" style="30" customWidth="1"/>
    <col min="12783" max="12790" width="12.25" style="30" customWidth="1"/>
    <col min="12791" max="12791" width="12.5" style="30" customWidth="1"/>
    <col min="12792" max="12792" width="12.25" style="30" customWidth="1"/>
    <col min="12793" max="12801" width="12.5" style="30" customWidth="1"/>
    <col min="12802" max="12802" width="12.25" style="30" customWidth="1"/>
    <col min="12803" max="12811" width="12.5" style="30" customWidth="1"/>
    <col min="12812" max="12812" width="12.25" style="30" customWidth="1"/>
    <col min="12813" max="12821" width="12.5" style="30" customWidth="1"/>
    <col min="12822" max="12822" width="12.25" style="30" customWidth="1"/>
    <col min="12823" max="12831" width="12.5" style="30" customWidth="1"/>
    <col min="12832" max="12832" width="12.25" style="30" customWidth="1"/>
    <col min="12833" max="12841" width="12.5" style="30" customWidth="1"/>
    <col min="12842" max="12842" width="12.25" style="30" customWidth="1"/>
    <col min="12843" max="12851" width="12.5" style="30" customWidth="1"/>
    <col min="12852" max="12852" width="12.25" style="30" customWidth="1"/>
    <col min="12853" max="12861" width="12.5" style="30" customWidth="1"/>
    <col min="12862" max="12862" width="12.25" style="30" customWidth="1"/>
    <col min="12863" max="12871" width="12.5" style="30" customWidth="1"/>
    <col min="12872" max="12872" width="12.25" style="30" customWidth="1"/>
    <col min="12873" max="12880" width="12.5" style="30" customWidth="1"/>
    <col min="12881" max="12881" width="12.25" style="30" customWidth="1"/>
    <col min="12882" max="12882" width="11.875" style="30" customWidth="1"/>
    <col min="12883" max="12890" width="12.25" style="30" customWidth="1"/>
    <col min="12891" max="12891" width="12.5" style="30" customWidth="1"/>
    <col min="12892" max="12892" width="12.25" style="30" customWidth="1"/>
    <col min="12893" max="12901" width="12.5" style="30" customWidth="1"/>
    <col min="12902" max="12902" width="12.25" style="30" customWidth="1"/>
    <col min="12903" max="12911" width="12.5" style="30" customWidth="1"/>
    <col min="12912" max="12912" width="12.25" style="30" customWidth="1"/>
    <col min="12913" max="12921" width="12.5" style="30" customWidth="1"/>
    <col min="12922" max="12922" width="12.25" style="30" customWidth="1"/>
    <col min="12923" max="12931" width="12.5" style="30" customWidth="1"/>
    <col min="12932" max="12932" width="12.25" style="30" customWidth="1"/>
    <col min="12933" max="12941" width="12.5" style="30" customWidth="1"/>
    <col min="12942" max="12942" width="12.25" style="30" customWidth="1"/>
    <col min="12943" max="12951" width="12.5" style="30" customWidth="1"/>
    <col min="12952" max="12952" width="12.25" style="30" customWidth="1"/>
    <col min="12953" max="12961" width="12.5" style="30" customWidth="1"/>
    <col min="12962" max="12962" width="12.25" style="30" customWidth="1"/>
    <col min="12963" max="12971" width="12.5" style="30" customWidth="1"/>
    <col min="12972" max="12972" width="12.25" style="30" customWidth="1"/>
    <col min="12973" max="12980" width="12.5" style="30" customWidth="1"/>
    <col min="12981" max="12981" width="12.25" style="30" customWidth="1"/>
    <col min="12982" max="12982" width="11.875" style="30" customWidth="1"/>
    <col min="12983" max="12990" width="12.25" style="30" customWidth="1"/>
    <col min="12991" max="12991" width="12.5" style="30" customWidth="1"/>
    <col min="12992" max="12992" width="12.25" style="30" customWidth="1"/>
    <col min="12993" max="13001" width="12.5" style="30" customWidth="1"/>
    <col min="13002" max="13002" width="12.25" style="30" customWidth="1"/>
    <col min="13003" max="13011" width="12.5" style="30" customWidth="1"/>
    <col min="13012" max="13012" width="12.25" style="30" customWidth="1"/>
    <col min="13013" max="13021" width="12.5" style="30" customWidth="1"/>
    <col min="13022" max="13022" width="12.25" style="30" customWidth="1"/>
    <col min="13023" max="13031" width="12.5" style="30" customWidth="1"/>
    <col min="13032" max="13032" width="12.25" style="30" customWidth="1"/>
    <col min="13033" max="13041" width="12.5" style="30" customWidth="1"/>
    <col min="13042" max="13042" width="12.25" style="30" customWidth="1"/>
    <col min="13043" max="13051" width="12.5" style="30" customWidth="1"/>
    <col min="13052" max="13052" width="12.25" style="30" customWidth="1"/>
    <col min="13053" max="13061" width="12.5" style="30" customWidth="1"/>
    <col min="13062" max="13062" width="12.25" style="30" customWidth="1"/>
    <col min="13063" max="13070" width="12.5" style="30" customWidth="1"/>
    <col min="13071" max="13071" width="12.25" style="30" customWidth="1"/>
    <col min="13072" max="13072" width="11.875" style="30" customWidth="1"/>
    <col min="13073" max="13080" width="12.25" style="30" customWidth="1"/>
    <col min="13081" max="13081" width="11.875" style="30" customWidth="1"/>
    <col min="13082" max="13082" width="11.625" style="30" customWidth="1"/>
    <col min="13083" max="13090" width="11.875" style="30" customWidth="1"/>
    <col min="13091" max="13091" width="12.25" style="30" customWidth="1"/>
    <col min="13092" max="13092" width="11.875" style="30" customWidth="1"/>
    <col min="13093" max="13101" width="12.25" style="30" customWidth="1"/>
    <col min="13102" max="13102" width="11.875" style="30" customWidth="1"/>
    <col min="13103" max="13111" width="12.25" style="30" customWidth="1"/>
    <col min="13112" max="13112" width="11.875" style="30" customWidth="1"/>
    <col min="13113" max="13121" width="12.25" style="30" customWidth="1"/>
    <col min="13122" max="13122" width="11.875" style="30" customWidth="1"/>
    <col min="13123" max="13131" width="12.25" style="30" customWidth="1"/>
    <col min="13132" max="13132" width="11.875" style="30" customWidth="1"/>
    <col min="13133" max="13141" width="12.25" style="30" customWidth="1"/>
    <col min="13142" max="13142" width="11.875" style="30" customWidth="1"/>
    <col min="13143" max="13151" width="12.25" style="30" customWidth="1"/>
    <col min="13152" max="13152" width="11.875" style="30" customWidth="1"/>
    <col min="13153" max="13161" width="12.25" style="30" customWidth="1"/>
    <col min="13162" max="13162" width="11.875" style="30" customWidth="1"/>
    <col min="13163" max="13170" width="12.25" style="30" customWidth="1"/>
    <col min="13171" max="13171" width="12.5" style="30" customWidth="1"/>
    <col min="13172" max="13172" width="12.25" style="30" customWidth="1"/>
    <col min="13173" max="13180" width="12.5" style="30" customWidth="1"/>
    <col min="13181" max="13181" width="12.25" style="30" customWidth="1"/>
    <col min="13182" max="13182" width="11.875" style="30" customWidth="1"/>
    <col min="13183" max="13190" width="12.25" style="30" customWidth="1"/>
    <col min="13191" max="13191" width="12.5" style="30" customWidth="1"/>
    <col min="13192" max="13192" width="12.25" style="30" customWidth="1"/>
    <col min="13193" max="13201" width="12.5" style="30" customWidth="1"/>
    <col min="13202" max="13202" width="12.25" style="30" customWidth="1"/>
    <col min="13203" max="13211" width="12.5" style="30" customWidth="1"/>
    <col min="13212" max="13212" width="12.25" style="30" customWidth="1"/>
    <col min="13213" max="13221" width="12.5" style="30" customWidth="1"/>
    <col min="13222" max="13222" width="12.25" style="30" customWidth="1"/>
    <col min="13223" max="13231" width="12.5" style="30" customWidth="1"/>
    <col min="13232" max="13232" width="12.25" style="30" customWidth="1"/>
    <col min="13233" max="13241" width="12.5" style="30" customWidth="1"/>
    <col min="13242" max="13242" width="12.25" style="30" customWidth="1"/>
    <col min="13243" max="13251" width="12.5" style="30" customWidth="1"/>
    <col min="13252" max="13252" width="12.25" style="30" customWidth="1"/>
    <col min="13253" max="13261" width="12.5" style="30" customWidth="1"/>
    <col min="13262" max="13262" width="12.25" style="30" customWidth="1"/>
    <col min="13263" max="13271" width="12.5" style="30" customWidth="1"/>
    <col min="13272" max="13272" width="12.25" style="30" customWidth="1"/>
    <col min="13273" max="13280" width="12.5" style="30" customWidth="1"/>
    <col min="13281" max="13281" width="12.25" style="30" customWidth="1"/>
    <col min="13282" max="13282" width="11.875" style="30" customWidth="1"/>
    <col min="13283" max="13290" width="12.25" style="30" customWidth="1"/>
    <col min="13291" max="13291" width="12.5" style="30" customWidth="1"/>
    <col min="13292" max="13292" width="12.25" style="30" customWidth="1"/>
    <col min="13293" max="13301" width="12.5" style="30" customWidth="1"/>
    <col min="13302" max="13302" width="12.25" style="30" customWidth="1"/>
    <col min="13303" max="13311" width="12.5" style="30" customWidth="1"/>
    <col min="13312" max="13312" width="12.25" style="30" customWidth="1"/>
    <col min="13313" max="13321" width="12.5" style="30" customWidth="1"/>
    <col min="13322" max="13322" width="12.25" style="30" customWidth="1"/>
    <col min="13323" max="13331" width="12.5" style="30" customWidth="1"/>
    <col min="13332" max="13332" width="12.25" style="30" customWidth="1"/>
    <col min="13333" max="13341" width="12.5" style="30" customWidth="1"/>
    <col min="13342" max="13342" width="12.25" style="30" customWidth="1"/>
    <col min="13343" max="13351" width="12.5" style="30" customWidth="1"/>
    <col min="13352" max="13352" width="12.25" style="30" customWidth="1"/>
    <col min="13353" max="13361" width="12.5" style="30" customWidth="1"/>
    <col min="13362" max="13362" width="12.25" style="30" customWidth="1"/>
    <col min="13363" max="13371" width="12.5" style="30" customWidth="1"/>
    <col min="13372" max="13372" width="12.25" style="30" customWidth="1"/>
    <col min="13373" max="13380" width="12.5" style="30" customWidth="1"/>
    <col min="13381" max="13381" width="12.25" style="30" customWidth="1"/>
    <col min="13382" max="13382" width="11.875" style="30" customWidth="1"/>
    <col min="13383" max="13390" width="12.25" style="30" customWidth="1"/>
    <col min="13391" max="13391" width="12.5" style="30" customWidth="1"/>
    <col min="13392" max="13392" width="12.25" style="30" customWidth="1"/>
    <col min="13393" max="13401" width="12.5" style="30" customWidth="1"/>
    <col min="13402" max="13402" width="12.25" style="30" customWidth="1"/>
    <col min="13403" max="13411" width="12.5" style="30" customWidth="1"/>
    <col min="13412" max="13412" width="12.25" style="30" customWidth="1"/>
    <col min="13413" max="13421" width="12.5" style="30" customWidth="1"/>
    <col min="13422" max="13422" width="12.25" style="30" customWidth="1"/>
    <col min="13423" max="13431" width="12.5" style="30" customWidth="1"/>
    <col min="13432" max="13432" width="12.25" style="30" customWidth="1"/>
    <col min="13433" max="13441" width="12.5" style="30" customWidth="1"/>
    <col min="13442" max="13442" width="12.25" style="30" customWidth="1"/>
    <col min="13443" max="13451" width="12.5" style="30" customWidth="1"/>
    <col min="13452" max="13452" width="12.25" style="30" customWidth="1"/>
    <col min="13453" max="13461" width="12.5" style="30" customWidth="1"/>
    <col min="13462" max="13462" width="12.25" style="30" customWidth="1"/>
    <col min="13463" max="13471" width="12.5" style="30" customWidth="1"/>
    <col min="13472" max="13472" width="12.25" style="30" customWidth="1"/>
    <col min="13473" max="13480" width="12.5" style="30" customWidth="1"/>
    <col min="13481" max="13481" width="12.25" style="30" customWidth="1"/>
    <col min="13482" max="13482" width="11.875" style="30" customWidth="1"/>
    <col min="13483" max="13490" width="12.25" style="30" customWidth="1"/>
    <col min="13491" max="13491" width="12.5" style="30" customWidth="1"/>
    <col min="13492" max="13492" width="12.25" style="30" customWidth="1"/>
    <col min="13493" max="13501" width="12.5" style="30" customWidth="1"/>
    <col min="13502" max="13502" width="12.25" style="30" customWidth="1"/>
    <col min="13503" max="13511" width="12.5" style="30" customWidth="1"/>
    <col min="13512" max="13512" width="12.25" style="30" customWidth="1"/>
    <col min="13513" max="13521" width="12.5" style="30" customWidth="1"/>
    <col min="13522" max="13522" width="12.25" style="30" customWidth="1"/>
    <col min="13523" max="13531" width="12.5" style="30" customWidth="1"/>
    <col min="13532" max="13532" width="12.25" style="30" customWidth="1"/>
    <col min="13533" max="13541" width="12.5" style="30" customWidth="1"/>
    <col min="13542" max="13542" width="12.25" style="30" customWidth="1"/>
    <col min="13543" max="13551" width="12.5" style="30" customWidth="1"/>
    <col min="13552" max="13552" width="12.25" style="30" customWidth="1"/>
    <col min="13553" max="13561" width="12.5" style="30" customWidth="1"/>
    <col min="13562" max="13562" width="12.25" style="30" customWidth="1"/>
    <col min="13563" max="13571" width="12.5" style="30" customWidth="1"/>
    <col min="13572" max="13572" width="12.25" style="30" customWidth="1"/>
    <col min="13573" max="13580" width="12.5" style="30" customWidth="1"/>
    <col min="13581" max="13581" width="12.25" style="30" customWidth="1"/>
    <col min="13582" max="13582" width="11.875" style="30" customWidth="1"/>
    <col min="13583" max="13590" width="12.25" style="30" customWidth="1"/>
    <col min="13591" max="13591" width="12.5" style="30" customWidth="1"/>
    <col min="13592" max="13592" width="12.25" style="30" customWidth="1"/>
    <col min="13593" max="13601" width="12.5" style="30" customWidth="1"/>
    <col min="13602" max="13602" width="12.25" style="30" customWidth="1"/>
    <col min="13603" max="13611" width="12.5" style="30" customWidth="1"/>
    <col min="13612" max="13612" width="12.25" style="30" customWidth="1"/>
    <col min="13613" max="13621" width="12.5" style="30" customWidth="1"/>
    <col min="13622" max="13622" width="12.25" style="30" customWidth="1"/>
    <col min="13623" max="13631" width="12.5" style="30" customWidth="1"/>
    <col min="13632" max="13632" width="12.25" style="30" customWidth="1"/>
    <col min="13633" max="13641" width="12.5" style="30" customWidth="1"/>
    <col min="13642" max="13642" width="12.25" style="30" customWidth="1"/>
    <col min="13643" max="13651" width="12.5" style="30" customWidth="1"/>
    <col min="13652" max="13652" width="12.25" style="30" customWidth="1"/>
    <col min="13653" max="13661" width="12.5" style="30" customWidth="1"/>
    <col min="13662" max="13662" width="12.25" style="30" customWidth="1"/>
    <col min="13663" max="13671" width="12.5" style="30" customWidth="1"/>
    <col min="13672" max="13672" width="12.25" style="30" customWidth="1"/>
    <col min="13673" max="13680" width="12.5" style="30" customWidth="1"/>
    <col min="13681" max="13681" width="12.25" style="30" customWidth="1"/>
    <col min="13682" max="13682" width="11.875" style="30" customWidth="1"/>
    <col min="13683" max="13690" width="12.25" style="30" customWidth="1"/>
    <col min="13691" max="13691" width="12.5" style="30" customWidth="1"/>
    <col min="13692" max="13692" width="12.25" style="30" customWidth="1"/>
    <col min="13693" max="13701" width="12.5" style="30" customWidth="1"/>
    <col min="13702" max="13702" width="12.25" style="30" customWidth="1"/>
    <col min="13703" max="13711" width="12.5" style="30" customWidth="1"/>
    <col min="13712" max="13712" width="12.25" style="30" customWidth="1"/>
    <col min="13713" max="13721" width="12.5" style="30" customWidth="1"/>
    <col min="13722" max="13722" width="12.25" style="30" customWidth="1"/>
    <col min="13723" max="13731" width="12.5" style="30" customWidth="1"/>
    <col min="13732" max="13732" width="12.25" style="30" customWidth="1"/>
    <col min="13733" max="13741" width="12.5" style="30" customWidth="1"/>
    <col min="13742" max="13742" width="12.25" style="30" customWidth="1"/>
    <col min="13743" max="13751" width="12.5" style="30" customWidth="1"/>
    <col min="13752" max="13752" width="12.25" style="30" customWidth="1"/>
    <col min="13753" max="13761" width="12.5" style="30" customWidth="1"/>
    <col min="13762" max="13762" width="12.25" style="30" customWidth="1"/>
    <col min="13763" max="13771" width="12.5" style="30" customWidth="1"/>
    <col min="13772" max="13772" width="12.25" style="30" customWidth="1"/>
    <col min="13773" max="13780" width="12.5" style="30" customWidth="1"/>
    <col min="13781" max="13781" width="12.25" style="30" customWidth="1"/>
    <col min="13782" max="13782" width="11.875" style="30" customWidth="1"/>
    <col min="13783" max="13790" width="12.25" style="30" customWidth="1"/>
    <col min="13791" max="13791" width="12.5" style="30" customWidth="1"/>
    <col min="13792" max="13792" width="12.25" style="30" customWidth="1"/>
    <col min="13793" max="13801" width="12.5" style="30" customWidth="1"/>
    <col min="13802" max="13802" width="12.25" style="30" customWidth="1"/>
    <col min="13803" max="13811" width="12.5" style="30" customWidth="1"/>
    <col min="13812" max="13812" width="12.25" style="30" customWidth="1"/>
    <col min="13813" max="13821" width="12.5" style="30" customWidth="1"/>
    <col min="13822" max="13822" width="12.25" style="30" customWidth="1"/>
    <col min="13823" max="13831" width="12.5" style="30" customWidth="1"/>
    <col min="13832" max="13832" width="12.25" style="30" customWidth="1"/>
    <col min="13833" max="13841" width="12.5" style="30" customWidth="1"/>
    <col min="13842" max="13842" width="12.25" style="30" customWidth="1"/>
    <col min="13843" max="13851" width="12.5" style="30" customWidth="1"/>
    <col min="13852" max="13852" width="12.25" style="30" customWidth="1"/>
    <col min="13853" max="13861" width="12.5" style="30" customWidth="1"/>
    <col min="13862" max="13862" width="12.25" style="30" customWidth="1"/>
    <col min="13863" max="13871" width="12.5" style="30" customWidth="1"/>
    <col min="13872" max="13872" width="12.25" style="30" customWidth="1"/>
    <col min="13873" max="13880" width="12.5" style="30" customWidth="1"/>
    <col min="13881" max="13881" width="12.25" style="30" customWidth="1"/>
    <col min="13882" max="13882" width="11.875" style="30" customWidth="1"/>
    <col min="13883" max="13890" width="12.25" style="30" customWidth="1"/>
    <col min="13891" max="13891" width="12.5" style="30" customWidth="1"/>
    <col min="13892" max="13892" width="12.25" style="30" customWidth="1"/>
    <col min="13893" max="13901" width="12.5" style="30" customWidth="1"/>
    <col min="13902" max="13902" width="12.25" style="30" customWidth="1"/>
    <col min="13903" max="13911" width="12.5" style="30" customWidth="1"/>
    <col min="13912" max="13912" width="12.25" style="30" customWidth="1"/>
    <col min="13913" max="13921" width="12.5" style="30" customWidth="1"/>
    <col min="13922" max="13922" width="12.25" style="30" customWidth="1"/>
    <col min="13923" max="13931" width="12.5" style="30" customWidth="1"/>
    <col min="13932" max="13932" width="12.25" style="30" customWidth="1"/>
    <col min="13933" max="13941" width="12.5" style="30" customWidth="1"/>
    <col min="13942" max="13942" width="12.25" style="30" customWidth="1"/>
    <col min="13943" max="13951" width="12.5" style="30" customWidth="1"/>
    <col min="13952" max="13952" width="12.25" style="30" customWidth="1"/>
    <col min="13953" max="13961" width="12.5" style="30" customWidth="1"/>
    <col min="13962" max="13962" width="12.25" style="30" customWidth="1"/>
    <col min="13963" max="13971" width="12.5" style="30" customWidth="1"/>
    <col min="13972" max="13972" width="12.25" style="30" customWidth="1"/>
    <col min="13973" max="13980" width="12.5" style="30" customWidth="1"/>
    <col min="13981" max="13981" width="12.25" style="30" customWidth="1"/>
    <col min="13982" max="13982" width="11.875" style="30" customWidth="1"/>
    <col min="13983" max="13990" width="12.25" style="30" customWidth="1"/>
    <col min="13991" max="13991" width="12.5" style="30" customWidth="1"/>
    <col min="13992" max="13992" width="12.25" style="30" customWidth="1"/>
    <col min="13993" max="14001" width="12.5" style="30" customWidth="1"/>
    <col min="14002" max="14002" width="12.25" style="30" customWidth="1"/>
    <col min="14003" max="14011" width="12.5" style="30" customWidth="1"/>
    <col min="14012" max="14012" width="12.25" style="30" customWidth="1"/>
    <col min="14013" max="14021" width="12.5" style="30" customWidth="1"/>
    <col min="14022" max="14022" width="12.25" style="30" customWidth="1"/>
    <col min="14023" max="14031" width="12.5" style="30" customWidth="1"/>
    <col min="14032" max="14032" width="12.25" style="30" customWidth="1"/>
    <col min="14033" max="14041" width="12.5" style="30" customWidth="1"/>
    <col min="14042" max="14042" width="12.25" style="30" customWidth="1"/>
    <col min="14043" max="14051" width="12.5" style="30" customWidth="1"/>
    <col min="14052" max="14052" width="12.25" style="30" customWidth="1"/>
    <col min="14053" max="14061" width="12.5" style="30" customWidth="1"/>
    <col min="14062" max="14062" width="12.25" style="30" customWidth="1"/>
    <col min="14063" max="14070" width="12.5" style="30" customWidth="1"/>
    <col min="14071" max="14071" width="12.25" style="30" customWidth="1"/>
    <col min="14072" max="14072" width="11.875" style="30" customWidth="1"/>
    <col min="14073" max="14080" width="12.25" style="30" customWidth="1"/>
    <col min="14081" max="14081" width="11.875" style="30" customWidth="1"/>
    <col min="14082" max="14082" width="11.625" style="30" customWidth="1"/>
    <col min="14083" max="14090" width="11.875" style="30" customWidth="1"/>
    <col min="14091" max="14091" width="12.25" style="30" customWidth="1"/>
    <col min="14092" max="14092" width="11.875" style="30" customWidth="1"/>
    <col min="14093" max="14101" width="12.25" style="30" customWidth="1"/>
    <col min="14102" max="14102" width="11.875" style="30" customWidth="1"/>
    <col min="14103" max="14111" width="12.25" style="30" customWidth="1"/>
    <col min="14112" max="14112" width="11.875" style="30" customWidth="1"/>
    <col min="14113" max="14121" width="12.25" style="30" customWidth="1"/>
    <col min="14122" max="14122" width="11.875" style="30" customWidth="1"/>
    <col min="14123" max="14131" width="12.25" style="30" customWidth="1"/>
    <col min="14132" max="14132" width="11.875" style="30" customWidth="1"/>
    <col min="14133" max="14141" width="12.25" style="30" customWidth="1"/>
    <col min="14142" max="14142" width="11.875" style="30" customWidth="1"/>
    <col min="14143" max="14151" width="12.25" style="30" customWidth="1"/>
    <col min="14152" max="14152" width="11.875" style="30" customWidth="1"/>
    <col min="14153" max="14161" width="12.25" style="30" customWidth="1"/>
    <col min="14162" max="14162" width="11.875" style="30" customWidth="1"/>
    <col min="14163" max="14170" width="12.25" style="30" customWidth="1"/>
    <col min="14171" max="14171" width="12.5" style="30" customWidth="1"/>
    <col min="14172" max="14172" width="12.25" style="30" customWidth="1"/>
    <col min="14173" max="14180" width="12.5" style="30" customWidth="1"/>
    <col min="14181" max="14181" width="12.25" style="30" customWidth="1"/>
    <col min="14182" max="14182" width="11.875" style="30" customWidth="1"/>
    <col min="14183" max="14190" width="12.25" style="30" customWidth="1"/>
    <col min="14191" max="14191" width="12.5" style="30" customWidth="1"/>
    <col min="14192" max="14192" width="12.25" style="30" customWidth="1"/>
    <col min="14193" max="14201" width="12.5" style="30" customWidth="1"/>
    <col min="14202" max="14202" width="12.25" style="30" customWidth="1"/>
    <col min="14203" max="14211" width="12.5" style="30" customWidth="1"/>
    <col min="14212" max="14212" width="12.25" style="30" customWidth="1"/>
    <col min="14213" max="14221" width="12.5" style="30" customWidth="1"/>
    <col min="14222" max="14222" width="12.25" style="30" customWidth="1"/>
    <col min="14223" max="14231" width="12.5" style="30" customWidth="1"/>
    <col min="14232" max="14232" width="12.25" style="30" customWidth="1"/>
    <col min="14233" max="14241" width="12.5" style="30" customWidth="1"/>
    <col min="14242" max="14242" width="12.25" style="30" customWidth="1"/>
    <col min="14243" max="14251" width="12.5" style="30" customWidth="1"/>
    <col min="14252" max="14252" width="12.25" style="30" customWidth="1"/>
    <col min="14253" max="14261" width="12.5" style="30" customWidth="1"/>
    <col min="14262" max="14262" width="12.25" style="30" customWidth="1"/>
    <col min="14263" max="14271" width="12.5" style="30" customWidth="1"/>
    <col min="14272" max="14272" width="12.25" style="30" customWidth="1"/>
    <col min="14273" max="14280" width="12.5" style="30" customWidth="1"/>
    <col min="14281" max="14281" width="12.25" style="30" customWidth="1"/>
    <col min="14282" max="14282" width="11.875" style="30" customWidth="1"/>
    <col min="14283" max="14290" width="12.25" style="30" customWidth="1"/>
    <col min="14291" max="14291" width="12.5" style="30" customWidth="1"/>
    <col min="14292" max="14292" width="12.25" style="30" customWidth="1"/>
    <col min="14293" max="14301" width="12.5" style="30" customWidth="1"/>
    <col min="14302" max="14302" width="12.25" style="30" customWidth="1"/>
    <col min="14303" max="14311" width="12.5" style="30" customWidth="1"/>
    <col min="14312" max="14312" width="12.25" style="30" customWidth="1"/>
    <col min="14313" max="14321" width="12.5" style="30" customWidth="1"/>
    <col min="14322" max="14322" width="12.25" style="30" customWidth="1"/>
    <col min="14323" max="14331" width="12.5" style="30" customWidth="1"/>
    <col min="14332" max="14332" width="12.25" style="30" customWidth="1"/>
    <col min="14333" max="14341" width="12.5" style="30" customWidth="1"/>
    <col min="14342" max="14342" width="12.25" style="30" customWidth="1"/>
    <col min="14343" max="14351" width="12.5" style="30" customWidth="1"/>
    <col min="14352" max="14352" width="12.25" style="30" customWidth="1"/>
    <col min="14353" max="14361" width="12.5" style="30" customWidth="1"/>
    <col min="14362" max="14362" width="12.25" style="30" customWidth="1"/>
    <col min="14363" max="14371" width="12.5" style="30" customWidth="1"/>
    <col min="14372" max="14372" width="12.25" style="30" customWidth="1"/>
    <col min="14373" max="14380" width="12.5" style="30" customWidth="1"/>
    <col min="14381" max="14381" width="12.25" style="30" customWidth="1"/>
    <col min="14382" max="14382" width="11.875" style="30" customWidth="1"/>
    <col min="14383" max="14390" width="12.25" style="30" customWidth="1"/>
    <col min="14391" max="14391" width="12.5" style="30" customWidth="1"/>
    <col min="14392" max="14392" width="12.25" style="30" customWidth="1"/>
    <col min="14393" max="14401" width="12.5" style="30" customWidth="1"/>
    <col min="14402" max="14402" width="12.25" style="30" customWidth="1"/>
    <col min="14403" max="14411" width="12.5" style="30" customWidth="1"/>
    <col min="14412" max="14412" width="12.25" style="30" customWidth="1"/>
    <col min="14413" max="14421" width="12.5" style="30" customWidth="1"/>
    <col min="14422" max="14422" width="12.25" style="30" customWidth="1"/>
    <col min="14423" max="14431" width="12.5" style="30" customWidth="1"/>
    <col min="14432" max="14432" width="12.25" style="30" customWidth="1"/>
    <col min="14433" max="14441" width="12.5" style="30" customWidth="1"/>
    <col min="14442" max="14442" width="12.25" style="30" customWidth="1"/>
    <col min="14443" max="14451" width="12.5" style="30" customWidth="1"/>
    <col min="14452" max="14452" width="12.25" style="30" customWidth="1"/>
    <col min="14453" max="14461" width="12.5" style="30" customWidth="1"/>
    <col min="14462" max="14462" width="12.25" style="30" customWidth="1"/>
    <col min="14463" max="14471" width="12.5" style="30" customWidth="1"/>
    <col min="14472" max="14472" width="12.25" style="30" customWidth="1"/>
    <col min="14473" max="14480" width="12.5" style="30" customWidth="1"/>
    <col min="14481" max="14481" width="12.25" style="30" customWidth="1"/>
    <col min="14482" max="14482" width="11.875" style="30" customWidth="1"/>
    <col min="14483" max="14490" width="12.25" style="30" customWidth="1"/>
    <col min="14491" max="14491" width="12.5" style="30" customWidth="1"/>
    <col min="14492" max="14492" width="12.25" style="30" customWidth="1"/>
    <col min="14493" max="14501" width="12.5" style="30" customWidth="1"/>
    <col min="14502" max="14502" width="12.25" style="30" customWidth="1"/>
    <col min="14503" max="14511" width="12.5" style="30" customWidth="1"/>
    <col min="14512" max="14512" width="12.25" style="30" customWidth="1"/>
    <col min="14513" max="14521" width="12.5" style="30" customWidth="1"/>
    <col min="14522" max="14522" width="12.25" style="30" customWidth="1"/>
    <col min="14523" max="14531" width="12.5" style="30" customWidth="1"/>
    <col min="14532" max="14532" width="12.25" style="30" customWidth="1"/>
    <col min="14533" max="14541" width="12.5" style="30" customWidth="1"/>
    <col min="14542" max="14542" width="12.25" style="30" customWidth="1"/>
    <col min="14543" max="14551" width="12.5" style="30" customWidth="1"/>
    <col min="14552" max="14552" width="12.25" style="30" customWidth="1"/>
    <col min="14553" max="14561" width="12.5" style="30" customWidth="1"/>
    <col min="14562" max="14562" width="12.25" style="30" customWidth="1"/>
    <col min="14563" max="14571" width="12.5" style="30" customWidth="1"/>
    <col min="14572" max="14572" width="12.25" style="30" customWidth="1"/>
    <col min="14573" max="14580" width="12.5" style="30" customWidth="1"/>
    <col min="14581" max="14581" width="12.25" style="30" customWidth="1"/>
    <col min="14582" max="14582" width="11.875" style="30" customWidth="1"/>
    <col min="14583" max="14590" width="12.25" style="30" customWidth="1"/>
    <col min="14591" max="14591" width="12.5" style="30" customWidth="1"/>
    <col min="14592" max="14592" width="12.25" style="30" customWidth="1"/>
    <col min="14593" max="14601" width="12.5" style="30" customWidth="1"/>
    <col min="14602" max="14602" width="12.25" style="30" customWidth="1"/>
    <col min="14603" max="14611" width="12.5" style="30" customWidth="1"/>
    <col min="14612" max="14612" width="12.25" style="30" customWidth="1"/>
    <col min="14613" max="14621" width="12.5" style="30" customWidth="1"/>
    <col min="14622" max="14622" width="12.25" style="30" customWidth="1"/>
    <col min="14623" max="14631" width="12.5" style="30" customWidth="1"/>
    <col min="14632" max="14632" width="12.25" style="30" customWidth="1"/>
    <col min="14633" max="14641" width="12.5" style="30" customWidth="1"/>
    <col min="14642" max="14642" width="12.25" style="30" customWidth="1"/>
    <col min="14643" max="14651" width="12.5" style="30" customWidth="1"/>
    <col min="14652" max="14652" width="12.25" style="30" customWidth="1"/>
    <col min="14653" max="14661" width="12.5" style="30" customWidth="1"/>
    <col min="14662" max="14662" width="12.25" style="30" customWidth="1"/>
    <col min="14663" max="14671" width="12.5" style="30" customWidth="1"/>
    <col min="14672" max="14672" width="12.25" style="30" customWidth="1"/>
    <col min="14673" max="14680" width="12.5" style="30" customWidth="1"/>
    <col min="14681" max="14681" width="12.25" style="30" customWidth="1"/>
    <col min="14682" max="14682" width="11.875" style="30" customWidth="1"/>
    <col min="14683" max="14690" width="12.25" style="30" customWidth="1"/>
    <col min="14691" max="14691" width="12.5" style="30" customWidth="1"/>
    <col min="14692" max="14692" width="12.25" style="30" customWidth="1"/>
    <col min="14693" max="14701" width="12.5" style="30" customWidth="1"/>
    <col min="14702" max="14702" width="12.25" style="30" customWidth="1"/>
    <col min="14703" max="14711" width="12.5" style="30" customWidth="1"/>
    <col min="14712" max="14712" width="12.25" style="30" customWidth="1"/>
    <col min="14713" max="14721" width="12.5" style="30" customWidth="1"/>
    <col min="14722" max="14722" width="12.25" style="30" customWidth="1"/>
    <col min="14723" max="14731" width="12.5" style="30" customWidth="1"/>
    <col min="14732" max="14732" width="12.25" style="30" customWidth="1"/>
    <col min="14733" max="14741" width="12.5" style="30" customWidth="1"/>
    <col min="14742" max="14742" width="12.25" style="30" customWidth="1"/>
    <col min="14743" max="14751" width="12.5" style="30" customWidth="1"/>
    <col min="14752" max="14752" width="12.25" style="30" customWidth="1"/>
    <col min="14753" max="14761" width="12.5" style="30" customWidth="1"/>
    <col min="14762" max="14762" width="12.25" style="30" customWidth="1"/>
    <col min="14763" max="14771" width="12.5" style="30" customWidth="1"/>
    <col min="14772" max="14772" width="12.25" style="30" customWidth="1"/>
    <col min="14773" max="14780" width="12.5" style="30" customWidth="1"/>
    <col min="14781" max="14781" width="12.25" style="30" customWidth="1"/>
    <col min="14782" max="14782" width="11.875" style="30" customWidth="1"/>
    <col min="14783" max="14790" width="12.25" style="30" customWidth="1"/>
    <col min="14791" max="14791" width="12.5" style="30" customWidth="1"/>
    <col min="14792" max="14792" width="12.25" style="30" customWidth="1"/>
    <col min="14793" max="14801" width="12.5" style="30" customWidth="1"/>
    <col min="14802" max="14802" width="12.25" style="30" customWidth="1"/>
    <col min="14803" max="14811" width="12.5" style="30" customWidth="1"/>
    <col min="14812" max="14812" width="12.25" style="30" customWidth="1"/>
    <col min="14813" max="14821" width="12.5" style="30" customWidth="1"/>
    <col min="14822" max="14822" width="12.25" style="30" customWidth="1"/>
    <col min="14823" max="14831" width="12.5" style="30" customWidth="1"/>
    <col min="14832" max="14832" width="12.25" style="30" customWidth="1"/>
    <col min="14833" max="14841" width="12.5" style="30" customWidth="1"/>
    <col min="14842" max="14842" width="12.25" style="30" customWidth="1"/>
    <col min="14843" max="14851" width="12.5" style="30" customWidth="1"/>
    <col min="14852" max="14852" width="12.25" style="30" customWidth="1"/>
    <col min="14853" max="14861" width="12.5" style="30" customWidth="1"/>
    <col min="14862" max="14862" width="12.25" style="30" customWidth="1"/>
    <col min="14863" max="14871" width="12.5" style="30" customWidth="1"/>
    <col min="14872" max="14872" width="12.25" style="30" customWidth="1"/>
    <col min="14873" max="14880" width="12.5" style="30" customWidth="1"/>
    <col min="14881" max="14881" width="12.25" style="30" customWidth="1"/>
    <col min="14882" max="14882" width="11.875" style="30" customWidth="1"/>
    <col min="14883" max="14890" width="12.25" style="30" customWidth="1"/>
    <col min="14891" max="14891" width="12.5" style="30" customWidth="1"/>
    <col min="14892" max="14892" width="12.25" style="30" customWidth="1"/>
    <col min="14893" max="14901" width="12.5" style="30" customWidth="1"/>
    <col min="14902" max="14902" width="12.25" style="30" customWidth="1"/>
    <col min="14903" max="14911" width="12.5" style="30" customWidth="1"/>
    <col min="14912" max="14912" width="12.25" style="30" customWidth="1"/>
    <col min="14913" max="14921" width="12.5" style="30" customWidth="1"/>
    <col min="14922" max="14922" width="12.25" style="30" customWidth="1"/>
    <col min="14923" max="14931" width="12.5" style="30" customWidth="1"/>
    <col min="14932" max="14932" width="12.25" style="30" customWidth="1"/>
    <col min="14933" max="14941" width="12.5" style="30" customWidth="1"/>
    <col min="14942" max="14942" width="12.25" style="30" customWidth="1"/>
    <col min="14943" max="14951" width="12.5" style="30" customWidth="1"/>
    <col min="14952" max="14952" width="12.25" style="30" customWidth="1"/>
    <col min="14953" max="14961" width="12.5" style="30" customWidth="1"/>
    <col min="14962" max="14962" width="12.25" style="30" customWidth="1"/>
    <col min="14963" max="14971" width="12.5" style="30" customWidth="1"/>
    <col min="14972" max="14972" width="12.25" style="30" customWidth="1"/>
    <col min="14973" max="14980" width="12.5" style="30" customWidth="1"/>
    <col min="14981" max="14981" width="12.25" style="30" customWidth="1"/>
    <col min="14982" max="14982" width="11.875" style="30" customWidth="1"/>
    <col min="14983" max="14990" width="12.25" style="30" customWidth="1"/>
    <col min="14991" max="14991" width="12.5" style="30" customWidth="1"/>
    <col min="14992" max="14992" width="12.25" style="30" customWidth="1"/>
    <col min="14993" max="15001" width="12.5" style="30" customWidth="1"/>
    <col min="15002" max="15002" width="12.25" style="30" customWidth="1"/>
    <col min="15003" max="15011" width="12.5" style="30" customWidth="1"/>
    <col min="15012" max="15012" width="12.25" style="30" customWidth="1"/>
    <col min="15013" max="15021" width="12.5" style="30" customWidth="1"/>
    <col min="15022" max="15022" width="12.25" style="30" customWidth="1"/>
    <col min="15023" max="15031" width="12.5" style="30" customWidth="1"/>
    <col min="15032" max="15032" width="12.25" style="30" customWidth="1"/>
    <col min="15033" max="15041" width="12.5" style="30" customWidth="1"/>
    <col min="15042" max="15042" width="12.25" style="30" customWidth="1"/>
    <col min="15043" max="15051" width="12.5" style="30" customWidth="1"/>
    <col min="15052" max="15052" width="12.25" style="30" customWidth="1"/>
    <col min="15053" max="15061" width="12.5" style="30" customWidth="1"/>
    <col min="15062" max="15062" width="12.25" style="30" customWidth="1"/>
    <col min="15063" max="15070" width="12.5" style="30" customWidth="1"/>
    <col min="15071" max="15071" width="12.25" style="30" customWidth="1"/>
    <col min="15072" max="15072" width="11.875" style="30" customWidth="1"/>
    <col min="15073" max="15080" width="12.25" style="30" customWidth="1"/>
    <col min="15081" max="15081" width="11.875" style="30" customWidth="1"/>
    <col min="15082" max="15082" width="11.625" style="30" customWidth="1"/>
    <col min="15083" max="15090" width="11.875" style="30" customWidth="1"/>
    <col min="15091" max="15091" width="12.25" style="30" customWidth="1"/>
    <col min="15092" max="15092" width="11.875" style="30" customWidth="1"/>
    <col min="15093" max="15101" width="12.25" style="30" customWidth="1"/>
    <col min="15102" max="15102" width="11.875" style="30" customWidth="1"/>
    <col min="15103" max="15111" width="12.25" style="30" customWidth="1"/>
    <col min="15112" max="15112" width="11.875" style="30" customWidth="1"/>
    <col min="15113" max="15121" width="12.25" style="30" customWidth="1"/>
    <col min="15122" max="15122" width="11.875" style="30" customWidth="1"/>
    <col min="15123" max="15131" width="12.25" style="30" customWidth="1"/>
    <col min="15132" max="15132" width="11.875" style="30" customWidth="1"/>
    <col min="15133" max="15141" width="12.25" style="30" customWidth="1"/>
    <col min="15142" max="15142" width="11.875" style="30" customWidth="1"/>
    <col min="15143" max="15151" width="12.25" style="30" customWidth="1"/>
    <col min="15152" max="15152" width="11.875" style="30" customWidth="1"/>
    <col min="15153" max="15161" width="12.25" style="30" customWidth="1"/>
    <col min="15162" max="15162" width="11.875" style="30" customWidth="1"/>
    <col min="15163" max="15170" width="12.25" style="30" customWidth="1"/>
    <col min="15171" max="15171" width="12.5" style="30" customWidth="1"/>
    <col min="15172" max="15172" width="12.25" style="30" customWidth="1"/>
    <col min="15173" max="15180" width="12.5" style="30" customWidth="1"/>
    <col min="15181" max="15181" width="12.25" style="30" customWidth="1"/>
    <col min="15182" max="15182" width="11.875" style="30" customWidth="1"/>
    <col min="15183" max="15190" width="12.25" style="30" customWidth="1"/>
    <col min="15191" max="15191" width="12.5" style="30" customWidth="1"/>
    <col min="15192" max="15192" width="12.25" style="30" customWidth="1"/>
    <col min="15193" max="15201" width="12.5" style="30" customWidth="1"/>
    <col min="15202" max="15202" width="12.25" style="30" customWidth="1"/>
    <col min="15203" max="15211" width="12.5" style="30" customWidth="1"/>
    <col min="15212" max="15212" width="12.25" style="30" customWidth="1"/>
    <col min="15213" max="15221" width="12.5" style="30" customWidth="1"/>
    <col min="15222" max="15222" width="12.25" style="30" customWidth="1"/>
    <col min="15223" max="15231" width="12.5" style="30" customWidth="1"/>
    <col min="15232" max="15232" width="12.25" style="30" customWidth="1"/>
    <col min="15233" max="15241" width="12.5" style="30" customWidth="1"/>
    <col min="15242" max="15242" width="12.25" style="30" customWidth="1"/>
    <col min="15243" max="15251" width="12.5" style="30" customWidth="1"/>
    <col min="15252" max="15252" width="12.25" style="30" customWidth="1"/>
    <col min="15253" max="15261" width="12.5" style="30" customWidth="1"/>
    <col min="15262" max="15262" width="12.25" style="30" customWidth="1"/>
    <col min="15263" max="15271" width="12.5" style="30" customWidth="1"/>
    <col min="15272" max="15272" width="12.25" style="30" customWidth="1"/>
    <col min="15273" max="15280" width="12.5" style="30" customWidth="1"/>
    <col min="15281" max="15281" width="12.25" style="30" customWidth="1"/>
    <col min="15282" max="15282" width="11.875" style="30" customWidth="1"/>
    <col min="15283" max="15290" width="12.25" style="30" customWidth="1"/>
    <col min="15291" max="15291" width="12.5" style="30" customWidth="1"/>
    <col min="15292" max="15292" width="12.25" style="30" customWidth="1"/>
    <col min="15293" max="15301" width="12.5" style="30" customWidth="1"/>
    <col min="15302" max="15302" width="12.25" style="30" customWidth="1"/>
    <col min="15303" max="15311" width="12.5" style="30" customWidth="1"/>
    <col min="15312" max="15312" width="12.25" style="30" customWidth="1"/>
    <col min="15313" max="15321" width="12.5" style="30" customWidth="1"/>
    <col min="15322" max="15322" width="12.25" style="30" customWidth="1"/>
    <col min="15323" max="15331" width="12.5" style="30" customWidth="1"/>
    <col min="15332" max="15332" width="12.25" style="30" customWidth="1"/>
    <col min="15333" max="15341" width="12.5" style="30" customWidth="1"/>
    <col min="15342" max="15342" width="12.25" style="30" customWidth="1"/>
    <col min="15343" max="15351" width="12.5" style="30" customWidth="1"/>
    <col min="15352" max="15352" width="12.25" style="30" customWidth="1"/>
    <col min="15353" max="15361" width="12.5" style="30" customWidth="1"/>
    <col min="15362" max="15362" width="12.25" style="30" customWidth="1"/>
    <col min="15363" max="15371" width="12.5" style="30" customWidth="1"/>
    <col min="15372" max="15372" width="12.25" style="30" customWidth="1"/>
    <col min="15373" max="15380" width="12.5" style="30" customWidth="1"/>
    <col min="15381" max="15381" width="12.25" style="30" customWidth="1"/>
    <col min="15382" max="15382" width="11.875" style="30" customWidth="1"/>
    <col min="15383" max="15390" width="12.25" style="30" customWidth="1"/>
    <col min="15391" max="15391" width="12.5" style="30" customWidth="1"/>
    <col min="15392" max="15392" width="12.25" style="30" customWidth="1"/>
    <col min="15393" max="15401" width="12.5" style="30" customWidth="1"/>
    <col min="15402" max="15402" width="12.25" style="30" customWidth="1"/>
    <col min="15403" max="15411" width="12.5" style="30" customWidth="1"/>
    <col min="15412" max="15412" width="12.25" style="30" customWidth="1"/>
    <col min="15413" max="15421" width="12.5" style="30" customWidth="1"/>
    <col min="15422" max="15422" width="12.25" style="30" customWidth="1"/>
    <col min="15423" max="15431" width="12.5" style="30" customWidth="1"/>
    <col min="15432" max="15432" width="12.25" style="30" customWidth="1"/>
    <col min="15433" max="15441" width="12.5" style="30" customWidth="1"/>
    <col min="15442" max="15442" width="12.25" style="30" customWidth="1"/>
    <col min="15443" max="15451" width="12.5" style="30" customWidth="1"/>
    <col min="15452" max="15452" width="12.25" style="30" customWidth="1"/>
    <col min="15453" max="15461" width="12.5" style="30" customWidth="1"/>
    <col min="15462" max="15462" width="12.25" style="30" customWidth="1"/>
    <col min="15463" max="15471" width="12.5" style="30" customWidth="1"/>
    <col min="15472" max="15472" width="12.25" style="30" customWidth="1"/>
    <col min="15473" max="15480" width="12.5" style="30" customWidth="1"/>
    <col min="15481" max="15481" width="12.25" style="30" customWidth="1"/>
    <col min="15482" max="15482" width="11.875" style="30" customWidth="1"/>
    <col min="15483" max="15490" width="12.25" style="30" customWidth="1"/>
    <col min="15491" max="15491" width="12.5" style="30" customWidth="1"/>
    <col min="15492" max="15492" width="12.25" style="30" customWidth="1"/>
    <col min="15493" max="15501" width="12.5" style="30" customWidth="1"/>
    <col min="15502" max="15502" width="12.25" style="30" customWidth="1"/>
    <col min="15503" max="15511" width="12.5" style="30" customWidth="1"/>
    <col min="15512" max="15512" width="12.25" style="30" customWidth="1"/>
    <col min="15513" max="15521" width="12.5" style="30" customWidth="1"/>
    <col min="15522" max="15522" width="12.25" style="30" customWidth="1"/>
    <col min="15523" max="15531" width="12.5" style="30" customWidth="1"/>
    <col min="15532" max="15532" width="12.25" style="30" customWidth="1"/>
    <col min="15533" max="15541" width="12.5" style="30" customWidth="1"/>
    <col min="15542" max="15542" width="12.25" style="30" customWidth="1"/>
    <col min="15543" max="15551" width="12.5" style="30" customWidth="1"/>
    <col min="15552" max="15552" width="12.25" style="30" customWidth="1"/>
    <col min="15553" max="15561" width="12.5" style="30" customWidth="1"/>
    <col min="15562" max="15562" width="12.25" style="30" customWidth="1"/>
    <col min="15563" max="15571" width="12.5" style="30" customWidth="1"/>
    <col min="15572" max="15572" width="12.25" style="30" customWidth="1"/>
    <col min="15573" max="15580" width="12.5" style="30" customWidth="1"/>
    <col min="15581" max="15581" width="12.25" style="30" customWidth="1"/>
    <col min="15582" max="15582" width="11.875" style="30" customWidth="1"/>
    <col min="15583" max="15590" width="12.25" style="30" customWidth="1"/>
    <col min="15591" max="15591" width="12.5" style="30" customWidth="1"/>
    <col min="15592" max="15592" width="12.25" style="30" customWidth="1"/>
    <col min="15593" max="15601" width="12.5" style="30" customWidth="1"/>
    <col min="15602" max="15602" width="12.25" style="30" customWidth="1"/>
    <col min="15603" max="15611" width="12.5" style="30" customWidth="1"/>
    <col min="15612" max="15612" width="12.25" style="30" customWidth="1"/>
    <col min="15613" max="15621" width="12.5" style="30" customWidth="1"/>
    <col min="15622" max="15622" width="12.25" style="30" customWidth="1"/>
    <col min="15623" max="15631" width="12.5" style="30" customWidth="1"/>
    <col min="15632" max="15632" width="12.25" style="30" customWidth="1"/>
    <col min="15633" max="15641" width="12.5" style="30" customWidth="1"/>
    <col min="15642" max="15642" width="12.25" style="30" customWidth="1"/>
    <col min="15643" max="15651" width="12.5" style="30" customWidth="1"/>
    <col min="15652" max="15652" width="12.25" style="30" customWidth="1"/>
    <col min="15653" max="15661" width="12.5" style="30" customWidth="1"/>
    <col min="15662" max="15662" width="12.25" style="30" customWidth="1"/>
    <col min="15663" max="15671" width="12.5" style="30" customWidth="1"/>
    <col min="15672" max="15672" width="12.25" style="30" customWidth="1"/>
    <col min="15673" max="15680" width="12.5" style="30" customWidth="1"/>
    <col min="15681" max="15681" width="12.25" style="30" customWidth="1"/>
    <col min="15682" max="15682" width="11.875" style="30" customWidth="1"/>
    <col min="15683" max="15690" width="12.25" style="30" customWidth="1"/>
    <col min="15691" max="15691" width="12.5" style="30" customWidth="1"/>
    <col min="15692" max="15692" width="12.25" style="30" customWidth="1"/>
    <col min="15693" max="15701" width="12.5" style="30" customWidth="1"/>
    <col min="15702" max="15702" width="12.25" style="30" customWidth="1"/>
    <col min="15703" max="15711" width="12.5" style="30" customWidth="1"/>
    <col min="15712" max="15712" width="12.25" style="30" customWidth="1"/>
    <col min="15713" max="15721" width="12.5" style="30" customWidth="1"/>
    <col min="15722" max="15722" width="12.25" style="30" customWidth="1"/>
    <col min="15723" max="15731" width="12.5" style="30" customWidth="1"/>
    <col min="15732" max="15732" width="12.25" style="30" customWidth="1"/>
    <col min="15733" max="15741" width="12.5" style="30" customWidth="1"/>
    <col min="15742" max="15742" width="12.25" style="30" customWidth="1"/>
    <col min="15743" max="15751" width="12.5" style="30" customWidth="1"/>
    <col min="15752" max="15752" width="12.25" style="30" customWidth="1"/>
    <col min="15753" max="15761" width="12.5" style="30" customWidth="1"/>
    <col min="15762" max="15762" width="12.25" style="30" customWidth="1"/>
    <col min="15763" max="15771" width="12.5" style="30" customWidth="1"/>
    <col min="15772" max="15772" width="12.25" style="30" customWidth="1"/>
    <col min="15773" max="15780" width="12.5" style="30" customWidth="1"/>
    <col min="15781" max="15781" width="12.25" style="30" customWidth="1"/>
    <col min="15782" max="15782" width="11.875" style="30" customWidth="1"/>
    <col min="15783" max="15790" width="12.25" style="30" customWidth="1"/>
    <col min="15791" max="15791" width="12.5" style="30" customWidth="1"/>
    <col min="15792" max="15792" width="12.25" style="30" customWidth="1"/>
    <col min="15793" max="15801" width="12.5" style="30" customWidth="1"/>
    <col min="15802" max="15802" width="12.25" style="30" customWidth="1"/>
    <col min="15803" max="15811" width="12.5" style="30" customWidth="1"/>
    <col min="15812" max="15812" width="12.25" style="30" customWidth="1"/>
    <col min="15813" max="15821" width="12.5" style="30" customWidth="1"/>
    <col min="15822" max="15822" width="12.25" style="30" customWidth="1"/>
    <col min="15823" max="15831" width="12.5" style="30" customWidth="1"/>
    <col min="15832" max="15832" width="12.25" style="30" customWidth="1"/>
    <col min="15833" max="15841" width="12.5" style="30" customWidth="1"/>
    <col min="15842" max="15842" width="12.25" style="30" customWidth="1"/>
    <col min="15843" max="15851" width="12.5" style="30" customWidth="1"/>
    <col min="15852" max="15852" width="12.25" style="30" customWidth="1"/>
    <col min="15853" max="15861" width="12.5" style="30" customWidth="1"/>
    <col min="15862" max="15862" width="12.25" style="30" customWidth="1"/>
    <col min="15863" max="15871" width="12.5" style="30" customWidth="1"/>
    <col min="15872" max="15872" width="12.25" style="30" customWidth="1"/>
    <col min="15873" max="15880" width="12.5" style="30" customWidth="1"/>
    <col min="15881" max="15881" width="12.25" style="30" customWidth="1"/>
    <col min="15882" max="15882" width="11.875" style="30" customWidth="1"/>
    <col min="15883" max="15890" width="12.25" style="30" customWidth="1"/>
    <col min="15891" max="15891" width="12.5" style="30" customWidth="1"/>
    <col min="15892" max="15892" width="12.25" style="30" customWidth="1"/>
    <col min="15893" max="15901" width="12.5" style="30" customWidth="1"/>
    <col min="15902" max="15902" width="12.25" style="30" customWidth="1"/>
    <col min="15903" max="15911" width="12.5" style="30" customWidth="1"/>
    <col min="15912" max="15912" width="12.25" style="30" customWidth="1"/>
    <col min="15913" max="15921" width="12.5" style="30" customWidth="1"/>
    <col min="15922" max="15922" width="12.25" style="30" customWidth="1"/>
    <col min="15923" max="15931" width="12.5" style="30" customWidth="1"/>
    <col min="15932" max="15932" width="12.25" style="30" customWidth="1"/>
    <col min="15933" max="15941" width="12.5" style="30" customWidth="1"/>
    <col min="15942" max="15942" width="12.25" style="30" customWidth="1"/>
    <col min="15943" max="15951" width="12.5" style="30" customWidth="1"/>
    <col min="15952" max="15952" width="12.25" style="30" customWidth="1"/>
    <col min="15953" max="15961" width="12.5" style="30" customWidth="1"/>
    <col min="15962" max="15962" width="12.25" style="30" customWidth="1"/>
    <col min="15963" max="15971" width="12.5" style="30" customWidth="1"/>
    <col min="15972" max="15972" width="12.25" style="30" customWidth="1"/>
    <col min="15973" max="15980" width="12.5" style="30" customWidth="1"/>
    <col min="15981" max="15981" width="12.25" style="30" customWidth="1"/>
    <col min="15982" max="15982" width="11.875" style="30" customWidth="1"/>
    <col min="15983" max="15990" width="12.25" style="30" customWidth="1"/>
    <col min="15991" max="15991" width="12.5" style="30" customWidth="1"/>
    <col min="15992" max="15992" width="12.25" style="30" customWidth="1"/>
    <col min="15993" max="16001" width="12.5" style="30" customWidth="1"/>
    <col min="16002" max="16002" width="12.25" style="30" customWidth="1"/>
    <col min="16003" max="16011" width="12.5" style="30" customWidth="1"/>
    <col min="16012" max="16012" width="12.25" style="30" customWidth="1"/>
    <col min="16013" max="16021" width="12.5" style="30" customWidth="1"/>
    <col min="16022" max="16022" width="12.25" style="30" customWidth="1"/>
    <col min="16023" max="16031" width="12.5" style="30" customWidth="1"/>
    <col min="16032" max="16032" width="12.25" style="30" customWidth="1"/>
    <col min="16033" max="16041" width="12.5" style="30" customWidth="1"/>
    <col min="16042" max="16042" width="12.25" style="30" customWidth="1"/>
    <col min="16043" max="16051" width="12.5" style="30" customWidth="1"/>
    <col min="16052" max="16052" width="12.25" style="30" customWidth="1"/>
    <col min="16053" max="16061" width="12.5" style="30" customWidth="1"/>
    <col min="16062" max="16062" width="12.25" style="30" customWidth="1"/>
    <col min="16063" max="16070" width="12.5" style="30" customWidth="1"/>
    <col min="16071" max="16071" width="12.25" style="30" customWidth="1"/>
    <col min="16072" max="16072" width="11.875" style="30" customWidth="1"/>
    <col min="16073" max="16080" width="12.25" style="30" customWidth="1"/>
    <col min="16081" max="16081" width="11.875" style="30" customWidth="1"/>
    <col min="16082" max="16082" width="11.625" style="30" customWidth="1"/>
    <col min="16083" max="16090" width="11.875" style="30" customWidth="1"/>
    <col min="16091" max="16091" width="12.25" style="30" customWidth="1"/>
    <col min="16092" max="16092" width="11.875" style="30" customWidth="1"/>
    <col min="16093" max="16101" width="12.25" style="30" customWidth="1"/>
    <col min="16102" max="16102" width="11.875" style="30" customWidth="1"/>
    <col min="16103" max="16111" width="12.25" style="30" customWidth="1"/>
    <col min="16112" max="16112" width="11.875" style="30" customWidth="1"/>
    <col min="16113" max="16121" width="12.25" style="30" customWidth="1"/>
    <col min="16122" max="16122" width="11.875" style="30" customWidth="1"/>
    <col min="16123" max="16131" width="12.25" style="30" customWidth="1"/>
    <col min="16132" max="16132" width="11.875" style="30" customWidth="1"/>
    <col min="16133" max="16141" width="12.25" style="30" customWidth="1"/>
    <col min="16142" max="16142" width="11.875" style="30" customWidth="1"/>
    <col min="16143" max="16151" width="12.25" style="30" customWidth="1"/>
    <col min="16152" max="16152" width="11.875" style="30" customWidth="1"/>
    <col min="16153" max="16161" width="12.25" style="30" customWidth="1"/>
    <col min="16162" max="16162" width="11.875" style="30" customWidth="1"/>
    <col min="16163" max="16170" width="12.25" style="30" customWidth="1"/>
    <col min="16171" max="16171" width="12.5" style="30" customWidth="1"/>
    <col min="16172" max="16172" width="12.25" style="30" customWidth="1"/>
    <col min="16173" max="16180" width="12.5" style="30" customWidth="1"/>
    <col min="16181" max="16181" width="12.25" style="30" customWidth="1"/>
    <col min="16182" max="16182" width="11.875" style="30" customWidth="1"/>
    <col min="16183" max="16190" width="12.25" style="30" customWidth="1"/>
    <col min="16191" max="16191" width="12.5" style="30" customWidth="1"/>
    <col min="16192" max="16192" width="12.25" style="30" customWidth="1"/>
    <col min="16193" max="16201" width="12.5" style="30" customWidth="1"/>
    <col min="16202" max="16202" width="12.25" style="30" customWidth="1"/>
    <col min="16203" max="16211" width="12.5" style="30" customWidth="1"/>
    <col min="16212" max="16212" width="12.25" style="30" customWidth="1"/>
    <col min="16213" max="16221" width="12.5" style="30" customWidth="1"/>
    <col min="16222" max="16222" width="12.25" style="30" customWidth="1"/>
    <col min="16223" max="16231" width="12.5" style="30" customWidth="1"/>
    <col min="16232" max="16232" width="12.25" style="30" customWidth="1"/>
    <col min="16233" max="16241" width="12.5" style="30" customWidth="1"/>
    <col min="16242" max="16242" width="12.25" style="30" customWidth="1"/>
    <col min="16243" max="16251" width="12.5" style="30" customWidth="1"/>
    <col min="16252" max="16252" width="12.25" style="30" customWidth="1"/>
    <col min="16253" max="16261" width="12.5" style="30" customWidth="1"/>
    <col min="16262" max="16262" width="12.25" style="30" customWidth="1"/>
    <col min="16263" max="16271" width="12.5" style="30" customWidth="1"/>
    <col min="16272" max="16272" width="12.25" style="30" customWidth="1"/>
    <col min="16273" max="16280" width="12.5" style="30" customWidth="1"/>
    <col min="16281" max="16281" width="12.25" style="30" customWidth="1"/>
    <col min="16282" max="16282" width="11.875" style="30" customWidth="1"/>
    <col min="16283" max="16290" width="12.25" style="30" customWidth="1"/>
    <col min="16291" max="16291" width="12.5" style="30" customWidth="1"/>
    <col min="16292" max="16292" width="12.25" style="30" customWidth="1"/>
    <col min="16293" max="16301" width="12.5" style="30" customWidth="1"/>
    <col min="16302" max="16302" width="12.25" style="30" customWidth="1"/>
    <col min="16303" max="16311" width="12.5" style="30" customWidth="1"/>
    <col min="16312" max="16312" width="12.25" style="30" customWidth="1"/>
    <col min="16313" max="16321" width="12.5" style="30" customWidth="1"/>
    <col min="16322" max="16322" width="12.25" style="30" customWidth="1"/>
    <col min="16323" max="16331" width="12.5" style="30" customWidth="1"/>
    <col min="16332" max="16332" width="12.25" style="30" customWidth="1"/>
    <col min="16333" max="16341" width="12.5" style="30" customWidth="1"/>
    <col min="16342" max="16342" width="12.25" style="30" customWidth="1"/>
    <col min="16343" max="16351" width="12.5" style="30" customWidth="1"/>
    <col min="16352" max="16352" width="12.25" style="30" customWidth="1"/>
    <col min="16353" max="16384" width="12.5" style="30" customWidth="1"/>
  </cols>
  <sheetData>
    <row r="1" spans="1:53" s="70" customFormat="1" ht="68.25" thickBot="1" x14ac:dyDescent="0.2">
      <c r="A1" s="61" t="s">
        <v>70</v>
      </c>
      <c r="B1" s="61" t="s">
        <v>90</v>
      </c>
      <c r="C1" s="108" t="s">
        <v>0</v>
      </c>
      <c r="D1" s="61" t="s">
        <v>71</v>
      </c>
      <c r="E1" s="61" t="s">
        <v>1</v>
      </c>
      <c r="F1" s="61" t="s">
        <v>161</v>
      </c>
      <c r="G1" s="61" t="s">
        <v>162</v>
      </c>
      <c r="H1" s="108" t="s">
        <v>635</v>
      </c>
      <c r="I1" s="61" t="s">
        <v>37</v>
      </c>
      <c r="J1" s="61" t="s">
        <v>38</v>
      </c>
      <c r="K1" s="61" t="s">
        <v>39</v>
      </c>
      <c r="L1" s="61" t="s">
        <v>42</v>
      </c>
      <c r="M1" s="61" t="s">
        <v>32</v>
      </c>
      <c r="N1" s="61" t="s">
        <v>33</v>
      </c>
      <c r="O1" s="61" t="s">
        <v>34</v>
      </c>
      <c r="P1" s="61" t="s">
        <v>932</v>
      </c>
      <c r="Q1" s="61" t="s">
        <v>43</v>
      </c>
      <c r="R1" s="61" t="s">
        <v>933</v>
      </c>
      <c r="S1" s="61" t="s">
        <v>934</v>
      </c>
      <c r="T1" s="61" t="s">
        <v>40</v>
      </c>
      <c r="U1" s="61" t="s">
        <v>35</v>
      </c>
      <c r="V1" s="61" t="s">
        <v>41</v>
      </c>
      <c r="W1" s="61" t="s">
        <v>36</v>
      </c>
      <c r="X1" s="61" t="s">
        <v>935</v>
      </c>
      <c r="Y1" s="61" t="s">
        <v>1061</v>
      </c>
      <c r="Z1" s="61" t="s">
        <v>1062</v>
      </c>
      <c r="AA1" s="61" t="s">
        <v>936</v>
      </c>
      <c r="AB1" s="61" t="s">
        <v>937</v>
      </c>
      <c r="AC1" s="61" t="s">
        <v>938</v>
      </c>
      <c r="AD1" s="61" t="s">
        <v>939</v>
      </c>
      <c r="AE1" s="61" t="s">
        <v>940</v>
      </c>
      <c r="AF1" s="61" t="s">
        <v>941</v>
      </c>
      <c r="AG1" s="61" t="s">
        <v>942</v>
      </c>
      <c r="AH1" s="61" t="s">
        <v>943</v>
      </c>
      <c r="AI1" s="61" t="s">
        <v>944</v>
      </c>
      <c r="AJ1" s="61" t="s">
        <v>945</v>
      </c>
      <c r="AK1" s="61" t="s">
        <v>946</v>
      </c>
      <c r="AL1" s="61" t="s">
        <v>947</v>
      </c>
      <c r="AM1" s="61" t="s">
        <v>948</v>
      </c>
      <c r="AN1" s="61" t="s">
        <v>950</v>
      </c>
      <c r="AO1" s="61" t="s">
        <v>951</v>
      </c>
      <c r="AP1" s="61" t="s">
        <v>952</v>
      </c>
      <c r="AQ1" s="61" t="s">
        <v>953</v>
      </c>
      <c r="AR1" s="61" t="s">
        <v>954</v>
      </c>
      <c r="AS1" s="61" t="s">
        <v>955</v>
      </c>
      <c r="AT1" s="61" t="s">
        <v>956</v>
      </c>
      <c r="AU1" s="61" t="s">
        <v>957</v>
      </c>
      <c r="AV1" s="61" t="s">
        <v>958</v>
      </c>
      <c r="AW1" s="61" t="s">
        <v>959</v>
      </c>
      <c r="AX1" s="61" t="s">
        <v>960</v>
      </c>
      <c r="AY1" s="61" t="s">
        <v>961</v>
      </c>
      <c r="AZ1" s="61" t="s">
        <v>1063</v>
      </c>
      <c r="BA1" s="61"/>
    </row>
    <row r="2" spans="1:53" s="70" customFormat="1" ht="12" thickBot="1" x14ac:dyDescent="0.2">
      <c r="A2" s="55" t="s">
        <v>58</v>
      </c>
      <c r="B2" s="37" t="s">
        <v>204</v>
      </c>
      <c r="C2" s="109" t="str">
        <f>HYPERLINK(Hoofddocument!$H$2,Hoofddocument!$G$2)</f>
        <v>Informatie over Agifall UWV</v>
      </c>
      <c r="D2" s="37"/>
      <c r="E2" s="55" t="s">
        <v>759</v>
      </c>
      <c r="F2" s="37"/>
      <c r="G2" s="55" t="s">
        <v>962</v>
      </c>
      <c r="H2" s="49" t="s">
        <v>963</v>
      </c>
      <c r="I2" s="123" t="s">
        <v>97</v>
      </c>
      <c r="J2" s="39" t="s">
        <v>97</v>
      </c>
      <c r="K2" s="39"/>
      <c r="L2" s="40"/>
      <c r="M2" s="40"/>
      <c r="N2" s="40"/>
      <c r="O2" s="40"/>
      <c r="P2" s="40"/>
      <c r="Q2" s="40"/>
      <c r="R2" s="40"/>
      <c r="S2" s="40"/>
      <c r="T2" s="40"/>
      <c r="U2" s="40"/>
      <c r="V2" s="40" t="s">
        <v>97</v>
      </c>
      <c r="W2" s="40" t="s">
        <v>97</v>
      </c>
      <c r="X2" s="40"/>
      <c r="Y2" s="40"/>
      <c r="Z2" s="40"/>
      <c r="AA2" s="40"/>
      <c r="AB2" s="40"/>
      <c r="AC2" s="40"/>
      <c r="AD2" s="40"/>
      <c r="AE2" s="40"/>
      <c r="AF2" s="40"/>
      <c r="AG2" s="40"/>
      <c r="AH2" s="40"/>
      <c r="AI2" s="40"/>
      <c r="AJ2" s="40"/>
      <c r="AK2" s="40"/>
      <c r="AL2" s="40"/>
      <c r="AM2" s="40"/>
      <c r="AN2" s="40"/>
      <c r="AO2" s="40"/>
      <c r="AP2" s="40" t="s">
        <v>97</v>
      </c>
      <c r="AQ2" s="40" t="s">
        <v>97</v>
      </c>
      <c r="AR2" s="40" t="s">
        <v>97</v>
      </c>
      <c r="AS2" s="40" t="s">
        <v>97</v>
      </c>
      <c r="AT2" s="40" t="s">
        <v>97</v>
      </c>
      <c r="AU2" s="40" t="s">
        <v>97</v>
      </c>
      <c r="AV2" s="40" t="s">
        <v>97</v>
      </c>
      <c r="AW2" s="40"/>
      <c r="AX2" s="40"/>
      <c r="AY2" s="40"/>
      <c r="AZ2" s="40"/>
      <c r="BA2" s="61"/>
    </row>
    <row r="3" spans="1:53" s="72" customFormat="1" ht="12" thickBot="1" x14ac:dyDescent="0.2">
      <c r="A3" s="37" t="s">
        <v>58</v>
      </c>
      <c r="B3" s="38" t="s">
        <v>205</v>
      </c>
      <c r="C3" s="109" t="str">
        <f>HYPERLINK(Hoofddocument!$H$3,Hoofddocument!$G$3)</f>
        <v>Agile Scrum Foundation</v>
      </c>
      <c r="D3" s="38" t="s">
        <v>166</v>
      </c>
      <c r="E3" s="38" t="s">
        <v>12</v>
      </c>
      <c r="F3" s="38" t="s">
        <v>206</v>
      </c>
      <c r="G3" s="38" t="s">
        <v>54</v>
      </c>
      <c r="H3" s="49" t="s">
        <v>531</v>
      </c>
      <c r="I3" s="123" t="s">
        <v>97</v>
      </c>
      <c r="J3" s="39" t="s">
        <v>97</v>
      </c>
      <c r="K3" s="39" t="s">
        <v>97</v>
      </c>
      <c r="L3" s="40" t="s">
        <v>97</v>
      </c>
      <c r="M3" s="40"/>
      <c r="N3" s="40"/>
      <c r="O3" s="40"/>
      <c r="P3" s="40"/>
      <c r="Q3" s="40"/>
      <c r="R3" s="40" t="s">
        <v>97</v>
      </c>
      <c r="S3" s="40" t="s">
        <v>97</v>
      </c>
      <c r="T3" s="40"/>
      <c r="U3" s="40" t="s">
        <v>97</v>
      </c>
      <c r="V3" s="40" t="s">
        <v>97</v>
      </c>
      <c r="W3" s="40"/>
      <c r="X3" s="40" t="s">
        <v>97</v>
      </c>
      <c r="Y3" s="40"/>
      <c r="Z3" s="40"/>
      <c r="AA3" s="40" t="s">
        <v>97</v>
      </c>
      <c r="AB3" s="40" t="s">
        <v>97</v>
      </c>
      <c r="AC3" s="40" t="s">
        <v>97</v>
      </c>
      <c r="AD3" s="40" t="s">
        <v>97</v>
      </c>
      <c r="AE3" s="40" t="s">
        <v>97</v>
      </c>
      <c r="AF3" s="40" t="s">
        <v>97</v>
      </c>
      <c r="AG3" s="40" t="s">
        <v>97</v>
      </c>
      <c r="AH3" s="40"/>
      <c r="AI3" s="40"/>
      <c r="AJ3" s="40"/>
      <c r="AK3" s="40"/>
      <c r="AL3" s="40" t="s">
        <v>97</v>
      </c>
      <c r="AM3" s="40" t="s">
        <v>634</v>
      </c>
      <c r="AN3" s="40" t="s">
        <v>97</v>
      </c>
      <c r="AO3" s="40" t="s">
        <v>97</v>
      </c>
      <c r="AP3" s="40" t="s">
        <v>97</v>
      </c>
      <c r="AQ3" s="40" t="s">
        <v>97</v>
      </c>
      <c r="AR3" s="40" t="s">
        <v>97</v>
      </c>
      <c r="AS3" s="40" t="s">
        <v>97</v>
      </c>
      <c r="AT3" s="40" t="s">
        <v>97</v>
      </c>
      <c r="AU3" s="40" t="s">
        <v>97</v>
      </c>
      <c r="AV3" s="40" t="s">
        <v>97</v>
      </c>
      <c r="AW3" s="40"/>
      <c r="AX3" s="40" t="s">
        <v>97</v>
      </c>
      <c r="AY3" s="40"/>
      <c r="AZ3" s="40"/>
    </row>
    <row r="4" spans="1:53" s="72" customFormat="1" ht="12" thickBot="1" x14ac:dyDescent="0.2">
      <c r="A4" s="37" t="s">
        <v>58</v>
      </c>
      <c r="B4" s="38" t="s">
        <v>352</v>
      </c>
      <c r="C4" s="109" t="str">
        <f>HYPERLINK(Hoofddocument!$H$4,Hoofddocument!$G$4)</f>
        <v>Agile Project Management Practitioner® inclusief examen</v>
      </c>
      <c r="D4" s="38" t="s">
        <v>166</v>
      </c>
      <c r="E4" s="38" t="s">
        <v>12</v>
      </c>
      <c r="F4" s="38" t="s">
        <v>642</v>
      </c>
      <c r="G4" s="38" t="s">
        <v>641</v>
      </c>
      <c r="H4" s="49" t="s">
        <v>577</v>
      </c>
      <c r="I4" s="123" t="s">
        <v>97</v>
      </c>
      <c r="J4" s="39" t="s">
        <v>97</v>
      </c>
      <c r="K4" s="39"/>
      <c r="L4" s="40"/>
      <c r="M4" s="40"/>
      <c r="N4" s="40"/>
      <c r="O4" s="40"/>
      <c r="P4" s="40"/>
      <c r="Q4" s="40" t="s">
        <v>97</v>
      </c>
      <c r="R4" s="40"/>
      <c r="S4" s="40"/>
      <c r="T4" s="40"/>
      <c r="U4" s="40" t="s">
        <v>634</v>
      </c>
      <c r="V4" s="40"/>
      <c r="W4" s="40" t="s">
        <v>97</v>
      </c>
      <c r="X4" s="40" t="s">
        <v>634</v>
      </c>
      <c r="Y4" s="40"/>
      <c r="Z4" s="40"/>
      <c r="AA4" s="40"/>
      <c r="AB4" s="40"/>
      <c r="AC4" s="40"/>
      <c r="AD4" s="40"/>
      <c r="AE4" s="40"/>
      <c r="AF4" s="40"/>
      <c r="AG4" s="40"/>
      <c r="AH4" s="40"/>
      <c r="AI4" s="40"/>
      <c r="AJ4" s="40"/>
      <c r="AK4" s="40"/>
      <c r="AL4" s="40"/>
      <c r="AM4" s="40"/>
      <c r="AN4" s="40"/>
      <c r="AO4" s="40"/>
      <c r="AP4" s="40" t="s">
        <v>634</v>
      </c>
      <c r="AQ4" s="40" t="s">
        <v>634</v>
      </c>
      <c r="AR4" s="40" t="s">
        <v>634</v>
      </c>
      <c r="AS4" s="40" t="s">
        <v>634</v>
      </c>
      <c r="AT4" s="40" t="s">
        <v>634</v>
      </c>
      <c r="AU4" s="40" t="s">
        <v>634</v>
      </c>
      <c r="AV4" s="40" t="s">
        <v>634</v>
      </c>
      <c r="AW4" s="40"/>
      <c r="AX4" s="40"/>
      <c r="AY4" s="40"/>
      <c r="AZ4" s="40"/>
    </row>
    <row r="5" spans="1:53" s="72" customFormat="1" ht="12" thickBot="1" x14ac:dyDescent="0.2">
      <c r="A5" s="37" t="s">
        <v>58</v>
      </c>
      <c r="B5" s="38" t="s">
        <v>352</v>
      </c>
      <c r="C5" s="109" t="str">
        <f>HYPERLINK(Hoofddocument!$H$5,Hoofddocument!$G$5)</f>
        <v>Agile Project Management Foundation® inclusief examen</v>
      </c>
      <c r="D5" s="38" t="s">
        <v>166</v>
      </c>
      <c r="E5" s="38" t="s">
        <v>12</v>
      </c>
      <c r="F5" s="38" t="s">
        <v>644</v>
      </c>
      <c r="G5" s="38" t="s">
        <v>643</v>
      </c>
      <c r="H5" s="49" t="s">
        <v>645</v>
      </c>
      <c r="I5" s="123" t="s">
        <v>97</v>
      </c>
      <c r="J5" s="39" t="s">
        <v>97</v>
      </c>
      <c r="K5" s="39"/>
      <c r="L5" s="40"/>
      <c r="M5" s="40"/>
      <c r="N5" s="40"/>
      <c r="O5" s="40"/>
      <c r="P5" s="40"/>
      <c r="Q5" s="40" t="s">
        <v>634</v>
      </c>
      <c r="R5" s="40"/>
      <c r="S5" s="40"/>
      <c r="T5" s="40"/>
      <c r="U5" s="40" t="s">
        <v>634</v>
      </c>
      <c r="V5" s="40"/>
      <c r="W5" s="40" t="s">
        <v>97</v>
      </c>
      <c r="X5" s="40"/>
      <c r="Y5" s="40"/>
      <c r="Z5" s="40"/>
      <c r="AA5" s="40"/>
      <c r="AB5" s="40"/>
      <c r="AC5" s="40"/>
      <c r="AD5" s="40"/>
      <c r="AE5" s="40"/>
      <c r="AF5" s="40"/>
      <c r="AG5" s="40"/>
      <c r="AH5" s="40"/>
      <c r="AI5" s="40"/>
      <c r="AJ5" s="40"/>
      <c r="AK5" s="40"/>
      <c r="AL5" s="40"/>
      <c r="AM5" s="40"/>
      <c r="AN5" s="40"/>
      <c r="AO5" s="40"/>
      <c r="AP5" s="40" t="s">
        <v>97</v>
      </c>
      <c r="AQ5" s="40" t="s">
        <v>97</v>
      </c>
      <c r="AR5" s="40" t="s">
        <v>97</v>
      </c>
      <c r="AS5" s="40" t="s">
        <v>97</v>
      </c>
      <c r="AT5" s="40" t="s">
        <v>97</v>
      </c>
      <c r="AU5" s="40" t="s">
        <v>97</v>
      </c>
      <c r="AV5" s="40" t="s">
        <v>97</v>
      </c>
      <c r="AW5" s="40"/>
      <c r="AX5" s="40"/>
      <c r="AY5" s="40"/>
      <c r="AZ5" s="40"/>
    </row>
    <row r="6" spans="1:53" s="72" customFormat="1" ht="12" thickBot="1" x14ac:dyDescent="0.2">
      <c r="A6" s="37" t="s">
        <v>58</v>
      </c>
      <c r="B6" s="38" t="s">
        <v>208</v>
      </c>
      <c r="C6" s="109" t="str">
        <f>HYPERLINK(Hoofddocument!$H$6,Hoofddocument!$G$6)</f>
        <v>Agile en LEAN proces verbetering</v>
      </c>
      <c r="D6" s="38"/>
      <c r="E6" s="38" t="s">
        <v>207</v>
      </c>
      <c r="F6" s="38"/>
      <c r="G6" s="38" t="s">
        <v>209</v>
      </c>
      <c r="H6" s="49" t="s">
        <v>532</v>
      </c>
      <c r="I6" s="123" t="s">
        <v>97</v>
      </c>
      <c r="J6" s="39" t="s">
        <v>97</v>
      </c>
      <c r="K6" s="39"/>
      <c r="L6" s="40"/>
      <c r="M6" s="40"/>
      <c r="N6" s="40"/>
      <c r="O6" s="40"/>
      <c r="P6" s="40"/>
      <c r="Q6" s="40"/>
      <c r="R6" s="40"/>
      <c r="S6" s="40"/>
      <c r="T6" s="40"/>
      <c r="U6" s="40"/>
      <c r="V6" s="40"/>
      <c r="W6" s="40"/>
      <c r="X6" s="40"/>
      <c r="Y6" s="40"/>
      <c r="Z6" s="40"/>
      <c r="AA6" s="40"/>
      <c r="AB6" s="40"/>
      <c r="AC6" s="40" t="s">
        <v>97</v>
      </c>
      <c r="AD6" s="40"/>
      <c r="AE6" s="40"/>
      <c r="AF6" s="40"/>
      <c r="AG6" s="40"/>
      <c r="AH6" s="40"/>
      <c r="AI6" s="40"/>
      <c r="AJ6" s="40"/>
      <c r="AK6" s="40"/>
      <c r="AL6" s="40"/>
      <c r="AM6" s="40"/>
      <c r="AN6" s="40"/>
      <c r="AO6" s="40" t="s">
        <v>97</v>
      </c>
      <c r="AP6" s="40"/>
      <c r="AQ6" s="40"/>
      <c r="AR6" s="40"/>
      <c r="AS6" s="40"/>
      <c r="AT6" s="40"/>
      <c r="AU6" s="40"/>
      <c r="AV6" s="40"/>
      <c r="AW6" s="40"/>
      <c r="AX6" s="40"/>
      <c r="AY6" s="40"/>
      <c r="AZ6" s="40"/>
    </row>
    <row r="7" spans="1:53" s="72" customFormat="1" ht="12" thickBot="1" x14ac:dyDescent="0.2">
      <c r="A7" s="37" t="s">
        <v>58</v>
      </c>
      <c r="B7" s="38" t="s">
        <v>211</v>
      </c>
      <c r="C7" s="109" t="str">
        <f>HYPERLINK(Hoofddocument!$H$7,Hoofddocument!$G$7)</f>
        <v>Scrum Master II | Computrain</v>
      </c>
      <c r="D7" s="38"/>
      <c r="E7" s="38" t="s">
        <v>207</v>
      </c>
      <c r="F7" s="38"/>
      <c r="G7" s="38" t="s">
        <v>212</v>
      </c>
      <c r="H7" s="64" t="s">
        <v>534</v>
      </c>
      <c r="I7" s="124" t="s">
        <v>634</v>
      </c>
      <c r="J7" s="39"/>
      <c r="K7" s="39"/>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row>
    <row r="8" spans="1:53" s="72" customFormat="1" ht="12" thickBot="1" x14ac:dyDescent="0.2">
      <c r="A8" s="37" t="s">
        <v>58</v>
      </c>
      <c r="B8" s="38" t="s">
        <v>213</v>
      </c>
      <c r="C8" s="109" t="str">
        <f>HYPERLINK(Hoofddocument!$H$8,Hoofddocument!$G$8)</f>
        <v>Professional Scrum Product Owner (PSPO)</v>
      </c>
      <c r="D8" s="38" t="s">
        <v>166</v>
      </c>
      <c r="E8" s="38" t="s">
        <v>12</v>
      </c>
      <c r="F8" s="38" t="s">
        <v>637</v>
      </c>
      <c r="G8" s="38" t="s">
        <v>636</v>
      </c>
      <c r="H8" s="49" t="s">
        <v>535</v>
      </c>
      <c r="I8" s="123"/>
      <c r="J8" s="39" t="s">
        <v>97</v>
      </c>
      <c r="K8" s="39"/>
      <c r="L8" s="40"/>
      <c r="M8" s="40"/>
      <c r="N8" s="40"/>
      <c r="O8" s="40"/>
      <c r="P8" s="40"/>
      <c r="Q8" s="40"/>
      <c r="R8" s="40" t="s">
        <v>97</v>
      </c>
      <c r="S8" s="40" t="s">
        <v>634</v>
      </c>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row>
    <row r="9" spans="1:53" s="72" customFormat="1" ht="12" thickBot="1" x14ac:dyDescent="0.2">
      <c r="A9" s="37" t="s">
        <v>58</v>
      </c>
      <c r="B9" s="38" t="s">
        <v>214</v>
      </c>
      <c r="C9" s="109" t="str">
        <f>HYPERLINK(Hoofddocument!$H$9,Hoofddocument!$G$9)</f>
        <v>PSPO Advanced</v>
      </c>
      <c r="D9" s="38"/>
      <c r="E9" s="38" t="s">
        <v>207</v>
      </c>
      <c r="F9" s="38"/>
      <c r="G9" s="38" t="s">
        <v>215</v>
      </c>
      <c r="H9" s="49" t="s">
        <v>536</v>
      </c>
      <c r="I9" s="123"/>
      <c r="J9" s="39" t="s">
        <v>634</v>
      </c>
      <c r="K9" s="39"/>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row>
    <row r="10" spans="1:53" s="72" customFormat="1" ht="12" thickBot="1" x14ac:dyDescent="0.2">
      <c r="A10" s="37" t="s">
        <v>58</v>
      </c>
      <c r="B10" s="38" t="s">
        <v>210</v>
      </c>
      <c r="C10" s="109" t="str">
        <f>HYPERLINK(Hoofddocument!$H$10,Hoofddocument!$G$10)</f>
        <v>Leading SAFe®</v>
      </c>
      <c r="D10" s="38" t="s">
        <v>166</v>
      </c>
      <c r="E10" s="38" t="s">
        <v>12</v>
      </c>
      <c r="F10" s="38" t="s">
        <v>647</v>
      </c>
      <c r="G10" s="38" t="s">
        <v>646</v>
      </c>
      <c r="H10" s="49" t="s">
        <v>139</v>
      </c>
      <c r="I10" s="123" t="s">
        <v>97</v>
      </c>
      <c r="J10" s="39" t="s">
        <v>97</v>
      </c>
      <c r="K10" s="39" t="s">
        <v>97</v>
      </c>
      <c r="L10" s="40" t="s">
        <v>97</v>
      </c>
      <c r="M10" s="40" t="s">
        <v>634</v>
      </c>
      <c r="N10" s="40" t="s">
        <v>634</v>
      </c>
      <c r="O10" s="40" t="s">
        <v>634</v>
      </c>
      <c r="P10" s="40" t="s">
        <v>634</v>
      </c>
      <c r="Q10" s="40"/>
      <c r="R10" s="40" t="s">
        <v>97</v>
      </c>
      <c r="S10" s="40" t="s">
        <v>97</v>
      </c>
      <c r="T10" s="40" t="s">
        <v>97</v>
      </c>
      <c r="U10" s="40"/>
      <c r="V10" s="40"/>
      <c r="W10" s="40" t="s">
        <v>97</v>
      </c>
      <c r="X10" s="40" t="s">
        <v>634</v>
      </c>
      <c r="Y10" s="40"/>
      <c r="Z10" s="40"/>
      <c r="AA10" s="40" t="s">
        <v>97</v>
      </c>
      <c r="AB10" s="40"/>
      <c r="AC10" s="40"/>
      <c r="AD10" s="40"/>
      <c r="AE10" s="40"/>
      <c r="AF10" s="40"/>
      <c r="AG10" s="40" t="s">
        <v>97</v>
      </c>
      <c r="AH10" s="40"/>
      <c r="AI10" s="40"/>
      <c r="AJ10" s="40"/>
      <c r="AK10" s="40"/>
      <c r="AL10" s="40" t="s">
        <v>97</v>
      </c>
      <c r="AM10" s="40"/>
      <c r="AN10" s="40"/>
      <c r="AO10" s="40"/>
      <c r="AP10" s="40" t="s">
        <v>97</v>
      </c>
      <c r="AQ10" s="40" t="s">
        <v>97</v>
      </c>
      <c r="AR10" s="40" t="s">
        <v>97</v>
      </c>
      <c r="AS10" s="40" t="s">
        <v>97</v>
      </c>
      <c r="AT10" s="40" t="s">
        <v>97</v>
      </c>
      <c r="AU10" s="40" t="s">
        <v>97</v>
      </c>
      <c r="AV10" s="40" t="s">
        <v>97</v>
      </c>
      <c r="AW10" s="40"/>
      <c r="AX10" s="40"/>
      <c r="AY10" s="40"/>
      <c r="AZ10" s="40"/>
    </row>
    <row r="11" spans="1:53" s="72" customFormat="1" ht="12" thickBot="1" x14ac:dyDescent="0.2">
      <c r="A11" s="37" t="s">
        <v>58</v>
      </c>
      <c r="B11" s="38" t="s">
        <v>314</v>
      </c>
      <c r="C11" s="109" t="str">
        <f>HYPERLINK(Hoofddocument!$H$11,Hoofddocument!$G$11)</f>
        <v>SAFe Lean Portfolio Management ©</v>
      </c>
      <c r="D11" s="38"/>
      <c r="E11" s="38" t="s">
        <v>207</v>
      </c>
      <c r="F11" s="38"/>
      <c r="G11" s="38" t="s">
        <v>314</v>
      </c>
      <c r="H11" s="49" t="s">
        <v>569</v>
      </c>
      <c r="I11" s="123"/>
      <c r="J11" s="39"/>
      <c r="K11" s="39"/>
      <c r="L11" s="40"/>
      <c r="M11" s="40" t="s">
        <v>97</v>
      </c>
      <c r="N11" s="40" t="s">
        <v>97</v>
      </c>
      <c r="O11" s="40" t="s">
        <v>97</v>
      </c>
      <c r="P11" s="40" t="s">
        <v>97</v>
      </c>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row>
    <row r="12" spans="1:53" s="72" customFormat="1" ht="12" thickBot="1" x14ac:dyDescent="0.2">
      <c r="A12" s="37" t="s">
        <v>58</v>
      </c>
      <c r="B12" s="38" t="s">
        <v>494</v>
      </c>
      <c r="C12" s="109" t="str">
        <f>HYPERLINK(Hoofddocument!$H$12,Hoofddocument!$G$12)</f>
        <v>Safe Release train engineer</v>
      </c>
      <c r="D12" s="38"/>
      <c r="E12" s="38" t="s">
        <v>207</v>
      </c>
      <c r="F12" s="38"/>
      <c r="G12" s="38" t="s">
        <v>494</v>
      </c>
      <c r="H12" s="49" t="s">
        <v>625</v>
      </c>
      <c r="I12" s="123"/>
      <c r="J12" s="39"/>
      <c r="K12" s="39"/>
      <c r="L12" s="40"/>
      <c r="M12" s="40"/>
      <c r="N12" s="40"/>
      <c r="O12" s="40"/>
      <c r="P12" s="40"/>
      <c r="Q12" s="40"/>
      <c r="R12" s="40"/>
      <c r="S12" s="40"/>
      <c r="T12" s="40"/>
      <c r="U12" s="40"/>
      <c r="V12" s="40" t="s">
        <v>97</v>
      </c>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row>
    <row r="13" spans="1:53" s="72" customFormat="1" ht="12" thickBot="1" x14ac:dyDescent="0.2">
      <c r="A13" s="37" t="s">
        <v>58</v>
      </c>
      <c r="B13" s="38" t="s">
        <v>638</v>
      </c>
      <c r="C13" s="109" t="str">
        <f>HYPERLINK(Hoofddocument!$H$13,Hoofddocument!$G$13)</f>
        <v>Professional Scrum Master (PSM)</v>
      </c>
      <c r="D13" s="38" t="s">
        <v>166</v>
      </c>
      <c r="E13" s="38" t="s">
        <v>12</v>
      </c>
      <c r="F13" s="38" t="s">
        <v>640</v>
      </c>
      <c r="G13" s="38" t="s">
        <v>639</v>
      </c>
      <c r="H13" s="49" t="s">
        <v>533</v>
      </c>
      <c r="I13" s="123" t="s">
        <v>97</v>
      </c>
      <c r="J13" s="39"/>
      <c r="K13" s="39"/>
      <c r="L13" s="40"/>
      <c r="M13" s="40"/>
      <c r="N13" s="40"/>
      <c r="O13" s="40"/>
      <c r="P13" s="40"/>
      <c r="Q13" s="40"/>
      <c r="R13" s="40" t="s">
        <v>97</v>
      </c>
      <c r="S13" s="40" t="s">
        <v>97</v>
      </c>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row>
    <row r="14" spans="1:53" s="72" customFormat="1" ht="15.75" customHeight="1" thickBot="1" x14ac:dyDescent="0.2">
      <c r="A14" s="41" t="s">
        <v>58</v>
      </c>
      <c r="B14" s="38" t="s">
        <v>216</v>
      </c>
      <c r="C14" s="109" t="str">
        <f>HYPERLINK(Hoofddocument!$H$14,Hoofddocument!$G$14)</f>
        <v>User stories schrijven</v>
      </c>
      <c r="D14" s="38"/>
      <c r="E14" s="38" t="s">
        <v>964</v>
      </c>
      <c r="F14" s="38"/>
      <c r="G14" s="38" t="s">
        <v>216</v>
      </c>
      <c r="H14" s="49" t="s">
        <v>965</v>
      </c>
      <c r="I14" s="41"/>
      <c r="J14" s="40" t="s">
        <v>97</v>
      </c>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row>
    <row r="15" spans="1:53" s="72" customFormat="1" ht="12" thickBot="1" x14ac:dyDescent="0.2">
      <c r="A15" s="37" t="s">
        <v>50</v>
      </c>
      <c r="B15" s="38" t="s">
        <v>217</v>
      </c>
      <c r="C15" s="109" t="str">
        <f>HYPERLINK(Hoofddocument!$H$15,Hoofddocument!$G$15)</f>
        <v>Agile Business Analyst</v>
      </c>
      <c r="D15" s="38"/>
      <c r="E15" s="38" t="s">
        <v>207</v>
      </c>
      <c r="F15" s="38"/>
      <c r="G15" s="38" t="s">
        <v>218</v>
      </c>
      <c r="H15" s="49" t="s">
        <v>537</v>
      </c>
      <c r="I15" s="41"/>
      <c r="J15" s="39" t="s">
        <v>97</v>
      </c>
      <c r="K15" s="39"/>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row>
    <row r="16" spans="1:53" s="72" customFormat="1" ht="12" thickBot="1" x14ac:dyDescent="0.2">
      <c r="A16" s="37" t="s">
        <v>50</v>
      </c>
      <c r="B16" s="38" t="s">
        <v>50</v>
      </c>
      <c r="C16" s="109" t="str">
        <f>HYPERLINK(Hoofddocument!$H$16,Hoofddocument!$G$16)</f>
        <v>BCS Requirements Engineering</v>
      </c>
      <c r="D16" s="38" t="s">
        <v>166</v>
      </c>
      <c r="E16" s="38" t="s">
        <v>12</v>
      </c>
      <c r="F16" s="38" t="s">
        <v>652</v>
      </c>
      <c r="G16" s="38" t="s">
        <v>651</v>
      </c>
      <c r="H16" s="49" t="s">
        <v>611</v>
      </c>
      <c r="I16" s="41"/>
      <c r="J16" s="39"/>
      <c r="K16" s="39"/>
      <c r="L16" s="40"/>
      <c r="M16" s="40"/>
      <c r="N16" s="40"/>
      <c r="O16" s="40"/>
      <c r="P16" s="40"/>
      <c r="Q16" s="40"/>
      <c r="R16" s="40"/>
      <c r="S16" s="40"/>
      <c r="T16" s="40"/>
      <c r="U16" s="40" t="s">
        <v>97</v>
      </c>
      <c r="V16" s="40"/>
      <c r="W16" s="40"/>
      <c r="X16" s="40"/>
      <c r="Y16" s="40"/>
      <c r="Z16" s="40"/>
      <c r="AA16" s="40" t="s">
        <v>634</v>
      </c>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row>
    <row r="17" spans="1:178" s="72" customFormat="1" ht="12" thickBot="1" x14ac:dyDescent="0.2">
      <c r="A17" s="37" t="s">
        <v>50</v>
      </c>
      <c r="B17" s="38" t="s">
        <v>353</v>
      </c>
      <c r="C17" s="109" t="str">
        <f>HYPERLINK(Hoofddocument!$H$17,Hoofddocument!$G$17)</f>
        <v>BCS Agile Business Analysis</v>
      </c>
      <c r="D17" s="38" t="s">
        <v>166</v>
      </c>
      <c r="E17" s="38" t="s">
        <v>12</v>
      </c>
      <c r="F17" s="38" t="s">
        <v>654</v>
      </c>
      <c r="G17" s="38" t="s">
        <v>653</v>
      </c>
      <c r="H17" s="49" t="s">
        <v>578</v>
      </c>
      <c r="I17" s="41"/>
      <c r="J17" s="39"/>
      <c r="K17" s="39"/>
      <c r="L17" s="40"/>
      <c r="M17" s="40"/>
      <c r="N17" s="40"/>
      <c r="O17" s="40"/>
      <c r="P17" s="40"/>
      <c r="Q17" s="40" t="s">
        <v>97</v>
      </c>
      <c r="R17" s="40"/>
      <c r="S17" s="40"/>
      <c r="T17" s="40"/>
      <c r="U17" s="40"/>
      <c r="V17" s="40"/>
      <c r="W17" s="40"/>
      <c r="X17" s="40"/>
      <c r="Y17" s="40"/>
      <c r="Z17" s="40"/>
      <c r="AA17" s="40"/>
      <c r="AB17" s="40"/>
      <c r="AC17" s="40"/>
      <c r="AD17" s="40"/>
      <c r="AE17" s="40"/>
      <c r="AF17" s="40"/>
      <c r="AG17" s="40"/>
      <c r="AH17" s="40" t="s">
        <v>634</v>
      </c>
      <c r="AI17" s="40" t="s">
        <v>634</v>
      </c>
      <c r="AJ17" s="40"/>
      <c r="AK17" s="40"/>
      <c r="AL17" s="40"/>
      <c r="AM17" s="40"/>
      <c r="AN17" s="40"/>
      <c r="AO17" s="40" t="s">
        <v>634</v>
      </c>
      <c r="AP17" s="40"/>
      <c r="AQ17" s="40"/>
      <c r="AR17" s="40"/>
      <c r="AS17" s="40"/>
      <c r="AT17" s="40"/>
      <c r="AU17" s="40"/>
      <c r="AV17" s="40"/>
      <c r="AW17" s="40"/>
      <c r="AX17" s="40"/>
      <c r="AY17" s="40"/>
      <c r="AZ17" s="40"/>
    </row>
    <row r="18" spans="1:178" s="72" customFormat="1" ht="15.75" customHeight="1" thickBot="1" x14ac:dyDescent="0.2">
      <c r="A18" s="37" t="s">
        <v>50</v>
      </c>
      <c r="B18" s="38" t="s">
        <v>353</v>
      </c>
      <c r="C18" s="109" t="str">
        <f>HYPERLINK(Hoofddocument!$H$18,Hoofddocument!$G$18)</f>
        <v>BCS Foundation in Business Analysis</v>
      </c>
      <c r="D18" s="38" t="s">
        <v>166</v>
      </c>
      <c r="E18" s="38" t="s">
        <v>12</v>
      </c>
      <c r="F18" s="38" t="s">
        <v>695</v>
      </c>
      <c r="G18" s="38" t="s">
        <v>694</v>
      </c>
      <c r="H18" s="49" t="s">
        <v>609</v>
      </c>
      <c r="I18" s="41"/>
      <c r="J18" s="39"/>
      <c r="K18" s="39"/>
      <c r="L18" s="40"/>
      <c r="M18" s="40"/>
      <c r="N18" s="40"/>
      <c r="O18" s="40"/>
      <c r="P18" s="40"/>
      <c r="Q18" s="40"/>
      <c r="R18" s="40"/>
      <c r="S18" s="40"/>
      <c r="T18" s="40" t="s">
        <v>634</v>
      </c>
      <c r="U18" s="40"/>
      <c r="V18" s="40"/>
      <c r="W18" s="40"/>
      <c r="X18" s="40"/>
      <c r="Y18" s="40"/>
      <c r="Z18" s="40"/>
      <c r="AA18" s="40"/>
      <c r="AB18" s="40"/>
      <c r="AC18" s="40"/>
      <c r="AD18" s="40"/>
      <c r="AE18" s="40"/>
      <c r="AF18" s="40"/>
      <c r="AG18" s="40"/>
      <c r="AH18" s="40" t="s">
        <v>97</v>
      </c>
      <c r="AI18" s="40" t="s">
        <v>97</v>
      </c>
      <c r="AJ18" s="40"/>
      <c r="AK18" s="40"/>
      <c r="AL18" s="40"/>
      <c r="AM18" s="40"/>
      <c r="AN18" s="40"/>
      <c r="AO18" s="40" t="s">
        <v>97</v>
      </c>
      <c r="AP18" s="40"/>
      <c r="AQ18" s="40"/>
      <c r="AR18" s="40"/>
      <c r="AS18" s="40"/>
      <c r="AT18" s="40"/>
      <c r="AU18" s="40"/>
      <c r="AV18" s="40"/>
      <c r="AW18" s="40"/>
      <c r="AX18" s="40"/>
      <c r="AY18" s="40"/>
      <c r="AZ18" s="40"/>
    </row>
    <row r="19" spans="1:178" s="71" customFormat="1" ht="12" thickBot="1" x14ac:dyDescent="0.2">
      <c r="A19" s="37" t="s">
        <v>50</v>
      </c>
      <c r="B19" s="38" t="s">
        <v>353</v>
      </c>
      <c r="C19" s="109" t="str">
        <f>HYPERLINK(Hoofddocument!$H$19,Hoofddocument!$G$19)</f>
        <v>Data-analist met Power BI</v>
      </c>
      <c r="D19" s="38" t="s">
        <v>166</v>
      </c>
      <c r="E19" s="38" t="s">
        <v>12</v>
      </c>
      <c r="F19" s="38" t="s">
        <v>750</v>
      </c>
      <c r="G19" s="38" t="s">
        <v>797</v>
      </c>
      <c r="H19" s="49" t="s">
        <v>875</v>
      </c>
      <c r="I19" s="41"/>
      <c r="J19" s="39"/>
      <c r="K19" s="39"/>
      <c r="L19" s="40"/>
      <c r="M19" s="40"/>
      <c r="N19" s="40"/>
      <c r="O19" s="40"/>
      <c r="P19" s="40"/>
      <c r="Q19" s="40"/>
      <c r="R19" s="40"/>
      <c r="S19" s="40"/>
      <c r="T19" s="40"/>
      <c r="U19" s="40"/>
      <c r="V19" s="40"/>
      <c r="W19" s="40"/>
      <c r="X19" s="40"/>
      <c r="Y19" s="40"/>
      <c r="Z19" s="40"/>
      <c r="AA19" s="40"/>
      <c r="AB19" s="40"/>
      <c r="AC19" s="40"/>
      <c r="AD19" s="40"/>
      <c r="AE19" s="40"/>
      <c r="AF19" s="40"/>
      <c r="AG19" s="40"/>
      <c r="AH19" s="40" t="s">
        <v>634</v>
      </c>
      <c r="AI19" s="40" t="s">
        <v>634</v>
      </c>
      <c r="AJ19" s="40"/>
      <c r="AK19" s="40"/>
      <c r="AL19" s="40"/>
      <c r="AM19" s="40"/>
      <c r="AN19" s="40"/>
      <c r="AO19" s="40"/>
      <c r="AP19" s="40"/>
      <c r="AQ19" s="40" t="s">
        <v>634</v>
      </c>
      <c r="AR19" s="40"/>
      <c r="AS19" s="40"/>
      <c r="AT19" s="40"/>
      <c r="AU19" s="40"/>
      <c r="AV19" s="40"/>
      <c r="AW19" s="40" t="s">
        <v>97</v>
      </c>
      <c r="AX19" s="40"/>
      <c r="AY19" s="40"/>
      <c r="AZ19" s="40"/>
    </row>
    <row r="20" spans="1:178" s="72" customFormat="1" ht="12" thickBot="1" x14ac:dyDescent="0.2">
      <c r="A20" s="37" t="s">
        <v>50</v>
      </c>
      <c r="B20" s="38" t="s">
        <v>353</v>
      </c>
      <c r="C20" s="109" t="str">
        <f>HYPERLINK(Hoofddocument!$H$20,Hoofddocument!$G$20)</f>
        <v>Power BI Advanced</v>
      </c>
      <c r="D20" s="38" t="s">
        <v>166</v>
      </c>
      <c r="E20" s="38" t="s">
        <v>12</v>
      </c>
      <c r="F20" s="44" t="s">
        <v>988</v>
      </c>
      <c r="G20" s="121" t="s">
        <v>989</v>
      </c>
      <c r="H20" s="64" t="s">
        <v>990</v>
      </c>
      <c r="I20" s="41"/>
      <c r="J20" s="39"/>
      <c r="K20" s="39"/>
      <c r="L20" s="40"/>
      <c r="M20" s="40"/>
      <c r="N20" s="40"/>
      <c r="O20" s="40"/>
      <c r="P20" s="40"/>
      <c r="Q20" s="40"/>
      <c r="R20" s="40"/>
      <c r="S20" s="40"/>
      <c r="T20" s="40"/>
      <c r="U20" s="40"/>
      <c r="V20" s="40"/>
      <c r="W20" s="39"/>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121" t="s">
        <v>634</v>
      </c>
      <c r="AX20" s="121"/>
      <c r="AY20" s="121"/>
      <c r="AZ20" s="121"/>
    </row>
    <row r="21" spans="1:178" s="72" customFormat="1" ht="12" thickBot="1" x14ac:dyDescent="0.2">
      <c r="A21" s="37" t="s">
        <v>50</v>
      </c>
      <c r="B21" s="38" t="s">
        <v>271</v>
      </c>
      <c r="C21" s="109" t="str">
        <f>HYPERLINK(Hoofddocument!$H$21,Hoofddocument!$G$21)</f>
        <v>Functioneel ontwerp</v>
      </c>
      <c r="D21" s="38" t="s">
        <v>166</v>
      </c>
      <c r="E21" s="38" t="s">
        <v>12</v>
      </c>
      <c r="F21" s="38" t="s">
        <v>272</v>
      </c>
      <c r="G21" s="38" t="s">
        <v>273</v>
      </c>
      <c r="H21" s="49" t="s">
        <v>551</v>
      </c>
      <c r="I21" s="41"/>
      <c r="J21" s="39"/>
      <c r="K21" s="39" t="s">
        <v>634</v>
      </c>
      <c r="L21" s="40" t="s">
        <v>97</v>
      </c>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row>
    <row r="22" spans="1:178" s="72" customFormat="1" ht="12" thickBot="1" x14ac:dyDescent="0.2">
      <c r="A22" s="37" t="s">
        <v>50</v>
      </c>
      <c r="B22" s="38" t="s">
        <v>717</v>
      </c>
      <c r="C22" s="109" t="str">
        <f>HYPERLINK(Hoofddocument!$H$22,Hoofddocument!$G$22)</f>
        <v>Masterclass Operations Management</v>
      </c>
      <c r="D22" s="38" t="s">
        <v>166</v>
      </c>
      <c r="E22" s="38" t="s">
        <v>12</v>
      </c>
      <c r="F22" s="38" t="s">
        <v>751</v>
      </c>
      <c r="G22" s="38" t="s">
        <v>798</v>
      </c>
      <c r="H22" s="49" t="s">
        <v>876</v>
      </c>
      <c r="I22" s="41"/>
      <c r="J22" s="39"/>
      <c r="K22" s="39"/>
      <c r="L22" s="40"/>
      <c r="M22" s="40"/>
      <c r="N22" s="40"/>
      <c r="O22" s="40"/>
      <c r="P22" s="40"/>
      <c r="Q22" s="40"/>
      <c r="R22" s="40"/>
      <c r="S22" s="40"/>
      <c r="T22" s="40"/>
      <c r="U22" s="40"/>
      <c r="V22" s="40"/>
      <c r="W22" s="40"/>
      <c r="X22" s="40"/>
      <c r="Y22" s="40"/>
      <c r="Z22" s="40"/>
      <c r="AA22" s="40"/>
      <c r="AB22" s="40"/>
      <c r="AC22" s="40"/>
      <c r="AD22" s="40"/>
      <c r="AE22" s="40"/>
      <c r="AF22" s="40"/>
      <c r="AG22" s="40"/>
      <c r="AH22" s="40" t="s">
        <v>634</v>
      </c>
      <c r="AI22" s="40" t="s">
        <v>634</v>
      </c>
      <c r="AJ22" s="40"/>
      <c r="AK22" s="40"/>
      <c r="AL22" s="40"/>
      <c r="AM22" s="40"/>
      <c r="AN22" s="40"/>
      <c r="AO22" s="40"/>
      <c r="AP22" s="40"/>
      <c r="AQ22" s="40"/>
      <c r="AR22" s="40"/>
      <c r="AS22" s="40"/>
      <c r="AT22" s="40"/>
      <c r="AU22" s="40"/>
      <c r="AV22" s="40"/>
      <c r="AW22" s="40"/>
      <c r="AX22" s="40"/>
      <c r="AY22" s="40"/>
      <c r="AZ22" s="40"/>
    </row>
    <row r="23" spans="1:178" s="72" customFormat="1" ht="12" thickBot="1" x14ac:dyDescent="0.2">
      <c r="A23" s="37" t="s">
        <v>50</v>
      </c>
      <c r="B23" s="38" t="s">
        <v>717</v>
      </c>
      <c r="C23" s="109" t="str">
        <f>HYPERLINK(Hoofddocument!$H$23,Hoofddocument!$G$23)</f>
        <v>Business Process Management</v>
      </c>
      <c r="D23" s="38" t="s">
        <v>166</v>
      </c>
      <c r="E23" s="38" t="s">
        <v>12</v>
      </c>
      <c r="F23" s="38" t="s">
        <v>650</v>
      </c>
      <c r="G23" s="38" t="s">
        <v>219</v>
      </c>
      <c r="H23" s="49" t="s">
        <v>538</v>
      </c>
      <c r="I23" s="41"/>
      <c r="J23" s="39" t="s">
        <v>634</v>
      </c>
      <c r="K23" s="39" t="s">
        <v>634</v>
      </c>
      <c r="L23" s="40"/>
      <c r="M23" s="40"/>
      <c r="N23" s="40"/>
      <c r="O23" s="40"/>
      <c r="P23" s="40"/>
      <c r="Q23" s="40"/>
      <c r="R23" s="40" t="s">
        <v>634</v>
      </c>
      <c r="S23" s="40" t="s">
        <v>634</v>
      </c>
      <c r="T23" s="40"/>
      <c r="U23" s="40" t="s">
        <v>97</v>
      </c>
      <c r="V23" s="40"/>
      <c r="W23" s="40"/>
      <c r="X23" s="40"/>
      <c r="Y23" s="40"/>
      <c r="Z23" s="40"/>
      <c r="AA23" s="40" t="s">
        <v>634</v>
      </c>
      <c r="AB23" s="40"/>
      <c r="AC23" s="40"/>
      <c r="AD23" s="40"/>
      <c r="AE23" s="40"/>
      <c r="AF23" s="40"/>
      <c r="AG23" s="40"/>
      <c r="AH23" s="40" t="s">
        <v>634</v>
      </c>
      <c r="AI23" s="40" t="s">
        <v>634</v>
      </c>
      <c r="AJ23" s="40"/>
      <c r="AK23" s="40"/>
      <c r="AL23" s="40"/>
      <c r="AM23" s="40"/>
      <c r="AN23" s="40"/>
      <c r="AO23" s="40"/>
      <c r="AP23" s="40"/>
      <c r="AQ23" s="40"/>
      <c r="AR23" s="40"/>
      <c r="AS23" s="40"/>
      <c r="AT23" s="40"/>
      <c r="AU23" s="40"/>
      <c r="AV23" s="40"/>
      <c r="AW23" s="40"/>
      <c r="AX23" s="40"/>
      <c r="AY23" s="40"/>
      <c r="AZ23" s="40"/>
    </row>
    <row r="24" spans="1:178" s="72" customFormat="1" ht="12" thickBot="1" x14ac:dyDescent="0.2">
      <c r="A24" s="37" t="s">
        <v>50</v>
      </c>
      <c r="B24" s="38" t="s">
        <v>69</v>
      </c>
      <c r="C24" s="109" t="str">
        <f>HYPERLINK(Hoofddocument!$H$24,Hoofddocument!$G$24)</f>
        <v>Requirements Analyse en Management</v>
      </c>
      <c r="D24" s="38" t="s">
        <v>166</v>
      </c>
      <c r="E24" s="38" t="s">
        <v>12</v>
      </c>
      <c r="F24" s="38" t="s">
        <v>649</v>
      </c>
      <c r="G24" s="38" t="s">
        <v>274</v>
      </c>
      <c r="H24" s="49" t="s">
        <v>539</v>
      </c>
      <c r="I24" s="41"/>
      <c r="J24" s="39" t="s">
        <v>97</v>
      </c>
      <c r="K24" s="39" t="s">
        <v>634</v>
      </c>
      <c r="L24" s="40" t="s">
        <v>97</v>
      </c>
      <c r="M24" s="40"/>
      <c r="N24" s="40"/>
      <c r="O24" s="40"/>
      <c r="P24" s="40"/>
      <c r="Q24" s="40"/>
      <c r="R24" s="40"/>
      <c r="S24" s="40"/>
      <c r="T24" s="40"/>
      <c r="U24" s="40" t="s">
        <v>97</v>
      </c>
      <c r="V24" s="40"/>
      <c r="W24" s="40"/>
      <c r="X24" s="40"/>
      <c r="Y24" s="40"/>
      <c r="Z24" s="40"/>
      <c r="AA24" s="40" t="s">
        <v>634</v>
      </c>
      <c r="AB24" s="40"/>
      <c r="AC24" s="40"/>
      <c r="AD24" s="40"/>
      <c r="AE24" s="40"/>
      <c r="AF24" s="40"/>
      <c r="AG24" s="40"/>
      <c r="AH24" s="40" t="s">
        <v>97</v>
      </c>
      <c r="AI24" s="40" t="s">
        <v>97</v>
      </c>
      <c r="AJ24" s="40"/>
      <c r="AK24" s="40"/>
      <c r="AL24" s="40"/>
      <c r="AM24" s="40" t="s">
        <v>97</v>
      </c>
      <c r="AN24" s="40"/>
      <c r="AO24" s="40"/>
      <c r="AP24" s="40"/>
      <c r="AQ24" s="40"/>
      <c r="AR24" s="40"/>
      <c r="AS24" s="40"/>
      <c r="AT24" s="40"/>
      <c r="AU24" s="40"/>
      <c r="AV24" s="40"/>
      <c r="AW24" s="40"/>
      <c r="AX24" s="40"/>
      <c r="AY24" s="40"/>
      <c r="AZ24" s="40"/>
      <c r="BA24" s="71"/>
      <c r="BB24" s="71"/>
      <c r="BC24" s="71"/>
      <c r="BD24" s="71"/>
      <c r="BE24" s="71"/>
      <c r="BF24" s="71"/>
      <c r="BG24" s="71"/>
      <c r="BH24" s="71"/>
      <c r="BI24" s="71"/>
      <c r="BJ24" s="71"/>
      <c r="BK24" s="71"/>
      <c r="BL24" s="71"/>
      <c r="BM24" s="71"/>
      <c r="BN24" s="71"/>
      <c r="BO24" s="71"/>
      <c r="BP24" s="71"/>
      <c r="BQ24" s="71"/>
      <c r="BR24" s="71"/>
      <c r="BS24" s="71"/>
      <c r="BT24" s="71"/>
      <c r="BU24" s="71"/>
      <c r="BV24" s="71"/>
      <c r="BW24" s="71"/>
      <c r="BX24" s="71"/>
      <c r="BY24" s="71"/>
      <c r="BZ24" s="71"/>
      <c r="CA24" s="71"/>
      <c r="CB24" s="71"/>
      <c r="CC24" s="71"/>
      <c r="CD24" s="71"/>
      <c r="CE24" s="71"/>
      <c r="CF24" s="71"/>
      <c r="CG24" s="71"/>
      <c r="CH24" s="71"/>
      <c r="CI24" s="71"/>
      <c r="CJ24" s="71"/>
      <c r="CK24" s="71"/>
      <c r="CL24" s="71"/>
      <c r="CM24" s="71"/>
      <c r="CN24" s="71"/>
      <c r="CO24" s="71"/>
      <c r="CP24" s="71"/>
      <c r="CQ24" s="71"/>
      <c r="CR24" s="71"/>
      <c r="CS24" s="71"/>
      <c r="CT24" s="71"/>
      <c r="CU24" s="71"/>
      <c r="CV24" s="71"/>
      <c r="CW24" s="71"/>
      <c r="CX24" s="71"/>
      <c r="CY24" s="71"/>
      <c r="CZ24" s="71"/>
      <c r="DA24" s="71"/>
      <c r="DB24" s="71"/>
      <c r="DC24" s="71"/>
      <c r="DD24" s="71"/>
      <c r="DE24" s="71"/>
      <c r="DF24" s="71"/>
      <c r="DG24" s="71"/>
      <c r="DH24" s="71"/>
      <c r="DI24" s="71"/>
      <c r="DJ24" s="71"/>
      <c r="DK24" s="71"/>
      <c r="DL24" s="71"/>
      <c r="DM24" s="71"/>
      <c r="DN24" s="71"/>
      <c r="DO24" s="71"/>
      <c r="DP24" s="71"/>
      <c r="DQ24" s="71"/>
      <c r="DR24" s="71"/>
      <c r="DS24" s="71"/>
      <c r="DT24" s="71"/>
      <c r="DU24" s="71"/>
      <c r="DV24" s="71"/>
      <c r="DW24" s="71"/>
      <c r="DX24" s="71"/>
      <c r="DY24" s="71"/>
      <c r="DZ24" s="71"/>
      <c r="EA24" s="71"/>
      <c r="EB24" s="71"/>
      <c r="EC24" s="71"/>
      <c r="ED24" s="71"/>
      <c r="EE24" s="71"/>
      <c r="EF24" s="71"/>
      <c r="EG24" s="71"/>
      <c r="EH24" s="71"/>
      <c r="EI24" s="71"/>
      <c r="EJ24" s="71"/>
      <c r="EK24" s="71"/>
      <c r="EL24" s="71"/>
      <c r="EM24" s="71"/>
      <c r="EN24" s="71"/>
      <c r="EO24" s="71"/>
      <c r="EP24" s="71"/>
      <c r="EQ24" s="71"/>
      <c r="ER24" s="71"/>
      <c r="ES24" s="71"/>
      <c r="ET24" s="71"/>
      <c r="EU24" s="71"/>
      <c r="EV24" s="71"/>
      <c r="EW24" s="71"/>
      <c r="EX24" s="71"/>
      <c r="EY24" s="71"/>
      <c r="EZ24" s="71"/>
      <c r="FA24" s="71"/>
      <c r="FB24" s="71"/>
      <c r="FC24" s="71"/>
      <c r="FD24" s="71"/>
      <c r="FE24" s="71"/>
      <c r="FF24" s="71"/>
      <c r="FG24" s="71"/>
      <c r="FH24" s="71"/>
      <c r="FI24" s="71"/>
      <c r="FJ24" s="71"/>
      <c r="FK24" s="71"/>
      <c r="FL24" s="71"/>
      <c r="FM24" s="71"/>
      <c r="FN24" s="71"/>
      <c r="FO24" s="71"/>
      <c r="FP24" s="71"/>
      <c r="FQ24" s="71"/>
      <c r="FR24" s="71"/>
      <c r="FS24" s="71"/>
      <c r="FT24" s="71"/>
      <c r="FU24" s="71"/>
      <c r="FV24" s="71"/>
    </row>
    <row r="25" spans="1:178" s="72" customFormat="1" ht="12" thickBot="1" x14ac:dyDescent="0.2">
      <c r="A25" s="37" t="s">
        <v>52</v>
      </c>
      <c r="B25" s="38" t="s">
        <v>116</v>
      </c>
      <c r="C25" s="109" t="str">
        <f>HYPERLINK(Hoofddocument!$H$25,Hoofddocument!$G$25)</f>
        <v>ArchiMate® 3.1 Training course Level 1 and 2 Combined</v>
      </c>
      <c r="D25" s="38" t="s">
        <v>166</v>
      </c>
      <c r="E25" s="38" t="s">
        <v>12</v>
      </c>
      <c r="F25" s="38" t="s">
        <v>656</v>
      </c>
      <c r="G25" s="38" t="s">
        <v>655</v>
      </c>
      <c r="H25" s="49" t="s">
        <v>119</v>
      </c>
      <c r="I25" s="41"/>
      <c r="J25" s="39"/>
      <c r="K25" s="39"/>
      <c r="L25" s="40"/>
      <c r="M25" s="40" t="s">
        <v>97</v>
      </c>
      <c r="N25" s="40" t="s">
        <v>97</v>
      </c>
      <c r="O25" s="40" t="s">
        <v>97</v>
      </c>
      <c r="P25" s="40" t="s">
        <v>97</v>
      </c>
      <c r="Q25" s="40" t="s">
        <v>97</v>
      </c>
      <c r="R25" s="40"/>
      <c r="S25" s="40"/>
      <c r="T25" s="40"/>
      <c r="U25" s="40"/>
      <c r="V25" s="40"/>
      <c r="W25" s="40"/>
      <c r="X25" s="40"/>
      <c r="Y25" s="40"/>
      <c r="Z25" s="40"/>
      <c r="AA25" s="40"/>
      <c r="AB25" s="40"/>
      <c r="AC25" s="40"/>
      <c r="AD25" s="40"/>
      <c r="AE25" s="40"/>
      <c r="AF25" s="40"/>
      <c r="AG25" s="40"/>
      <c r="AH25" s="40" t="s">
        <v>97</v>
      </c>
      <c r="AI25" s="40"/>
      <c r="AJ25" s="40"/>
      <c r="AK25" s="40"/>
      <c r="AL25" s="40"/>
      <c r="AM25" s="40"/>
      <c r="AN25" s="40" t="s">
        <v>97</v>
      </c>
      <c r="AO25" s="40" t="s">
        <v>634</v>
      </c>
      <c r="AP25" s="40"/>
      <c r="AQ25" s="40"/>
      <c r="AR25" s="40"/>
      <c r="AS25" s="40"/>
      <c r="AT25" s="40"/>
      <c r="AU25" s="40"/>
      <c r="AV25" s="40"/>
      <c r="AW25" s="40"/>
      <c r="AX25" s="40"/>
      <c r="AY25" s="40"/>
      <c r="AZ25" s="40"/>
    </row>
    <row r="26" spans="1:178" s="72" customFormat="1" ht="22.5" customHeight="1" thickBot="1" x14ac:dyDescent="0.2">
      <c r="A26" s="37" t="s">
        <v>52</v>
      </c>
      <c r="B26" s="38" t="s">
        <v>116</v>
      </c>
      <c r="C26" s="109" t="str">
        <f>HYPERLINK(Hoofddocument!$H$26,Hoofddocument!$G$26)</f>
        <v>Software Architectuur en Ontwerp</v>
      </c>
      <c r="D26" s="38" t="s">
        <v>166</v>
      </c>
      <c r="E26" s="38" t="s">
        <v>12</v>
      </c>
      <c r="F26" s="38" t="s">
        <v>318</v>
      </c>
      <c r="G26" s="38" t="s">
        <v>154</v>
      </c>
      <c r="H26" s="49" t="s">
        <v>155</v>
      </c>
      <c r="I26" s="41"/>
      <c r="J26" s="39"/>
      <c r="K26" s="39"/>
      <c r="L26" s="40"/>
      <c r="M26" s="40" t="s">
        <v>97</v>
      </c>
      <c r="N26" s="40"/>
      <c r="O26" s="40" t="s">
        <v>634</v>
      </c>
      <c r="P26" s="40" t="s">
        <v>634</v>
      </c>
      <c r="Q26" s="40"/>
      <c r="R26" s="40"/>
      <c r="S26" s="40"/>
      <c r="T26" s="40"/>
      <c r="U26" s="40"/>
      <c r="V26" s="40"/>
      <c r="W26" s="40"/>
      <c r="X26" s="40"/>
      <c r="Y26" s="40"/>
      <c r="Z26" s="40"/>
      <c r="AA26" s="40"/>
      <c r="AB26" s="40"/>
      <c r="AC26" s="40"/>
      <c r="AD26" s="40"/>
      <c r="AE26" s="40"/>
      <c r="AF26" s="40"/>
      <c r="AG26" s="40"/>
      <c r="AH26" s="40"/>
      <c r="AI26" s="40"/>
      <c r="AJ26" s="40"/>
      <c r="AK26" s="40"/>
      <c r="AL26" s="40" t="s">
        <v>97</v>
      </c>
      <c r="AM26" s="40"/>
      <c r="AN26" s="40"/>
      <c r="AO26" s="40"/>
      <c r="AP26" s="40"/>
      <c r="AQ26" s="40"/>
      <c r="AR26" s="40"/>
      <c r="AS26" s="40"/>
      <c r="AT26" s="40"/>
      <c r="AU26" s="40"/>
      <c r="AV26" s="40"/>
      <c r="AW26" s="40"/>
      <c r="AX26" s="40" t="s">
        <v>634</v>
      </c>
      <c r="AY26" s="40"/>
      <c r="AZ26" s="40"/>
    </row>
    <row r="27" spans="1:178" s="72" customFormat="1" ht="22.5" customHeight="1" thickBot="1" x14ac:dyDescent="0.2">
      <c r="A27" s="37" t="s">
        <v>52</v>
      </c>
      <c r="B27" s="38" t="s">
        <v>116</v>
      </c>
      <c r="C27" s="109" t="str">
        <f>HYPERLINK(Hoofddocument!$H$27,Hoofddocument!$G$27)</f>
        <v>DYA Fundamentals</v>
      </c>
      <c r="D27" s="38"/>
      <c r="E27" s="38" t="s">
        <v>658</v>
      </c>
      <c r="F27" s="38"/>
      <c r="G27" s="38" t="s">
        <v>117</v>
      </c>
      <c r="H27" s="49" t="s">
        <v>118</v>
      </c>
      <c r="I27" s="41"/>
      <c r="J27" s="39"/>
      <c r="K27" s="39"/>
      <c r="L27" s="40"/>
      <c r="M27" s="40" t="s">
        <v>97</v>
      </c>
      <c r="N27" s="40" t="s">
        <v>97</v>
      </c>
      <c r="O27" s="40" t="s">
        <v>97</v>
      </c>
      <c r="P27" s="40" t="s">
        <v>97</v>
      </c>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row>
    <row r="28" spans="1:178" s="72" customFormat="1" ht="12" thickBot="1" x14ac:dyDescent="0.2">
      <c r="A28" s="37" t="s">
        <v>52</v>
      </c>
      <c r="B28" s="38" t="s">
        <v>116</v>
      </c>
      <c r="C28" s="109" t="str">
        <f>HYPERLINK(Hoofddocument!$H$28,Hoofddocument!$G$28)</f>
        <v>Bizzdesign Enterprise Studio</v>
      </c>
      <c r="D28" s="38"/>
      <c r="E28" s="38" t="s">
        <v>659</v>
      </c>
      <c r="F28" s="38"/>
      <c r="G28" s="38" t="s">
        <v>120</v>
      </c>
      <c r="H28" s="49" t="s">
        <v>121</v>
      </c>
      <c r="I28" s="41"/>
      <c r="J28" s="39"/>
      <c r="K28" s="39"/>
      <c r="L28" s="40"/>
      <c r="M28" s="42" t="s">
        <v>97</v>
      </c>
      <c r="N28" s="40" t="s">
        <v>97</v>
      </c>
      <c r="O28" s="40" t="s">
        <v>97</v>
      </c>
      <c r="P28" s="40" t="s">
        <v>97</v>
      </c>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t="s">
        <v>97</v>
      </c>
      <c r="AP28" s="40"/>
      <c r="AQ28" s="40"/>
      <c r="AR28" s="40"/>
      <c r="AS28" s="40"/>
      <c r="AT28" s="40"/>
      <c r="AU28" s="40"/>
      <c r="AV28" s="40"/>
      <c r="AW28" s="40"/>
      <c r="AX28" s="40"/>
      <c r="AY28" s="40"/>
      <c r="AZ28" s="40"/>
    </row>
    <row r="29" spans="1:178" s="72" customFormat="1" ht="12" thickBot="1" x14ac:dyDescent="0.2">
      <c r="A29" s="37" t="s">
        <v>52</v>
      </c>
      <c r="B29" s="38" t="s">
        <v>116</v>
      </c>
      <c r="C29" s="109" t="str">
        <f>HYPERLINK(Hoofddocument!$H$29,Hoofddocument!$G$29)</f>
        <v>Certified General Enterprise Architect (GEA©)</v>
      </c>
      <c r="D29" s="38"/>
      <c r="E29" s="38" t="s">
        <v>660</v>
      </c>
      <c r="F29" s="38"/>
      <c r="G29" s="38" t="s">
        <v>122</v>
      </c>
      <c r="H29" s="49" t="s">
        <v>123</v>
      </c>
      <c r="I29" s="41"/>
      <c r="J29" s="39"/>
      <c r="K29" s="39"/>
      <c r="L29" s="40"/>
      <c r="M29" s="40" t="s">
        <v>634</v>
      </c>
      <c r="N29" s="40" t="s">
        <v>634</v>
      </c>
      <c r="O29" s="40" t="s">
        <v>97</v>
      </c>
      <c r="P29" s="40" t="s">
        <v>97</v>
      </c>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row>
    <row r="30" spans="1:178" s="72" customFormat="1" ht="12" thickBot="1" x14ac:dyDescent="0.2">
      <c r="A30" s="37" t="s">
        <v>52</v>
      </c>
      <c r="B30" s="38" t="s">
        <v>116</v>
      </c>
      <c r="C30" s="109" t="str">
        <f>HYPERLINK(Hoofddocument!$H$30,Hoofddocument!$G$30)</f>
        <v>Architectuur en informatiebeveiliging</v>
      </c>
      <c r="D30" s="38"/>
      <c r="E30" s="38" t="s">
        <v>661</v>
      </c>
      <c r="F30" s="38"/>
      <c r="G30" s="38" t="s">
        <v>126</v>
      </c>
      <c r="H30" s="49" t="s">
        <v>127</v>
      </c>
      <c r="I30" s="41"/>
      <c r="J30" s="39"/>
      <c r="K30" s="39"/>
      <c r="L30" s="40"/>
      <c r="M30" s="40" t="s">
        <v>97</v>
      </c>
      <c r="N30" s="40" t="s">
        <v>634</v>
      </c>
      <c r="O30" s="40" t="s">
        <v>97</v>
      </c>
      <c r="P30" s="40" t="s">
        <v>97</v>
      </c>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row>
    <row r="31" spans="1:178" s="74" customFormat="1" ht="12" thickBot="1" x14ac:dyDescent="0.2">
      <c r="A31" s="43" t="s">
        <v>52</v>
      </c>
      <c r="B31" s="44" t="s">
        <v>116</v>
      </c>
      <c r="C31" s="109" t="str">
        <f>HYPERLINK(Hoofddocument!$H$31,Hoofddocument!$G$31)</f>
        <v>Masterclass Enterprise Architectuur (NAF)</v>
      </c>
      <c r="D31" s="38"/>
      <c r="E31" s="38" t="s">
        <v>966</v>
      </c>
      <c r="F31" s="38"/>
      <c r="G31" s="38" t="s">
        <v>132</v>
      </c>
      <c r="H31" s="49" t="s">
        <v>133</v>
      </c>
      <c r="I31" s="41"/>
      <c r="J31" s="39"/>
      <c r="K31" s="39"/>
      <c r="L31" s="40"/>
      <c r="M31" s="40" t="s">
        <v>634</v>
      </c>
      <c r="N31" s="40" t="s">
        <v>634</v>
      </c>
      <c r="O31" s="40" t="s">
        <v>97</v>
      </c>
      <c r="P31" s="40" t="s">
        <v>634</v>
      </c>
      <c r="Q31" s="40"/>
      <c r="R31" s="40"/>
      <c r="S31" s="40"/>
      <c r="T31" s="40"/>
      <c r="U31" s="40"/>
      <c r="V31" s="40"/>
      <c r="W31" s="40"/>
      <c r="X31" s="40"/>
      <c r="Y31" s="40"/>
      <c r="Z31" s="40"/>
      <c r="AA31" s="40"/>
      <c r="AB31" s="40"/>
      <c r="AC31" s="40"/>
      <c r="AD31" s="40"/>
      <c r="AE31" s="40"/>
      <c r="AF31" s="40"/>
      <c r="AG31" s="40"/>
      <c r="AH31" s="40" t="s">
        <v>634</v>
      </c>
      <c r="AI31" s="40" t="s">
        <v>634</v>
      </c>
      <c r="AJ31" s="40"/>
      <c r="AK31" s="40"/>
      <c r="AL31" s="40"/>
      <c r="AM31" s="40"/>
      <c r="AN31" s="40"/>
      <c r="AO31" s="40"/>
      <c r="AP31" s="40"/>
      <c r="AQ31" s="40"/>
      <c r="AR31" s="40"/>
      <c r="AS31" s="40"/>
      <c r="AT31" s="40"/>
      <c r="AU31" s="40"/>
      <c r="AV31" s="40"/>
      <c r="AW31" s="40"/>
      <c r="AX31" s="40"/>
      <c r="AY31" s="40"/>
      <c r="AZ31" s="40"/>
    </row>
    <row r="32" spans="1:178" s="72" customFormat="1" ht="12" thickBot="1" x14ac:dyDescent="0.2">
      <c r="A32" s="43" t="s">
        <v>52</v>
      </c>
      <c r="B32" s="38" t="s">
        <v>116</v>
      </c>
      <c r="C32" s="109" t="str">
        <f>HYPERLINK(Hoofddocument!$H$32,Hoofddocument!$G$32)</f>
        <v>Bedrijfsarchitectuur voor professionals</v>
      </c>
      <c r="D32" s="38"/>
      <c r="E32" s="38" t="s">
        <v>429</v>
      </c>
      <c r="F32" s="44"/>
      <c r="G32" s="38" t="s">
        <v>134</v>
      </c>
      <c r="H32" s="64" t="s">
        <v>135</v>
      </c>
      <c r="I32" s="41"/>
      <c r="J32" s="42"/>
      <c r="K32" s="39"/>
      <c r="L32" s="42"/>
      <c r="M32" s="42"/>
      <c r="N32" s="42" t="s">
        <v>97</v>
      </c>
      <c r="O32" s="42" t="s">
        <v>97</v>
      </c>
      <c r="P32" s="42" t="s">
        <v>97</v>
      </c>
      <c r="Q32" s="42"/>
      <c r="R32" s="42"/>
      <c r="S32" s="42"/>
      <c r="T32" s="42"/>
      <c r="U32" s="42"/>
      <c r="V32" s="42"/>
      <c r="W32" s="42"/>
      <c r="X32" s="42"/>
      <c r="Y32" s="42"/>
      <c r="Z32" s="42"/>
      <c r="AA32" s="42"/>
      <c r="AB32" s="42"/>
      <c r="AC32" s="42"/>
      <c r="AD32" s="42"/>
      <c r="AE32" s="42"/>
      <c r="AF32" s="42"/>
      <c r="AG32" s="42"/>
      <c r="AH32" s="40"/>
      <c r="AI32" s="40"/>
      <c r="AJ32" s="40"/>
      <c r="AK32" s="40"/>
      <c r="AL32" s="40"/>
      <c r="AM32" s="40"/>
      <c r="AN32" s="40"/>
      <c r="AO32" s="40"/>
      <c r="AP32" s="40"/>
      <c r="AQ32" s="40"/>
      <c r="AR32" s="40"/>
      <c r="AS32" s="40"/>
      <c r="AT32" s="40"/>
      <c r="AU32" s="40"/>
      <c r="AV32" s="40"/>
      <c r="AW32" s="40"/>
      <c r="AX32" s="40"/>
      <c r="AY32" s="40"/>
      <c r="AZ32" s="40"/>
    </row>
    <row r="33" spans="1:52" s="72" customFormat="1" ht="12" thickBot="1" x14ac:dyDescent="0.2">
      <c r="A33" s="43" t="s">
        <v>52</v>
      </c>
      <c r="B33" s="44" t="s">
        <v>116</v>
      </c>
      <c r="C33" s="109" t="str">
        <f>HYPERLINK(Hoofddocument!$H$33,Hoofddocument!$G$33)</f>
        <v>Functiepunt Analyse</v>
      </c>
      <c r="D33" s="38"/>
      <c r="E33" s="38" t="s">
        <v>658</v>
      </c>
      <c r="F33" s="38"/>
      <c r="G33" s="38" t="s">
        <v>141</v>
      </c>
      <c r="H33" s="49" t="s">
        <v>142</v>
      </c>
      <c r="I33" s="41"/>
      <c r="J33" s="39"/>
      <c r="K33" s="39"/>
      <c r="L33" s="40"/>
      <c r="M33" s="40" t="s">
        <v>97</v>
      </c>
      <c r="N33" s="40" t="s">
        <v>97</v>
      </c>
      <c r="O33" s="40" t="s">
        <v>634</v>
      </c>
      <c r="P33" s="40" t="s">
        <v>634</v>
      </c>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row>
    <row r="34" spans="1:52" s="72" customFormat="1" ht="12" thickBot="1" x14ac:dyDescent="0.2">
      <c r="A34" s="37" t="s">
        <v>52</v>
      </c>
      <c r="B34" s="38" t="s">
        <v>116</v>
      </c>
      <c r="C34" s="109" t="str">
        <f>HYPERLINK(Hoofddocument!$H$34,Hoofddocument!$G$34)</f>
        <v>SABSA Foundation</v>
      </c>
      <c r="D34" s="38"/>
      <c r="E34" s="38" t="s">
        <v>662</v>
      </c>
      <c r="F34" s="38"/>
      <c r="G34" s="38" t="s">
        <v>145</v>
      </c>
      <c r="H34" s="55" t="s">
        <v>146</v>
      </c>
      <c r="I34" s="41"/>
      <c r="J34" s="39"/>
      <c r="K34" s="39"/>
      <c r="L34" s="40"/>
      <c r="M34" s="40" t="s">
        <v>634</v>
      </c>
      <c r="N34" s="40" t="s">
        <v>634</v>
      </c>
      <c r="O34" s="40" t="s">
        <v>634</v>
      </c>
      <c r="P34" s="40" t="s">
        <v>634</v>
      </c>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row>
    <row r="35" spans="1:52" s="72" customFormat="1" ht="12" thickBot="1" x14ac:dyDescent="0.2">
      <c r="A35" s="37" t="s">
        <v>52</v>
      </c>
      <c r="B35" s="38" t="s">
        <v>116</v>
      </c>
      <c r="C35" s="109" t="str">
        <f>HYPERLINK(Hoofddocument!$H$35,Hoofddocument!$G$35)</f>
        <v>Service Oriented Architecture (S0A)</v>
      </c>
      <c r="D35" s="38"/>
      <c r="E35" s="38" t="s">
        <v>663</v>
      </c>
      <c r="F35" s="38"/>
      <c r="G35" s="38" t="s">
        <v>156</v>
      </c>
      <c r="H35" s="49" t="s">
        <v>157</v>
      </c>
      <c r="I35" s="41"/>
      <c r="J35" s="39"/>
      <c r="K35" s="39"/>
      <c r="L35" s="40"/>
      <c r="M35" s="40" t="s">
        <v>97</v>
      </c>
      <c r="N35" s="40"/>
      <c r="O35" s="40" t="s">
        <v>634</v>
      </c>
      <c r="P35" s="40" t="s">
        <v>634</v>
      </c>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row>
    <row r="36" spans="1:52" s="72" customFormat="1" ht="12" thickBot="1" x14ac:dyDescent="0.2">
      <c r="A36" s="37" t="s">
        <v>52</v>
      </c>
      <c r="B36" s="38" t="s">
        <v>52</v>
      </c>
      <c r="C36" s="109" t="str">
        <f>HYPERLINK(Hoofddocument!$H$36,Hoofddocument!$G$36)</f>
        <v>Masterclass IT-architectuur</v>
      </c>
      <c r="D36" s="38" t="s">
        <v>166</v>
      </c>
      <c r="E36" s="38" t="s">
        <v>12</v>
      </c>
      <c r="F36" s="38" t="s">
        <v>657</v>
      </c>
      <c r="G36" s="38" t="s">
        <v>455</v>
      </c>
      <c r="H36" s="49" t="s">
        <v>612</v>
      </c>
      <c r="I36" s="41"/>
      <c r="J36" s="39"/>
      <c r="K36" s="39"/>
      <c r="L36" s="40"/>
      <c r="M36" s="40"/>
      <c r="N36" s="40"/>
      <c r="O36" s="40"/>
      <c r="P36" s="40"/>
      <c r="Q36" s="40"/>
      <c r="R36" s="40"/>
      <c r="S36" s="40"/>
      <c r="T36" s="40"/>
      <c r="U36" s="40" t="s">
        <v>97</v>
      </c>
      <c r="V36" s="40"/>
      <c r="W36" s="40"/>
      <c r="X36" s="40"/>
      <c r="Y36" s="40"/>
      <c r="Z36" s="40"/>
      <c r="AA36" s="40" t="s">
        <v>634</v>
      </c>
      <c r="AB36" s="40"/>
      <c r="AC36" s="40"/>
      <c r="AD36" s="40"/>
      <c r="AE36" s="40"/>
      <c r="AF36" s="40"/>
      <c r="AG36" s="40" t="s">
        <v>97</v>
      </c>
      <c r="AH36" s="40"/>
      <c r="AI36" s="40"/>
      <c r="AJ36" s="40"/>
      <c r="AK36" s="40"/>
      <c r="AL36" s="40"/>
      <c r="AM36" s="40"/>
      <c r="AN36" s="40"/>
      <c r="AO36" s="40"/>
      <c r="AP36" s="40"/>
      <c r="AQ36" s="40"/>
      <c r="AR36" s="40"/>
      <c r="AS36" s="40"/>
      <c r="AT36" s="40"/>
      <c r="AU36" s="40"/>
      <c r="AV36" s="40"/>
      <c r="AW36" s="40"/>
      <c r="AX36" s="40"/>
      <c r="AY36" s="40"/>
      <c r="AZ36" s="40"/>
    </row>
    <row r="37" spans="1:52" s="72" customFormat="1" ht="12" thickBot="1" x14ac:dyDescent="0.2">
      <c r="A37" s="37" t="s">
        <v>52</v>
      </c>
      <c r="B37" s="38" t="s">
        <v>52</v>
      </c>
      <c r="C37" s="109" t="str">
        <f>HYPERLINK(Hoofddocument!$H$37,Hoofddocument!$G$37)</f>
        <v>IT Architectuur in de praktijk</v>
      </c>
      <c r="D37" s="38"/>
      <c r="E37" s="38" t="s">
        <v>661</v>
      </c>
      <c r="F37" s="38"/>
      <c r="G37" s="38" t="s">
        <v>158</v>
      </c>
      <c r="H37" s="49" t="s">
        <v>159</v>
      </c>
      <c r="I37" s="41"/>
      <c r="J37" s="39"/>
      <c r="K37" s="39"/>
      <c r="L37" s="40"/>
      <c r="M37" s="40" t="s">
        <v>97</v>
      </c>
      <c r="N37" s="40" t="s">
        <v>634</v>
      </c>
      <c r="O37" s="40" t="s">
        <v>634</v>
      </c>
      <c r="P37" s="40" t="s">
        <v>634</v>
      </c>
      <c r="Q37" s="40"/>
      <c r="R37" s="40"/>
      <c r="S37" s="40"/>
      <c r="T37" s="40"/>
      <c r="U37" s="40"/>
      <c r="V37" s="40"/>
      <c r="W37" s="40"/>
      <c r="X37" s="40"/>
      <c r="Y37" s="40"/>
      <c r="Z37" s="40"/>
      <c r="AA37" s="40"/>
      <c r="AB37" s="40"/>
      <c r="AC37" s="40"/>
      <c r="AD37" s="40"/>
      <c r="AE37" s="40"/>
      <c r="AF37" s="40" t="s">
        <v>634</v>
      </c>
      <c r="AG37" s="40"/>
      <c r="AH37" s="40"/>
      <c r="AI37" s="40"/>
      <c r="AJ37" s="40"/>
      <c r="AK37" s="40"/>
      <c r="AL37" s="40"/>
      <c r="AM37" s="40"/>
      <c r="AN37" s="40" t="s">
        <v>97</v>
      </c>
      <c r="AO37" s="40"/>
      <c r="AP37" s="40"/>
      <c r="AQ37" s="40"/>
      <c r="AR37" s="40"/>
      <c r="AS37" s="40"/>
      <c r="AT37" s="40"/>
      <c r="AU37" s="40"/>
      <c r="AV37" s="40"/>
      <c r="AW37" s="40"/>
      <c r="AX37" s="40"/>
      <c r="AY37" s="40"/>
      <c r="AZ37" s="40"/>
    </row>
    <row r="38" spans="1:52" s="72" customFormat="1" ht="12" thickBot="1" x14ac:dyDescent="0.2">
      <c r="A38" s="37" t="s">
        <v>52</v>
      </c>
      <c r="B38" s="38" t="s">
        <v>356</v>
      </c>
      <c r="C38" s="109" t="str">
        <f>HYPERLINK(Hoofddocument!$H$38,Hoofddocument!$G$38)</f>
        <v>BCS Business Architecture (Incompany)</v>
      </c>
      <c r="D38" s="38"/>
      <c r="E38" s="38" t="s">
        <v>664</v>
      </c>
      <c r="F38" s="38"/>
      <c r="G38" s="38" t="s">
        <v>427</v>
      </c>
      <c r="H38" s="49"/>
      <c r="I38" s="41"/>
      <c r="J38" s="39"/>
      <c r="K38" s="39"/>
      <c r="L38" s="40"/>
      <c r="M38" s="40"/>
      <c r="N38" s="40"/>
      <c r="O38" s="40"/>
      <c r="P38" s="40"/>
      <c r="Q38" s="40"/>
      <c r="R38" s="40"/>
      <c r="S38" s="40"/>
      <c r="T38" s="40" t="s">
        <v>634</v>
      </c>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row>
    <row r="39" spans="1:52" s="72" customFormat="1" ht="12" thickBot="1" x14ac:dyDescent="0.2">
      <c r="A39" s="37" t="s">
        <v>52</v>
      </c>
      <c r="B39" s="38" t="s">
        <v>220</v>
      </c>
      <c r="C39" s="109" t="str">
        <f>HYPERLINK(Hoofddocument!$H$39,Hoofddocument!$G$39)</f>
        <v>Enterprise architectuur</v>
      </c>
      <c r="D39" s="38"/>
      <c r="E39" s="38" t="s">
        <v>207</v>
      </c>
      <c r="F39" s="38"/>
      <c r="G39" s="38" t="s">
        <v>221</v>
      </c>
      <c r="H39" s="64" t="s">
        <v>540</v>
      </c>
      <c r="I39" s="41"/>
      <c r="J39" s="39" t="s">
        <v>634</v>
      </c>
      <c r="K39" s="39"/>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row>
    <row r="40" spans="1:52" s="72" customFormat="1" ht="12" thickBot="1" x14ac:dyDescent="0.2">
      <c r="A40" s="37" t="s">
        <v>52</v>
      </c>
      <c r="B40" s="38" t="s">
        <v>136</v>
      </c>
      <c r="C40" s="109" t="str">
        <f>HYPERLINK(Hoofddocument!$H$40,Hoofddocument!$G$40)</f>
        <v>Business Transformatie Planning</v>
      </c>
      <c r="D40" s="38"/>
      <c r="E40" s="38" t="s">
        <v>429</v>
      </c>
      <c r="F40" s="38"/>
      <c r="G40" s="38" t="s">
        <v>137</v>
      </c>
      <c r="H40" s="49" t="s">
        <v>138</v>
      </c>
      <c r="I40" s="41"/>
      <c r="J40" s="39"/>
      <c r="K40" s="39"/>
      <c r="L40" s="40"/>
      <c r="M40" s="40" t="s">
        <v>634</v>
      </c>
      <c r="N40" s="40" t="s">
        <v>634</v>
      </c>
      <c r="O40" s="40" t="s">
        <v>634</v>
      </c>
      <c r="P40" s="40" t="s">
        <v>97</v>
      </c>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row>
    <row r="41" spans="1:52" s="72" customFormat="1" ht="12" thickBot="1" x14ac:dyDescent="0.2">
      <c r="A41" s="37" t="s">
        <v>52</v>
      </c>
      <c r="B41" s="38" t="s">
        <v>136</v>
      </c>
      <c r="C41" s="109" t="str">
        <f>HYPERLINK(Hoofddocument!$H$41,Hoofddocument!$G$41)</f>
        <v>Business IT-strategie &amp; informatieplanning</v>
      </c>
      <c r="D41" s="38"/>
      <c r="E41" s="38" t="s">
        <v>57</v>
      </c>
      <c r="F41" s="38"/>
      <c r="G41" s="38" t="s">
        <v>428</v>
      </c>
      <c r="H41" s="49" t="s">
        <v>967</v>
      </c>
      <c r="I41" s="41"/>
      <c r="J41" s="39"/>
      <c r="K41" s="39"/>
      <c r="L41" s="40"/>
      <c r="M41" s="40"/>
      <c r="N41" s="40"/>
      <c r="O41" s="40"/>
      <c r="P41" s="40"/>
      <c r="Q41" s="40"/>
      <c r="R41" s="40"/>
      <c r="S41" s="40"/>
      <c r="T41" s="40" t="s">
        <v>634</v>
      </c>
      <c r="U41" s="40"/>
      <c r="V41" s="40"/>
      <c r="W41" s="40"/>
      <c r="X41" s="40"/>
      <c r="Y41" s="40"/>
      <c r="Z41" s="40"/>
      <c r="AA41" s="40" t="s">
        <v>97</v>
      </c>
      <c r="AB41" s="40"/>
      <c r="AC41" s="40"/>
      <c r="AD41" s="40"/>
      <c r="AE41" s="40"/>
      <c r="AF41" s="40"/>
      <c r="AG41" s="40" t="s">
        <v>634</v>
      </c>
      <c r="AH41" s="40"/>
      <c r="AI41" s="40"/>
      <c r="AJ41" s="40"/>
      <c r="AK41" s="40"/>
      <c r="AL41" s="40"/>
      <c r="AM41" s="40"/>
      <c r="AN41" s="40"/>
      <c r="AO41" s="40"/>
      <c r="AP41" s="40"/>
      <c r="AQ41" s="40"/>
      <c r="AR41" s="40"/>
      <c r="AS41" s="40"/>
      <c r="AT41" s="40"/>
      <c r="AU41" s="40"/>
      <c r="AV41" s="40"/>
      <c r="AW41" s="40"/>
      <c r="AX41" s="40"/>
      <c r="AY41" s="40"/>
      <c r="AZ41" s="40"/>
    </row>
    <row r="42" spans="1:52" s="72" customFormat="1" ht="12" thickBot="1" x14ac:dyDescent="0.2">
      <c r="A42" s="37" t="s">
        <v>52</v>
      </c>
      <c r="B42" s="38" t="s">
        <v>136</v>
      </c>
      <c r="C42" s="109" t="str">
        <f>HYPERLINK(Hoofddocument!$H$42,Hoofddocument!$G$42)</f>
        <v>Business Transformatieplanning</v>
      </c>
      <c r="D42" s="38"/>
      <c r="E42" s="38" t="s">
        <v>429</v>
      </c>
      <c r="F42" s="38"/>
      <c r="G42" s="38" t="s">
        <v>430</v>
      </c>
      <c r="H42" s="49" t="s">
        <v>138</v>
      </c>
      <c r="I42" s="41"/>
      <c r="J42" s="39"/>
      <c r="K42" s="39"/>
      <c r="L42" s="40"/>
      <c r="M42" s="40"/>
      <c r="N42" s="40"/>
      <c r="O42" s="40"/>
      <c r="P42" s="40"/>
      <c r="Q42" s="40"/>
      <c r="R42" s="40"/>
      <c r="S42" s="40"/>
      <c r="T42" s="40" t="s">
        <v>97</v>
      </c>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row>
    <row r="43" spans="1:52" s="72" customFormat="1" ht="12" thickBot="1" x14ac:dyDescent="0.2">
      <c r="A43" s="37" t="s">
        <v>52</v>
      </c>
      <c r="B43" s="38" t="s">
        <v>323</v>
      </c>
      <c r="C43" s="109" t="str">
        <f>HYPERLINK(Hoofddocument!$H$43,Hoofddocument!$G$43)</f>
        <v xml:space="preserve">Masterclass IT Governance, Riskmanagement &amp; Compliance </v>
      </c>
      <c r="D43" s="38"/>
      <c r="E43" s="38" t="s">
        <v>320</v>
      </c>
      <c r="F43" s="38"/>
      <c r="G43" s="38" t="s">
        <v>324</v>
      </c>
      <c r="H43" s="49" t="s">
        <v>572</v>
      </c>
      <c r="I43" s="41"/>
      <c r="J43" s="39"/>
      <c r="K43" s="39"/>
      <c r="L43" s="40"/>
      <c r="M43" s="40" t="s">
        <v>634</v>
      </c>
      <c r="N43" s="40" t="s">
        <v>634</v>
      </c>
      <c r="O43" s="40" t="s">
        <v>634</v>
      </c>
      <c r="P43" s="40" t="s">
        <v>634</v>
      </c>
      <c r="Q43" s="40"/>
      <c r="R43" s="40"/>
      <c r="S43" s="40"/>
      <c r="T43" s="40"/>
      <c r="U43" s="40"/>
      <c r="V43" s="40"/>
      <c r="W43" s="40"/>
      <c r="X43" s="40"/>
      <c r="Y43" s="40"/>
      <c r="Z43" s="40"/>
      <c r="AA43" s="40"/>
      <c r="AB43" s="40"/>
      <c r="AC43" s="40"/>
      <c r="AD43" s="40"/>
      <c r="AE43" s="40"/>
      <c r="AF43" s="40" t="s">
        <v>634</v>
      </c>
      <c r="AG43" s="40"/>
      <c r="AH43" s="40"/>
      <c r="AI43" s="40"/>
      <c r="AJ43" s="40"/>
      <c r="AK43" s="40"/>
      <c r="AL43" s="40"/>
      <c r="AM43" s="40"/>
      <c r="AN43" s="40"/>
      <c r="AO43" s="40"/>
      <c r="AP43" s="40"/>
      <c r="AQ43" s="40"/>
      <c r="AR43" s="40"/>
      <c r="AS43" s="40"/>
      <c r="AT43" s="40"/>
      <c r="AU43" s="40"/>
      <c r="AV43" s="40"/>
      <c r="AW43" s="40"/>
      <c r="AX43" s="40"/>
      <c r="AY43" s="40"/>
      <c r="AZ43" s="40"/>
    </row>
    <row r="44" spans="1:52" s="72" customFormat="1" ht="12" thickBot="1" x14ac:dyDescent="0.2">
      <c r="A44" s="37" t="s">
        <v>52</v>
      </c>
      <c r="B44" s="38" t="s">
        <v>140</v>
      </c>
      <c r="C44" s="109" t="str">
        <f>HYPERLINK(Hoofddocument!$H$44,Hoofddocument!$G$44)</f>
        <v>SAFe for Architects</v>
      </c>
      <c r="D44" s="38"/>
      <c r="E44" s="38" t="s">
        <v>207</v>
      </c>
      <c r="F44" s="38"/>
      <c r="G44" s="38" t="s">
        <v>140</v>
      </c>
      <c r="H44" s="49" t="s">
        <v>570</v>
      </c>
      <c r="I44" s="41"/>
      <c r="J44" s="39"/>
      <c r="K44" s="39"/>
      <c r="L44" s="40"/>
      <c r="M44" s="40" t="s">
        <v>97</v>
      </c>
      <c r="N44" s="40" t="s">
        <v>97</v>
      </c>
      <c r="O44" s="40" t="s">
        <v>97</v>
      </c>
      <c r="P44" s="40" t="s">
        <v>97</v>
      </c>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row>
    <row r="45" spans="1:52" s="72" customFormat="1" ht="12" thickBot="1" x14ac:dyDescent="0.2">
      <c r="A45" s="37" t="s">
        <v>389</v>
      </c>
      <c r="B45" s="38" t="s">
        <v>718</v>
      </c>
      <c r="C45" s="38" t="s">
        <v>799</v>
      </c>
      <c r="D45" s="38" t="s">
        <v>968</v>
      </c>
      <c r="E45" s="38"/>
      <c r="F45" s="38"/>
      <c r="G45" s="38" t="s">
        <v>799</v>
      </c>
      <c r="H45" s="49"/>
      <c r="I45" s="41"/>
      <c r="J45" s="39"/>
      <c r="K45" s="39"/>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t="s">
        <v>634</v>
      </c>
      <c r="AM45" s="40"/>
      <c r="AN45" s="40"/>
      <c r="AO45" s="40"/>
      <c r="AP45" s="40"/>
      <c r="AQ45" s="40"/>
      <c r="AR45" s="40"/>
      <c r="AS45" s="40"/>
      <c r="AT45" s="40"/>
      <c r="AU45" s="40"/>
      <c r="AV45" s="40"/>
      <c r="AW45" s="40"/>
      <c r="AX45" s="40"/>
      <c r="AY45" s="40"/>
      <c r="AZ45" s="40"/>
    </row>
    <row r="46" spans="1:52" s="72" customFormat="1" ht="12" thickBot="1" x14ac:dyDescent="0.2">
      <c r="A46" s="37" t="s">
        <v>389</v>
      </c>
      <c r="B46" s="38" t="s">
        <v>718</v>
      </c>
      <c r="C46" s="109" t="str">
        <f>HYPERLINK(Hoofddocument!$H$46,Hoofddocument!$G$46)</f>
        <v>Business Continuity Foundation</v>
      </c>
      <c r="D46" s="38"/>
      <c r="E46" s="38" t="s">
        <v>207</v>
      </c>
      <c r="F46" s="38"/>
      <c r="G46" s="38" t="s">
        <v>800</v>
      </c>
      <c r="H46" s="49" t="s">
        <v>877</v>
      </c>
      <c r="I46" s="41"/>
      <c r="J46" s="39"/>
      <c r="K46" s="39"/>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t="s">
        <v>97</v>
      </c>
      <c r="AM46" s="40"/>
      <c r="AN46" s="40"/>
      <c r="AO46" s="40"/>
      <c r="AP46" s="40"/>
      <c r="AQ46" s="40"/>
      <c r="AR46" s="40"/>
      <c r="AS46" s="40"/>
      <c r="AT46" s="40"/>
      <c r="AU46" s="40"/>
      <c r="AV46" s="40"/>
      <c r="AW46" s="40"/>
      <c r="AX46" s="40"/>
      <c r="AY46" s="40"/>
      <c r="AZ46" s="40"/>
    </row>
    <row r="47" spans="1:52" s="72" customFormat="1" ht="12" thickBot="1" x14ac:dyDescent="0.2">
      <c r="A47" s="43" t="s">
        <v>389</v>
      </c>
      <c r="B47" s="44" t="s">
        <v>718</v>
      </c>
      <c r="C47" s="109" t="str">
        <f>HYPERLINK(Hoofddocument!$H$47,Hoofddocument!$G$47)</f>
        <v>Business Continuity Practitioner</v>
      </c>
      <c r="D47" s="45"/>
      <c r="E47" s="45" t="s">
        <v>207</v>
      </c>
      <c r="F47" s="45"/>
      <c r="G47" s="38" t="s">
        <v>801</v>
      </c>
      <c r="H47" s="49" t="s">
        <v>878</v>
      </c>
      <c r="I47" s="41"/>
      <c r="J47" s="39"/>
      <c r="K47" s="39"/>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t="s">
        <v>97</v>
      </c>
      <c r="AM47" s="40"/>
      <c r="AN47" s="40"/>
      <c r="AO47" s="40"/>
      <c r="AP47" s="40"/>
      <c r="AQ47" s="40"/>
      <c r="AR47" s="40"/>
      <c r="AS47" s="40"/>
      <c r="AT47" s="40"/>
      <c r="AU47" s="40"/>
      <c r="AV47" s="40"/>
      <c r="AW47" s="40"/>
      <c r="AX47" s="40"/>
      <c r="AY47" s="40"/>
      <c r="AZ47" s="40"/>
    </row>
    <row r="48" spans="1:52" s="72" customFormat="1" ht="12" thickBot="1" x14ac:dyDescent="0.2">
      <c r="A48" s="37" t="s">
        <v>389</v>
      </c>
      <c r="B48" s="38" t="s">
        <v>719</v>
      </c>
      <c r="C48" s="109" t="str">
        <f>HYPERLINK(Hoofddocument!$H$48,Hoofddocument!$G$48)</f>
        <v>Business Continuity Foundation</v>
      </c>
      <c r="D48" s="38"/>
      <c r="E48" s="38" t="s">
        <v>207</v>
      </c>
      <c r="F48" s="38"/>
      <c r="G48" s="38" t="s">
        <v>800</v>
      </c>
      <c r="H48" s="49" t="s">
        <v>877</v>
      </c>
      <c r="I48" s="41"/>
      <c r="J48" s="39"/>
      <c r="K48" s="39"/>
      <c r="L48" s="40"/>
      <c r="M48" s="40"/>
      <c r="N48" s="40"/>
      <c r="O48" s="40"/>
      <c r="P48" s="40"/>
      <c r="Q48" s="40"/>
      <c r="R48" s="40"/>
      <c r="S48" s="40"/>
      <c r="T48" s="40"/>
      <c r="U48" s="40"/>
      <c r="V48" s="40"/>
      <c r="W48" s="40"/>
      <c r="X48" s="40"/>
      <c r="Y48" s="40"/>
      <c r="Z48" s="40"/>
      <c r="AA48" s="40"/>
      <c r="AB48" s="40"/>
      <c r="AC48" s="40"/>
      <c r="AD48" s="40"/>
      <c r="AE48" s="40"/>
      <c r="AF48" s="40"/>
      <c r="AG48" s="40"/>
      <c r="AH48" s="40" t="s">
        <v>97</v>
      </c>
      <c r="AI48" s="40"/>
      <c r="AJ48" s="40"/>
      <c r="AK48" s="40"/>
      <c r="AL48" s="40"/>
      <c r="AM48" s="40"/>
      <c r="AN48" s="40"/>
      <c r="AO48" s="40"/>
      <c r="AP48" s="40"/>
      <c r="AQ48" s="40" t="s">
        <v>634</v>
      </c>
      <c r="AR48" s="40"/>
      <c r="AS48" s="40"/>
      <c r="AT48" s="40"/>
      <c r="AU48" s="40"/>
      <c r="AV48" s="40"/>
      <c r="AW48" s="40"/>
      <c r="AX48" s="40"/>
      <c r="AY48" s="40"/>
      <c r="AZ48" s="40"/>
    </row>
    <row r="49" spans="1:52" s="72" customFormat="1" ht="12" thickBot="1" x14ac:dyDescent="0.2">
      <c r="A49" s="37" t="s">
        <v>389</v>
      </c>
      <c r="B49" s="38" t="s">
        <v>514</v>
      </c>
      <c r="C49" s="109" t="str">
        <f>HYPERLINK(Hoofddocument!$H$49,Hoofddocument!$G$49)</f>
        <v>Baseline Informatiebeveiliging Overheid</v>
      </c>
      <c r="D49" s="38" t="s">
        <v>166</v>
      </c>
      <c r="E49" s="38" t="s">
        <v>12</v>
      </c>
      <c r="F49" s="38" t="s">
        <v>515</v>
      </c>
      <c r="G49" s="38" t="s">
        <v>516</v>
      </c>
      <c r="H49" s="64" t="s">
        <v>633</v>
      </c>
      <c r="I49" s="41"/>
      <c r="J49" s="39"/>
      <c r="K49" s="39"/>
      <c r="L49" s="40"/>
      <c r="M49" s="40"/>
      <c r="N49" s="40"/>
      <c r="O49" s="40"/>
      <c r="P49" s="40"/>
      <c r="Q49" s="40"/>
      <c r="R49" s="40"/>
      <c r="S49" s="40"/>
      <c r="T49" s="40"/>
      <c r="U49" s="40"/>
      <c r="V49" s="40"/>
      <c r="W49" s="40" t="s">
        <v>97</v>
      </c>
      <c r="X49" s="40"/>
      <c r="Y49" s="40"/>
      <c r="Z49" s="40"/>
      <c r="AA49" s="40"/>
      <c r="AB49" s="40"/>
      <c r="AC49" s="40"/>
      <c r="AD49" s="40" t="s">
        <v>97</v>
      </c>
      <c r="AE49" s="40"/>
      <c r="AF49" s="40" t="s">
        <v>97</v>
      </c>
      <c r="AG49" s="40"/>
      <c r="AH49" s="40"/>
      <c r="AI49" s="40"/>
      <c r="AJ49" s="40"/>
      <c r="AK49" s="40"/>
      <c r="AL49" s="40" t="s">
        <v>97</v>
      </c>
      <c r="AM49" s="40"/>
      <c r="AN49" s="40" t="s">
        <v>97</v>
      </c>
      <c r="AO49" s="40" t="s">
        <v>634</v>
      </c>
      <c r="AP49" s="40" t="s">
        <v>97</v>
      </c>
      <c r="AQ49" s="40" t="s">
        <v>97</v>
      </c>
      <c r="AR49" s="40" t="s">
        <v>97</v>
      </c>
      <c r="AS49" s="40" t="s">
        <v>97</v>
      </c>
      <c r="AT49" s="40" t="s">
        <v>97</v>
      </c>
      <c r="AU49" s="40" t="s">
        <v>97</v>
      </c>
      <c r="AV49" s="40" t="s">
        <v>97</v>
      </c>
      <c r="AW49" s="40" t="s">
        <v>97</v>
      </c>
      <c r="AX49" s="40" t="s">
        <v>97</v>
      </c>
      <c r="AY49" s="40"/>
      <c r="AZ49" s="40"/>
    </row>
    <row r="50" spans="1:52" s="76" customFormat="1" ht="12" thickBot="1" x14ac:dyDescent="0.2">
      <c r="A50" s="46" t="s">
        <v>389</v>
      </c>
      <c r="B50" s="45" t="s">
        <v>452</v>
      </c>
      <c r="C50" s="109" t="str">
        <f>HYPERLINK(Hoofddocument!$H$50,Hoofddocument!$G$50)</f>
        <v>Masterprogramma Cybersecurity</v>
      </c>
      <c r="D50" s="45" t="s">
        <v>166</v>
      </c>
      <c r="E50" s="45" t="s">
        <v>12</v>
      </c>
      <c r="F50" s="45" t="s">
        <v>275</v>
      </c>
      <c r="G50" s="38" t="s">
        <v>276</v>
      </c>
      <c r="H50" s="49" t="s">
        <v>277</v>
      </c>
      <c r="I50" s="41"/>
      <c r="J50" s="47"/>
      <c r="K50" s="47"/>
      <c r="L50" s="47" t="s">
        <v>634</v>
      </c>
      <c r="M50" s="47"/>
      <c r="N50" s="47"/>
      <c r="O50" s="47"/>
      <c r="P50" s="47"/>
      <c r="Q50" s="47"/>
      <c r="R50" s="47"/>
      <c r="S50" s="47"/>
      <c r="T50" s="47" t="s">
        <v>634</v>
      </c>
      <c r="U50" s="47" t="s">
        <v>97</v>
      </c>
      <c r="V50" s="47"/>
      <c r="W50" s="47"/>
      <c r="X50" s="47"/>
      <c r="Y50" s="47"/>
      <c r="Z50" s="47"/>
      <c r="AA50" s="47"/>
      <c r="AB50" s="47"/>
      <c r="AC50" s="47"/>
      <c r="AD50" s="47"/>
      <c r="AE50" s="47"/>
      <c r="AF50" s="47" t="s">
        <v>634</v>
      </c>
      <c r="AG50" s="47"/>
      <c r="AH50" s="40" t="s">
        <v>634</v>
      </c>
      <c r="AI50" s="40" t="s">
        <v>97</v>
      </c>
      <c r="AJ50" s="40"/>
      <c r="AK50" s="40"/>
      <c r="AL50" s="40"/>
      <c r="AM50" s="40"/>
      <c r="AN50" s="40"/>
      <c r="AO50" s="40"/>
      <c r="AP50" s="40"/>
      <c r="AQ50" s="40"/>
      <c r="AR50" s="40"/>
      <c r="AS50" s="40"/>
      <c r="AT50" s="40"/>
      <c r="AU50" s="40"/>
      <c r="AV50" s="40"/>
      <c r="AW50" s="40"/>
      <c r="AX50" s="40"/>
      <c r="AY50" s="40"/>
      <c r="AZ50" s="40"/>
    </row>
    <row r="51" spans="1:52" s="72" customFormat="1" ht="12" thickBot="1" x14ac:dyDescent="0.2">
      <c r="A51" s="37" t="s">
        <v>389</v>
      </c>
      <c r="B51" s="38" t="s">
        <v>390</v>
      </c>
      <c r="C51" s="109" t="str">
        <f>HYPERLINK(Hoofddocument!$H$51,Hoofddocument!$G$51)</f>
        <v>Informatiebeveiliging en Privacywetgeving in de Praktijk (DPO)</v>
      </c>
      <c r="D51" s="38" t="s">
        <v>166</v>
      </c>
      <c r="E51" s="38" t="s">
        <v>12</v>
      </c>
      <c r="F51" s="38" t="s">
        <v>518</v>
      </c>
      <c r="G51" s="38" t="s">
        <v>391</v>
      </c>
      <c r="H51" s="49" t="s">
        <v>589</v>
      </c>
      <c r="I51" s="41"/>
      <c r="J51" s="39"/>
      <c r="K51" s="39"/>
      <c r="L51" s="40"/>
      <c r="M51" s="40"/>
      <c r="N51" s="40"/>
      <c r="O51" s="40"/>
      <c r="P51" s="40"/>
      <c r="Q51" s="40" t="s">
        <v>97</v>
      </c>
      <c r="R51" s="40"/>
      <c r="S51" s="40"/>
      <c r="T51" s="40"/>
      <c r="U51" s="40"/>
      <c r="V51" s="40"/>
      <c r="W51" s="40"/>
      <c r="X51" s="40"/>
      <c r="Y51" s="40"/>
      <c r="Z51" s="40"/>
      <c r="AA51" s="40"/>
      <c r="AB51" s="40"/>
      <c r="AC51" s="40"/>
      <c r="AD51" s="40"/>
      <c r="AE51" s="40"/>
      <c r="AF51" s="40" t="s">
        <v>97</v>
      </c>
      <c r="AG51" s="40"/>
      <c r="AH51" s="40"/>
      <c r="AI51" s="40"/>
      <c r="AJ51" s="40"/>
      <c r="AK51" s="40"/>
      <c r="AL51" s="40"/>
      <c r="AM51" s="40"/>
      <c r="AN51" s="40" t="s">
        <v>97</v>
      </c>
      <c r="AO51" s="40" t="s">
        <v>634</v>
      </c>
      <c r="AP51" s="40"/>
      <c r="AQ51" s="40"/>
      <c r="AR51" s="40"/>
      <c r="AS51" s="40"/>
      <c r="AT51" s="40"/>
      <c r="AU51" s="40"/>
      <c r="AV51" s="40"/>
      <c r="AW51" s="40"/>
      <c r="AX51" s="40"/>
      <c r="AY51" s="40"/>
      <c r="AZ51" s="40"/>
    </row>
    <row r="52" spans="1:52" s="72" customFormat="1" ht="12" thickBot="1" x14ac:dyDescent="0.2">
      <c r="A52" s="37" t="s">
        <v>389</v>
      </c>
      <c r="B52" s="38" t="s">
        <v>55</v>
      </c>
      <c r="C52" s="109" t="str">
        <f>HYPERLINK(Hoofddocument!$H$52,Hoofddocument!$G$52)</f>
        <v>Information Security Foundation</v>
      </c>
      <c r="D52" s="38" t="s">
        <v>166</v>
      </c>
      <c r="E52" s="38" t="s">
        <v>12</v>
      </c>
      <c r="F52" s="38" t="s">
        <v>278</v>
      </c>
      <c r="G52" s="38" t="s">
        <v>56</v>
      </c>
      <c r="H52" s="64" t="s">
        <v>553</v>
      </c>
      <c r="I52" s="41"/>
      <c r="J52" s="39"/>
      <c r="K52" s="39" t="s">
        <v>97</v>
      </c>
      <c r="L52" s="40" t="s">
        <v>97</v>
      </c>
      <c r="M52" s="40"/>
      <c r="N52" s="40"/>
      <c r="O52" s="40"/>
      <c r="P52" s="40"/>
      <c r="Q52" s="40"/>
      <c r="R52" s="40" t="s">
        <v>97</v>
      </c>
      <c r="S52" s="40" t="s">
        <v>97</v>
      </c>
      <c r="T52" s="40" t="s">
        <v>97</v>
      </c>
      <c r="U52" s="40" t="s">
        <v>97</v>
      </c>
      <c r="V52" s="40"/>
      <c r="W52" s="40"/>
      <c r="X52" s="40" t="s">
        <v>97</v>
      </c>
      <c r="Y52" s="40"/>
      <c r="Z52" s="40"/>
      <c r="AA52" s="40" t="s">
        <v>97</v>
      </c>
      <c r="AB52" s="40" t="s">
        <v>97</v>
      </c>
      <c r="AC52" s="40" t="s">
        <v>97</v>
      </c>
      <c r="AD52" s="40"/>
      <c r="AE52" s="40"/>
      <c r="AF52" s="40"/>
      <c r="AG52" s="40" t="s">
        <v>634</v>
      </c>
      <c r="AH52" s="40" t="s">
        <v>97</v>
      </c>
      <c r="AI52" s="40"/>
      <c r="AJ52" s="40"/>
      <c r="AK52" s="40"/>
      <c r="AL52" s="40" t="s">
        <v>97</v>
      </c>
      <c r="AM52" s="40"/>
      <c r="AN52" s="40"/>
      <c r="AO52" s="40"/>
      <c r="AP52" s="40"/>
      <c r="AQ52" s="40"/>
      <c r="AR52" s="40"/>
      <c r="AS52" s="40"/>
      <c r="AT52" s="40"/>
      <c r="AU52" s="40"/>
      <c r="AV52" s="40"/>
      <c r="AW52" s="40"/>
      <c r="AX52" s="40"/>
      <c r="AY52" s="40"/>
      <c r="AZ52" s="40"/>
    </row>
    <row r="53" spans="1:52" s="72" customFormat="1" ht="12" thickBot="1" x14ac:dyDescent="0.2">
      <c r="A53" s="37" t="s">
        <v>389</v>
      </c>
      <c r="B53" s="38" t="s">
        <v>55</v>
      </c>
      <c r="C53" s="109" t="str">
        <f>HYPERLINK(Hoofddocument!$H$53,Hoofddocument!$G$53)</f>
        <v>Certified Information Security Manager (CISM®)</v>
      </c>
      <c r="D53" s="38" t="s">
        <v>166</v>
      </c>
      <c r="E53" s="38" t="s">
        <v>12</v>
      </c>
      <c r="F53" s="38" t="s">
        <v>666</v>
      </c>
      <c r="G53" s="38" t="s">
        <v>665</v>
      </c>
      <c r="H53" s="64" t="s">
        <v>552</v>
      </c>
      <c r="I53" s="41"/>
      <c r="J53" s="39"/>
      <c r="K53" s="39"/>
      <c r="L53" s="40" t="s">
        <v>634</v>
      </c>
      <c r="M53" s="40"/>
      <c r="N53" s="40"/>
      <c r="O53" s="40"/>
      <c r="P53" s="40"/>
      <c r="Q53" s="40"/>
      <c r="R53" s="40"/>
      <c r="S53" s="40"/>
      <c r="T53" s="40" t="s">
        <v>634</v>
      </c>
      <c r="U53" s="40"/>
      <c r="V53" s="40"/>
      <c r="W53" s="40"/>
      <c r="X53" s="40"/>
      <c r="Y53" s="40"/>
      <c r="Z53" s="40"/>
      <c r="AA53" s="40"/>
      <c r="AB53" s="40"/>
      <c r="AC53" s="40"/>
      <c r="AD53" s="40"/>
      <c r="AE53" s="40"/>
      <c r="AF53" s="40"/>
      <c r="AG53" s="40"/>
      <c r="AH53" s="40"/>
      <c r="AI53" s="40"/>
      <c r="AJ53" s="40"/>
      <c r="AK53" s="40"/>
      <c r="AL53" s="40" t="s">
        <v>97</v>
      </c>
      <c r="AM53" s="40"/>
      <c r="AN53" s="40"/>
      <c r="AO53" s="40"/>
      <c r="AP53" s="40"/>
      <c r="AQ53" s="40"/>
      <c r="AR53" s="40"/>
      <c r="AS53" s="40"/>
      <c r="AT53" s="40"/>
      <c r="AU53" s="40"/>
      <c r="AV53" s="40"/>
      <c r="AW53" s="40"/>
      <c r="AX53" s="40"/>
      <c r="AY53" s="40"/>
      <c r="AZ53" s="40"/>
    </row>
    <row r="54" spans="1:52" s="72" customFormat="1" ht="12" thickBot="1" x14ac:dyDescent="0.2">
      <c r="A54" s="37" t="s">
        <v>389</v>
      </c>
      <c r="B54" s="38" t="s">
        <v>55</v>
      </c>
      <c r="C54" s="109" t="str">
        <f>HYPERLINK(Hoofddocument!$H$54,Hoofddocument!$G$54)</f>
        <v>Masterclass Security, Privacy &amp; Compliance</v>
      </c>
      <c r="D54" s="38"/>
      <c r="E54" s="38" t="s">
        <v>207</v>
      </c>
      <c r="F54" s="38"/>
      <c r="G54" s="38" t="s">
        <v>431</v>
      </c>
      <c r="H54" s="49" t="s">
        <v>605</v>
      </c>
      <c r="I54" s="41"/>
      <c r="J54" s="39"/>
      <c r="K54" s="39"/>
      <c r="L54" s="40"/>
      <c r="M54" s="40"/>
      <c r="N54" s="40"/>
      <c r="O54" s="40"/>
      <c r="P54" s="40"/>
      <c r="Q54" s="40"/>
      <c r="R54" s="40"/>
      <c r="S54" s="40"/>
      <c r="T54" s="40" t="s">
        <v>634</v>
      </c>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row>
    <row r="55" spans="1:52" s="72" customFormat="1" ht="12" thickBot="1" x14ac:dyDescent="0.2">
      <c r="A55" s="37" t="s">
        <v>389</v>
      </c>
      <c r="B55" s="38" t="s">
        <v>55</v>
      </c>
      <c r="C55" s="109" t="str">
        <f>HYPERLINK(Hoofddocument!$H$55,Hoofddocument!$G$55)</f>
        <v>IT Security Practitioner</v>
      </c>
      <c r="D55" s="38"/>
      <c r="E55" s="38" t="s">
        <v>207</v>
      </c>
      <c r="F55" s="38"/>
      <c r="G55" s="38" t="s">
        <v>802</v>
      </c>
      <c r="H55" s="49" t="s">
        <v>879</v>
      </c>
      <c r="I55" s="41"/>
      <c r="J55" s="39"/>
      <c r="K55" s="39"/>
      <c r="L55" s="40"/>
      <c r="M55" s="40"/>
      <c r="N55" s="40"/>
      <c r="O55" s="40"/>
      <c r="P55" s="40"/>
      <c r="Q55" s="40"/>
      <c r="R55" s="40"/>
      <c r="S55" s="40"/>
      <c r="T55" s="40"/>
      <c r="U55" s="40"/>
      <c r="V55" s="40"/>
      <c r="W55" s="40"/>
      <c r="X55" s="40"/>
      <c r="Y55" s="40"/>
      <c r="Z55" s="40"/>
      <c r="AA55" s="40"/>
      <c r="AB55" s="40"/>
      <c r="AC55" s="40" t="s">
        <v>97</v>
      </c>
      <c r="AD55" s="40"/>
      <c r="AE55" s="40"/>
      <c r="AF55" s="40"/>
      <c r="AG55" s="40"/>
      <c r="AH55" s="40"/>
      <c r="AI55" s="40"/>
      <c r="AJ55" s="40"/>
      <c r="AK55" s="40"/>
      <c r="AL55" s="40"/>
      <c r="AM55" s="40"/>
      <c r="AN55" s="40"/>
      <c r="AO55" s="40"/>
      <c r="AP55" s="40"/>
      <c r="AQ55" s="40"/>
      <c r="AR55" s="40"/>
      <c r="AS55" s="40"/>
      <c r="AT55" s="40"/>
      <c r="AU55" s="40"/>
      <c r="AV55" s="40"/>
      <c r="AW55" s="40"/>
      <c r="AX55" s="40"/>
      <c r="AY55" s="40"/>
      <c r="AZ55" s="40"/>
    </row>
    <row r="56" spans="1:52" s="72" customFormat="1" ht="12" thickBot="1" x14ac:dyDescent="0.2">
      <c r="A56" s="37" t="s">
        <v>389</v>
      </c>
      <c r="B56" s="38" t="s">
        <v>55</v>
      </c>
      <c r="C56" s="109" t="str">
        <f>HYPERLINK(Hoofddocument!$H$56,Hoofddocument!$G$56)</f>
        <v>CISA</v>
      </c>
      <c r="D56" s="38"/>
      <c r="E56" s="38" t="s">
        <v>207</v>
      </c>
      <c r="F56" s="38"/>
      <c r="G56" s="38" t="s">
        <v>803</v>
      </c>
      <c r="H56" s="64" t="s">
        <v>880</v>
      </c>
      <c r="I56" s="41"/>
      <c r="J56" s="39"/>
      <c r="K56" s="39"/>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t="s">
        <v>634</v>
      </c>
      <c r="AM56" s="40"/>
      <c r="AN56" s="40"/>
      <c r="AO56" s="40"/>
      <c r="AP56" s="40"/>
      <c r="AQ56" s="40"/>
      <c r="AR56" s="40"/>
      <c r="AS56" s="40"/>
      <c r="AT56" s="40"/>
      <c r="AU56" s="40"/>
      <c r="AV56" s="40"/>
      <c r="AW56" s="40"/>
      <c r="AX56" s="40"/>
      <c r="AY56" s="40"/>
      <c r="AZ56" s="40"/>
    </row>
    <row r="57" spans="1:52" s="72" customFormat="1" ht="12" thickBot="1" x14ac:dyDescent="0.2">
      <c r="A57" s="37" t="s">
        <v>389</v>
      </c>
      <c r="B57" s="38" t="s">
        <v>55</v>
      </c>
      <c r="C57" s="109" t="str">
        <f>HYPERLINK(Hoofddocument!$H$57,Hoofddocument!$G$57)</f>
        <v>Certified Information Systems Security Professional (CISSP)</v>
      </c>
      <c r="D57" s="38" t="s">
        <v>166</v>
      </c>
      <c r="E57" s="38" t="s">
        <v>12</v>
      </c>
      <c r="F57" s="38" t="s">
        <v>752</v>
      </c>
      <c r="G57" s="38" t="s">
        <v>804</v>
      </c>
      <c r="H57" s="64" t="s">
        <v>881</v>
      </c>
      <c r="I57" s="41"/>
      <c r="J57" s="39"/>
      <c r="K57" s="39"/>
      <c r="L57" s="39"/>
      <c r="M57" s="39"/>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t="s">
        <v>634</v>
      </c>
      <c r="AM57" s="40"/>
      <c r="AN57" s="40"/>
      <c r="AO57" s="40"/>
      <c r="AP57" s="40"/>
      <c r="AQ57" s="40"/>
      <c r="AR57" s="40"/>
      <c r="AS57" s="40"/>
      <c r="AT57" s="40"/>
      <c r="AU57" s="40"/>
      <c r="AV57" s="40"/>
      <c r="AW57" s="40"/>
      <c r="AX57" s="40"/>
      <c r="AY57" s="40"/>
      <c r="AZ57" s="40"/>
    </row>
    <row r="58" spans="1:52" s="71" customFormat="1" ht="12" thickBot="1" x14ac:dyDescent="0.2">
      <c r="A58" s="37" t="s">
        <v>389</v>
      </c>
      <c r="B58" s="38" t="s">
        <v>55</v>
      </c>
      <c r="C58" s="109" t="str">
        <f>HYPERLINK(Hoofddocument!$H$58,Hoofddocument!$G$58)</f>
        <v>CRISC</v>
      </c>
      <c r="D58" s="38"/>
      <c r="E58" s="38" t="s">
        <v>207</v>
      </c>
      <c r="F58" s="38"/>
      <c r="G58" s="38" t="s">
        <v>805</v>
      </c>
      <c r="H58" s="64" t="s">
        <v>882</v>
      </c>
      <c r="I58" s="41"/>
      <c r="J58" s="39"/>
      <c r="K58" s="39"/>
      <c r="L58" s="39"/>
      <c r="M58" s="39"/>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t="s">
        <v>634</v>
      </c>
      <c r="AM58" s="40"/>
      <c r="AN58" s="40"/>
      <c r="AO58" s="40"/>
      <c r="AP58" s="40"/>
      <c r="AQ58" s="40"/>
      <c r="AR58" s="40"/>
      <c r="AS58" s="40"/>
      <c r="AT58" s="40"/>
      <c r="AU58" s="40"/>
      <c r="AV58" s="40"/>
      <c r="AW58" s="40"/>
      <c r="AX58" s="40"/>
      <c r="AY58" s="40"/>
      <c r="AZ58" s="40"/>
    </row>
    <row r="59" spans="1:52" s="71" customFormat="1" ht="12" thickBot="1" x14ac:dyDescent="0.2">
      <c r="A59" s="37" t="s">
        <v>389</v>
      </c>
      <c r="B59" s="38" t="s">
        <v>55</v>
      </c>
      <c r="C59" s="109" t="str">
        <f>HYPERLINK(Hoofddocument!$H$59,Hoofddocument!$G$59)</f>
        <v>Certified Information Privacy Professional Europe (CIPP/E)</v>
      </c>
      <c r="D59" s="38" t="s">
        <v>166</v>
      </c>
      <c r="E59" s="38" t="s">
        <v>12</v>
      </c>
      <c r="F59" s="38" t="s">
        <v>287</v>
      </c>
      <c r="G59" s="38" t="s">
        <v>806</v>
      </c>
      <c r="H59" s="64" t="s">
        <v>883</v>
      </c>
      <c r="I59" s="41"/>
      <c r="J59" s="39"/>
      <c r="K59" s="39"/>
      <c r="L59" s="39"/>
      <c r="M59" s="39"/>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t="s">
        <v>97</v>
      </c>
      <c r="AM59" s="40"/>
      <c r="AN59" s="40"/>
      <c r="AO59" s="40"/>
      <c r="AP59" s="40"/>
      <c r="AQ59" s="40"/>
      <c r="AR59" s="40"/>
      <c r="AS59" s="40"/>
      <c r="AT59" s="40"/>
      <c r="AU59" s="40"/>
      <c r="AV59" s="40"/>
      <c r="AW59" s="40"/>
      <c r="AX59" s="40"/>
      <c r="AY59" s="40"/>
      <c r="AZ59" s="40"/>
    </row>
    <row r="60" spans="1:52" s="71" customFormat="1" ht="12" thickBot="1" x14ac:dyDescent="0.2">
      <c r="A60" s="37" t="s">
        <v>389</v>
      </c>
      <c r="B60" s="38" t="s">
        <v>55</v>
      </c>
      <c r="C60" s="109" t="str">
        <f>HYPERLINK(Hoofddocument!$H$60,Hoofddocument!$G$60)</f>
        <v>IT-Security Foundation - Online - PLUS</v>
      </c>
      <c r="D60" s="38" t="s">
        <v>166</v>
      </c>
      <c r="E60" s="38" t="s">
        <v>12</v>
      </c>
      <c r="F60" s="38" t="s">
        <v>686</v>
      </c>
      <c r="G60" s="38" t="s">
        <v>807</v>
      </c>
      <c r="H60" s="64" t="s">
        <v>884</v>
      </c>
      <c r="I60" s="41"/>
      <c r="J60" s="39"/>
      <c r="K60" s="39"/>
      <c r="L60" s="39"/>
      <c r="M60" s="39"/>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t="s">
        <v>97</v>
      </c>
      <c r="AM60" s="40"/>
      <c r="AN60" s="40"/>
      <c r="AO60" s="40"/>
      <c r="AP60" s="40"/>
      <c r="AQ60" s="40"/>
      <c r="AR60" s="40"/>
      <c r="AS60" s="40"/>
      <c r="AT60" s="40"/>
      <c r="AU60" s="40"/>
      <c r="AV60" s="40"/>
      <c r="AW60" s="40"/>
      <c r="AX60" s="40"/>
      <c r="AY60" s="40"/>
      <c r="AZ60" s="40"/>
    </row>
    <row r="61" spans="1:52" s="71" customFormat="1" ht="12" thickBot="1" x14ac:dyDescent="0.2">
      <c r="A61" s="37" t="s">
        <v>389</v>
      </c>
      <c r="B61" s="38" t="s">
        <v>55</v>
      </c>
      <c r="C61" s="109" t="str">
        <f>HYPERLINK(Hoofddocument!$H$61,Hoofddocument!$G$61)</f>
        <v>IT-Security Practitioner</v>
      </c>
      <c r="D61" s="38"/>
      <c r="E61" s="38" t="s">
        <v>207</v>
      </c>
      <c r="F61" s="49"/>
      <c r="G61" s="38" t="s">
        <v>808</v>
      </c>
      <c r="H61" s="64" t="s">
        <v>885</v>
      </c>
      <c r="I61" s="41"/>
      <c r="J61" s="39"/>
      <c r="K61" s="39"/>
      <c r="L61" s="39"/>
      <c r="M61" s="39"/>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t="s">
        <v>97</v>
      </c>
      <c r="AM61" s="40"/>
      <c r="AN61" s="40"/>
      <c r="AO61" s="40"/>
      <c r="AP61" s="40"/>
      <c r="AQ61" s="40"/>
      <c r="AR61" s="40"/>
      <c r="AS61" s="40"/>
      <c r="AT61" s="40"/>
      <c r="AU61" s="40"/>
      <c r="AV61" s="40"/>
      <c r="AW61" s="40"/>
      <c r="AX61" s="40"/>
      <c r="AY61" s="40"/>
      <c r="AZ61" s="40"/>
    </row>
    <row r="62" spans="1:52" s="72" customFormat="1" ht="12" thickBot="1" x14ac:dyDescent="0.2">
      <c r="A62" s="37" t="s">
        <v>389</v>
      </c>
      <c r="B62" s="38" t="s">
        <v>55</v>
      </c>
      <c r="C62" s="109" t="str">
        <f>HYPERLINK(Hoofddocument!$H$62,Hoofddocument!$G$62)</f>
        <v>Privacy &amp; Data Protection Foundation</v>
      </c>
      <c r="D62" s="38" t="s">
        <v>166</v>
      </c>
      <c r="E62" s="38" t="s">
        <v>12</v>
      </c>
      <c r="F62" s="38" t="s">
        <v>753</v>
      </c>
      <c r="G62" s="38" t="s">
        <v>809</v>
      </c>
      <c r="H62" s="64" t="s">
        <v>886</v>
      </c>
      <c r="I62" s="41"/>
      <c r="J62" s="39"/>
      <c r="K62" s="39"/>
      <c r="L62" s="39"/>
      <c r="M62" s="39"/>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t="s">
        <v>97</v>
      </c>
      <c r="AM62" s="40"/>
      <c r="AN62" s="40"/>
      <c r="AO62" s="40"/>
      <c r="AP62" s="40"/>
      <c r="AQ62" s="40"/>
      <c r="AR62" s="40"/>
      <c r="AS62" s="40"/>
      <c r="AT62" s="40"/>
      <c r="AU62" s="40"/>
      <c r="AV62" s="40"/>
      <c r="AW62" s="40"/>
      <c r="AX62" s="40"/>
      <c r="AY62" s="40"/>
      <c r="AZ62" s="40"/>
    </row>
    <row r="63" spans="1:52" s="72" customFormat="1" ht="12" thickBot="1" x14ac:dyDescent="0.2">
      <c r="A63" s="37" t="s">
        <v>389</v>
      </c>
      <c r="B63" s="38" t="s">
        <v>1026</v>
      </c>
      <c r="C63" s="127" t="s">
        <v>999</v>
      </c>
      <c r="D63" s="38"/>
      <c r="E63" s="38"/>
      <c r="F63" s="44"/>
      <c r="G63" s="121"/>
      <c r="H63" s="64"/>
      <c r="I63" s="41"/>
      <c r="J63" s="39"/>
      <c r="K63" s="39"/>
      <c r="L63" s="40"/>
      <c r="M63" s="40"/>
      <c r="N63" s="40"/>
      <c r="O63" s="40"/>
      <c r="P63" s="40"/>
      <c r="Q63" s="40"/>
      <c r="R63" s="40"/>
      <c r="S63" s="40"/>
      <c r="T63" s="40"/>
      <c r="U63" s="40"/>
      <c r="V63" s="40"/>
      <c r="W63" s="39"/>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t="s">
        <v>97</v>
      </c>
    </row>
    <row r="64" spans="1:52" s="72" customFormat="1" ht="12" thickBot="1" x14ac:dyDescent="0.2">
      <c r="A64" s="37" t="s">
        <v>389</v>
      </c>
      <c r="B64" s="38" t="s">
        <v>1026</v>
      </c>
      <c r="C64" s="109" t="str">
        <f>HYPERLINK(Hoofddocument!$H$64,Hoofddocument!$G$64)</f>
        <v>Certified Information Systems Security Professional (CISSP)</v>
      </c>
      <c r="D64" s="38" t="s">
        <v>166</v>
      </c>
      <c r="E64" s="38" t="s">
        <v>12</v>
      </c>
      <c r="F64" s="44" t="s">
        <v>752</v>
      </c>
      <c r="G64" s="121" t="s">
        <v>804</v>
      </c>
      <c r="H64" s="64" t="s">
        <v>881</v>
      </c>
      <c r="I64" s="41"/>
      <c r="J64" s="39"/>
      <c r="K64" s="39"/>
      <c r="L64" s="40"/>
      <c r="M64" s="40"/>
      <c r="N64" s="40"/>
      <c r="O64" s="40"/>
      <c r="P64" s="40"/>
      <c r="Q64" s="40"/>
      <c r="R64" s="40"/>
      <c r="S64" s="40"/>
      <c r="T64" s="40"/>
      <c r="U64" s="40"/>
      <c r="V64" s="40"/>
      <c r="W64" s="39"/>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t="s">
        <v>97</v>
      </c>
    </row>
    <row r="65" spans="1:52" s="72" customFormat="1" ht="12" thickBot="1" x14ac:dyDescent="0.2">
      <c r="A65" s="37" t="s">
        <v>389</v>
      </c>
      <c r="B65" s="38" t="s">
        <v>1026</v>
      </c>
      <c r="C65" s="127" t="s">
        <v>1004</v>
      </c>
      <c r="D65" s="38"/>
      <c r="E65" s="38"/>
      <c r="F65" s="44"/>
      <c r="G65" s="121"/>
      <c r="H65" s="64"/>
      <c r="I65" s="41"/>
      <c r="J65" s="39"/>
      <c r="K65" s="39"/>
      <c r="L65" s="40"/>
      <c r="M65" s="40"/>
      <c r="N65" s="40"/>
      <c r="O65" s="40"/>
      <c r="P65" s="40"/>
      <c r="Q65" s="40"/>
      <c r="R65" s="40"/>
      <c r="S65" s="40"/>
      <c r="T65" s="40"/>
      <c r="U65" s="40"/>
      <c r="V65" s="40"/>
      <c r="W65" s="39"/>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t="s">
        <v>97</v>
      </c>
    </row>
    <row r="66" spans="1:52" s="71" customFormat="1" ht="12" thickBot="1" x14ac:dyDescent="0.2">
      <c r="A66" s="37" t="s">
        <v>389</v>
      </c>
      <c r="B66" s="38" t="s">
        <v>1026</v>
      </c>
      <c r="C66" s="127" t="s">
        <v>1027</v>
      </c>
      <c r="D66" s="38"/>
      <c r="E66" s="38"/>
      <c r="F66" s="44"/>
      <c r="G66" s="121"/>
      <c r="H66" s="64"/>
      <c r="I66" s="41"/>
      <c r="J66" s="39"/>
      <c r="K66" s="39"/>
      <c r="L66" s="40"/>
      <c r="M66" s="40"/>
      <c r="N66" s="40"/>
      <c r="O66" s="40"/>
      <c r="P66" s="40"/>
      <c r="Q66" s="40"/>
      <c r="R66" s="40"/>
      <c r="S66" s="40"/>
      <c r="T66" s="40"/>
      <c r="U66" s="40"/>
      <c r="V66" s="40"/>
      <c r="W66" s="39"/>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t="s">
        <v>97</v>
      </c>
    </row>
    <row r="67" spans="1:52" s="71" customFormat="1" ht="12" thickBot="1" x14ac:dyDescent="0.2">
      <c r="A67" s="37" t="s">
        <v>389</v>
      </c>
      <c r="B67" s="38" t="s">
        <v>1026</v>
      </c>
      <c r="C67" s="127" t="s">
        <v>1028</v>
      </c>
      <c r="D67" s="38"/>
      <c r="E67" s="38"/>
      <c r="F67" s="44"/>
      <c r="G67" s="121"/>
      <c r="H67" s="64"/>
      <c r="I67" s="41"/>
      <c r="J67" s="39"/>
      <c r="K67" s="39"/>
      <c r="L67" s="40"/>
      <c r="M67" s="40"/>
      <c r="N67" s="40"/>
      <c r="O67" s="40"/>
      <c r="P67" s="40"/>
      <c r="Q67" s="40"/>
      <c r="R67" s="40"/>
      <c r="S67" s="40"/>
      <c r="T67" s="40"/>
      <c r="U67" s="40"/>
      <c r="V67" s="40"/>
      <c r="W67" s="39"/>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t="s">
        <v>97</v>
      </c>
    </row>
    <row r="68" spans="1:52" s="71" customFormat="1" ht="12" thickBot="1" x14ac:dyDescent="0.2">
      <c r="A68" s="37" t="s">
        <v>389</v>
      </c>
      <c r="B68" s="38" t="s">
        <v>1026</v>
      </c>
      <c r="C68" s="109" t="str">
        <f>HYPERLINK(Hoofddocument!$H$68,Hoofddocument!$G$68)</f>
        <v>Microsoft Azure Fundamentals (AZ-900)</v>
      </c>
      <c r="D68" s="38" t="s">
        <v>166</v>
      </c>
      <c r="E68" s="38" t="s">
        <v>12</v>
      </c>
      <c r="F68" s="44" t="s">
        <v>687</v>
      </c>
      <c r="G68" s="121" t="s">
        <v>403</v>
      </c>
      <c r="H68" s="64" t="s">
        <v>557</v>
      </c>
      <c r="I68" s="41"/>
      <c r="J68" s="39"/>
      <c r="K68" s="39"/>
      <c r="L68" s="40"/>
      <c r="M68" s="40"/>
      <c r="N68" s="40"/>
      <c r="O68" s="40"/>
      <c r="P68" s="40"/>
      <c r="Q68" s="40"/>
      <c r="R68" s="40"/>
      <c r="S68" s="40"/>
      <c r="T68" s="40"/>
      <c r="U68" s="40"/>
      <c r="V68" s="40"/>
      <c r="W68" s="39"/>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t="s">
        <v>97</v>
      </c>
    </row>
    <row r="69" spans="1:52" s="71" customFormat="1" ht="12" thickBot="1" x14ac:dyDescent="0.2">
      <c r="A69" s="37" t="s">
        <v>389</v>
      </c>
      <c r="B69" s="38" t="s">
        <v>1026</v>
      </c>
      <c r="C69" s="127" t="s">
        <v>1006</v>
      </c>
      <c r="D69" s="38"/>
      <c r="E69" s="38"/>
      <c r="F69" s="44"/>
      <c r="G69" s="121"/>
      <c r="H69" s="64"/>
      <c r="I69" s="41"/>
      <c r="J69" s="39"/>
      <c r="K69" s="39"/>
      <c r="L69" s="40"/>
      <c r="M69" s="40"/>
      <c r="N69" s="40"/>
      <c r="O69" s="40"/>
      <c r="P69" s="40"/>
      <c r="Q69" s="40"/>
      <c r="R69" s="40"/>
      <c r="S69" s="40"/>
      <c r="T69" s="40"/>
      <c r="U69" s="40"/>
      <c r="V69" s="40"/>
      <c r="W69" s="39"/>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t="s">
        <v>97</v>
      </c>
    </row>
    <row r="70" spans="1:52" s="71" customFormat="1" ht="12" thickBot="1" x14ac:dyDescent="0.2">
      <c r="A70" s="37" t="s">
        <v>389</v>
      </c>
      <c r="B70" s="38" t="s">
        <v>1026</v>
      </c>
      <c r="C70" s="127" t="s">
        <v>1007</v>
      </c>
      <c r="D70" s="38"/>
      <c r="E70" s="38"/>
      <c r="F70" s="44"/>
      <c r="G70" s="121"/>
      <c r="H70" s="64"/>
      <c r="I70" s="41"/>
      <c r="J70" s="39"/>
      <c r="K70" s="39"/>
      <c r="L70" s="40"/>
      <c r="M70" s="40"/>
      <c r="N70" s="40"/>
      <c r="O70" s="40"/>
      <c r="P70" s="40"/>
      <c r="Q70" s="40"/>
      <c r="R70" s="40"/>
      <c r="S70" s="40"/>
      <c r="T70" s="40"/>
      <c r="U70" s="40"/>
      <c r="V70" s="40"/>
      <c r="W70" s="39"/>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c r="AW70" s="40"/>
      <c r="AX70" s="40"/>
      <c r="AY70" s="40"/>
      <c r="AZ70" s="40" t="s">
        <v>97</v>
      </c>
    </row>
    <row r="71" spans="1:52" s="71" customFormat="1" ht="12" thickBot="1" x14ac:dyDescent="0.2">
      <c r="A71" s="37" t="s">
        <v>389</v>
      </c>
      <c r="B71" s="38" t="s">
        <v>1029</v>
      </c>
      <c r="C71" s="127" t="s">
        <v>1030</v>
      </c>
      <c r="D71" s="38"/>
      <c r="E71" s="38"/>
      <c r="F71" s="44"/>
      <c r="G71" s="121"/>
      <c r="H71" s="64"/>
      <c r="I71" s="41"/>
      <c r="J71" s="39"/>
      <c r="K71" s="39"/>
      <c r="L71" s="40"/>
      <c r="M71" s="40"/>
      <c r="N71" s="40"/>
      <c r="O71" s="40"/>
      <c r="P71" s="40"/>
      <c r="Q71" s="40"/>
      <c r="R71" s="40"/>
      <c r="S71" s="40"/>
      <c r="T71" s="40"/>
      <c r="U71" s="40"/>
      <c r="V71" s="40"/>
      <c r="W71" s="39"/>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t="s">
        <v>634</v>
      </c>
    </row>
    <row r="72" spans="1:52" s="71" customFormat="1" ht="12" thickBot="1" x14ac:dyDescent="0.2">
      <c r="A72" s="37" t="s">
        <v>389</v>
      </c>
      <c r="B72" s="38" t="s">
        <v>1029</v>
      </c>
      <c r="C72" s="127" t="s">
        <v>1031</v>
      </c>
      <c r="D72" s="38"/>
      <c r="E72" s="38"/>
      <c r="F72" s="44"/>
      <c r="G72" s="121"/>
      <c r="H72" s="64"/>
      <c r="I72" s="41"/>
      <c r="J72" s="39"/>
      <c r="K72" s="39"/>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c r="AW72" s="40"/>
      <c r="AX72" s="40"/>
      <c r="AY72" s="40"/>
      <c r="AZ72" s="40" t="s">
        <v>634</v>
      </c>
    </row>
    <row r="73" spans="1:52" s="71" customFormat="1" ht="12" thickBot="1" x14ac:dyDescent="0.2">
      <c r="A73" s="37" t="s">
        <v>389</v>
      </c>
      <c r="B73" s="38" t="s">
        <v>1029</v>
      </c>
      <c r="C73" s="127" t="s">
        <v>1032</v>
      </c>
      <c r="D73" s="38"/>
      <c r="E73" s="38"/>
      <c r="F73" s="44"/>
      <c r="G73" s="121"/>
      <c r="H73" s="64"/>
      <c r="I73" s="41"/>
      <c r="J73" s="39"/>
      <c r="K73" s="39"/>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t="s">
        <v>634</v>
      </c>
    </row>
    <row r="74" spans="1:52" s="71" customFormat="1" ht="12" thickBot="1" x14ac:dyDescent="0.2">
      <c r="A74" s="37" t="s">
        <v>389</v>
      </c>
      <c r="B74" s="38" t="s">
        <v>1029</v>
      </c>
      <c r="C74" s="127" t="s">
        <v>1033</v>
      </c>
      <c r="D74" s="38"/>
      <c r="E74" s="38"/>
      <c r="F74" s="44"/>
      <c r="G74" s="121"/>
      <c r="H74" s="64"/>
      <c r="I74" s="41"/>
      <c r="J74" s="39"/>
      <c r="K74" s="39"/>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t="s">
        <v>634</v>
      </c>
    </row>
    <row r="75" spans="1:52" s="71" customFormat="1" ht="12" thickBot="1" x14ac:dyDescent="0.2">
      <c r="A75" s="37" t="s">
        <v>389</v>
      </c>
      <c r="B75" s="38" t="s">
        <v>1034</v>
      </c>
      <c r="C75" s="127" t="s">
        <v>1035</v>
      </c>
      <c r="D75" s="38"/>
      <c r="E75" s="38"/>
      <c r="F75" s="44"/>
      <c r="G75" s="121"/>
      <c r="H75" s="64"/>
      <c r="I75" s="41"/>
      <c r="J75" s="39"/>
      <c r="K75" s="39"/>
      <c r="L75" s="40"/>
      <c r="M75" s="40"/>
      <c r="N75" s="40"/>
      <c r="O75" s="40"/>
      <c r="P75" s="40"/>
      <c r="Q75" s="40"/>
      <c r="R75" s="40"/>
      <c r="S75" s="40"/>
      <c r="T75" s="40"/>
      <c r="U75" s="40"/>
      <c r="V75" s="40"/>
      <c r="W75" s="39"/>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t="s">
        <v>634</v>
      </c>
    </row>
    <row r="76" spans="1:52" s="71" customFormat="1" ht="12" thickBot="1" x14ac:dyDescent="0.2">
      <c r="A76" s="37" t="s">
        <v>389</v>
      </c>
      <c r="B76" s="38" t="s">
        <v>1034</v>
      </c>
      <c r="C76" s="127" t="s">
        <v>1036</v>
      </c>
      <c r="D76" s="38"/>
      <c r="E76" s="38"/>
      <c r="F76" s="44"/>
      <c r="G76" s="121"/>
      <c r="H76" s="64"/>
      <c r="I76" s="41"/>
      <c r="J76" s="39"/>
      <c r="K76" s="39"/>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t="s">
        <v>634</v>
      </c>
    </row>
    <row r="77" spans="1:52" s="71" customFormat="1" ht="12" thickBot="1" x14ac:dyDescent="0.2">
      <c r="A77" s="37" t="s">
        <v>389</v>
      </c>
      <c r="B77" s="38" t="s">
        <v>1034</v>
      </c>
      <c r="C77" s="127" t="s">
        <v>1037</v>
      </c>
      <c r="D77" s="38"/>
      <c r="E77" s="38"/>
      <c r="F77" s="44"/>
      <c r="G77" s="121"/>
      <c r="H77" s="64"/>
      <c r="I77" s="41"/>
      <c r="J77" s="39"/>
      <c r="K77" s="39"/>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t="s">
        <v>634</v>
      </c>
    </row>
    <row r="78" spans="1:52" s="71" customFormat="1" ht="12" thickBot="1" x14ac:dyDescent="0.2">
      <c r="A78" s="37" t="s">
        <v>389</v>
      </c>
      <c r="B78" s="38" t="s">
        <v>1034</v>
      </c>
      <c r="C78" s="127" t="s">
        <v>1038</v>
      </c>
      <c r="D78" s="38"/>
      <c r="E78" s="38"/>
      <c r="F78" s="44"/>
      <c r="G78" s="121"/>
      <c r="H78" s="64"/>
      <c r="I78" s="41"/>
      <c r="J78" s="39"/>
      <c r="K78" s="39"/>
      <c r="L78" s="40"/>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t="s">
        <v>634</v>
      </c>
    </row>
    <row r="79" spans="1:52" s="71" customFormat="1" ht="12" thickBot="1" x14ac:dyDescent="0.2">
      <c r="A79" s="37" t="s">
        <v>389</v>
      </c>
      <c r="B79" s="38" t="s">
        <v>1034</v>
      </c>
      <c r="C79" s="127" t="s">
        <v>1023</v>
      </c>
      <c r="D79" s="38"/>
      <c r="E79" s="38"/>
      <c r="F79" s="44"/>
      <c r="G79" s="121"/>
      <c r="H79" s="64"/>
      <c r="I79" s="41"/>
      <c r="J79" s="39"/>
      <c r="K79" s="39"/>
      <c r="L79" s="40"/>
      <c r="M79" s="40"/>
      <c r="N79" s="40"/>
      <c r="O79" s="40"/>
      <c r="P79" s="40"/>
      <c r="Q79" s="40"/>
      <c r="R79" s="40"/>
      <c r="S79" s="40"/>
      <c r="T79" s="40"/>
      <c r="U79" s="40"/>
      <c r="V79" s="40"/>
      <c r="W79" s="40"/>
      <c r="X79" s="40"/>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t="s">
        <v>634</v>
      </c>
    </row>
    <row r="80" spans="1:52" s="71" customFormat="1" ht="12" thickBot="1" x14ac:dyDescent="0.2">
      <c r="A80" s="37" t="s">
        <v>389</v>
      </c>
      <c r="B80" s="38" t="s">
        <v>1034</v>
      </c>
      <c r="C80" s="127" t="s">
        <v>1024</v>
      </c>
      <c r="D80" s="38"/>
      <c r="E80" s="38"/>
      <c r="F80" s="44"/>
      <c r="G80" s="121"/>
      <c r="H80" s="64"/>
      <c r="I80" s="41"/>
      <c r="J80" s="39"/>
      <c r="K80" s="39"/>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t="s">
        <v>634</v>
      </c>
    </row>
    <row r="81" spans="1:52" s="71" customFormat="1" ht="12" thickBot="1" x14ac:dyDescent="0.2">
      <c r="A81" s="37" t="s">
        <v>389</v>
      </c>
      <c r="B81" s="38" t="s">
        <v>1034</v>
      </c>
      <c r="C81" s="127" t="s">
        <v>1039</v>
      </c>
      <c r="D81" s="38"/>
      <c r="E81" s="38"/>
      <c r="F81" s="44"/>
      <c r="G81" s="121"/>
      <c r="H81" s="64"/>
      <c r="I81" s="41"/>
      <c r="J81" s="39"/>
      <c r="K81" s="39"/>
      <c r="L81" s="40"/>
      <c r="M81" s="40"/>
      <c r="N81" s="40"/>
      <c r="O81" s="40"/>
      <c r="P81" s="40"/>
      <c r="Q81" s="40"/>
      <c r="R81" s="40"/>
      <c r="S81" s="40"/>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40"/>
      <c r="AS81" s="40"/>
      <c r="AT81" s="40"/>
      <c r="AU81" s="40"/>
      <c r="AV81" s="40"/>
      <c r="AW81" s="40"/>
      <c r="AX81" s="40"/>
      <c r="AY81" s="40"/>
      <c r="AZ81" s="40" t="s">
        <v>634</v>
      </c>
    </row>
    <row r="82" spans="1:52" s="71" customFormat="1" ht="12" thickBot="1" x14ac:dyDescent="0.2">
      <c r="A82" s="37" t="s">
        <v>389</v>
      </c>
      <c r="B82" s="38" t="s">
        <v>1034</v>
      </c>
      <c r="C82" s="127" t="s">
        <v>1040</v>
      </c>
      <c r="D82" s="38"/>
      <c r="E82" s="38"/>
      <c r="F82" s="44"/>
      <c r="G82" s="121"/>
      <c r="H82" s="64"/>
      <c r="I82" s="41"/>
      <c r="J82" s="39"/>
      <c r="K82" s="39"/>
      <c r="L82" s="40"/>
      <c r="M82" s="40"/>
      <c r="N82" s="40"/>
      <c r="O82" s="40"/>
      <c r="P82" s="40"/>
      <c r="Q82" s="40"/>
      <c r="R82" s="40"/>
      <c r="S82" s="40"/>
      <c r="T82" s="40"/>
      <c r="U82" s="40"/>
      <c r="V82" s="40"/>
      <c r="W82" s="40"/>
      <c r="X82" s="47"/>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t="s">
        <v>634</v>
      </c>
    </row>
    <row r="83" spans="1:52" s="71" customFormat="1" ht="12" thickBot="1" x14ac:dyDescent="0.2">
      <c r="A83" s="37" t="s">
        <v>389</v>
      </c>
      <c r="B83" s="38" t="s">
        <v>1034</v>
      </c>
      <c r="C83" s="127" t="s">
        <v>1041</v>
      </c>
      <c r="D83" s="38"/>
      <c r="E83" s="38"/>
      <c r="F83" s="44"/>
      <c r="G83" s="121"/>
      <c r="H83" s="64"/>
      <c r="I83" s="41"/>
      <c r="J83" s="39"/>
      <c r="K83" s="39"/>
      <c r="L83" s="40"/>
      <c r="M83" s="40"/>
      <c r="N83" s="40"/>
      <c r="O83" s="40"/>
      <c r="P83" s="40"/>
      <c r="Q83" s="40"/>
      <c r="R83" s="40"/>
      <c r="S83" s="40"/>
      <c r="T83" s="40"/>
      <c r="U83" s="40"/>
      <c r="V83" s="40"/>
      <c r="W83" s="40"/>
      <c r="X83" s="47"/>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t="s">
        <v>634</v>
      </c>
    </row>
    <row r="84" spans="1:52" s="71" customFormat="1" ht="12" thickBot="1" x14ac:dyDescent="0.2">
      <c r="A84" s="37" t="s">
        <v>389</v>
      </c>
      <c r="B84" s="38" t="s">
        <v>1034</v>
      </c>
      <c r="C84" s="127" t="s">
        <v>1042</v>
      </c>
      <c r="D84" s="38"/>
      <c r="E84" s="38"/>
      <c r="F84" s="44"/>
      <c r="G84" s="121"/>
      <c r="H84" s="64"/>
      <c r="I84" s="41"/>
      <c r="J84" s="39"/>
      <c r="K84" s="39"/>
      <c r="L84" s="40"/>
      <c r="M84" s="40"/>
      <c r="N84" s="40"/>
      <c r="O84" s="40"/>
      <c r="P84" s="40"/>
      <c r="Q84" s="40"/>
      <c r="R84" s="40"/>
      <c r="S84" s="40"/>
      <c r="T84" s="40"/>
      <c r="U84" s="40"/>
      <c r="V84" s="40"/>
      <c r="W84" s="40"/>
      <c r="X84" s="47"/>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t="s">
        <v>634</v>
      </c>
    </row>
    <row r="85" spans="1:52" s="71" customFormat="1" ht="12" thickBot="1" x14ac:dyDescent="0.2">
      <c r="A85" s="37" t="s">
        <v>389</v>
      </c>
      <c r="B85" s="38" t="s">
        <v>1034</v>
      </c>
      <c r="C85" s="127" t="s">
        <v>1043</v>
      </c>
      <c r="D85" s="38"/>
      <c r="E85" s="38"/>
      <c r="F85" s="44"/>
      <c r="G85" s="121"/>
      <c r="H85" s="64"/>
      <c r="I85" s="41"/>
      <c r="J85" s="39"/>
      <c r="K85" s="39"/>
      <c r="L85" s="40"/>
      <c r="M85" s="40"/>
      <c r="N85" s="40"/>
      <c r="O85" s="40"/>
      <c r="P85" s="40"/>
      <c r="Q85" s="40"/>
      <c r="R85" s="40"/>
      <c r="S85" s="40"/>
      <c r="T85" s="40"/>
      <c r="U85" s="40"/>
      <c r="V85" s="40"/>
      <c r="W85" s="40"/>
      <c r="X85" s="47"/>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t="s">
        <v>634</v>
      </c>
    </row>
    <row r="86" spans="1:52" s="71" customFormat="1" ht="12" thickBot="1" x14ac:dyDescent="0.2">
      <c r="A86" s="37" t="s">
        <v>389</v>
      </c>
      <c r="B86" s="38" t="s">
        <v>1034</v>
      </c>
      <c r="C86" s="127" t="s">
        <v>1044</v>
      </c>
      <c r="D86" s="38"/>
      <c r="E86" s="38"/>
      <c r="F86" s="44"/>
      <c r="G86" s="121"/>
      <c r="H86" s="64"/>
      <c r="I86" s="41"/>
      <c r="J86" s="39"/>
      <c r="K86" s="39"/>
      <c r="L86" s="40"/>
      <c r="M86" s="40"/>
      <c r="N86" s="40"/>
      <c r="O86" s="40"/>
      <c r="P86" s="40"/>
      <c r="Q86" s="40"/>
      <c r="R86" s="40"/>
      <c r="S86" s="40"/>
      <c r="T86" s="40"/>
      <c r="U86" s="40"/>
      <c r="V86" s="40"/>
      <c r="W86" s="40"/>
      <c r="X86" s="47"/>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t="s">
        <v>634</v>
      </c>
    </row>
    <row r="87" spans="1:52" s="71" customFormat="1" ht="12" thickBot="1" x14ac:dyDescent="0.2">
      <c r="A87" s="37" t="s">
        <v>389</v>
      </c>
      <c r="B87" s="38" t="s">
        <v>1034</v>
      </c>
      <c r="C87" s="127" t="s">
        <v>1045</v>
      </c>
      <c r="D87" s="38"/>
      <c r="E87" s="38"/>
      <c r="F87" s="44"/>
      <c r="G87" s="121"/>
      <c r="H87" s="64"/>
      <c r="I87" s="41"/>
      <c r="J87" s="39"/>
      <c r="K87" s="39"/>
      <c r="L87" s="40"/>
      <c r="M87" s="40"/>
      <c r="N87" s="40"/>
      <c r="O87" s="40"/>
      <c r="P87" s="40"/>
      <c r="Q87" s="40"/>
      <c r="R87" s="40"/>
      <c r="S87" s="40"/>
      <c r="T87" s="40"/>
      <c r="U87" s="40"/>
      <c r="V87" s="40"/>
      <c r="W87" s="40"/>
      <c r="X87" s="47"/>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t="s">
        <v>634</v>
      </c>
    </row>
    <row r="88" spans="1:52" s="71" customFormat="1" ht="12" thickBot="1" x14ac:dyDescent="0.2">
      <c r="A88" s="37" t="s">
        <v>389</v>
      </c>
      <c r="B88" s="38" t="s">
        <v>1034</v>
      </c>
      <c r="C88" s="127" t="s">
        <v>1046</v>
      </c>
      <c r="D88" s="38"/>
      <c r="E88" s="38"/>
      <c r="F88" s="44"/>
      <c r="G88" s="121"/>
      <c r="H88" s="64"/>
      <c r="I88" s="41"/>
      <c r="J88" s="39"/>
      <c r="K88" s="39"/>
      <c r="L88" s="40"/>
      <c r="M88" s="40"/>
      <c r="N88" s="40"/>
      <c r="O88" s="40"/>
      <c r="P88" s="40"/>
      <c r="Q88" s="40"/>
      <c r="R88" s="40"/>
      <c r="S88" s="40"/>
      <c r="T88" s="40"/>
      <c r="U88" s="40"/>
      <c r="V88" s="40"/>
      <c r="W88" s="40"/>
      <c r="X88" s="47"/>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t="s">
        <v>634</v>
      </c>
    </row>
    <row r="89" spans="1:52" s="71" customFormat="1" ht="12" thickBot="1" x14ac:dyDescent="0.2">
      <c r="A89" s="37" t="s">
        <v>389</v>
      </c>
      <c r="B89" s="38" t="s">
        <v>1034</v>
      </c>
      <c r="C89" s="127" t="s">
        <v>1047</v>
      </c>
      <c r="D89" s="38"/>
      <c r="E89" s="38"/>
      <c r="F89" s="44"/>
      <c r="G89" s="121"/>
      <c r="H89" s="64"/>
      <c r="I89" s="41"/>
      <c r="J89" s="39"/>
      <c r="K89" s="39"/>
      <c r="L89" s="40"/>
      <c r="M89" s="40"/>
      <c r="N89" s="40"/>
      <c r="O89" s="40"/>
      <c r="P89" s="40"/>
      <c r="Q89" s="40"/>
      <c r="R89" s="40"/>
      <c r="S89" s="40"/>
      <c r="T89" s="40"/>
      <c r="U89" s="40"/>
      <c r="V89" s="40"/>
      <c r="W89" s="40"/>
      <c r="X89" s="47"/>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t="s">
        <v>634</v>
      </c>
    </row>
    <row r="90" spans="1:52" s="71" customFormat="1" ht="12" thickBot="1" x14ac:dyDescent="0.2">
      <c r="A90" s="37" t="s">
        <v>389</v>
      </c>
      <c r="B90" s="38" t="s">
        <v>1034</v>
      </c>
      <c r="C90" s="127" t="s">
        <v>1048</v>
      </c>
      <c r="D90" s="38"/>
      <c r="E90" s="38"/>
      <c r="F90" s="44"/>
      <c r="G90" s="121"/>
      <c r="H90" s="64"/>
      <c r="I90" s="41"/>
      <c r="J90" s="39"/>
      <c r="K90" s="39"/>
      <c r="L90" s="40"/>
      <c r="M90" s="40"/>
      <c r="N90" s="40"/>
      <c r="O90" s="40"/>
      <c r="P90" s="40"/>
      <c r="Q90" s="40"/>
      <c r="R90" s="40"/>
      <c r="S90" s="40"/>
      <c r="T90" s="40"/>
      <c r="U90" s="40"/>
      <c r="V90" s="40"/>
      <c r="W90" s="40"/>
      <c r="X90" s="47"/>
      <c r="Y90" s="40"/>
      <c r="Z90" s="40"/>
      <c r="AA90" s="40"/>
      <c r="AB90" s="40"/>
      <c r="AC90" s="40"/>
      <c r="AD90" s="40"/>
      <c r="AE90" s="40"/>
      <c r="AF90" s="40"/>
      <c r="AG90" s="40"/>
      <c r="AH90" s="40"/>
      <c r="AI90" s="40"/>
      <c r="AJ90" s="40"/>
      <c r="AK90" s="40"/>
      <c r="AL90" s="40"/>
      <c r="AM90" s="40"/>
      <c r="AN90" s="40"/>
      <c r="AO90" s="40"/>
      <c r="AP90" s="40"/>
      <c r="AQ90" s="40"/>
      <c r="AR90" s="40"/>
      <c r="AS90" s="40"/>
      <c r="AT90" s="40"/>
      <c r="AU90" s="40"/>
      <c r="AV90" s="40"/>
      <c r="AW90" s="40"/>
      <c r="AX90" s="40"/>
      <c r="AY90" s="40"/>
      <c r="AZ90" s="40" t="s">
        <v>634</v>
      </c>
    </row>
    <row r="91" spans="1:52" s="71" customFormat="1" ht="12" thickBot="1" x14ac:dyDescent="0.2">
      <c r="A91" s="37" t="s">
        <v>389</v>
      </c>
      <c r="B91" s="38" t="s">
        <v>1034</v>
      </c>
      <c r="C91" s="127" t="s">
        <v>1049</v>
      </c>
      <c r="D91" s="38"/>
      <c r="E91" s="38"/>
      <c r="F91" s="44"/>
      <c r="G91" s="121"/>
      <c r="H91" s="64"/>
      <c r="I91" s="41"/>
      <c r="J91" s="39"/>
      <c r="K91" s="39"/>
      <c r="L91" s="40"/>
      <c r="M91" s="40"/>
      <c r="N91" s="40"/>
      <c r="O91" s="40"/>
      <c r="P91" s="40"/>
      <c r="Q91" s="40"/>
      <c r="R91" s="40"/>
      <c r="S91" s="40"/>
      <c r="T91" s="40"/>
      <c r="U91" s="40"/>
      <c r="V91" s="40"/>
      <c r="W91" s="40"/>
      <c r="X91" s="47"/>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t="s">
        <v>634</v>
      </c>
    </row>
    <row r="92" spans="1:52" s="71" customFormat="1" ht="12" thickBot="1" x14ac:dyDescent="0.2">
      <c r="A92" s="37" t="s">
        <v>389</v>
      </c>
      <c r="B92" s="38" t="s">
        <v>1034</v>
      </c>
      <c r="C92" s="127" t="s">
        <v>1050</v>
      </c>
      <c r="D92" s="38"/>
      <c r="E92" s="38"/>
      <c r="F92" s="44"/>
      <c r="G92" s="121"/>
      <c r="H92" s="64"/>
      <c r="I92" s="41"/>
      <c r="J92" s="39"/>
      <c r="K92" s="39"/>
      <c r="L92" s="40"/>
      <c r="M92" s="40"/>
      <c r="N92" s="40"/>
      <c r="O92" s="40"/>
      <c r="P92" s="40"/>
      <c r="Q92" s="40"/>
      <c r="R92" s="40"/>
      <c r="S92" s="40"/>
      <c r="T92" s="40"/>
      <c r="U92" s="40"/>
      <c r="V92" s="40"/>
      <c r="W92" s="40"/>
      <c r="X92" s="47"/>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t="s">
        <v>634</v>
      </c>
    </row>
    <row r="93" spans="1:52" s="71" customFormat="1" ht="12" thickBot="1" x14ac:dyDescent="0.2">
      <c r="A93" s="37" t="s">
        <v>389</v>
      </c>
      <c r="B93" s="38" t="s">
        <v>1034</v>
      </c>
      <c r="C93" s="127" t="s">
        <v>1051</v>
      </c>
      <c r="D93" s="38"/>
      <c r="E93" s="38"/>
      <c r="F93" s="44"/>
      <c r="G93" s="121"/>
      <c r="H93" s="64"/>
      <c r="I93" s="41"/>
      <c r="J93" s="39"/>
      <c r="K93" s="39"/>
      <c r="L93" s="40"/>
      <c r="M93" s="40"/>
      <c r="N93" s="40"/>
      <c r="O93" s="40"/>
      <c r="P93" s="40"/>
      <c r="Q93" s="40"/>
      <c r="R93" s="40"/>
      <c r="S93" s="40"/>
      <c r="T93" s="40"/>
      <c r="U93" s="40"/>
      <c r="V93" s="40"/>
      <c r="W93" s="40"/>
      <c r="X93" s="47"/>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t="s">
        <v>634</v>
      </c>
    </row>
    <row r="94" spans="1:52" s="71" customFormat="1" ht="12" thickBot="1" x14ac:dyDescent="0.2">
      <c r="A94" s="37" t="s">
        <v>389</v>
      </c>
      <c r="B94" s="38" t="s">
        <v>1034</v>
      </c>
      <c r="C94" s="127" t="s">
        <v>1052</v>
      </c>
      <c r="D94" s="38"/>
      <c r="E94" s="38"/>
      <c r="F94" s="44"/>
      <c r="G94" s="121"/>
      <c r="H94" s="64"/>
      <c r="I94" s="41"/>
      <c r="J94" s="39"/>
      <c r="K94" s="39"/>
      <c r="L94" s="40"/>
      <c r="M94" s="40"/>
      <c r="N94" s="40"/>
      <c r="O94" s="40"/>
      <c r="P94" s="40"/>
      <c r="Q94" s="40"/>
      <c r="R94" s="40"/>
      <c r="S94" s="40"/>
      <c r="T94" s="40"/>
      <c r="U94" s="40"/>
      <c r="V94" s="40"/>
      <c r="W94" s="40"/>
      <c r="X94" s="47"/>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t="s">
        <v>634</v>
      </c>
    </row>
    <row r="95" spans="1:52" s="71" customFormat="1" ht="12" thickBot="1" x14ac:dyDescent="0.2">
      <c r="A95" s="37" t="s">
        <v>389</v>
      </c>
      <c r="B95" s="38" t="s">
        <v>1034</v>
      </c>
      <c r="C95" s="127" t="s">
        <v>1053</v>
      </c>
      <c r="D95" s="38"/>
      <c r="E95" s="38"/>
      <c r="F95" s="44"/>
      <c r="G95" s="121"/>
      <c r="H95" s="64"/>
      <c r="I95" s="41"/>
      <c r="J95" s="39"/>
      <c r="K95" s="39"/>
      <c r="L95" s="40"/>
      <c r="M95" s="40"/>
      <c r="N95" s="40"/>
      <c r="O95" s="40"/>
      <c r="P95" s="40"/>
      <c r="Q95" s="40"/>
      <c r="R95" s="40"/>
      <c r="S95" s="40"/>
      <c r="T95" s="40"/>
      <c r="U95" s="40"/>
      <c r="V95" s="40"/>
      <c r="W95" s="40"/>
      <c r="X95" s="47"/>
      <c r="Y95" s="40"/>
      <c r="Z95" s="40"/>
      <c r="AA95" s="40"/>
      <c r="AB95" s="40"/>
      <c r="AC95" s="40"/>
      <c r="AD95" s="40"/>
      <c r="AE95" s="40"/>
      <c r="AF95" s="40"/>
      <c r="AG95" s="40"/>
      <c r="AH95" s="40"/>
      <c r="AI95" s="40"/>
      <c r="AJ95" s="40"/>
      <c r="AK95" s="40"/>
      <c r="AL95" s="40"/>
      <c r="AM95" s="40"/>
      <c r="AN95" s="40"/>
      <c r="AO95" s="40"/>
      <c r="AP95" s="40"/>
      <c r="AQ95" s="40"/>
      <c r="AR95" s="40"/>
      <c r="AS95" s="40"/>
      <c r="AT95" s="40"/>
      <c r="AU95" s="40"/>
      <c r="AV95" s="40"/>
      <c r="AW95" s="40"/>
      <c r="AX95" s="40"/>
      <c r="AY95" s="40"/>
      <c r="AZ95" s="40" t="s">
        <v>634</v>
      </c>
    </row>
    <row r="96" spans="1:52" s="71" customFormat="1" ht="12" thickBot="1" x14ac:dyDescent="0.2">
      <c r="A96" s="37" t="s">
        <v>389</v>
      </c>
      <c r="B96" s="38" t="s">
        <v>1034</v>
      </c>
      <c r="C96" s="127" t="s">
        <v>1054</v>
      </c>
      <c r="D96" s="38"/>
      <c r="E96" s="38"/>
      <c r="F96" s="44"/>
      <c r="G96" s="121"/>
      <c r="H96" s="64"/>
      <c r="I96" s="41"/>
      <c r="J96" s="39"/>
      <c r="K96" s="39"/>
      <c r="L96" s="40"/>
      <c r="M96" s="40"/>
      <c r="N96" s="40"/>
      <c r="O96" s="40"/>
      <c r="P96" s="40"/>
      <c r="Q96" s="40"/>
      <c r="R96" s="40"/>
      <c r="S96" s="40"/>
      <c r="T96" s="40"/>
      <c r="U96" s="40"/>
      <c r="V96" s="40"/>
      <c r="W96" s="40"/>
      <c r="X96" s="47"/>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t="s">
        <v>634</v>
      </c>
    </row>
    <row r="97" spans="1:52" s="71" customFormat="1" ht="12" thickBot="1" x14ac:dyDescent="0.2">
      <c r="A97" s="37" t="s">
        <v>389</v>
      </c>
      <c r="B97" s="38" t="s">
        <v>1034</v>
      </c>
      <c r="C97" s="127" t="s">
        <v>1055</v>
      </c>
      <c r="D97" s="38"/>
      <c r="E97" s="38"/>
      <c r="F97" s="44"/>
      <c r="G97" s="121"/>
      <c r="H97" s="64"/>
      <c r="I97" s="41"/>
      <c r="J97" s="39"/>
      <c r="K97" s="39"/>
      <c r="L97" s="40"/>
      <c r="M97" s="40"/>
      <c r="N97" s="40"/>
      <c r="O97" s="40"/>
      <c r="P97" s="40"/>
      <c r="Q97" s="40"/>
      <c r="R97" s="40"/>
      <c r="S97" s="40"/>
      <c r="T97" s="40"/>
      <c r="U97" s="40"/>
      <c r="V97" s="40"/>
      <c r="W97" s="40"/>
      <c r="X97" s="47"/>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t="s">
        <v>634</v>
      </c>
    </row>
    <row r="98" spans="1:52" s="71" customFormat="1" ht="12" thickBot="1" x14ac:dyDescent="0.2">
      <c r="A98" s="37" t="s">
        <v>389</v>
      </c>
      <c r="B98" s="38" t="s">
        <v>1034</v>
      </c>
      <c r="C98" s="127" t="s">
        <v>1056</v>
      </c>
      <c r="D98" s="38"/>
      <c r="E98" s="38"/>
      <c r="F98" s="44"/>
      <c r="G98" s="121"/>
      <c r="H98" s="64"/>
      <c r="I98" s="41"/>
      <c r="J98" s="39"/>
      <c r="K98" s="39"/>
      <c r="L98" s="40"/>
      <c r="M98" s="40"/>
      <c r="N98" s="40"/>
      <c r="O98" s="40"/>
      <c r="P98" s="40"/>
      <c r="Q98" s="40"/>
      <c r="R98" s="40"/>
      <c r="S98" s="40"/>
      <c r="T98" s="40"/>
      <c r="U98" s="40"/>
      <c r="V98" s="40"/>
      <c r="W98" s="40"/>
      <c r="X98" s="47"/>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t="s">
        <v>634</v>
      </c>
    </row>
    <row r="99" spans="1:52" s="71" customFormat="1" ht="12" thickBot="1" x14ac:dyDescent="0.2">
      <c r="A99" s="37" t="s">
        <v>389</v>
      </c>
      <c r="B99" s="38" t="s">
        <v>1034</v>
      </c>
      <c r="C99" s="127" t="s">
        <v>1057</v>
      </c>
      <c r="D99" s="38"/>
      <c r="E99" s="38"/>
      <c r="F99" s="44"/>
      <c r="G99" s="121"/>
      <c r="H99" s="64"/>
      <c r="I99" s="41"/>
      <c r="J99" s="39"/>
      <c r="K99" s="39"/>
      <c r="L99" s="40"/>
      <c r="M99" s="40"/>
      <c r="N99" s="40"/>
      <c r="O99" s="40"/>
      <c r="P99" s="40"/>
      <c r="Q99" s="40"/>
      <c r="R99" s="40"/>
      <c r="S99" s="40"/>
      <c r="T99" s="40"/>
      <c r="U99" s="40"/>
      <c r="V99" s="40"/>
      <c r="W99" s="40"/>
      <c r="X99" s="47"/>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t="s">
        <v>634</v>
      </c>
    </row>
    <row r="100" spans="1:52" s="75" customFormat="1" ht="12" thickBot="1" x14ac:dyDescent="0.2">
      <c r="A100" s="37" t="s">
        <v>389</v>
      </c>
      <c r="B100" s="38" t="s">
        <v>720</v>
      </c>
      <c r="C100" s="109" t="str">
        <f>HYPERLINK(Hoofddocument!$H$100,Hoofddocument!$G$100)</f>
        <v>CIPM</v>
      </c>
      <c r="D100" s="44"/>
      <c r="E100" s="44" t="s">
        <v>207</v>
      </c>
      <c r="F100" s="44"/>
      <c r="G100" s="38" t="s">
        <v>810</v>
      </c>
      <c r="H100" s="49" t="s">
        <v>887</v>
      </c>
      <c r="I100" s="41"/>
      <c r="J100" s="39"/>
      <c r="K100" s="39"/>
      <c r="L100" s="39"/>
      <c r="M100" s="39"/>
      <c r="N100" s="40"/>
      <c r="O100" s="40"/>
      <c r="P100" s="40"/>
      <c r="Q100" s="40"/>
      <c r="R100" s="40"/>
      <c r="S100" s="40"/>
      <c r="T100" s="40"/>
      <c r="U100" s="40"/>
      <c r="V100" s="40"/>
      <c r="W100" s="40"/>
      <c r="X100" s="40"/>
      <c r="Y100" s="40"/>
      <c r="Z100" s="40"/>
      <c r="AA100" s="40"/>
      <c r="AB100" s="40"/>
      <c r="AC100" s="40"/>
      <c r="AD100" s="40"/>
      <c r="AE100" s="40"/>
      <c r="AF100" s="40"/>
      <c r="AG100" s="40"/>
      <c r="AH100" s="40"/>
      <c r="AI100" s="40"/>
      <c r="AJ100" s="40"/>
      <c r="AK100" s="40"/>
      <c r="AL100" s="40" t="s">
        <v>97</v>
      </c>
      <c r="AM100" s="40"/>
      <c r="AN100" s="40"/>
      <c r="AO100" s="40"/>
      <c r="AP100" s="40"/>
      <c r="AQ100" s="40"/>
      <c r="AR100" s="40"/>
      <c r="AS100" s="40"/>
      <c r="AT100" s="40"/>
      <c r="AU100" s="40"/>
      <c r="AV100" s="40"/>
      <c r="AW100" s="40"/>
      <c r="AX100" s="40"/>
      <c r="AY100" s="40"/>
      <c r="AZ100" s="40"/>
    </row>
    <row r="101" spans="1:52" s="71" customFormat="1" ht="12" thickBot="1" x14ac:dyDescent="0.2">
      <c r="A101" s="37" t="s">
        <v>389</v>
      </c>
      <c r="B101" s="38" t="s">
        <v>998</v>
      </c>
      <c r="C101" s="127" t="s">
        <v>999</v>
      </c>
      <c r="D101" s="38"/>
      <c r="E101" s="38"/>
      <c r="F101" s="44"/>
      <c r="G101" s="121"/>
      <c r="H101" s="64"/>
      <c r="I101" s="41"/>
      <c r="J101" s="39"/>
      <c r="K101" s="39"/>
      <c r="L101" s="40"/>
      <c r="M101" s="40"/>
      <c r="N101" s="40"/>
      <c r="O101" s="40"/>
      <c r="P101" s="40"/>
      <c r="Q101" s="40"/>
      <c r="R101" s="40"/>
      <c r="S101" s="40"/>
      <c r="T101" s="40"/>
      <c r="U101" s="40"/>
      <c r="V101" s="40"/>
      <c r="W101" s="39"/>
      <c r="X101" s="40"/>
      <c r="Y101" s="40"/>
      <c r="Z101" s="40"/>
      <c r="AA101" s="40"/>
      <c r="AB101" s="40"/>
      <c r="AC101" s="40"/>
      <c r="AD101" s="40"/>
      <c r="AE101" s="40"/>
      <c r="AF101" s="40"/>
      <c r="AG101" s="40"/>
      <c r="AH101" s="40"/>
      <c r="AI101" s="40"/>
      <c r="AJ101" s="40"/>
      <c r="AK101" s="40"/>
      <c r="AL101" s="40"/>
      <c r="AM101" s="40"/>
      <c r="AN101" s="40"/>
      <c r="AO101" s="40"/>
      <c r="AP101" s="40"/>
      <c r="AQ101" s="40"/>
      <c r="AR101" s="40"/>
      <c r="AS101" s="40"/>
      <c r="AT101" s="40"/>
      <c r="AU101" s="40"/>
      <c r="AV101" s="40"/>
      <c r="AW101" s="40"/>
      <c r="AX101" s="40"/>
      <c r="AY101" s="40" t="s">
        <v>97</v>
      </c>
      <c r="AZ101" s="40"/>
    </row>
    <row r="102" spans="1:52" s="71" customFormat="1" ht="12" thickBot="1" x14ac:dyDescent="0.2">
      <c r="A102" s="37" t="s">
        <v>389</v>
      </c>
      <c r="B102" s="38" t="s">
        <v>998</v>
      </c>
      <c r="C102" s="127" t="s">
        <v>1000</v>
      </c>
      <c r="D102" s="38"/>
      <c r="E102" s="38"/>
      <c r="F102" s="44"/>
      <c r="G102" s="121"/>
      <c r="H102" s="64"/>
      <c r="I102" s="41"/>
      <c r="J102" s="39"/>
      <c r="K102" s="39"/>
      <c r="L102" s="40"/>
      <c r="M102" s="40"/>
      <c r="N102" s="40"/>
      <c r="O102" s="40"/>
      <c r="P102" s="40"/>
      <c r="Q102" s="40"/>
      <c r="R102" s="40"/>
      <c r="S102" s="40"/>
      <c r="T102" s="40"/>
      <c r="U102" s="40"/>
      <c r="V102" s="40"/>
      <c r="W102" s="39"/>
      <c r="X102" s="40"/>
      <c r="Y102" s="40"/>
      <c r="Z102" s="40"/>
      <c r="AA102" s="40"/>
      <c r="AB102" s="40"/>
      <c r="AC102" s="40"/>
      <c r="AD102" s="40"/>
      <c r="AE102" s="40"/>
      <c r="AF102" s="40"/>
      <c r="AG102" s="40"/>
      <c r="AH102" s="40"/>
      <c r="AI102" s="40"/>
      <c r="AJ102" s="40"/>
      <c r="AK102" s="40"/>
      <c r="AL102" s="40"/>
      <c r="AM102" s="40"/>
      <c r="AN102" s="40"/>
      <c r="AO102" s="40"/>
      <c r="AP102" s="40"/>
      <c r="AQ102" s="40"/>
      <c r="AR102" s="40"/>
      <c r="AS102" s="40"/>
      <c r="AT102" s="40"/>
      <c r="AU102" s="40"/>
      <c r="AV102" s="40"/>
      <c r="AW102" s="40"/>
      <c r="AX102" s="40"/>
      <c r="AY102" s="40" t="s">
        <v>97</v>
      </c>
      <c r="AZ102" s="40"/>
    </row>
    <row r="103" spans="1:52" s="71" customFormat="1" ht="12" thickBot="1" x14ac:dyDescent="0.2">
      <c r="A103" s="37" t="s">
        <v>389</v>
      </c>
      <c r="B103" s="38" t="s">
        <v>998</v>
      </c>
      <c r="C103" s="109" t="str">
        <f>HYPERLINK(Hoofddocument!$H$103,Hoofddocument!$G$103)</f>
        <v>Information Security Foundation</v>
      </c>
      <c r="D103" s="38" t="s">
        <v>166</v>
      </c>
      <c r="E103" s="38" t="s">
        <v>12</v>
      </c>
      <c r="F103" s="44" t="s">
        <v>278</v>
      </c>
      <c r="G103" s="121" t="s">
        <v>56</v>
      </c>
      <c r="H103" s="64" t="s">
        <v>553</v>
      </c>
      <c r="I103" s="41"/>
      <c r="J103" s="39"/>
      <c r="K103" s="39"/>
      <c r="L103" s="40"/>
      <c r="M103" s="40"/>
      <c r="N103" s="40"/>
      <c r="O103" s="40"/>
      <c r="P103" s="40"/>
      <c r="Q103" s="40"/>
      <c r="R103" s="40"/>
      <c r="S103" s="40"/>
      <c r="T103" s="40"/>
      <c r="U103" s="40"/>
      <c r="V103" s="40"/>
      <c r="W103" s="39"/>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t="s">
        <v>97</v>
      </c>
      <c r="AZ103" s="40"/>
    </row>
    <row r="104" spans="1:52" s="71" customFormat="1" ht="12" thickBot="1" x14ac:dyDescent="0.2">
      <c r="A104" s="37" t="s">
        <v>389</v>
      </c>
      <c r="B104" s="38" t="s">
        <v>998</v>
      </c>
      <c r="C104" s="127" t="s">
        <v>1001</v>
      </c>
      <c r="D104" s="38"/>
      <c r="E104" s="38"/>
      <c r="F104" s="44"/>
      <c r="G104" s="121"/>
      <c r="H104" s="64"/>
      <c r="I104" s="41"/>
      <c r="J104" s="39"/>
      <c r="K104" s="39"/>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t="s">
        <v>97</v>
      </c>
      <c r="AZ104" s="40"/>
    </row>
    <row r="105" spans="1:52" s="71" customFormat="1" ht="12" thickBot="1" x14ac:dyDescent="0.2">
      <c r="A105" s="37" t="s">
        <v>389</v>
      </c>
      <c r="B105" s="38" t="s">
        <v>998</v>
      </c>
      <c r="C105" s="109" t="str">
        <f>HYPERLINK(Hoofddocument!$H$105,Hoofddocument!$G$105)</f>
        <v>Baseline Informatiebeveiliging Overheid</v>
      </c>
      <c r="D105" s="38" t="s">
        <v>166</v>
      </c>
      <c r="E105" s="38" t="s">
        <v>12</v>
      </c>
      <c r="F105" s="44" t="s">
        <v>515</v>
      </c>
      <c r="G105" s="121" t="s">
        <v>516</v>
      </c>
      <c r="H105" s="64" t="s">
        <v>633</v>
      </c>
      <c r="I105" s="41"/>
      <c r="J105" s="39"/>
      <c r="K105" s="39"/>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c r="AI105" s="40"/>
      <c r="AJ105" s="40"/>
      <c r="AK105" s="40"/>
      <c r="AL105" s="40"/>
      <c r="AM105" s="40"/>
      <c r="AN105" s="40"/>
      <c r="AO105" s="40"/>
      <c r="AP105" s="40"/>
      <c r="AQ105" s="40"/>
      <c r="AR105" s="40"/>
      <c r="AS105" s="40"/>
      <c r="AT105" s="40"/>
      <c r="AU105" s="40"/>
      <c r="AV105" s="40"/>
      <c r="AW105" s="40"/>
      <c r="AX105" s="40"/>
      <c r="AY105" s="40" t="s">
        <v>97</v>
      </c>
      <c r="AZ105" s="40"/>
    </row>
    <row r="106" spans="1:52" s="71" customFormat="1" ht="12" thickBot="1" x14ac:dyDescent="0.2">
      <c r="A106" s="37" t="s">
        <v>389</v>
      </c>
      <c r="B106" s="38" t="s">
        <v>998</v>
      </c>
      <c r="C106" s="109" t="str">
        <f>HYPERLINK(Hoofddocument!$H$106,Hoofddocument!$G$106)</f>
        <v>Certified Information Systems Security Professional (CISSP)</v>
      </c>
      <c r="D106" s="38" t="s">
        <v>166</v>
      </c>
      <c r="E106" s="38" t="s">
        <v>12</v>
      </c>
      <c r="F106" s="44" t="s">
        <v>752</v>
      </c>
      <c r="G106" s="121" t="s">
        <v>804</v>
      </c>
      <c r="H106" s="64" t="s">
        <v>881</v>
      </c>
      <c r="I106" s="41"/>
      <c r="J106" s="39"/>
      <c r="K106" s="39"/>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c r="AI106" s="40"/>
      <c r="AJ106" s="40"/>
      <c r="AK106" s="40"/>
      <c r="AL106" s="40"/>
      <c r="AM106" s="40"/>
      <c r="AN106" s="40"/>
      <c r="AO106" s="40"/>
      <c r="AP106" s="40"/>
      <c r="AQ106" s="40"/>
      <c r="AR106" s="40"/>
      <c r="AS106" s="40"/>
      <c r="AT106" s="40"/>
      <c r="AU106" s="40"/>
      <c r="AV106" s="40"/>
      <c r="AW106" s="40"/>
      <c r="AX106" s="40"/>
      <c r="AY106" s="40" t="s">
        <v>97</v>
      </c>
      <c r="AZ106" s="40"/>
    </row>
    <row r="107" spans="1:52" s="71" customFormat="1" ht="12" thickBot="1" x14ac:dyDescent="0.2">
      <c r="A107" s="37" t="s">
        <v>389</v>
      </c>
      <c r="B107" s="38" t="s">
        <v>998</v>
      </c>
      <c r="C107" s="127" t="s">
        <v>1002</v>
      </c>
      <c r="D107" s="38"/>
      <c r="E107" s="38"/>
      <c r="F107" s="44"/>
      <c r="G107" s="121"/>
      <c r="H107" s="64"/>
      <c r="I107" s="41"/>
      <c r="J107" s="39"/>
      <c r="K107" s="39"/>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c r="AI107" s="40"/>
      <c r="AJ107" s="40"/>
      <c r="AK107" s="40"/>
      <c r="AL107" s="40"/>
      <c r="AM107" s="40"/>
      <c r="AN107" s="40"/>
      <c r="AO107" s="40"/>
      <c r="AP107" s="40"/>
      <c r="AQ107" s="40"/>
      <c r="AR107" s="40"/>
      <c r="AS107" s="40"/>
      <c r="AT107" s="40"/>
      <c r="AU107" s="40"/>
      <c r="AV107" s="40"/>
      <c r="AW107" s="40"/>
      <c r="AX107" s="40"/>
      <c r="AY107" s="40" t="s">
        <v>97</v>
      </c>
      <c r="AZ107" s="40"/>
    </row>
    <row r="108" spans="1:52" s="71" customFormat="1" ht="12" thickBot="1" x14ac:dyDescent="0.2">
      <c r="A108" s="37" t="s">
        <v>389</v>
      </c>
      <c r="B108" s="38" t="s">
        <v>998</v>
      </c>
      <c r="C108" s="127" t="s">
        <v>1003</v>
      </c>
      <c r="D108" s="38"/>
      <c r="E108" s="38"/>
      <c r="F108" s="44"/>
      <c r="G108" s="121"/>
      <c r="H108" s="64"/>
      <c r="I108" s="41"/>
      <c r="J108" s="39"/>
      <c r="K108" s="39"/>
      <c r="L108" s="40"/>
      <c r="M108" s="40"/>
      <c r="N108" s="40"/>
      <c r="O108" s="40"/>
      <c r="P108" s="40"/>
      <c r="Q108" s="40"/>
      <c r="R108" s="40"/>
      <c r="S108" s="40"/>
      <c r="T108" s="40"/>
      <c r="U108" s="40"/>
      <c r="V108" s="40"/>
      <c r="W108" s="39"/>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t="s">
        <v>97</v>
      </c>
      <c r="AZ108" s="40"/>
    </row>
    <row r="109" spans="1:52" s="71" customFormat="1" ht="12" thickBot="1" x14ac:dyDescent="0.2">
      <c r="A109" s="37" t="s">
        <v>389</v>
      </c>
      <c r="B109" s="38" t="s">
        <v>998</v>
      </c>
      <c r="C109" s="127" t="s">
        <v>1004</v>
      </c>
      <c r="D109" s="38"/>
      <c r="E109" s="38"/>
      <c r="F109" s="44"/>
      <c r="G109" s="121"/>
      <c r="H109" s="64"/>
      <c r="I109" s="41"/>
      <c r="J109" s="39"/>
      <c r="K109" s="39"/>
      <c r="L109" s="40"/>
      <c r="M109" s="40"/>
      <c r="N109" s="40"/>
      <c r="O109" s="40"/>
      <c r="P109" s="40"/>
      <c r="Q109" s="40"/>
      <c r="R109" s="40"/>
      <c r="S109" s="40"/>
      <c r="T109" s="40"/>
      <c r="U109" s="40"/>
      <c r="V109" s="40"/>
      <c r="W109" s="39"/>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t="s">
        <v>97</v>
      </c>
      <c r="AZ109" s="40"/>
    </row>
    <row r="110" spans="1:52" s="75" customFormat="1" ht="12" thickBot="1" x14ac:dyDescent="0.2">
      <c r="A110" s="37" t="s">
        <v>389</v>
      </c>
      <c r="B110" s="38" t="s">
        <v>998</v>
      </c>
      <c r="C110" s="127" t="s">
        <v>1005</v>
      </c>
      <c r="D110" s="38"/>
      <c r="E110" s="38"/>
      <c r="F110" s="44"/>
      <c r="G110" s="121"/>
      <c r="H110" s="64"/>
      <c r="I110" s="41"/>
      <c r="J110" s="39"/>
      <c r="K110" s="39"/>
      <c r="L110" s="40"/>
      <c r="M110" s="40"/>
      <c r="N110" s="40"/>
      <c r="O110" s="40"/>
      <c r="P110" s="40"/>
      <c r="Q110" s="40"/>
      <c r="R110" s="40"/>
      <c r="S110" s="40"/>
      <c r="T110" s="40"/>
      <c r="U110" s="40"/>
      <c r="V110" s="40"/>
      <c r="W110" s="39"/>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t="s">
        <v>97</v>
      </c>
      <c r="AZ110" s="40"/>
    </row>
    <row r="111" spans="1:52" s="71" customFormat="1" ht="12" thickBot="1" x14ac:dyDescent="0.2">
      <c r="A111" s="37" t="s">
        <v>389</v>
      </c>
      <c r="B111" s="38" t="s">
        <v>998</v>
      </c>
      <c r="C111" s="109" t="str">
        <f>HYPERLINK(Hoofddocument!$H$111,Hoofddocument!$G$111)</f>
        <v>Microsoft Azure Fundamentals (AZ-900)</v>
      </c>
      <c r="D111" s="38" t="s">
        <v>166</v>
      </c>
      <c r="E111" s="38" t="s">
        <v>12</v>
      </c>
      <c r="F111" s="44" t="s">
        <v>687</v>
      </c>
      <c r="G111" s="121" t="s">
        <v>403</v>
      </c>
      <c r="H111" s="64" t="s">
        <v>557</v>
      </c>
      <c r="I111" s="41"/>
      <c r="J111" s="39"/>
      <c r="K111" s="39"/>
      <c r="L111" s="40"/>
      <c r="M111" s="40"/>
      <c r="N111" s="40"/>
      <c r="O111" s="40"/>
      <c r="P111" s="40"/>
      <c r="Q111" s="40"/>
      <c r="R111" s="40"/>
      <c r="S111" s="40"/>
      <c r="T111" s="40"/>
      <c r="U111" s="40"/>
      <c r="V111" s="40"/>
      <c r="W111" s="39"/>
      <c r="X111" s="40"/>
      <c r="Y111" s="40"/>
      <c r="Z111" s="40"/>
      <c r="AA111" s="40"/>
      <c r="AB111" s="40"/>
      <c r="AC111" s="40"/>
      <c r="AD111" s="40"/>
      <c r="AE111" s="40"/>
      <c r="AF111" s="40"/>
      <c r="AG111" s="40"/>
      <c r="AH111" s="40"/>
      <c r="AI111" s="40"/>
      <c r="AJ111" s="40"/>
      <c r="AK111" s="40"/>
      <c r="AL111" s="40"/>
      <c r="AM111" s="40"/>
      <c r="AN111" s="40"/>
      <c r="AO111" s="40"/>
      <c r="AP111" s="40"/>
      <c r="AQ111" s="40"/>
      <c r="AR111" s="40"/>
      <c r="AS111" s="40"/>
      <c r="AT111" s="40"/>
      <c r="AU111" s="40"/>
      <c r="AV111" s="40"/>
      <c r="AW111" s="40"/>
      <c r="AX111" s="40"/>
      <c r="AY111" s="40" t="s">
        <v>97</v>
      </c>
      <c r="AZ111" s="40"/>
    </row>
    <row r="112" spans="1:52" s="71" customFormat="1" ht="12" thickBot="1" x14ac:dyDescent="0.2">
      <c r="A112" s="37" t="s">
        <v>389</v>
      </c>
      <c r="B112" s="38" t="s">
        <v>998</v>
      </c>
      <c r="C112" s="127" t="s">
        <v>1006</v>
      </c>
      <c r="D112" s="38"/>
      <c r="E112" s="38"/>
      <c r="F112" s="44"/>
      <c r="G112" s="121"/>
      <c r="H112" s="64"/>
      <c r="I112" s="41"/>
      <c r="J112" s="39"/>
      <c r="K112" s="39"/>
      <c r="L112" s="40"/>
      <c r="M112" s="40"/>
      <c r="N112" s="40"/>
      <c r="O112" s="40"/>
      <c r="P112" s="40"/>
      <c r="Q112" s="40"/>
      <c r="R112" s="40"/>
      <c r="S112" s="40"/>
      <c r="T112" s="40"/>
      <c r="U112" s="40"/>
      <c r="V112" s="40"/>
      <c r="W112" s="39"/>
      <c r="X112" s="40"/>
      <c r="Y112" s="40"/>
      <c r="Z112" s="40"/>
      <c r="AA112" s="40"/>
      <c r="AB112" s="40"/>
      <c r="AC112" s="40"/>
      <c r="AD112" s="40"/>
      <c r="AE112" s="40"/>
      <c r="AF112" s="40"/>
      <c r="AG112" s="40"/>
      <c r="AH112" s="40"/>
      <c r="AI112" s="40"/>
      <c r="AJ112" s="40"/>
      <c r="AK112" s="40"/>
      <c r="AL112" s="40"/>
      <c r="AM112" s="40"/>
      <c r="AN112" s="40"/>
      <c r="AO112" s="40"/>
      <c r="AP112" s="40"/>
      <c r="AQ112" s="40"/>
      <c r="AR112" s="40"/>
      <c r="AS112" s="40"/>
      <c r="AT112" s="40"/>
      <c r="AU112" s="40"/>
      <c r="AV112" s="40"/>
      <c r="AW112" s="40"/>
      <c r="AX112" s="40"/>
      <c r="AY112" s="40" t="s">
        <v>97</v>
      </c>
      <c r="AZ112" s="40"/>
    </row>
    <row r="113" spans="1:52" s="71" customFormat="1" ht="12" thickBot="1" x14ac:dyDescent="0.2">
      <c r="A113" s="37" t="s">
        <v>389</v>
      </c>
      <c r="B113" s="38" t="s">
        <v>998</v>
      </c>
      <c r="C113" s="127" t="s">
        <v>1007</v>
      </c>
      <c r="D113" s="38"/>
      <c r="E113" s="38"/>
      <c r="F113" s="44"/>
      <c r="G113" s="121"/>
      <c r="H113" s="64"/>
      <c r="I113" s="41"/>
      <c r="J113" s="39"/>
      <c r="K113" s="39"/>
      <c r="L113" s="40"/>
      <c r="M113" s="40"/>
      <c r="N113" s="40"/>
      <c r="O113" s="40"/>
      <c r="P113" s="40"/>
      <c r="Q113" s="40"/>
      <c r="R113" s="40"/>
      <c r="S113" s="40"/>
      <c r="T113" s="40"/>
      <c r="U113" s="40"/>
      <c r="V113" s="40"/>
      <c r="W113" s="39"/>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t="s">
        <v>97</v>
      </c>
      <c r="AZ113" s="40"/>
    </row>
    <row r="114" spans="1:52" s="71" customFormat="1" ht="12" thickBot="1" x14ac:dyDescent="0.2">
      <c r="A114" s="37" t="s">
        <v>389</v>
      </c>
      <c r="B114" s="38" t="s">
        <v>998</v>
      </c>
      <c r="C114" s="127" t="s">
        <v>1008</v>
      </c>
      <c r="D114" s="38"/>
      <c r="E114" s="38"/>
      <c r="F114" s="44"/>
      <c r="G114" s="121"/>
      <c r="H114" s="64"/>
      <c r="I114" s="41"/>
      <c r="J114" s="39"/>
      <c r="K114" s="39"/>
      <c r="L114" s="40"/>
      <c r="M114" s="40"/>
      <c r="N114" s="40"/>
      <c r="O114" s="40"/>
      <c r="P114" s="40"/>
      <c r="Q114" s="40"/>
      <c r="R114" s="40"/>
      <c r="S114" s="40"/>
      <c r="T114" s="40"/>
      <c r="U114" s="40"/>
      <c r="V114" s="40"/>
      <c r="W114" s="39"/>
      <c r="X114" s="40"/>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t="s">
        <v>97</v>
      </c>
      <c r="AZ114" s="40"/>
    </row>
    <row r="115" spans="1:52" s="71" customFormat="1" ht="12" thickBot="1" x14ac:dyDescent="0.2">
      <c r="A115" s="37" t="s">
        <v>389</v>
      </c>
      <c r="B115" s="38" t="s">
        <v>1009</v>
      </c>
      <c r="C115" s="127" t="s">
        <v>1010</v>
      </c>
      <c r="D115" s="38"/>
      <c r="E115" s="38"/>
      <c r="F115" s="44"/>
      <c r="G115" s="121"/>
      <c r="H115" s="64"/>
      <c r="I115" s="41"/>
      <c r="J115" s="39"/>
      <c r="K115" s="39"/>
      <c r="L115" s="40"/>
      <c r="M115" s="40"/>
      <c r="N115" s="40"/>
      <c r="O115" s="40"/>
      <c r="P115" s="40"/>
      <c r="Q115" s="40"/>
      <c r="R115" s="40"/>
      <c r="S115" s="40"/>
      <c r="T115" s="40"/>
      <c r="U115" s="40"/>
      <c r="V115" s="40"/>
      <c r="W115" s="39"/>
      <c r="X115" s="40"/>
      <c r="Y115" s="40"/>
      <c r="Z115" s="40"/>
      <c r="AA115" s="40"/>
      <c r="AB115" s="40"/>
      <c r="AC115" s="40"/>
      <c r="AD115" s="40"/>
      <c r="AE115" s="40"/>
      <c r="AF115" s="40"/>
      <c r="AG115" s="40"/>
      <c r="AH115" s="40"/>
      <c r="AI115" s="40"/>
      <c r="AJ115" s="40"/>
      <c r="AK115" s="40"/>
      <c r="AL115" s="40"/>
      <c r="AM115" s="40"/>
      <c r="AN115" s="40"/>
      <c r="AO115" s="40"/>
      <c r="AP115" s="40"/>
      <c r="AQ115" s="40"/>
      <c r="AR115" s="40"/>
      <c r="AS115" s="40"/>
      <c r="AT115" s="40"/>
      <c r="AU115" s="40"/>
      <c r="AV115" s="40"/>
      <c r="AW115" s="40"/>
      <c r="AX115" s="40"/>
      <c r="AY115" s="40" t="s">
        <v>634</v>
      </c>
      <c r="AZ115" s="40"/>
    </row>
    <row r="116" spans="1:52" s="71" customFormat="1" ht="12" thickBot="1" x14ac:dyDescent="0.2">
      <c r="A116" s="37" t="s">
        <v>389</v>
      </c>
      <c r="B116" s="38" t="s">
        <v>1009</v>
      </c>
      <c r="C116" s="127" t="s">
        <v>1011</v>
      </c>
      <c r="D116" s="38"/>
      <c r="E116" s="38"/>
      <c r="F116" s="44"/>
      <c r="G116" s="121"/>
      <c r="H116" s="64"/>
      <c r="I116" s="41"/>
      <c r="J116" s="39"/>
      <c r="K116" s="39"/>
      <c r="L116" s="40"/>
      <c r="M116" s="40"/>
      <c r="N116" s="40"/>
      <c r="O116" s="40"/>
      <c r="P116" s="40"/>
      <c r="Q116" s="40"/>
      <c r="R116" s="40"/>
      <c r="S116" s="40"/>
      <c r="T116" s="40"/>
      <c r="U116" s="40"/>
      <c r="V116" s="40"/>
      <c r="W116" s="39"/>
      <c r="X116" s="40"/>
      <c r="Y116" s="40"/>
      <c r="Z116" s="40"/>
      <c r="AA116" s="40"/>
      <c r="AB116" s="40"/>
      <c r="AC116" s="40"/>
      <c r="AD116" s="40"/>
      <c r="AE116" s="40"/>
      <c r="AF116" s="40"/>
      <c r="AG116" s="40"/>
      <c r="AH116" s="40"/>
      <c r="AI116" s="40"/>
      <c r="AJ116" s="40"/>
      <c r="AK116" s="40"/>
      <c r="AL116" s="40"/>
      <c r="AM116" s="40"/>
      <c r="AN116" s="40"/>
      <c r="AO116" s="40"/>
      <c r="AP116" s="40"/>
      <c r="AQ116" s="40"/>
      <c r="AR116" s="40"/>
      <c r="AS116" s="40"/>
      <c r="AT116" s="40"/>
      <c r="AU116" s="40"/>
      <c r="AV116" s="40"/>
      <c r="AW116" s="40"/>
      <c r="AX116" s="40"/>
      <c r="AY116" s="40" t="s">
        <v>634</v>
      </c>
      <c r="AZ116" s="40"/>
    </row>
    <row r="117" spans="1:52" s="71" customFormat="1" ht="12" thickBot="1" x14ac:dyDescent="0.2">
      <c r="A117" s="37" t="s">
        <v>389</v>
      </c>
      <c r="B117" s="38" t="s">
        <v>1009</v>
      </c>
      <c r="C117" s="127" t="s">
        <v>1012</v>
      </c>
      <c r="D117" s="38"/>
      <c r="E117" s="38"/>
      <c r="F117" s="44"/>
      <c r="G117" s="121"/>
      <c r="H117" s="64"/>
      <c r="I117" s="41"/>
      <c r="J117" s="39"/>
      <c r="K117" s="39"/>
      <c r="L117" s="40"/>
      <c r="M117" s="40"/>
      <c r="N117" s="40"/>
      <c r="O117" s="40"/>
      <c r="P117" s="40"/>
      <c r="Q117" s="40"/>
      <c r="R117" s="40"/>
      <c r="S117" s="40"/>
      <c r="T117" s="40"/>
      <c r="U117" s="40"/>
      <c r="V117" s="40"/>
      <c r="W117" s="39"/>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t="s">
        <v>634</v>
      </c>
      <c r="AZ117" s="40"/>
    </row>
    <row r="118" spans="1:52" s="71" customFormat="1" ht="12" thickBot="1" x14ac:dyDescent="0.2">
      <c r="A118" s="37" t="s">
        <v>389</v>
      </c>
      <c r="B118" s="38" t="s">
        <v>1009</v>
      </c>
      <c r="C118" s="127" t="s">
        <v>1013</v>
      </c>
      <c r="D118" s="38"/>
      <c r="E118" s="38"/>
      <c r="F118" s="44"/>
      <c r="G118" s="121"/>
      <c r="H118" s="64"/>
      <c r="I118" s="41"/>
      <c r="J118" s="39"/>
      <c r="K118" s="39"/>
      <c r="L118" s="40"/>
      <c r="M118" s="40"/>
      <c r="N118" s="40"/>
      <c r="O118" s="40"/>
      <c r="P118" s="40"/>
      <c r="Q118" s="40"/>
      <c r="R118" s="40"/>
      <c r="S118" s="40"/>
      <c r="T118" s="40"/>
      <c r="U118" s="40"/>
      <c r="V118" s="40"/>
      <c r="W118" s="39"/>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t="s">
        <v>634</v>
      </c>
      <c r="AZ118" s="40"/>
    </row>
    <row r="119" spans="1:52" s="71" customFormat="1" ht="12" thickBot="1" x14ac:dyDescent="0.2">
      <c r="A119" s="37" t="s">
        <v>389</v>
      </c>
      <c r="B119" s="38" t="s">
        <v>1014</v>
      </c>
      <c r="C119" s="127" t="s">
        <v>1015</v>
      </c>
      <c r="D119" s="38"/>
      <c r="E119" s="38"/>
      <c r="F119" s="44"/>
      <c r="G119" s="121"/>
      <c r="H119" s="64"/>
      <c r="I119" s="41"/>
      <c r="J119" s="39"/>
      <c r="K119" s="39"/>
      <c r="L119" s="40"/>
      <c r="M119" s="40"/>
      <c r="N119" s="40"/>
      <c r="O119" s="40"/>
      <c r="P119" s="40"/>
      <c r="Q119" s="40"/>
      <c r="R119" s="40"/>
      <c r="S119" s="40"/>
      <c r="T119" s="40"/>
      <c r="U119" s="40"/>
      <c r="V119" s="40"/>
      <c r="W119" s="39"/>
      <c r="X119" s="40"/>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t="s">
        <v>634</v>
      </c>
      <c r="AZ119" s="40"/>
    </row>
    <row r="120" spans="1:52" s="71" customFormat="1" ht="12" thickBot="1" x14ac:dyDescent="0.2">
      <c r="A120" s="37" t="s">
        <v>389</v>
      </c>
      <c r="B120" s="38" t="s">
        <v>1014</v>
      </c>
      <c r="C120" s="127" t="s">
        <v>1016</v>
      </c>
      <c r="D120" s="38"/>
      <c r="E120" s="38"/>
      <c r="F120" s="44"/>
      <c r="G120" s="121"/>
      <c r="H120" s="64"/>
      <c r="I120" s="41"/>
      <c r="J120" s="39"/>
      <c r="K120" s="39"/>
      <c r="L120" s="40"/>
      <c r="M120" s="40"/>
      <c r="N120" s="40"/>
      <c r="O120" s="40"/>
      <c r="P120" s="40"/>
      <c r="Q120" s="40"/>
      <c r="R120" s="40"/>
      <c r="S120" s="40"/>
      <c r="T120" s="40"/>
      <c r="U120" s="40"/>
      <c r="V120" s="40"/>
      <c r="W120" s="39"/>
      <c r="X120" s="40"/>
      <c r="Y120" s="40"/>
      <c r="Z120" s="40"/>
      <c r="AA120" s="40"/>
      <c r="AB120" s="40"/>
      <c r="AC120" s="40"/>
      <c r="AD120" s="40"/>
      <c r="AE120" s="40"/>
      <c r="AF120" s="40"/>
      <c r="AG120" s="40"/>
      <c r="AH120" s="40"/>
      <c r="AI120" s="40"/>
      <c r="AJ120" s="40"/>
      <c r="AK120" s="40"/>
      <c r="AL120" s="40"/>
      <c r="AM120" s="40"/>
      <c r="AN120" s="40"/>
      <c r="AO120" s="40"/>
      <c r="AP120" s="40"/>
      <c r="AQ120" s="40"/>
      <c r="AR120" s="40"/>
      <c r="AS120" s="40"/>
      <c r="AT120" s="40"/>
      <c r="AU120" s="40"/>
      <c r="AV120" s="40"/>
      <c r="AW120" s="40"/>
      <c r="AX120" s="40"/>
      <c r="AY120" s="40" t="s">
        <v>634</v>
      </c>
      <c r="AZ120" s="40"/>
    </row>
    <row r="121" spans="1:52" s="71" customFormat="1" ht="12" thickBot="1" x14ac:dyDescent="0.2">
      <c r="A121" s="37" t="s">
        <v>389</v>
      </c>
      <c r="B121" s="38" t="s">
        <v>1014</v>
      </c>
      <c r="C121" s="127" t="s">
        <v>1017</v>
      </c>
      <c r="D121" s="38"/>
      <c r="E121" s="38"/>
      <c r="F121" s="44"/>
      <c r="G121" s="121"/>
      <c r="H121" s="64"/>
      <c r="I121" s="41"/>
      <c r="J121" s="39"/>
      <c r="K121" s="39"/>
      <c r="L121" s="40"/>
      <c r="M121" s="40"/>
      <c r="N121" s="40"/>
      <c r="O121" s="40"/>
      <c r="P121" s="40"/>
      <c r="Q121" s="40"/>
      <c r="R121" s="40"/>
      <c r="S121" s="40"/>
      <c r="T121" s="40"/>
      <c r="U121" s="40"/>
      <c r="V121" s="40"/>
      <c r="W121" s="39"/>
      <c r="X121" s="40"/>
      <c r="Y121" s="40"/>
      <c r="Z121" s="40"/>
      <c r="AA121" s="40"/>
      <c r="AB121" s="40"/>
      <c r="AC121" s="40"/>
      <c r="AD121" s="40"/>
      <c r="AE121" s="40"/>
      <c r="AF121" s="40"/>
      <c r="AG121" s="40"/>
      <c r="AH121" s="40"/>
      <c r="AI121" s="40"/>
      <c r="AJ121" s="40"/>
      <c r="AK121" s="40"/>
      <c r="AL121" s="40"/>
      <c r="AM121" s="40"/>
      <c r="AN121" s="40"/>
      <c r="AO121" s="40"/>
      <c r="AP121" s="40"/>
      <c r="AQ121" s="40"/>
      <c r="AR121" s="40"/>
      <c r="AS121" s="40"/>
      <c r="AT121" s="40"/>
      <c r="AU121" s="40"/>
      <c r="AV121" s="40"/>
      <c r="AW121" s="40"/>
      <c r="AX121" s="40"/>
      <c r="AY121" s="40" t="s">
        <v>634</v>
      </c>
      <c r="AZ121" s="40"/>
    </row>
    <row r="122" spans="1:52" s="71" customFormat="1" ht="12" thickBot="1" x14ac:dyDescent="0.2">
      <c r="A122" s="37" t="s">
        <v>389</v>
      </c>
      <c r="B122" s="38" t="s">
        <v>1014</v>
      </c>
      <c r="C122" s="127" t="s">
        <v>1018</v>
      </c>
      <c r="D122" s="38"/>
      <c r="E122" s="38"/>
      <c r="F122" s="44"/>
      <c r="G122" s="121"/>
      <c r="H122" s="64"/>
      <c r="I122" s="41"/>
      <c r="J122" s="39"/>
      <c r="K122" s="39"/>
      <c r="L122" s="40"/>
      <c r="M122" s="40"/>
      <c r="N122" s="40"/>
      <c r="O122" s="40"/>
      <c r="P122" s="40"/>
      <c r="Q122" s="40"/>
      <c r="R122" s="40"/>
      <c r="S122" s="40"/>
      <c r="T122" s="40"/>
      <c r="U122" s="40"/>
      <c r="V122" s="40"/>
      <c r="W122" s="39"/>
      <c r="X122" s="40"/>
      <c r="Y122" s="40"/>
      <c r="Z122" s="40"/>
      <c r="AA122" s="40"/>
      <c r="AB122" s="40"/>
      <c r="AC122" s="40"/>
      <c r="AD122" s="40"/>
      <c r="AE122" s="40"/>
      <c r="AF122" s="40"/>
      <c r="AG122" s="40"/>
      <c r="AH122" s="40"/>
      <c r="AI122" s="40"/>
      <c r="AJ122" s="40"/>
      <c r="AK122" s="40"/>
      <c r="AL122" s="40"/>
      <c r="AM122" s="40"/>
      <c r="AN122" s="40"/>
      <c r="AO122" s="40"/>
      <c r="AP122" s="40"/>
      <c r="AQ122" s="40"/>
      <c r="AR122" s="40"/>
      <c r="AS122" s="40"/>
      <c r="AT122" s="40"/>
      <c r="AU122" s="40"/>
      <c r="AV122" s="40"/>
      <c r="AW122" s="40"/>
      <c r="AX122" s="40"/>
      <c r="AY122" s="40" t="s">
        <v>634</v>
      </c>
      <c r="AZ122" s="40"/>
    </row>
    <row r="123" spans="1:52" s="71" customFormat="1" ht="12" thickBot="1" x14ac:dyDescent="0.2">
      <c r="A123" s="37" t="s">
        <v>389</v>
      </c>
      <c r="B123" s="38" t="s">
        <v>1014</v>
      </c>
      <c r="C123" s="127" t="s">
        <v>1019</v>
      </c>
      <c r="D123" s="38"/>
      <c r="E123" s="38"/>
      <c r="F123" s="44"/>
      <c r="G123" s="121"/>
      <c r="H123" s="64"/>
      <c r="I123" s="41"/>
      <c r="J123" s="39"/>
      <c r="K123" s="39"/>
      <c r="L123" s="40"/>
      <c r="M123" s="40"/>
      <c r="N123" s="40"/>
      <c r="O123" s="40"/>
      <c r="P123" s="40"/>
      <c r="Q123" s="40"/>
      <c r="R123" s="40"/>
      <c r="S123" s="40"/>
      <c r="T123" s="40"/>
      <c r="U123" s="40"/>
      <c r="V123" s="40"/>
      <c r="W123" s="39"/>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t="s">
        <v>634</v>
      </c>
      <c r="AZ123" s="40"/>
    </row>
    <row r="124" spans="1:52" s="71" customFormat="1" ht="12" thickBot="1" x14ac:dyDescent="0.2">
      <c r="A124" s="37" t="s">
        <v>389</v>
      </c>
      <c r="B124" s="38" t="s">
        <v>1014</v>
      </c>
      <c r="C124" s="127" t="s">
        <v>1020</v>
      </c>
      <c r="D124" s="38"/>
      <c r="E124" s="38"/>
      <c r="F124" s="44"/>
      <c r="G124" s="121"/>
      <c r="H124" s="64"/>
      <c r="I124" s="41"/>
      <c r="J124" s="39"/>
      <c r="K124" s="39"/>
      <c r="L124" s="40"/>
      <c r="M124" s="40"/>
      <c r="N124" s="40"/>
      <c r="O124" s="40"/>
      <c r="P124" s="40"/>
      <c r="Q124" s="40"/>
      <c r="R124" s="40"/>
      <c r="S124" s="40"/>
      <c r="T124" s="40"/>
      <c r="U124" s="40"/>
      <c r="V124" s="40"/>
      <c r="W124" s="39"/>
      <c r="X124" s="40"/>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t="s">
        <v>634</v>
      </c>
      <c r="AZ124" s="40"/>
    </row>
    <row r="125" spans="1:52" s="71" customFormat="1" ht="12" thickBot="1" x14ac:dyDescent="0.2">
      <c r="A125" s="37" t="s">
        <v>389</v>
      </c>
      <c r="B125" s="38" t="s">
        <v>1014</v>
      </c>
      <c r="C125" s="127" t="s">
        <v>1021</v>
      </c>
      <c r="D125" s="38"/>
      <c r="E125" s="38"/>
      <c r="F125" s="44"/>
      <c r="G125" s="121"/>
      <c r="H125" s="64"/>
      <c r="I125" s="41"/>
      <c r="J125" s="39"/>
      <c r="K125" s="39"/>
      <c r="L125" s="40"/>
      <c r="M125" s="40"/>
      <c r="N125" s="40"/>
      <c r="O125" s="40"/>
      <c r="P125" s="40"/>
      <c r="Q125" s="40"/>
      <c r="R125" s="40"/>
      <c r="S125" s="40"/>
      <c r="T125" s="40"/>
      <c r="U125" s="40"/>
      <c r="V125" s="40"/>
      <c r="W125" s="39"/>
      <c r="X125" s="40"/>
      <c r="Y125" s="40"/>
      <c r="Z125" s="40"/>
      <c r="AA125" s="40"/>
      <c r="AB125" s="40"/>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t="s">
        <v>634</v>
      </c>
      <c r="AZ125" s="40"/>
    </row>
    <row r="126" spans="1:52" s="71" customFormat="1" ht="12" thickBot="1" x14ac:dyDescent="0.2">
      <c r="A126" s="37" t="s">
        <v>389</v>
      </c>
      <c r="B126" s="38" t="s">
        <v>1014</v>
      </c>
      <c r="C126" s="127" t="s">
        <v>1022</v>
      </c>
      <c r="D126" s="38"/>
      <c r="E126" s="38"/>
      <c r="F126" s="44"/>
      <c r="G126" s="121"/>
      <c r="H126" s="64"/>
      <c r="I126" s="41"/>
      <c r="J126" s="39"/>
      <c r="K126" s="39"/>
      <c r="L126" s="40"/>
      <c r="M126" s="40"/>
      <c r="N126" s="40"/>
      <c r="O126" s="40"/>
      <c r="P126" s="40"/>
      <c r="Q126" s="40"/>
      <c r="R126" s="40"/>
      <c r="S126" s="40"/>
      <c r="T126" s="40"/>
      <c r="U126" s="40"/>
      <c r="V126" s="40"/>
      <c r="W126" s="39"/>
      <c r="X126" s="40"/>
      <c r="Y126" s="40"/>
      <c r="Z126" s="40"/>
      <c r="AA126" s="40"/>
      <c r="AB126" s="40"/>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t="s">
        <v>634</v>
      </c>
      <c r="AZ126" s="40"/>
    </row>
    <row r="127" spans="1:52" s="71" customFormat="1" ht="12" thickBot="1" x14ac:dyDescent="0.2">
      <c r="A127" s="37" t="s">
        <v>389</v>
      </c>
      <c r="B127" s="38" t="s">
        <v>1014</v>
      </c>
      <c r="C127" s="127" t="s">
        <v>1023</v>
      </c>
      <c r="D127" s="38"/>
      <c r="E127" s="38"/>
      <c r="F127" s="44"/>
      <c r="G127" s="121"/>
      <c r="H127" s="64"/>
      <c r="I127" s="41"/>
      <c r="J127" s="39"/>
      <c r="K127" s="39"/>
      <c r="L127" s="40"/>
      <c r="M127" s="40"/>
      <c r="N127" s="40"/>
      <c r="O127" s="40"/>
      <c r="P127" s="40"/>
      <c r="Q127" s="40"/>
      <c r="R127" s="40"/>
      <c r="S127" s="40"/>
      <c r="T127" s="40"/>
      <c r="U127" s="40"/>
      <c r="V127" s="40"/>
      <c r="W127" s="39"/>
      <c r="X127" s="40"/>
      <c r="Y127" s="40"/>
      <c r="Z127" s="40"/>
      <c r="AA127" s="40"/>
      <c r="AB127" s="40"/>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t="s">
        <v>634</v>
      </c>
      <c r="AZ127" s="40"/>
    </row>
    <row r="128" spans="1:52" s="71" customFormat="1" ht="12" thickBot="1" x14ac:dyDescent="0.2">
      <c r="A128" s="37" t="s">
        <v>389</v>
      </c>
      <c r="B128" s="38" t="s">
        <v>1014</v>
      </c>
      <c r="C128" s="127" t="s">
        <v>1024</v>
      </c>
      <c r="D128" s="38"/>
      <c r="E128" s="38"/>
      <c r="F128" s="44"/>
      <c r="G128" s="121"/>
      <c r="H128" s="64"/>
      <c r="I128" s="41"/>
      <c r="J128" s="39"/>
      <c r="K128" s="39"/>
      <c r="L128" s="40"/>
      <c r="M128" s="40"/>
      <c r="N128" s="40"/>
      <c r="O128" s="40"/>
      <c r="P128" s="40"/>
      <c r="Q128" s="40"/>
      <c r="R128" s="40"/>
      <c r="S128" s="40"/>
      <c r="T128" s="40"/>
      <c r="U128" s="40"/>
      <c r="V128" s="40"/>
      <c r="W128" s="39"/>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t="s">
        <v>634</v>
      </c>
      <c r="AZ128" s="40"/>
    </row>
    <row r="129" spans="1:52" s="71" customFormat="1" ht="12" thickBot="1" x14ac:dyDescent="0.2">
      <c r="A129" s="37" t="s">
        <v>389</v>
      </c>
      <c r="B129" s="38" t="s">
        <v>1014</v>
      </c>
      <c r="C129" s="127" t="s">
        <v>1025</v>
      </c>
      <c r="D129" s="38"/>
      <c r="E129" s="38"/>
      <c r="F129" s="44"/>
      <c r="G129" s="121"/>
      <c r="H129" s="64"/>
      <c r="I129" s="41"/>
      <c r="J129" s="39"/>
      <c r="K129" s="39"/>
      <c r="L129" s="40"/>
      <c r="M129" s="40"/>
      <c r="N129" s="40"/>
      <c r="O129" s="40"/>
      <c r="P129" s="40"/>
      <c r="Q129" s="40"/>
      <c r="R129" s="40"/>
      <c r="S129" s="40"/>
      <c r="T129" s="40"/>
      <c r="U129" s="40"/>
      <c r="V129" s="40"/>
      <c r="W129" s="39"/>
      <c r="X129" s="40"/>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t="s">
        <v>634</v>
      </c>
      <c r="AZ129" s="40"/>
    </row>
    <row r="130" spans="1:52" s="71" customFormat="1" ht="12" thickBot="1" x14ac:dyDescent="0.2">
      <c r="A130" s="37" t="s">
        <v>389</v>
      </c>
      <c r="B130" s="38" t="s">
        <v>1014</v>
      </c>
      <c r="C130" s="109" t="str">
        <f>HYPERLINK(Hoofddocument!$H$130,Hoofddocument!$G$130)</f>
        <v>Certified Information Privacy Professional Europe (CIPP/E)</v>
      </c>
      <c r="D130" s="38" t="s">
        <v>166</v>
      </c>
      <c r="E130" s="38" t="s">
        <v>12</v>
      </c>
      <c r="F130" s="44" t="s">
        <v>287</v>
      </c>
      <c r="G130" s="121" t="s">
        <v>806</v>
      </c>
      <c r="H130" s="64" t="s">
        <v>883</v>
      </c>
      <c r="I130" s="41"/>
      <c r="J130" s="39"/>
      <c r="K130" s="39"/>
      <c r="L130" s="40"/>
      <c r="M130" s="40"/>
      <c r="N130" s="40"/>
      <c r="O130" s="40"/>
      <c r="P130" s="40"/>
      <c r="Q130" s="40"/>
      <c r="R130" s="40"/>
      <c r="S130" s="40"/>
      <c r="T130" s="40"/>
      <c r="U130" s="40"/>
      <c r="V130" s="40"/>
      <c r="W130" s="39"/>
      <c r="X130" s="40"/>
      <c r="Y130" s="40"/>
      <c r="Z130" s="40"/>
      <c r="AA130" s="40"/>
      <c r="AB130" s="40"/>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t="s">
        <v>634</v>
      </c>
      <c r="AZ130" s="40"/>
    </row>
    <row r="131" spans="1:52" s="71" customFormat="1" ht="12" thickBot="1" x14ac:dyDescent="0.2">
      <c r="A131" s="37" t="s">
        <v>389</v>
      </c>
      <c r="B131" s="38" t="s">
        <v>1014</v>
      </c>
      <c r="C131" s="109" t="str">
        <f>HYPERLINK(Hoofddocument!$H$131,Hoofddocument!$G$131)</f>
        <v>ITIL® 4 Foundation</v>
      </c>
      <c r="D131" s="38" t="s">
        <v>166</v>
      </c>
      <c r="E131" s="38" t="s">
        <v>12</v>
      </c>
      <c r="F131" s="44" t="s">
        <v>287</v>
      </c>
      <c r="G131" s="121" t="s">
        <v>288</v>
      </c>
      <c r="H131" s="64" t="s">
        <v>556</v>
      </c>
      <c r="I131" s="41"/>
      <c r="J131" s="39"/>
      <c r="K131" s="39"/>
      <c r="L131" s="40"/>
      <c r="M131" s="40"/>
      <c r="N131" s="40"/>
      <c r="O131" s="40"/>
      <c r="P131" s="40"/>
      <c r="Q131" s="40"/>
      <c r="R131" s="40"/>
      <c r="S131" s="40"/>
      <c r="T131" s="40"/>
      <c r="U131" s="40"/>
      <c r="V131" s="40"/>
      <c r="W131" s="39"/>
      <c r="X131" s="40"/>
      <c r="Y131" s="40"/>
      <c r="Z131" s="40"/>
      <c r="AA131" s="40"/>
      <c r="AB131" s="40"/>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t="s">
        <v>634</v>
      </c>
      <c r="AZ131" s="40"/>
    </row>
    <row r="132" spans="1:52" s="71" customFormat="1" ht="12" thickBot="1" x14ac:dyDescent="0.2">
      <c r="A132" s="37" t="s">
        <v>389</v>
      </c>
      <c r="B132" s="38" t="s">
        <v>1014</v>
      </c>
      <c r="C132" s="109" t="str">
        <f>HYPERLINK(Hoofddocument!$H$132,Hoofddocument!$G$132)</f>
        <v>PRINCE2® Foundation</v>
      </c>
      <c r="D132" s="38" t="s">
        <v>166</v>
      </c>
      <c r="E132" s="38" t="s">
        <v>12</v>
      </c>
      <c r="F132" s="44" t="s">
        <v>296</v>
      </c>
      <c r="G132" s="121" t="s">
        <v>295</v>
      </c>
      <c r="H132" s="64" t="s">
        <v>562</v>
      </c>
      <c r="I132" s="41"/>
      <c r="J132" s="39"/>
      <c r="K132" s="39"/>
      <c r="L132" s="40"/>
      <c r="M132" s="40"/>
      <c r="N132" s="40"/>
      <c r="O132" s="40"/>
      <c r="P132" s="40"/>
      <c r="Q132" s="40"/>
      <c r="R132" s="40"/>
      <c r="S132" s="40"/>
      <c r="T132" s="40"/>
      <c r="U132" s="40"/>
      <c r="V132" s="40"/>
      <c r="W132" s="39"/>
      <c r="X132" s="40"/>
      <c r="Y132" s="40"/>
      <c r="Z132" s="40"/>
      <c r="AA132" s="40"/>
      <c r="AB132" s="40"/>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t="s">
        <v>634</v>
      </c>
      <c r="AZ132" s="40"/>
    </row>
    <row r="133" spans="1:52" s="71" customFormat="1" ht="12" thickBot="1" x14ac:dyDescent="0.2">
      <c r="A133" s="37" t="s">
        <v>389</v>
      </c>
      <c r="B133" s="38" t="s">
        <v>721</v>
      </c>
      <c r="C133" s="109" t="str">
        <f>HYPERLINK(Hoofddocument!$H$133,Hoofddocument!$G$133)</f>
        <v>Associate SOC Analist</v>
      </c>
      <c r="D133" s="38"/>
      <c r="E133" s="38" t="s">
        <v>207</v>
      </c>
      <c r="F133" s="38"/>
      <c r="G133" s="38" t="s">
        <v>811</v>
      </c>
      <c r="H133" s="55" t="s">
        <v>888</v>
      </c>
      <c r="I133" s="41"/>
      <c r="J133" s="39"/>
      <c r="K133" s="39"/>
      <c r="L133" s="39"/>
      <c r="M133" s="39"/>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t="s">
        <v>634</v>
      </c>
      <c r="AM133" s="40"/>
      <c r="AN133" s="40"/>
      <c r="AO133" s="40"/>
      <c r="AP133" s="40"/>
      <c r="AQ133" s="40"/>
      <c r="AR133" s="40"/>
      <c r="AS133" s="40"/>
      <c r="AT133" s="40"/>
      <c r="AU133" s="40"/>
      <c r="AV133" s="40"/>
      <c r="AW133" s="40"/>
      <c r="AX133" s="40"/>
      <c r="AY133" s="40"/>
      <c r="AZ133" s="40"/>
    </row>
    <row r="134" spans="1:52" s="71" customFormat="1" ht="12" thickBot="1" x14ac:dyDescent="0.2">
      <c r="A134" s="37" t="s">
        <v>389</v>
      </c>
      <c r="B134" s="38" t="s">
        <v>722</v>
      </c>
      <c r="C134" s="38" t="s">
        <v>812</v>
      </c>
      <c r="D134" s="38"/>
      <c r="E134" s="38" t="s">
        <v>759</v>
      </c>
      <c r="F134" s="38"/>
      <c r="G134" s="38" t="s">
        <v>812</v>
      </c>
      <c r="H134" s="55"/>
      <c r="I134" s="41"/>
      <c r="J134" s="39"/>
      <c r="K134" s="39"/>
      <c r="L134" s="39"/>
      <c r="M134" s="39"/>
      <c r="N134" s="40"/>
      <c r="O134" s="40"/>
      <c r="P134" s="40"/>
      <c r="Q134" s="40"/>
      <c r="R134" s="40"/>
      <c r="S134" s="40"/>
      <c r="T134" s="40"/>
      <c r="U134" s="40"/>
      <c r="V134" s="40"/>
      <c r="W134" s="40"/>
      <c r="X134" s="40"/>
      <c r="Y134" s="40"/>
      <c r="Z134" s="40"/>
      <c r="AA134" s="40"/>
      <c r="AB134" s="40"/>
      <c r="AC134" s="40"/>
      <c r="AD134" s="40"/>
      <c r="AE134" s="40"/>
      <c r="AF134" s="40"/>
      <c r="AG134" s="40"/>
      <c r="AH134" s="40"/>
      <c r="AI134" s="40"/>
      <c r="AJ134" s="40"/>
      <c r="AK134" s="40" t="s">
        <v>97</v>
      </c>
      <c r="AL134" s="40"/>
      <c r="AM134" s="40"/>
      <c r="AN134" s="40"/>
      <c r="AO134" s="40"/>
      <c r="AP134" s="40"/>
      <c r="AQ134" s="40"/>
      <c r="AR134" s="40"/>
      <c r="AS134" s="40"/>
      <c r="AT134" s="40"/>
      <c r="AU134" s="40"/>
      <c r="AV134" s="40"/>
      <c r="AW134" s="40"/>
      <c r="AX134" s="40"/>
      <c r="AY134" s="40"/>
      <c r="AZ134" s="40"/>
    </row>
    <row r="135" spans="1:52" s="71" customFormat="1" ht="12" thickBot="1" x14ac:dyDescent="0.2">
      <c r="A135" s="37" t="s">
        <v>45</v>
      </c>
      <c r="B135" s="38" t="s">
        <v>46</v>
      </c>
      <c r="C135" s="109" t="str">
        <f>HYPERLINK(Hoofddocument!$H$135,Hoofddocument!$G$135)</f>
        <v>Effectief Adviseren in de Publieke Sector</v>
      </c>
      <c r="D135" s="38" t="s">
        <v>166</v>
      </c>
      <c r="E135" s="38" t="s">
        <v>12</v>
      </c>
      <c r="F135" s="38" t="s">
        <v>483</v>
      </c>
      <c r="G135" s="38" t="s">
        <v>484</v>
      </c>
      <c r="H135" s="64" t="s">
        <v>616</v>
      </c>
      <c r="I135" s="41"/>
      <c r="J135" s="39"/>
      <c r="K135" s="39"/>
      <c r="L135" s="39"/>
      <c r="M135" s="39"/>
      <c r="N135" s="40"/>
      <c r="O135" s="40"/>
      <c r="P135" s="40"/>
      <c r="Q135" s="40"/>
      <c r="R135" s="40"/>
      <c r="S135" s="40"/>
      <c r="T135" s="40"/>
      <c r="U135" s="40" t="s">
        <v>97</v>
      </c>
      <c r="V135" s="40"/>
      <c r="W135" s="40"/>
      <c r="X135" s="40" t="s">
        <v>634</v>
      </c>
      <c r="Y135" s="40"/>
      <c r="Z135" s="40"/>
      <c r="AA135" s="40" t="s">
        <v>97</v>
      </c>
      <c r="AB135" s="40"/>
      <c r="AC135" s="40"/>
      <c r="AD135" s="40"/>
      <c r="AE135" s="40" t="s">
        <v>97</v>
      </c>
      <c r="AF135" s="40"/>
      <c r="AG135" s="40"/>
      <c r="AH135" s="40"/>
      <c r="AI135" s="40"/>
      <c r="AJ135" s="40"/>
      <c r="AK135" s="40"/>
      <c r="AL135" s="40"/>
      <c r="AM135" s="40"/>
      <c r="AN135" s="40"/>
      <c r="AO135" s="40"/>
      <c r="AP135" s="40"/>
      <c r="AQ135" s="40"/>
      <c r="AR135" s="40"/>
      <c r="AS135" s="40"/>
      <c r="AT135" s="40"/>
      <c r="AU135" s="40"/>
      <c r="AV135" s="40"/>
      <c r="AW135" s="40"/>
      <c r="AX135" s="40"/>
      <c r="AY135" s="40"/>
      <c r="AZ135" s="40"/>
    </row>
    <row r="136" spans="1:52" s="71" customFormat="1" ht="12" thickBot="1" x14ac:dyDescent="0.2">
      <c r="A136" s="37" t="s">
        <v>45</v>
      </c>
      <c r="B136" s="38" t="s">
        <v>46</v>
      </c>
      <c r="C136" s="109" t="str">
        <f>HYPERLINK(Hoofddocument!$H$136,Hoofddocument!$G$136)</f>
        <v>Basistraining Adviesvaardigheden</v>
      </c>
      <c r="D136" s="38" t="s">
        <v>166</v>
      </c>
      <c r="E136" s="38" t="s">
        <v>12</v>
      </c>
      <c r="F136" s="38" t="s">
        <v>668</v>
      </c>
      <c r="G136" s="38" t="s">
        <v>667</v>
      </c>
      <c r="H136" s="55" t="s">
        <v>474</v>
      </c>
      <c r="I136" s="41"/>
      <c r="J136" s="39" t="s">
        <v>97</v>
      </c>
      <c r="K136" s="39"/>
      <c r="L136" s="39" t="s">
        <v>97</v>
      </c>
      <c r="M136" s="39"/>
      <c r="N136" s="40"/>
      <c r="O136" s="40"/>
      <c r="P136" s="40"/>
      <c r="Q136" s="40"/>
      <c r="R136" s="40"/>
      <c r="S136" s="40"/>
      <c r="T136" s="40"/>
      <c r="U136" s="40" t="s">
        <v>97</v>
      </c>
      <c r="V136" s="40"/>
      <c r="W136" s="40"/>
      <c r="X136" s="40"/>
      <c r="Y136" s="40"/>
      <c r="Z136" s="40"/>
      <c r="AA136" s="40" t="s">
        <v>97</v>
      </c>
      <c r="AB136" s="40"/>
      <c r="AC136" s="40"/>
      <c r="AD136" s="40"/>
      <c r="AE136" s="40"/>
      <c r="AF136" s="40"/>
      <c r="AG136" s="40" t="s">
        <v>97</v>
      </c>
      <c r="AH136" s="40"/>
      <c r="AI136" s="40"/>
      <c r="AJ136" s="40"/>
      <c r="AK136" s="40"/>
      <c r="AL136" s="40"/>
      <c r="AM136" s="40"/>
      <c r="AN136" s="40"/>
      <c r="AO136" s="40"/>
      <c r="AP136" s="40"/>
      <c r="AQ136" s="40"/>
      <c r="AR136" s="40"/>
      <c r="AS136" s="40"/>
      <c r="AT136" s="40"/>
      <c r="AU136" s="40"/>
      <c r="AV136" s="40"/>
      <c r="AW136" s="40"/>
      <c r="AX136" s="40"/>
      <c r="AY136" s="40"/>
      <c r="AZ136" s="40"/>
    </row>
    <row r="137" spans="1:52" s="71" customFormat="1" ht="12" thickBot="1" x14ac:dyDescent="0.2">
      <c r="A137" s="37" t="s">
        <v>45</v>
      </c>
      <c r="B137" s="38" t="s">
        <v>46</v>
      </c>
      <c r="C137" s="109" t="str">
        <f>HYPERLINK(Hoofddocument!$H$137,Hoofddocument!$G$137)</f>
        <v>Professioneel Adviseren</v>
      </c>
      <c r="D137" s="38" t="s">
        <v>166</v>
      </c>
      <c r="E137" s="38" t="s">
        <v>12</v>
      </c>
      <c r="F137" s="38" t="s">
        <v>279</v>
      </c>
      <c r="G137" s="38" t="s">
        <v>280</v>
      </c>
      <c r="H137" s="55" t="s">
        <v>421</v>
      </c>
      <c r="I137" s="41"/>
      <c r="J137" s="39"/>
      <c r="K137" s="39" t="s">
        <v>634</v>
      </c>
      <c r="L137" s="39" t="s">
        <v>634</v>
      </c>
      <c r="M137" s="39"/>
      <c r="N137" s="40"/>
      <c r="O137" s="40"/>
      <c r="P137" s="40"/>
      <c r="Q137" s="40" t="s">
        <v>97</v>
      </c>
      <c r="R137" s="40" t="s">
        <v>634</v>
      </c>
      <c r="S137" s="40"/>
      <c r="T137" s="40"/>
      <c r="U137" s="40" t="s">
        <v>97</v>
      </c>
      <c r="V137" s="40"/>
      <c r="W137" s="40"/>
      <c r="X137" s="40"/>
      <c r="Y137" s="40"/>
      <c r="Z137" s="40"/>
      <c r="AA137" s="40" t="s">
        <v>634</v>
      </c>
      <c r="AB137" s="40"/>
      <c r="AC137" s="40"/>
      <c r="AD137" s="40" t="s">
        <v>97</v>
      </c>
      <c r="AE137" s="40" t="s">
        <v>97</v>
      </c>
      <c r="AF137" s="40"/>
      <c r="AG137" s="40" t="s">
        <v>634</v>
      </c>
      <c r="AH137" s="40" t="s">
        <v>97</v>
      </c>
      <c r="AI137" s="40" t="s">
        <v>97</v>
      </c>
      <c r="AJ137" s="40"/>
      <c r="AK137" s="40"/>
      <c r="AL137" s="40"/>
      <c r="AM137" s="40"/>
      <c r="AN137" s="40"/>
      <c r="AO137" s="40"/>
      <c r="AP137" s="40" t="s">
        <v>97</v>
      </c>
      <c r="AQ137" s="40" t="s">
        <v>97</v>
      </c>
      <c r="AR137" s="40" t="s">
        <v>97</v>
      </c>
      <c r="AS137" s="40" t="s">
        <v>97</v>
      </c>
      <c r="AT137" s="40" t="s">
        <v>97</v>
      </c>
      <c r="AU137" s="40" t="s">
        <v>97</v>
      </c>
      <c r="AV137" s="40" t="s">
        <v>97</v>
      </c>
      <c r="AW137" s="40"/>
      <c r="AX137" s="40"/>
      <c r="AY137" s="40"/>
      <c r="AZ137" s="40"/>
    </row>
    <row r="138" spans="1:52" s="71" customFormat="1" ht="12" thickBot="1" x14ac:dyDescent="0.2">
      <c r="A138" s="37" t="s">
        <v>45</v>
      </c>
      <c r="B138" s="38" t="s">
        <v>46</v>
      </c>
      <c r="C138" s="109" t="str">
        <f>HYPERLINK(Hoofddocument!$H$138,Hoofddocument!$G$138)</f>
        <v>Masterclass Adviseren op Strategisch Niveau</v>
      </c>
      <c r="D138" s="38" t="s">
        <v>166</v>
      </c>
      <c r="E138" s="38" t="s">
        <v>12</v>
      </c>
      <c r="F138" s="38" t="s">
        <v>754</v>
      </c>
      <c r="G138" s="38" t="s">
        <v>813</v>
      </c>
      <c r="H138" s="64" t="s">
        <v>889</v>
      </c>
      <c r="I138" s="41"/>
      <c r="J138" s="39"/>
      <c r="K138" s="39"/>
      <c r="L138" s="39"/>
      <c r="M138" s="39"/>
      <c r="N138" s="40"/>
      <c r="O138" s="40"/>
      <c r="P138" s="40"/>
      <c r="Q138" s="40"/>
      <c r="R138" s="40"/>
      <c r="S138" s="40"/>
      <c r="T138" s="40"/>
      <c r="U138" s="40"/>
      <c r="V138" s="40"/>
      <c r="W138" s="40"/>
      <c r="X138" s="40"/>
      <c r="Y138" s="40"/>
      <c r="Z138" s="40"/>
      <c r="AA138" s="40"/>
      <c r="AB138" s="40"/>
      <c r="AC138" s="40"/>
      <c r="AD138" s="40"/>
      <c r="AE138" s="40"/>
      <c r="AF138" s="40"/>
      <c r="AG138" s="40"/>
      <c r="AH138" s="40" t="s">
        <v>634</v>
      </c>
      <c r="AI138" s="40" t="s">
        <v>634</v>
      </c>
      <c r="AJ138" s="40"/>
      <c r="AK138" s="40"/>
      <c r="AL138" s="40"/>
      <c r="AM138" s="40"/>
      <c r="AN138" s="40"/>
      <c r="AO138" s="40"/>
      <c r="AP138" s="40"/>
      <c r="AQ138" s="40"/>
      <c r="AR138" s="40"/>
      <c r="AS138" s="40"/>
      <c r="AT138" s="40"/>
      <c r="AU138" s="40"/>
      <c r="AV138" s="40"/>
      <c r="AW138" s="40"/>
      <c r="AX138" s="40"/>
      <c r="AY138" s="40"/>
      <c r="AZ138" s="40"/>
    </row>
    <row r="139" spans="1:52" s="71" customFormat="1" ht="12" thickBot="1" x14ac:dyDescent="0.2">
      <c r="A139" s="37" t="s">
        <v>45</v>
      </c>
      <c r="B139" s="38" t="s">
        <v>970</v>
      </c>
      <c r="C139" s="109" t="str">
        <f>HYPERLINK(Hoofddocument!$H$139,Hoofddocument!$G$139)</f>
        <v xml:space="preserve">Powerboost Beïnvloeden </v>
      </c>
      <c r="D139" s="38" t="s">
        <v>166</v>
      </c>
      <c r="E139" s="38" t="s">
        <v>12</v>
      </c>
      <c r="F139" s="38" t="s">
        <v>669</v>
      </c>
      <c r="G139" s="38" t="s">
        <v>357</v>
      </c>
      <c r="H139" s="55" t="s">
        <v>358</v>
      </c>
      <c r="I139" s="41"/>
      <c r="J139" s="39"/>
      <c r="K139" s="39"/>
      <c r="L139" s="39"/>
      <c r="M139" s="39"/>
      <c r="N139" s="40"/>
      <c r="O139" s="40"/>
      <c r="P139" s="40"/>
      <c r="Q139" s="40" t="s">
        <v>634</v>
      </c>
      <c r="R139" s="40"/>
      <c r="S139" s="40"/>
      <c r="T139" s="40"/>
      <c r="U139" s="40"/>
      <c r="V139" s="40"/>
      <c r="W139" s="40"/>
      <c r="X139" s="40" t="s">
        <v>97</v>
      </c>
      <c r="Y139" s="40"/>
      <c r="Z139" s="40"/>
      <c r="AA139" s="40"/>
      <c r="AB139" s="40" t="s">
        <v>634</v>
      </c>
      <c r="AC139" s="40"/>
      <c r="AD139" s="40"/>
      <c r="AE139" s="40"/>
      <c r="AF139" s="40"/>
      <c r="AG139" s="40" t="s">
        <v>634</v>
      </c>
      <c r="AH139" s="40"/>
      <c r="AI139" s="40"/>
      <c r="AJ139" s="40"/>
      <c r="AK139" s="40"/>
      <c r="AL139" s="40"/>
      <c r="AM139" s="40"/>
      <c r="AN139" s="40"/>
      <c r="AO139" s="40"/>
      <c r="AP139" s="40"/>
      <c r="AQ139" s="40"/>
      <c r="AR139" s="40"/>
      <c r="AS139" s="40"/>
      <c r="AT139" s="40"/>
      <c r="AU139" s="40"/>
      <c r="AV139" s="40"/>
      <c r="AW139" s="40"/>
      <c r="AX139" s="40"/>
      <c r="AY139" s="40"/>
      <c r="AZ139" s="40"/>
    </row>
    <row r="140" spans="1:52" s="71" customFormat="1" ht="12" thickBot="1" x14ac:dyDescent="0.2">
      <c r="A140" s="37" t="s">
        <v>45</v>
      </c>
      <c r="B140" s="38" t="s">
        <v>970</v>
      </c>
      <c r="C140" s="109" t="str">
        <f>HYPERLINK(Hoofddocument!$H$140,Hoofddocument!$G$140)</f>
        <v>Effectief Beïnvloeden</v>
      </c>
      <c r="D140" s="38" t="s">
        <v>166</v>
      </c>
      <c r="E140" s="38" t="s">
        <v>12</v>
      </c>
      <c r="F140" s="44" t="s">
        <v>243</v>
      </c>
      <c r="G140" s="38" t="s">
        <v>244</v>
      </c>
      <c r="H140" s="64" t="s">
        <v>548</v>
      </c>
      <c r="I140" s="41"/>
      <c r="J140" s="39"/>
      <c r="K140" s="39"/>
      <c r="L140" s="39"/>
      <c r="M140" s="39"/>
      <c r="N140" s="40"/>
      <c r="O140" s="40"/>
      <c r="P140" s="40"/>
      <c r="Q140" s="40"/>
      <c r="R140" s="40"/>
      <c r="S140" s="40"/>
      <c r="T140" s="40"/>
      <c r="U140" s="40"/>
      <c r="V140" s="40"/>
      <c r="W140" s="40"/>
      <c r="X140" s="40"/>
      <c r="Y140" s="40"/>
      <c r="Z140" s="40"/>
      <c r="AA140" s="40"/>
      <c r="AB140" s="40" t="s">
        <v>97</v>
      </c>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row>
    <row r="141" spans="1:52" s="71" customFormat="1" ht="12" thickBot="1" x14ac:dyDescent="0.2">
      <c r="A141" s="37" t="s">
        <v>45</v>
      </c>
      <c r="B141" s="38" t="s">
        <v>970</v>
      </c>
      <c r="C141" s="109" t="str">
        <f>HYPERLINK(Hoofddocument!$H$141,Hoofddocument!$G$141)</f>
        <v>Doelgericht Communiceren en Beïnvloeden</v>
      </c>
      <c r="D141" s="38"/>
      <c r="E141" s="38" t="s">
        <v>225</v>
      </c>
      <c r="F141" s="44"/>
      <c r="G141" s="38" t="s">
        <v>814</v>
      </c>
      <c r="H141" s="64" t="s">
        <v>627</v>
      </c>
      <c r="I141" s="41"/>
      <c r="J141" s="39"/>
      <c r="K141" s="39"/>
      <c r="L141" s="39"/>
      <c r="M141" s="39"/>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t="s">
        <v>634</v>
      </c>
      <c r="AL141" s="40"/>
      <c r="AM141" s="40"/>
      <c r="AN141" s="40"/>
      <c r="AO141" s="40"/>
      <c r="AP141" s="40"/>
      <c r="AQ141" s="40"/>
      <c r="AR141" s="40"/>
      <c r="AS141" s="40"/>
      <c r="AT141" s="40"/>
      <c r="AU141" s="40"/>
      <c r="AV141" s="40"/>
      <c r="AW141" s="40"/>
      <c r="AX141" s="40"/>
      <c r="AY141" s="40"/>
      <c r="AZ141" s="40"/>
    </row>
    <row r="142" spans="1:52" s="71" customFormat="1" ht="12" thickBot="1" x14ac:dyDescent="0.2">
      <c r="A142" s="37" t="s">
        <v>45</v>
      </c>
      <c r="B142" s="38" t="s">
        <v>147</v>
      </c>
      <c r="C142" s="109" t="str">
        <f>HYPERLINK(Hoofddocument!$H$142,Hoofddocument!$G$142)</f>
        <v>Big Data Strategy and Analytics</v>
      </c>
      <c r="D142" s="38" t="s">
        <v>166</v>
      </c>
      <c r="E142" s="38" t="s">
        <v>12</v>
      </c>
      <c r="F142" s="44" t="s">
        <v>354</v>
      </c>
      <c r="G142" s="38" t="s">
        <v>355</v>
      </c>
      <c r="H142" s="64" t="s">
        <v>579</v>
      </c>
      <c r="I142" s="41"/>
      <c r="J142" s="39"/>
      <c r="K142" s="39"/>
      <c r="L142" s="39"/>
      <c r="M142" s="39"/>
      <c r="N142" s="40"/>
      <c r="O142" s="40"/>
      <c r="P142" s="40"/>
      <c r="Q142" s="40" t="s">
        <v>634</v>
      </c>
      <c r="R142" s="40"/>
      <c r="S142" s="40"/>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row>
    <row r="143" spans="1:52" s="71" customFormat="1" ht="12" thickBot="1" x14ac:dyDescent="0.2">
      <c r="A143" s="37" t="s">
        <v>45</v>
      </c>
      <c r="B143" s="38" t="s">
        <v>375</v>
      </c>
      <c r="C143" s="109" t="str">
        <f>HYPERLINK(Hoofddocument!$H$143,Hoofddocument!$G$143)</f>
        <v>Business Intelligence</v>
      </c>
      <c r="D143" s="38" t="s">
        <v>166</v>
      </c>
      <c r="E143" s="38" t="s">
        <v>12</v>
      </c>
      <c r="F143" s="44" t="s">
        <v>376</v>
      </c>
      <c r="G143" s="38" t="s">
        <v>375</v>
      </c>
      <c r="H143" s="55" t="s">
        <v>583</v>
      </c>
      <c r="I143" s="41"/>
      <c r="J143" s="39"/>
      <c r="K143" s="39"/>
      <c r="L143" s="39"/>
      <c r="M143" s="39"/>
      <c r="N143" s="40"/>
      <c r="O143" s="40"/>
      <c r="P143" s="40"/>
      <c r="Q143" s="40" t="s">
        <v>97</v>
      </c>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row>
    <row r="144" spans="1:52" s="71" customFormat="1" ht="12" thickBot="1" x14ac:dyDescent="0.2">
      <c r="A144" s="37" t="s">
        <v>45</v>
      </c>
      <c r="B144" s="38" t="s">
        <v>282</v>
      </c>
      <c r="C144" s="109" t="str">
        <f>HYPERLINK(Hoofddocument!$H$144,Hoofddocument!$G$144)</f>
        <v>Cursus Object Orientation, RUP and UML 2.0 | Computrain</v>
      </c>
      <c r="D144" s="38"/>
      <c r="E144" s="38" t="s">
        <v>207</v>
      </c>
      <c r="F144" s="44"/>
      <c r="G144" s="38" t="s">
        <v>283</v>
      </c>
      <c r="H144" s="55" t="s">
        <v>415</v>
      </c>
      <c r="I144" s="41"/>
      <c r="J144" s="39"/>
      <c r="K144" s="39" t="s">
        <v>97</v>
      </c>
      <c r="L144" s="39"/>
      <c r="M144" s="39"/>
      <c r="N144" s="40"/>
      <c r="O144" s="40"/>
      <c r="P144" s="40"/>
      <c r="Q144" s="40"/>
      <c r="R144" s="40"/>
      <c r="S144" s="40"/>
      <c r="T144" s="40"/>
      <c r="U144" s="40"/>
      <c r="V144" s="40"/>
      <c r="W144" s="40"/>
      <c r="X144" s="40"/>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row>
    <row r="145" spans="1:52" s="71" customFormat="1" ht="12" thickBot="1" x14ac:dyDescent="0.2">
      <c r="A145" s="37" t="s">
        <v>45</v>
      </c>
      <c r="B145" s="38" t="s">
        <v>364</v>
      </c>
      <c r="C145" s="109" t="str">
        <f>HYPERLINK(Hoofddocument!$H$145,Hoofddocument!$G$145)</f>
        <v>Omgaan met weerstand en tegengestelde belangen</v>
      </c>
      <c r="D145" s="38" t="s">
        <v>166</v>
      </c>
      <c r="E145" s="38" t="s">
        <v>12</v>
      </c>
      <c r="F145" s="38" t="s">
        <v>365</v>
      </c>
      <c r="G145" s="38" t="s">
        <v>366</v>
      </c>
      <c r="H145" s="64" t="s">
        <v>476</v>
      </c>
      <c r="I145" s="41"/>
      <c r="J145" s="39"/>
      <c r="K145" s="39"/>
      <c r="L145" s="39"/>
      <c r="M145" s="39"/>
      <c r="N145" s="40"/>
      <c r="O145" s="40"/>
      <c r="P145" s="40"/>
      <c r="Q145" s="40" t="s">
        <v>97</v>
      </c>
      <c r="R145" s="40"/>
      <c r="S145" s="40"/>
      <c r="T145" s="40"/>
      <c r="U145" s="40" t="s">
        <v>97</v>
      </c>
      <c r="V145" s="40"/>
      <c r="W145" s="40"/>
      <c r="X145" s="40" t="s">
        <v>97</v>
      </c>
      <c r="Y145" s="40" t="s">
        <v>97</v>
      </c>
      <c r="Z145" s="40"/>
      <c r="AA145" s="40" t="s">
        <v>634</v>
      </c>
      <c r="AB145" s="40" t="s">
        <v>97</v>
      </c>
      <c r="AC145" s="40"/>
      <c r="AD145" s="40" t="s">
        <v>97</v>
      </c>
      <c r="AE145" s="40" t="s">
        <v>97</v>
      </c>
      <c r="AF145" s="40" t="s">
        <v>97</v>
      </c>
      <c r="AG145" s="40" t="s">
        <v>97</v>
      </c>
      <c r="AH145" s="40"/>
      <c r="AI145" s="40"/>
      <c r="AJ145" s="40"/>
      <c r="AK145" s="40" t="s">
        <v>97</v>
      </c>
      <c r="AL145" s="40" t="s">
        <v>634</v>
      </c>
      <c r="AM145" s="40"/>
      <c r="AN145" s="40"/>
      <c r="AO145" s="40"/>
      <c r="AP145" s="40"/>
      <c r="AQ145" s="40"/>
      <c r="AR145" s="40"/>
      <c r="AS145" s="40"/>
      <c r="AT145" s="40"/>
      <c r="AU145" s="40"/>
      <c r="AV145" s="40"/>
      <c r="AW145" s="40"/>
      <c r="AX145" s="40"/>
      <c r="AY145" s="40"/>
      <c r="AZ145" s="40"/>
    </row>
    <row r="146" spans="1:52" s="71" customFormat="1" ht="12" thickBot="1" x14ac:dyDescent="0.2">
      <c r="A146" s="37" t="s">
        <v>45</v>
      </c>
      <c r="B146" s="38" t="s">
        <v>364</v>
      </c>
      <c r="C146" s="109" t="str">
        <f>HYPERLINK(Hoofddocument!$H$146,Hoofddocument!$G$146)</f>
        <v>Draagvlak Creëren</v>
      </c>
      <c r="D146" s="38" t="s">
        <v>166</v>
      </c>
      <c r="E146" s="38" t="s">
        <v>12</v>
      </c>
      <c r="F146" s="38" t="s">
        <v>349</v>
      </c>
      <c r="G146" s="38" t="s">
        <v>105</v>
      </c>
      <c r="H146" s="64" t="s">
        <v>264</v>
      </c>
      <c r="I146" s="41"/>
      <c r="J146" s="39"/>
      <c r="K146" s="39"/>
      <c r="L146" s="39"/>
      <c r="M146" s="39"/>
      <c r="N146" s="40"/>
      <c r="O146" s="40"/>
      <c r="P146" s="40"/>
      <c r="Q146" s="40"/>
      <c r="R146" s="40"/>
      <c r="S146" s="40"/>
      <c r="T146" s="40"/>
      <c r="U146" s="40"/>
      <c r="V146" s="40"/>
      <c r="W146" s="40"/>
      <c r="X146" s="40" t="s">
        <v>97</v>
      </c>
      <c r="Y146" s="40"/>
      <c r="Z146" s="40"/>
      <c r="AA146" s="40"/>
      <c r="AB146" s="40" t="s">
        <v>97</v>
      </c>
      <c r="AC146" s="40"/>
      <c r="AD146" s="40"/>
      <c r="AE146" s="40"/>
      <c r="AF146" s="40" t="s">
        <v>634</v>
      </c>
      <c r="AG146" s="40"/>
      <c r="AH146" s="40"/>
      <c r="AI146" s="40"/>
      <c r="AJ146" s="40"/>
      <c r="AK146" s="40" t="s">
        <v>97</v>
      </c>
      <c r="AL146" s="40"/>
      <c r="AM146" s="40"/>
      <c r="AN146" s="40"/>
      <c r="AO146" s="40"/>
      <c r="AP146" s="40"/>
      <c r="AQ146" s="40"/>
      <c r="AR146" s="40"/>
      <c r="AS146" s="40"/>
      <c r="AT146" s="40"/>
      <c r="AU146" s="40"/>
      <c r="AV146" s="40"/>
      <c r="AW146" s="40"/>
      <c r="AX146" s="40"/>
      <c r="AY146" s="40"/>
      <c r="AZ146" s="40"/>
    </row>
    <row r="147" spans="1:52" s="71" customFormat="1" ht="12" thickBot="1" x14ac:dyDescent="0.2">
      <c r="A147" s="37" t="s">
        <v>45</v>
      </c>
      <c r="B147" s="38" t="s">
        <v>723</v>
      </c>
      <c r="C147" s="109" t="str">
        <f>HYPERLINK(Hoofddocument!$H$147,Hoofddocument!$G$147)</f>
        <v>Effectief Onderhandelen</v>
      </c>
      <c r="D147" s="38" t="s">
        <v>166</v>
      </c>
      <c r="E147" s="38" t="s">
        <v>12</v>
      </c>
      <c r="F147" s="38" t="s">
        <v>755</v>
      </c>
      <c r="G147" s="38" t="s">
        <v>815</v>
      </c>
      <c r="H147" s="64" t="s">
        <v>890</v>
      </c>
      <c r="I147" s="41"/>
      <c r="J147" s="39"/>
      <c r="K147" s="39"/>
      <c r="L147" s="39"/>
      <c r="M147" s="39"/>
      <c r="N147" s="40"/>
      <c r="O147" s="40"/>
      <c r="P147" s="40"/>
      <c r="Q147" s="40"/>
      <c r="R147" s="40"/>
      <c r="S147" s="40"/>
      <c r="T147" s="40"/>
      <c r="U147" s="40"/>
      <c r="V147" s="40"/>
      <c r="W147" s="40"/>
      <c r="X147" s="40"/>
      <c r="Y147" s="40"/>
      <c r="Z147" s="40"/>
      <c r="AA147" s="40"/>
      <c r="AB147" s="40"/>
      <c r="AC147" s="40"/>
      <c r="AD147" s="40" t="s">
        <v>97</v>
      </c>
      <c r="AE147" s="40" t="s">
        <v>97</v>
      </c>
      <c r="AF147" s="40"/>
      <c r="AG147" s="40"/>
      <c r="AH147" s="40"/>
      <c r="AI147" s="40"/>
      <c r="AJ147" s="40"/>
      <c r="AK147" s="40"/>
      <c r="AL147" s="40"/>
      <c r="AM147" s="40"/>
      <c r="AN147" s="40"/>
      <c r="AO147" s="40"/>
      <c r="AP147" s="40"/>
      <c r="AQ147" s="40"/>
      <c r="AR147" s="40"/>
      <c r="AS147" s="40"/>
      <c r="AT147" s="40"/>
      <c r="AU147" s="40"/>
      <c r="AV147" s="40"/>
      <c r="AW147" s="40"/>
      <c r="AX147" s="40"/>
      <c r="AY147" s="40"/>
      <c r="AZ147" s="40"/>
    </row>
    <row r="148" spans="1:52" s="71" customFormat="1" ht="12" thickBot="1" x14ac:dyDescent="0.2">
      <c r="A148" s="37" t="s">
        <v>45</v>
      </c>
      <c r="B148" s="38" t="s">
        <v>723</v>
      </c>
      <c r="C148" s="109" t="str">
        <f>HYPERLINK(Hoofddocument!$H$148,Hoofddocument!$G$148)</f>
        <v>Commercieel Onderhandelen en beïnvloeden</v>
      </c>
      <c r="D148" s="38"/>
      <c r="E148" s="38" t="s">
        <v>225</v>
      </c>
      <c r="F148" s="38"/>
      <c r="G148" s="38" t="s">
        <v>699</v>
      </c>
      <c r="H148" s="64" t="s">
        <v>628</v>
      </c>
      <c r="I148" s="41"/>
      <c r="J148" s="39"/>
      <c r="K148" s="39"/>
      <c r="L148" s="39"/>
      <c r="M148" s="39"/>
      <c r="N148" s="40"/>
      <c r="O148" s="40"/>
      <c r="P148" s="40"/>
      <c r="Q148" s="40"/>
      <c r="R148" s="40"/>
      <c r="S148" s="40"/>
      <c r="T148" s="40"/>
      <c r="U148" s="40"/>
      <c r="V148" s="40"/>
      <c r="W148" s="40"/>
      <c r="X148" s="40"/>
      <c r="Y148" s="40"/>
      <c r="Z148" s="40"/>
      <c r="AA148" s="40"/>
      <c r="AB148" s="40"/>
      <c r="AC148" s="40"/>
      <c r="AD148" s="40" t="s">
        <v>97</v>
      </c>
      <c r="AE148" s="40" t="s">
        <v>97</v>
      </c>
      <c r="AF148" s="40"/>
      <c r="AG148" s="40"/>
      <c r="AH148" s="40"/>
      <c r="AI148" s="40"/>
      <c r="AJ148" s="40"/>
      <c r="AK148" s="40"/>
      <c r="AL148" s="40"/>
      <c r="AM148" s="40"/>
      <c r="AN148" s="40"/>
      <c r="AO148" s="40"/>
      <c r="AP148" s="40"/>
      <c r="AQ148" s="40"/>
      <c r="AR148" s="40"/>
      <c r="AS148" s="40"/>
      <c r="AT148" s="40"/>
      <c r="AU148" s="40"/>
      <c r="AV148" s="40"/>
      <c r="AW148" s="40"/>
      <c r="AX148" s="40"/>
      <c r="AY148" s="40"/>
      <c r="AZ148" s="40"/>
    </row>
    <row r="149" spans="1:52" s="71" customFormat="1" ht="12" thickBot="1" x14ac:dyDescent="0.2">
      <c r="A149" s="37" t="s">
        <v>45</v>
      </c>
      <c r="B149" s="38" t="s">
        <v>367</v>
      </c>
      <c r="C149" s="109" t="str">
        <f>HYPERLINK(Hoofddocument!$H$149,Hoofddocument!$G$149)</f>
        <v>Training Invloed en Macht in Organisaties</v>
      </c>
      <c r="D149" s="38"/>
      <c r="E149" s="38" t="s">
        <v>225</v>
      </c>
      <c r="F149" s="38"/>
      <c r="G149" s="38" t="s">
        <v>448</v>
      </c>
      <c r="H149" s="64" t="s">
        <v>581</v>
      </c>
      <c r="I149" s="41"/>
      <c r="J149" s="39"/>
      <c r="K149" s="39"/>
      <c r="L149" s="39"/>
      <c r="M149" s="39"/>
      <c r="N149" s="40"/>
      <c r="O149" s="40"/>
      <c r="P149" s="40"/>
      <c r="Q149" s="40" t="s">
        <v>634</v>
      </c>
      <c r="R149" s="40"/>
      <c r="S149" s="40"/>
      <c r="T149" s="40"/>
      <c r="U149" s="40"/>
      <c r="V149" s="40"/>
      <c r="W149" s="40"/>
      <c r="X149" s="40"/>
      <c r="Y149" s="40"/>
      <c r="Z149" s="40"/>
      <c r="AA149" s="40"/>
      <c r="AB149" s="40"/>
      <c r="AC149" s="40"/>
      <c r="AD149" s="40"/>
      <c r="AE149" s="40"/>
      <c r="AF149" s="40"/>
      <c r="AG149" s="40"/>
      <c r="AH149" s="40"/>
      <c r="AI149" s="40"/>
      <c r="AJ149" s="40"/>
      <c r="AK149" s="40"/>
      <c r="AL149" s="40"/>
      <c r="AM149" s="40"/>
      <c r="AN149" s="40"/>
      <c r="AO149" s="40"/>
      <c r="AP149" s="40" t="s">
        <v>634</v>
      </c>
      <c r="AQ149" s="40" t="s">
        <v>634</v>
      </c>
      <c r="AR149" s="40" t="s">
        <v>634</v>
      </c>
      <c r="AS149" s="40" t="s">
        <v>634</v>
      </c>
      <c r="AT149" s="40" t="s">
        <v>634</v>
      </c>
      <c r="AU149" s="40" t="s">
        <v>634</v>
      </c>
      <c r="AV149" s="40" t="s">
        <v>634</v>
      </c>
      <c r="AW149" s="40"/>
      <c r="AX149" s="40"/>
      <c r="AY149" s="40"/>
      <c r="AZ149" s="40"/>
    </row>
    <row r="150" spans="1:52" s="71" customFormat="1" ht="12" thickBot="1" x14ac:dyDescent="0.2">
      <c r="A150" s="37" t="s">
        <v>45</v>
      </c>
      <c r="B150" s="38" t="s">
        <v>724</v>
      </c>
      <c r="C150" s="109" t="str">
        <f>HYPERLINK(Hoofddocument!$H$150,Hoofddocument!$G$150)</f>
        <v>Excel Expert: Analyse en Rapportage</v>
      </c>
      <c r="D150" s="38" t="s">
        <v>166</v>
      </c>
      <c r="E150" s="38" t="s">
        <v>12</v>
      </c>
      <c r="F150" s="38" t="s">
        <v>756</v>
      </c>
      <c r="G150" s="38" t="s">
        <v>816</v>
      </c>
      <c r="H150" s="64" t="s">
        <v>891</v>
      </c>
      <c r="I150" s="41"/>
      <c r="J150" s="39"/>
      <c r="K150" s="39"/>
      <c r="L150" s="39"/>
      <c r="M150" s="39"/>
      <c r="N150" s="40"/>
      <c r="O150" s="40"/>
      <c r="P150" s="40"/>
      <c r="Q150" s="40"/>
      <c r="R150" s="40"/>
      <c r="S150" s="40"/>
      <c r="T150" s="40"/>
      <c r="U150" s="40"/>
      <c r="V150" s="40"/>
      <c r="W150" s="40"/>
      <c r="X150" s="40"/>
      <c r="Y150" s="40"/>
      <c r="Z150" s="40"/>
      <c r="AA150" s="40"/>
      <c r="AB150" s="40"/>
      <c r="AC150" s="40"/>
      <c r="AD150" s="40"/>
      <c r="AE150" s="40"/>
      <c r="AF150" s="40"/>
      <c r="AG150" s="40"/>
      <c r="AH150" s="40"/>
      <c r="AI150" s="40" t="s">
        <v>97</v>
      </c>
      <c r="AJ150" s="40"/>
      <c r="AK150" s="40"/>
      <c r="AL150" s="40"/>
      <c r="AM150" s="40"/>
      <c r="AN150" s="40"/>
      <c r="AO150" s="40"/>
      <c r="AP150" s="40"/>
      <c r="AQ150" s="40"/>
      <c r="AR150" s="40"/>
      <c r="AS150" s="40"/>
      <c r="AT150" s="40"/>
      <c r="AU150" s="40"/>
      <c r="AV150" s="40"/>
      <c r="AW150" s="40"/>
      <c r="AX150" s="40"/>
      <c r="AY150" s="40"/>
      <c r="AZ150" s="40"/>
    </row>
    <row r="151" spans="1:52" s="71" customFormat="1" ht="12" thickBot="1" x14ac:dyDescent="0.2">
      <c r="A151" s="37" t="s">
        <v>45</v>
      </c>
      <c r="B151" s="38" t="s">
        <v>281</v>
      </c>
      <c r="C151" s="109" t="str">
        <f>HYPERLINK(Hoofddocument!$H$151,Hoofddocument!$G$151)</f>
        <v>HBO Bestuurlijk Adviseren en Beïnvloeden</v>
      </c>
      <c r="D151" s="38"/>
      <c r="E151" s="38" t="s">
        <v>320</v>
      </c>
      <c r="F151" s="38"/>
      <c r="G151" s="38" t="s">
        <v>328</v>
      </c>
      <c r="H151" s="64" t="s">
        <v>574</v>
      </c>
      <c r="I151" s="41"/>
      <c r="J151" s="39"/>
      <c r="K151" s="39"/>
      <c r="L151" s="39"/>
      <c r="M151" s="39"/>
      <c r="N151" s="40"/>
      <c r="O151" s="40" t="s">
        <v>634</v>
      </c>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row>
    <row r="152" spans="1:52" s="71" customFormat="1" ht="12" thickBot="1" x14ac:dyDescent="0.2">
      <c r="A152" s="37" t="s">
        <v>45</v>
      </c>
      <c r="B152" s="38" t="s">
        <v>223</v>
      </c>
      <c r="C152" s="109" t="str">
        <f>HYPERLINK(Hoofddocument!$H$152,Hoofddocument!$G$152)</f>
        <v>Wendbaarheid in een Veranderende Wereld</v>
      </c>
      <c r="D152" s="38" t="s">
        <v>166</v>
      </c>
      <c r="E152" s="38" t="s">
        <v>12</v>
      </c>
      <c r="F152" s="38" t="s">
        <v>333</v>
      </c>
      <c r="G152" s="38" t="s">
        <v>334</v>
      </c>
      <c r="H152" s="64" t="s">
        <v>368</v>
      </c>
      <c r="I152" s="41"/>
      <c r="J152" s="39"/>
      <c r="K152" s="39"/>
      <c r="L152" s="39"/>
      <c r="M152" s="39"/>
      <c r="N152" s="40"/>
      <c r="O152" s="40"/>
      <c r="P152" s="40"/>
      <c r="Q152" s="40" t="s">
        <v>97</v>
      </c>
      <c r="R152" s="40"/>
      <c r="S152" s="40"/>
      <c r="T152" s="40"/>
      <c r="U152" s="40"/>
      <c r="V152" s="40"/>
      <c r="W152" s="40"/>
      <c r="X152" s="40"/>
      <c r="Y152" s="40"/>
      <c r="Z152" s="40"/>
      <c r="AA152" s="40"/>
      <c r="AB152" s="40"/>
      <c r="AC152" s="40"/>
      <c r="AD152" s="40"/>
      <c r="AE152" s="40"/>
      <c r="AF152" s="40"/>
      <c r="AG152" s="40" t="s">
        <v>97</v>
      </c>
      <c r="AH152" s="40"/>
      <c r="AI152" s="40"/>
      <c r="AJ152" s="40"/>
      <c r="AK152" s="40"/>
      <c r="AL152" s="40" t="s">
        <v>634</v>
      </c>
      <c r="AM152" s="40"/>
      <c r="AN152" s="40"/>
      <c r="AO152" s="40"/>
      <c r="AP152" s="40"/>
      <c r="AQ152" s="40"/>
      <c r="AR152" s="40"/>
      <c r="AS152" s="40"/>
      <c r="AT152" s="40"/>
      <c r="AU152" s="40"/>
      <c r="AV152" s="40"/>
      <c r="AW152" s="40"/>
      <c r="AX152" s="40"/>
      <c r="AY152" s="40"/>
      <c r="AZ152" s="40"/>
    </row>
    <row r="153" spans="1:52" s="71" customFormat="1" ht="12" thickBot="1" x14ac:dyDescent="0.2">
      <c r="A153" s="37" t="s">
        <v>45</v>
      </c>
      <c r="B153" s="38" t="s">
        <v>223</v>
      </c>
      <c r="C153" s="109" t="str">
        <f>HYPERLINK(Hoofddocument!$H$153,Hoofddocument!$G$153)</f>
        <v>Leidinggeven aan Verandering</v>
      </c>
      <c r="D153" s="38" t="s">
        <v>166</v>
      </c>
      <c r="E153" s="38" t="s">
        <v>12</v>
      </c>
      <c r="F153" s="38" t="s">
        <v>372</v>
      </c>
      <c r="G153" s="38" t="s">
        <v>373</v>
      </c>
      <c r="H153" s="64" t="s">
        <v>374</v>
      </c>
      <c r="I153" s="41"/>
      <c r="J153" s="39"/>
      <c r="K153" s="39"/>
      <c r="L153" s="39"/>
      <c r="M153" s="39"/>
      <c r="N153" s="40"/>
      <c r="O153" s="40"/>
      <c r="P153" s="40"/>
      <c r="Q153" s="40" t="s">
        <v>634</v>
      </c>
      <c r="R153" s="40"/>
      <c r="S153" s="40"/>
      <c r="T153" s="40"/>
      <c r="U153" s="40"/>
      <c r="V153" s="40"/>
      <c r="W153" s="40"/>
      <c r="X153" s="40" t="s">
        <v>97</v>
      </c>
      <c r="Y153" s="40"/>
      <c r="Z153" s="40"/>
      <c r="AA153" s="40" t="s">
        <v>634</v>
      </c>
      <c r="AB153" s="40" t="s">
        <v>97</v>
      </c>
      <c r="AC153" s="40"/>
      <c r="AD153" s="40"/>
      <c r="AE153" s="40"/>
      <c r="AF153" s="40"/>
      <c r="AG153" s="40" t="s">
        <v>634</v>
      </c>
      <c r="AH153" s="40"/>
      <c r="AI153" s="40"/>
      <c r="AJ153" s="40"/>
      <c r="AK153" s="40" t="s">
        <v>634</v>
      </c>
      <c r="AL153" s="40"/>
      <c r="AM153" s="40"/>
      <c r="AN153" s="40"/>
      <c r="AO153" s="40"/>
      <c r="AP153" s="40"/>
      <c r="AQ153" s="40"/>
      <c r="AR153" s="40"/>
      <c r="AS153" s="40"/>
      <c r="AT153" s="40"/>
      <c r="AU153" s="40"/>
      <c r="AV153" s="40"/>
      <c r="AW153" s="40"/>
      <c r="AX153" s="40"/>
      <c r="AY153" s="40"/>
      <c r="AZ153" s="40"/>
    </row>
    <row r="154" spans="1:52" s="71" customFormat="1" ht="12" thickBot="1" x14ac:dyDescent="0.2">
      <c r="A154" s="37" t="s">
        <v>45</v>
      </c>
      <c r="B154" s="38" t="s">
        <v>223</v>
      </c>
      <c r="C154" s="109" t="str">
        <f>HYPERLINK(Hoofddocument!$H$154,Hoofddocument!$G$154)</f>
        <v>Sturing Geven aan Transitie</v>
      </c>
      <c r="D154" s="38" t="s">
        <v>166</v>
      </c>
      <c r="E154" s="38" t="s">
        <v>12</v>
      </c>
      <c r="F154" s="38" t="s">
        <v>757</v>
      </c>
      <c r="G154" s="38" t="s">
        <v>817</v>
      </c>
      <c r="H154" s="49" t="s">
        <v>892</v>
      </c>
      <c r="I154" s="41"/>
      <c r="J154" s="39"/>
      <c r="K154" s="39"/>
      <c r="L154" s="39"/>
      <c r="M154" s="39"/>
      <c r="N154" s="40"/>
      <c r="O154" s="40"/>
      <c r="P154" s="40"/>
      <c r="Q154" s="40"/>
      <c r="R154" s="40"/>
      <c r="S154" s="40"/>
      <c r="T154" s="40"/>
      <c r="U154" s="40"/>
      <c r="V154" s="40"/>
      <c r="W154" s="40"/>
      <c r="X154" s="40" t="s">
        <v>634</v>
      </c>
      <c r="Y154" s="40"/>
      <c r="Z154" s="40"/>
      <c r="AA154" s="40"/>
      <c r="AB154" s="40" t="s">
        <v>634</v>
      </c>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row>
    <row r="155" spans="1:52" s="71" customFormat="1" ht="12" thickBot="1" x14ac:dyDescent="0.2">
      <c r="A155" s="37" t="s">
        <v>45</v>
      </c>
      <c r="B155" s="38" t="s">
        <v>223</v>
      </c>
      <c r="C155" s="109" t="str">
        <f>HYPERLINK(Hoofddocument!$H$155,Hoofddocument!$G$155)</f>
        <v>Masterclass Innoverende Overheid</v>
      </c>
      <c r="D155" s="38" t="s">
        <v>166</v>
      </c>
      <c r="E155" s="38" t="s">
        <v>12</v>
      </c>
      <c r="F155" s="38" t="s">
        <v>758</v>
      </c>
      <c r="G155" s="38" t="s">
        <v>818</v>
      </c>
      <c r="H155" s="64" t="s">
        <v>893</v>
      </c>
      <c r="I155" s="41"/>
      <c r="J155" s="39"/>
      <c r="K155" s="39"/>
      <c r="L155" s="39"/>
      <c r="M155" s="39"/>
      <c r="N155" s="40"/>
      <c r="O155" s="40"/>
      <c r="P155" s="40"/>
      <c r="Q155" s="40"/>
      <c r="R155" s="40"/>
      <c r="S155" s="40"/>
      <c r="T155" s="40"/>
      <c r="U155" s="40"/>
      <c r="V155" s="40"/>
      <c r="W155" s="40"/>
      <c r="X155" s="40" t="s">
        <v>634</v>
      </c>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row>
    <row r="156" spans="1:52" s="71" customFormat="1" ht="12" thickBot="1" x14ac:dyDescent="0.2">
      <c r="A156" s="37" t="s">
        <v>45</v>
      </c>
      <c r="B156" s="38" t="s">
        <v>223</v>
      </c>
      <c r="C156" s="109" t="str">
        <f>HYPERLINK(Hoofddocument!$H$156,Hoofddocument!$G$156)</f>
        <v>Change Management Foundation</v>
      </c>
      <c r="D156" s="38" t="s">
        <v>166</v>
      </c>
      <c r="E156" s="38" t="s">
        <v>12</v>
      </c>
      <c r="F156" s="38" t="s">
        <v>435</v>
      </c>
      <c r="G156" s="38" t="s">
        <v>436</v>
      </c>
      <c r="H156" s="49" t="s">
        <v>608</v>
      </c>
      <c r="I156" s="41"/>
      <c r="J156" s="39"/>
      <c r="K156" s="39"/>
      <c r="L156" s="40"/>
      <c r="M156" s="40"/>
      <c r="N156" s="40"/>
      <c r="O156" s="40"/>
      <c r="P156" s="40"/>
      <c r="Q156" s="40"/>
      <c r="R156" s="39"/>
      <c r="S156" s="40"/>
      <c r="T156" s="40" t="s">
        <v>634</v>
      </c>
      <c r="U156" s="40"/>
      <c r="V156" s="40"/>
      <c r="W156" s="40"/>
      <c r="X156" s="40"/>
      <c r="Y156" s="40"/>
      <c r="Z156" s="40"/>
      <c r="AA156" s="40"/>
      <c r="AB156" s="40" t="s">
        <v>97</v>
      </c>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row>
    <row r="157" spans="1:52" s="73" customFormat="1" ht="12" thickBot="1" x14ac:dyDescent="0.2">
      <c r="A157" s="37" t="s">
        <v>45</v>
      </c>
      <c r="B157" s="38" t="s">
        <v>223</v>
      </c>
      <c r="C157" s="109" t="str">
        <f>HYPERLINK(Hoofddocument!$H$157,Hoofddocument!$G$157)</f>
        <v>Lean Green belt</v>
      </c>
      <c r="D157" s="38" t="s">
        <v>166</v>
      </c>
      <c r="E157" s="38" t="s">
        <v>12</v>
      </c>
      <c r="F157" s="38" t="s">
        <v>690</v>
      </c>
      <c r="G157" s="38" t="s">
        <v>388</v>
      </c>
      <c r="H157" s="64" t="s">
        <v>588</v>
      </c>
      <c r="I157" s="41"/>
      <c r="J157" s="39"/>
      <c r="K157" s="39"/>
      <c r="L157" s="40"/>
      <c r="M157" s="40"/>
      <c r="N157" s="40"/>
      <c r="O157" s="40"/>
      <c r="P157" s="40"/>
      <c r="Q157" s="40" t="s">
        <v>97</v>
      </c>
      <c r="R157" s="39"/>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t="s">
        <v>97</v>
      </c>
      <c r="AP157" s="40"/>
      <c r="AQ157" s="40"/>
      <c r="AR157" s="40"/>
      <c r="AS157" s="40"/>
      <c r="AT157" s="40"/>
      <c r="AU157" s="40"/>
      <c r="AV157" s="40"/>
      <c r="AW157" s="40"/>
      <c r="AX157" s="40"/>
      <c r="AY157" s="40"/>
      <c r="AZ157" s="40"/>
    </row>
    <row r="158" spans="1:52" s="71" customFormat="1" ht="12" thickBot="1" x14ac:dyDescent="0.2">
      <c r="A158" s="37" t="s">
        <v>45</v>
      </c>
      <c r="B158" s="38" t="s">
        <v>223</v>
      </c>
      <c r="C158" s="109" t="str">
        <f>HYPERLINK(Hoofddocument!$H$158,Hoofddocument!$G$158)</f>
        <v>Masterclass Innovatiemanagement</v>
      </c>
      <c r="D158" s="38" t="s">
        <v>166</v>
      </c>
      <c r="E158" s="38" t="s">
        <v>12</v>
      </c>
      <c r="F158" s="38" t="s">
        <v>385</v>
      </c>
      <c r="G158" s="38" t="s">
        <v>386</v>
      </c>
      <c r="H158" s="64" t="s">
        <v>387</v>
      </c>
      <c r="I158" s="41"/>
      <c r="J158" s="39"/>
      <c r="K158" s="39"/>
      <c r="L158" s="40"/>
      <c r="M158" s="40"/>
      <c r="N158" s="40"/>
      <c r="O158" s="40"/>
      <c r="P158" s="40"/>
      <c r="Q158" s="40" t="s">
        <v>634</v>
      </c>
      <c r="R158" s="39"/>
      <c r="S158" s="40"/>
      <c r="T158" s="40"/>
      <c r="U158" s="40"/>
      <c r="V158" s="40"/>
      <c r="W158" s="40"/>
      <c r="X158" s="40" t="s">
        <v>634</v>
      </c>
      <c r="Y158" s="40"/>
      <c r="Z158" s="40"/>
      <c r="AA158" s="40"/>
      <c r="AB158" s="40"/>
      <c r="AC158" s="40"/>
      <c r="AD158" s="40"/>
      <c r="AE158" s="40"/>
      <c r="AF158" s="40" t="s">
        <v>634</v>
      </c>
      <c r="AG158" s="40"/>
      <c r="AH158" s="40"/>
      <c r="AI158" s="40" t="s">
        <v>634</v>
      </c>
      <c r="AJ158" s="40"/>
      <c r="AK158" s="40"/>
      <c r="AL158" s="40"/>
      <c r="AM158" s="40"/>
      <c r="AN158" s="40"/>
      <c r="AO158" s="40"/>
      <c r="AP158" s="40"/>
      <c r="AQ158" s="40"/>
      <c r="AR158" s="40"/>
      <c r="AS158" s="40"/>
      <c r="AT158" s="40"/>
      <c r="AU158" s="40"/>
      <c r="AV158" s="40"/>
      <c r="AW158" s="40"/>
      <c r="AX158" s="40"/>
      <c r="AY158" s="40"/>
      <c r="AZ158" s="40"/>
    </row>
    <row r="159" spans="1:52" s="71" customFormat="1" ht="12" thickBot="1" x14ac:dyDescent="0.2">
      <c r="A159" s="37" t="s">
        <v>45</v>
      </c>
      <c r="B159" s="38" t="s">
        <v>223</v>
      </c>
      <c r="C159" s="109" t="str">
        <f>HYPERLINK(Hoofddocument!$H$159,Hoofddocument!$G$159)</f>
        <v>Executive Masterclass Verandermanagement</v>
      </c>
      <c r="D159" s="38" t="s">
        <v>166</v>
      </c>
      <c r="E159" s="38" t="s">
        <v>12</v>
      </c>
      <c r="F159" s="38" t="s">
        <v>379</v>
      </c>
      <c r="G159" s="38" t="s">
        <v>380</v>
      </c>
      <c r="H159" s="64" t="s">
        <v>371</v>
      </c>
      <c r="I159" s="41" t="s">
        <v>634</v>
      </c>
      <c r="J159" s="39" t="s">
        <v>634</v>
      </c>
      <c r="K159" s="39"/>
      <c r="L159" s="40"/>
      <c r="M159" s="40"/>
      <c r="N159" s="40"/>
      <c r="O159" s="40"/>
      <c r="P159" s="40"/>
      <c r="Q159" s="40" t="s">
        <v>634</v>
      </c>
      <c r="R159" s="39"/>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row>
    <row r="160" spans="1:52" s="71" customFormat="1" ht="12" thickBot="1" x14ac:dyDescent="0.2">
      <c r="A160" s="37" t="s">
        <v>45</v>
      </c>
      <c r="B160" s="38" t="s">
        <v>223</v>
      </c>
      <c r="C160" s="109" t="str">
        <f>HYPERLINK(Hoofddocument!$H$160,Hoofddocument!$G$160)</f>
        <v>Masterclass Verandermanagement</v>
      </c>
      <c r="D160" s="38" t="s">
        <v>166</v>
      </c>
      <c r="E160" s="38" t="s">
        <v>12</v>
      </c>
      <c r="F160" s="38" t="s">
        <v>369</v>
      </c>
      <c r="G160" s="38" t="s">
        <v>370</v>
      </c>
      <c r="H160" s="64" t="s">
        <v>371</v>
      </c>
      <c r="I160" s="41"/>
      <c r="J160" s="39"/>
      <c r="K160" s="39"/>
      <c r="L160" s="40"/>
      <c r="M160" s="40"/>
      <c r="N160" s="40"/>
      <c r="O160" s="40"/>
      <c r="P160" s="40"/>
      <c r="Q160" s="40" t="s">
        <v>634</v>
      </c>
      <c r="R160" s="39"/>
      <c r="S160" s="40"/>
      <c r="T160" s="40"/>
      <c r="U160" s="40" t="s">
        <v>97</v>
      </c>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row>
    <row r="161" spans="1:52" s="71" customFormat="1" ht="12" thickBot="1" x14ac:dyDescent="0.2">
      <c r="A161" s="37" t="s">
        <v>45</v>
      </c>
      <c r="B161" s="38" t="s">
        <v>223</v>
      </c>
      <c r="C161" s="109" t="str">
        <f>HYPERLINK(Hoofddocument!$H$161,Hoofddocument!$G$161)</f>
        <v>Persoonlijke Effectiviteit in het sturen van Verandering</v>
      </c>
      <c r="D161" s="38" t="s">
        <v>166</v>
      </c>
      <c r="E161" s="38" t="s">
        <v>12</v>
      </c>
      <c r="F161" s="38" t="s">
        <v>472</v>
      </c>
      <c r="G161" s="38" t="s">
        <v>473</v>
      </c>
      <c r="H161" s="64" t="s">
        <v>615</v>
      </c>
      <c r="I161" s="41"/>
      <c r="J161" s="39"/>
      <c r="K161" s="39"/>
      <c r="L161" s="40"/>
      <c r="M161" s="40"/>
      <c r="N161" s="40"/>
      <c r="O161" s="40"/>
      <c r="P161" s="40"/>
      <c r="Q161" s="40"/>
      <c r="R161" s="39"/>
      <c r="S161" s="40"/>
      <c r="T161" s="40"/>
      <c r="U161" s="40" t="s">
        <v>634</v>
      </c>
      <c r="V161" s="40"/>
      <c r="W161" s="40"/>
      <c r="X161" s="40"/>
      <c r="Y161" s="40"/>
      <c r="Z161" s="40"/>
      <c r="AA161" s="40"/>
      <c r="AB161" s="40"/>
      <c r="AC161" s="40"/>
      <c r="AD161" s="40"/>
      <c r="AE161" s="40"/>
      <c r="AF161" s="40"/>
      <c r="AG161" s="40"/>
      <c r="AH161" s="40"/>
      <c r="AI161" s="40"/>
      <c r="AJ161" s="40"/>
      <c r="AK161" s="40"/>
      <c r="AL161" s="40" t="s">
        <v>97</v>
      </c>
      <c r="AM161" s="40"/>
      <c r="AN161" s="40"/>
      <c r="AO161" s="40"/>
      <c r="AP161" s="40"/>
      <c r="AQ161" s="40"/>
      <c r="AR161" s="40"/>
      <c r="AS161" s="40"/>
      <c r="AT161" s="40"/>
      <c r="AU161" s="40"/>
      <c r="AV161" s="40"/>
      <c r="AW161" s="40" t="s">
        <v>634</v>
      </c>
      <c r="AX161" s="40"/>
      <c r="AY161" s="40"/>
      <c r="AZ161" s="40"/>
    </row>
    <row r="162" spans="1:52" s="71" customFormat="1" ht="12" thickBot="1" x14ac:dyDescent="0.2">
      <c r="A162" s="43" t="s">
        <v>7</v>
      </c>
      <c r="B162" s="44" t="s">
        <v>730</v>
      </c>
      <c r="C162" s="109" t="str">
        <f>HYPERLINK(Hoofddocument!$H$162,Hoofddocument!$G$162)</f>
        <v>Effectieve Gespreksvaardigheden</v>
      </c>
      <c r="D162" s="44" t="s">
        <v>166</v>
      </c>
      <c r="E162" s="44" t="s">
        <v>12</v>
      </c>
      <c r="F162" s="44" t="s">
        <v>198</v>
      </c>
      <c r="G162" s="38" t="s">
        <v>199</v>
      </c>
      <c r="H162" s="43" t="s">
        <v>528</v>
      </c>
      <c r="I162" s="41"/>
      <c r="J162" s="39"/>
      <c r="K162" s="39"/>
      <c r="L162" s="39"/>
      <c r="M162" s="39"/>
      <c r="N162" s="39"/>
      <c r="O162" s="39"/>
      <c r="P162" s="39"/>
      <c r="Q162" s="39"/>
      <c r="R162" s="40"/>
      <c r="S162" s="40"/>
      <c r="T162" s="40"/>
      <c r="U162" s="40"/>
      <c r="V162" s="40" t="s">
        <v>634</v>
      </c>
      <c r="W162" s="40"/>
      <c r="X162" s="40"/>
      <c r="Y162" s="40" t="s">
        <v>97</v>
      </c>
      <c r="Z162" s="40" t="s">
        <v>97</v>
      </c>
      <c r="AA162" s="40"/>
      <c r="AB162" s="40" t="s">
        <v>97</v>
      </c>
      <c r="AC162" s="40"/>
      <c r="AD162" s="40"/>
      <c r="AE162" s="40"/>
      <c r="AF162" s="40"/>
      <c r="AG162" s="40"/>
      <c r="AH162" s="40"/>
      <c r="AI162" s="40"/>
      <c r="AJ162" s="40"/>
      <c r="AK162" s="40" t="s">
        <v>97</v>
      </c>
      <c r="AL162" s="40"/>
      <c r="AM162" s="40"/>
      <c r="AN162" s="40"/>
      <c r="AO162" s="40"/>
      <c r="AP162" s="40"/>
      <c r="AQ162" s="40"/>
      <c r="AR162" s="40"/>
      <c r="AS162" s="40"/>
      <c r="AT162" s="40"/>
      <c r="AU162" s="40"/>
      <c r="AV162" s="40"/>
      <c r="AW162" s="40"/>
      <c r="AX162" s="40"/>
      <c r="AY162" s="40"/>
      <c r="AZ162" s="40"/>
    </row>
    <row r="163" spans="1:52" s="71" customFormat="1" ht="12" thickBot="1" x14ac:dyDescent="0.2">
      <c r="A163" s="37" t="s">
        <v>7</v>
      </c>
      <c r="B163" s="38" t="s">
        <v>969</v>
      </c>
      <c r="C163" s="109" t="str">
        <f>HYPERLINK(Hoofddocument!$H$163,Hoofddocument!$G$163)</f>
        <v>Overtuigend en Inspirerend Presenteren</v>
      </c>
      <c r="D163" s="38" t="s">
        <v>166</v>
      </c>
      <c r="E163" s="38" t="s">
        <v>12</v>
      </c>
      <c r="F163" s="44" t="s">
        <v>309</v>
      </c>
      <c r="G163" s="38" t="s">
        <v>360</v>
      </c>
      <c r="H163" s="64" t="s">
        <v>103</v>
      </c>
      <c r="I163" s="41"/>
      <c r="J163" s="39"/>
      <c r="K163" s="39"/>
      <c r="L163" s="39"/>
      <c r="M163" s="39"/>
      <c r="N163" s="40"/>
      <c r="O163" s="40"/>
      <c r="P163" s="40"/>
      <c r="Q163" s="40" t="s">
        <v>97</v>
      </c>
      <c r="R163" s="40"/>
      <c r="S163" s="40"/>
      <c r="T163" s="40"/>
      <c r="U163" s="40"/>
      <c r="V163" s="40"/>
      <c r="W163" s="40"/>
      <c r="X163" s="40"/>
      <c r="Y163" s="40"/>
      <c r="Z163" s="40"/>
      <c r="AA163" s="40"/>
      <c r="AB163" s="40" t="s">
        <v>97</v>
      </c>
      <c r="AC163" s="40"/>
      <c r="AD163" s="40" t="s">
        <v>97</v>
      </c>
      <c r="AE163" s="40" t="s">
        <v>97</v>
      </c>
      <c r="AF163" s="40" t="s">
        <v>97</v>
      </c>
      <c r="AG163" s="40"/>
      <c r="AH163" s="40"/>
      <c r="AI163" s="40"/>
      <c r="AJ163" s="40"/>
      <c r="AK163" s="40" t="s">
        <v>97</v>
      </c>
      <c r="AL163" s="40" t="s">
        <v>634</v>
      </c>
      <c r="AM163" s="40"/>
      <c r="AN163" s="40" t="s">
        <v>97</v>
      </c>
      <c r="AO163" s="40" t="s">
        <v>634</v>
      </c>
      <c r="AP163" s="40"/>
      <c r="AQ163" s="40"/>
      <c r="AR163" s="40"/>
      <c r="AS163" s="40"/>
      <c r="AT163" s="40"/>
      <c r="AU163" s="40"/>
      <c r="AV163" s="40"/>
      <c r="AW163" s="40"/>
      <c r="AX163" s="40"/>
      <c r="AY163" s="40"/>
      <c r="AZ163" s="40"/>
    </row>
    <row r="164" spans="1:52" s="71" customFormat="1" ht="12" thickBot="1" x14ac:dyDescent="0.2">
      <c r="A164" s="37" t="s">
        <v>59</v>
      </c>
      <c r="B164" s="38" t="s">
        <v>147</v>
      </c>
      <c r="C164" s="109" t="str">
        <f>HYPERLINK(Hoofddocument!$H$164,Hoofddocument!$G$164)</f>
        <v>Big Data Fundamentals</v>
      </c>
      <c r="D164" s="38" t="s">
        <v>166</v>
      </c>
      <c r="E164" s="38" t="s">
        <v>12</v>
      </c>
      <c r="F164" s="38" t="s">
        <v>315</v>
      </c>
      <c r="G164" s="38" t="s">
        <v>148</v>
      </c>
      <c r="H164" s="64" t="s">
        <v>149</v>
      </c>
      <c r="I164" s="41"/>
      <c r="J164" s="39"/>
      <c r="K164" s="39"/>
      <c r="L164" s="39"/>
      <c r="M164" s="39" t="s">
        <v>634</v>
      </c>
      <c r="N164" s="40"/>
      <c r="O164" s="40" t="s">
        <v>634</v>
      </c>
      <c r="P164" s="40" t="s">
        <v>634</v>
      </c>
      <c r="Q164" s="40"/>
      <c r="R164" s="40"/>
      <c r="S164" s="40"/>
      <c r="T164" s="40"/>
      <c r="U164" s="40" t="s">
        <v>97</v>
      </c>
      <c r="V164" s="40"/>
      <c r="W164" s="40"/>
      <c r="X164" s="40"/>
      <c r="Y164" s="40"/>
      <c r="Z164" s="40"/>
      <c r="AA164" s="40" t="s">
        <v>97</v>
      </c>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row>
    <row r="165" spans="1:52" s="71" customFormat="1" ht="12" thickBot="1" x14ac:dyDescent="0.2">
      <c r="A165" s="37" t="s">
        <v>59</v>
      </c>
      <c r="B165" s="38" t="s">
        <v>147</v>
      </c>
      <c r="C165" s="109" t="str">
        <f>HYPERLINK(Hoofddocument!$H$165,Hoofddocument!$G$165)</f>
        <v>DAMA DMBOK Data Management Fundamentals</v>
      </c>
      <c r="D165" s="38" t="s">
        <v>166</v>
      </c>
      <c r="E165" s="38" t="s">
        <v>12</v>
      </c>
      <c r="F165" s="38" t="s">
        <v>316</v>
      </c>
      <c r="G165" s="38" t="s">
        <v>317</v>
      </c>
      <c r="H165" s="64" t="s">
        <v>150</v>
      </c>
      <c r="I165" s="41"/>
      <c r="J165" s="39"/>
      <c r="K165" s="39"/>
      <c r="L165" s="39"/>
      <c r="M165" s="39"/>
      <c r="N165" s="40" t="s">
        <v>634</v>
      </c>
      <c r="O165" s="40" t="s">
        <v>634</v>
      </c>
      <c r="P165" s="40" t="s">
        <v>634</v>
      </c>
      <c r="Q165" s="40"/>
      <c r="R165" s="40"/>
      <c r="S165" s="40"/>
      <c r="T165" s="40"/>
      <c r="U165" s="40"/>
      <c r="V165" s="40"/>
      <c r="W165" s="40"/>
      <c r="X165" s="40"/>
      <c r="Y165" s="40"/>
      <c r="Z165" s="40"/>
      <c r="AA165" s="40"/>
      <c r="AB165" s="40"/>
      <c r="AC165" s="40"/>
      <c r="AD165" s="40"/>
      <c r="AE165" s="40"/>
      <c r="AF165" s="40"/>
      <c r="AG165" s="40"/>
      <c r="AH165" s="40"/>
      <c r="AI165" s="40"/>
      <c r="AJ165" s="40"/>
      <c r="AK165" s="40"/>
      <c r="AL165" s="40"/>
      <c r="AM165" s="40"/>
      <c r="AN165" s="40"/>
      <c r="AO165" s="40"/>
      <c r="AP165" s="40"/>
      <c r="AQ165" s="40"/>
      <c r="AR165" s="40"/>
      <c r="AS165" s="40"/>
      <c r="AT165" s="40"/>
      <c r="AU165" s="40"/>
      <c r="AV165" s="40"/>
      <c r="AW165" s="40" t="s">
        <v>634</v>
      </c>
      <c r="AX165" s="40"/>
      <c r="AY165" s="40"/>
      <c r="AZ165" s="40"/>
    </row>
    <row r="166" spans="1:52" s="71" customFormat="1" ht="12" thickBot="1" x14ac:dyDescent="0.2">
      <c r="A166" s="37" t="s">
        <v>59</v>
      </c>
      <c r="B166" s="38" t="s">
        <v>147</v>
      </c>
      <c r="C166" s="109" t="str">
        <f>HYPERLINK(Hoofddocument!$H$166,Hoofddocument!$G$166)</f>
        <v>Datawarehouse Concepts</v>
      </c>
      <c r="D166" s="38"/>
      <c r="E166" s="38" t="s">
        <v>658</v>
      </c>
      <c r="F166" s="38"/>
      <c r="G166" s="38" t="s">
        <v>672</v>
      </c>
      <c r="H166" s="64" t="s">
        <v>151</v>
      </c>
      <c r="I166" s="41"/>
      <c r="J166" s="39"/>
      <c r="K166" s="39"/>
      <c r="L166" s="39"/>
      <c r="M166" s="39" t="s">
        <v>634</v>
      </c>
      <c r="N166" s="40" t="s">
        <v>634</v>
      </c>
      <c r="O166" s="40" t="s">
        <v>634</v>
      </c>
      <c r="P166" s="40" t="s">
        <v>634</v>
      </c>
      <c r="Q166" s="40"/>
      <c r="R166" s="40"/>
      <c r="S166" s="40"/>
      <c r="T166" s="40"/>
      <c r="U166" s="40"/>
      <c r="V166" s="40"/>
      <c r="W166" s="40"/>
      <c r="X166" s="40"/>
      <c r="Y166" s="40"/>
      <c r="Z166" s="40"/>
      <c r="AA166" s="40"/>
      <c r="AB166" s="40"/>
      <c r="AC166" s="40"/>
      <c r="AD166" s="40"/>
      <c r="AE166" s="40"/>
      <c r="AF166" s="40"/>
      <c r="AG166" s="40"/>
      <c r="AH166" s="40"/>
      <c r="AI166" s="40"/>
      <c r="AJ166" s="40"/>
      <c r="AK166" s="40"/>
      <c r="AL166" s="40"/>
      <c r="AM166" s="40"/>
      <c r="AN166" s="40"/>
      <c r="AO166" s="40"/>
      <c r="AP166" s="40"/>
      <c r="AQ166" s="40"/>
      <c r="AR166" s="40"/>
      <c r="AS166" s="40"/>
      <c r="AT166" s="40"/>
      <c r="AU166" s="40"/>
      <c r="AV166" s="40"/>
      <c r="AW166" s="40"/>
      <c r="AX166" s="40"/>
      <c r="AY166" s="40"/>
      <c r="AZ166" s="40"/>
    </row>
    <row r="167" spans="1:52" s="71" customFormat="1" ht="12" thickBot="1" x14ac:dyDescent="0.2">
      <c r="A167" s="37" t="s">
        <v>59</v>
      </c>
      <c r="B167" s="38" t="s">
        <v>147</v>
      </c>
      <c r="C167" s="109" t="str">
        <f>HYPERLINK(Hoofddocument!$H$167,Hoofddocument!$G$167)</f>
        <v>Master Data Management</v>
      </c>
      <c r="D167" s="38"/>
      <c r="E167" s="38" t="s">
        <v>658</v>
      </c>
      <c r="F167" s="38"/>
      <c r="G167" s="38" t="s">
        <v>152</v>
      </c>
      <c r="H167" s="64" t="s">
        <v>153</v>
      </c>
      <c r="I167" s="41"/>
      <c r="J167" s="39"/>
      <c r="K167" s="39"/>
      <c r="L167" s="39"/>
      <c r="M167" s="39"/>
      <c r="N167" s="40"/>
      <c r="O167" s="40" t="s">
        <v>634</v>
      </c>
      <c r="P167" s="40" t="s">
        <v>634</v>
      </c>
      <c r="Q167" s="40"/>
      <c r="R167" s="40"/>
      <c r="S167" s="40"/>
      <c r="T167" s="40"/>
      <c r="U167" s="40"/>
      <c r="V167" s="40"/>
      <c r="W167" s="40"/>
      <c r="X167" s="40"/>
      <c r="Y167" s="40"/>
      <c r="Z167" s="40"/>
      <c r="AA167" s="40"/>
      <c r="AB167" s="40"/>
      <c r="AC167" s="40"/>
      <c r="AD167" s="40"/>
      <c r="AE167" s="40"/>
      <c r="AF167" s="40"/>
      <c r="AG167" s="40"/>
      <c r="AH167" s="40"/>
      <c r="AI167" s="40"/>
      <c r="AJ167" s="40"/>
      <c r="AK167" s="40"/>
      <c r="AL167" s="40"/>
      <c r="AM167" s="40"/>
      <c r="AN167" s="40"/>
      <c r="AO167" s="40"/>
      <c r="AP167" s="40"/>
      <c r="AQ167" s="40"/>
      <c r="AR167" s="40"/>
      <c r="AS167" s="40"/>
      <c r="AT167" s="40"/>
      <c r="AU167" s="40"/>
      <c r="AV167" s="40"/>
      <c r="AW167" s="40"/>
      <c r="AX167" s="40" t="s">
        <v>634</v>
      </c>
      <c r="AY167" s="40"/>
      <c r="AZ167" s="40"/>
    </row>
    <row r="168" spans="1:52" s="71" customFormat="1" ht="12" thickBot="1" x14ac:dyDescent="0.2">
      <c r="A168" s="37" t="s">
        <v>59</v>
      </c>
      <c r="B168" s="38" t="s">
        <v>458</v>
      </c>
      <c r="C168" s="109" t="str">
        <f>HYPERLINK(Hoofddocument!$H$168,Hoofddocument!$G$168)</f>
        <v>SQL Fundamentals</v>
      </c>
      <c r="D168" s="38" t="s">
        <v>166</v>
      </c>
      <c r="E168" s="38" t="s">
        <v>12</v>
      </c>
      <c r="F168" s="38" t="s">
        <v>674</v>
      </c>
      <c r="G168" s="38" t="s">
        <v>673</v>
      </c>
      <c r="H168" s="64" t="s">
        <v>613</v>
      </c>
      <c r="I168" s="41"/>
      <c r="J168" s="39"/>
      <c r="K168" s="39" t="s">
        <v>97</v>
      </c>
      <c r="L168" s="39"/>
      <c r="M168" s="39"/>
      <c r="N168" s="40"/>
      <c r="O168" s="40"/>
      <c r="P168" s="40"/>
      <c r="Q168" s="40"/>
      <c r="R168" s="40"/>
      <c r="S168" s="40"/>
      <c r="T168" s="40"/>
      <c r="U168" s="40" t="s">
        <v>634</v>
      </c>
      <c r="V168" s="40"/>
      <c r="W168" s="40"/>
      <c r="X168" s="40"/>
      <c r="Y168" s="40"/>
      <c r="Z168" s="40"/>
      <c r="AA168" s="40"/>
      <c r="AB168" s="40"/>
      <c r="AC168" s="40"/>
      <c r="AD168" s="40"/>
      <c r="AE168" s="40"/>
      <c r="AF168" s="40"/>
      <c r="AG168" s="40"/>
      <c r="AH168" s="40"/>
      <c r="AI168" s="40"/>
      <c r="AJ168" s="40"/>
      <c r="AK168" s="40"/>
      <c r="AL168" s="40"/>
      <c r="AM168" s="40" t="s">
        <v>634</v>
      </c>
      <c r="AN168" s="40"/>
      <c r="AO168" s="40"/>
      <c r="AP168" s="40"/>
      <c r="AQ168" s="40" t="s">
        <v>634</v>
      </c>
      <c r="AR168" s="40"/>
      <c r="AS168" s="40"/>
      <c r="AT168" s="40"/>
      <c r="AU168" s="40"/>
      <c r="AV168" s="40"/>
      <c r="AW168" s="40"/>
      <c r="AX168" s="40"/>
      <c r="AY168" s="40"/>
      <c r="AZ168" s="40"/>
    </row>
    <row r="169" spans="1:52" s="71" customFormat="1" ht="12" thickBot="1" x14ac:dyDescent="0.2">
      <c r="A169" s="37" t="s">
        <v>59</v>
      </c>
      <c r="B169" s="38" t="s">
        <v>414</v>
      </c>
      <c r="C169" s="109" t="str">
        <f>HYPERLINK(Hoofddocument!$H$169,Hoofddocument!$G$169)</f>
        <v>Cursus Object Orientation, RUP and UML 2.0 | Computrain</v>
      </c>
      <c r="D169" s="38"/>
      <c r="E169" s="38" t="s">
        <v>207</v>
      </c>
      <c r="F169" s="38"/>
      <c r="G169" s="38" t="s">
        <v>283</v>
      </c>
      <c r="H169" s="64" t="s">
        <v>415</v>
      </c>
      <c r="I169" s="41"/>
      <c r="J169" s="39"/>
      <c r="K169" s="39"/>
      <c r="L169" s="39"/>
      <c r="M169" s="39"/>
      <c r="N169" s="40"/>
      <c r="O169" s="40"/>
      <c r="P169" s="40"/>
      <c r="Q169" s="40"/>
      <c r="R169" s="40" t="s">
        <v>97</v>
      </c>
      <c r="S169" s="40" t="s">
        <v>634</v>
      </c>
      <c r="T169" s="40"/>
      <c r="U169" s="40"/>
      <c r="V169" s="40"/>
      <c r="W169" s="40"/>
      <c r="X169" s="40"/>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row>
    <row r="170" spans="1:52" s="71" customFormat="1" ht="12" thickBot="1" x14ac:dyDescent="0.2">
      <c r="A170" s="37" t="s">
        <v>68</v>
      </c>
      <c r="B170" s="38" t="s">
        <v>726</v>
      </c>
      <c r="C170" s="109" t="str">
        <f>HYPERLINK(Hoofddocument!$H$170,Hoofddocument!$G$170)</f>
        <v>Aanbestedingsrecht Basis</v>
      </c>
      <c r="D170" s="38" t="s">
        <v>166</v>
      </c>
      <c r="E170" s="38" t="s">
        <v>12</v>
      </c>
      <c r="F170" s="38" t="s">
        <v>760</v>
      </c>
      <c r="G170" s="38" t="s">
        <v>821</v>
      </c>
      <c r="H170" s="64" t="s">
        <v>894</v>
      </c>
      <c r="I170" s="41"/>
      <c r="J170" s="39"/>
      <c r="K170" s="39"/>
      <c r="L170" s="39"/>
      <c r="M170" s="39"/>
      <c r="N170" s="40"/>
      <c r="O170" s="40"/>
      <c r="P170" s="40"/>
      <c r="Q170" s="40"/>
      <c r="R170" s="40"/>
      <c r="S170" s="40"/>
      <c r="T170" s="40"/>
      <c r="U170" s="40"/>
      <c r="V170" s="40"/>
      <c r="W170" s="40"/>
      <c r="X170" s="40"/>
      <c r="Y170" s="40"/>
      <c r="Z170" s="40"/>
      <c r="AA170" s="40"/>
      <c r="AB170" s="40"/>
      <c r="AC170" s="40"/>
      <c r="AD170" s="40" t="s">
        <v>97</v>
      </c>
      <c r="AE170" s="40"/>
      <c r="AF170" s="40" t="s">
        <v>97</v>
      </c>
      <c r="AG170" s="40"/>
      <c r="AH170" s="40"/>
      <c r="AI170" s="40"/>
      <c r="AJ170" s="40"/>
      <c r="AK170" s="40"/>
      <c r="AL170" s="40"/>
      <c r="AM170" s="40"/>
      <c r="AN170" s="40"/>
      <c r="AO170" s="40"/>
      <c r="AP170" s="40"/>
      <c r="AQ170" s="40"/>
      <c r="AR170" s="40"/>
      <c r="AS170" s="40"/>
      <c r="AT170" s="40"/>
      <c r="AU170" s="40"/>
      <c r="AV170" s="40"/>
      <c r="AW170" s="40"/>
      <c r="AX170" s="40"/>
      <c r="AY170" s="40"/>
      <c r="AZ170" s="40"/>
    </row>
    <row r="171" spans="1:52" s="71" customFormat="1" ht="12" thickBot="1" x14ac:dyDescent="0.2">
      <c r="A171" s="37" t="s">
        <v>68</v>
      </c>
      <c r="B171" s="38" t="s">
        <v>991</v>
      </c>
      <c r="C171" s="109" t="str">
        <f>HYPERLINK(Hoofddocument!$H$171,Hoofddocument!$G$171)</f>
        <v>IAITAM Certified Software Asset Manager (CSAM)</v>
      </c>
      <c r="D171" s="38"/>
      <c r="E171" s="38" t="s">
        <v>992</v>
      </c>
      <c r="F171" s="44"/>
      <c r="G171" s="121" t="s">
        <v>993</v>
      </c>
      <c r="H171" s="64" t="s">
        <v>994</v>
      </c>
      <c r="I171" s="41"/>
      <c r="J171" s="39"/>
      <c r="K171" s="39"/>
      <c r="L171" s="40"/>
      <c r="M171" s="40"/>
      <c r="N171" s="40"/>
      <c r="O171" s="40"/>
      <c r="P171" s="40"/>
      <c r="Q171" s="40"/>
      <c r="R171" s="40"/>
      <c r="S171" s="40"/>
      <c r="T171" s="40"/>
      <c r="U171" s="40"/>
      <c r="V171" s="40"/>
      <c r="W171" s="39"/>
      <c r="X171" s="40"/>
      <c r="Y171" s="40"/>
      <c r="Z171" s="40"/>
      <c r="AA171" s="40"/>
      <c r="AB171" s="40"/>
      <c r="AC171" s="40"/>
      <c r="AD171" s="40"/>
      <c r="AE171" s="40"/>
      <c r="AF171" s="40"/>
      <c r="AG171" s="40"/>
      <c r="AH171" s="40"/>
      <c r="AI171" s="40"/>
      <c r="AJ171" s="40"/>
      <c r="AK171" s="40"/>
      <c r="AL171" s="40"/>
      <c r="AM171" s="40"/>
      <c r="AN171" s="40"/>
      <c r="AO171" s="40"/>
      <c r="AP171" s="40"/>
      <c r="AQ171" s="40"/>
      <c r="AR171" s="40"/>
      <c r="AS171" s="40"/>
      <c r="AT171" s="40"/>
      <c r="AU171" s="40"/>
      <c r="AV171" s="40"/>
      <c r="AW171" s="121" t="s">
        <v>97</v>
      </c>
      <c r="AX171" s="121" t="s">
        <v>97</v>
      </c>
      <c r="AY171" s="40"/>
      <c r="AZ171" s="40"/>
    </row>
    <row r="172" spans="1:52" s="71" customFormat="1" ht="12" thickBot="1" x14ac:dyDescent="0.2">
      <c r="A172" s="37" t="s">
        <v>68</v>
      </c>
      <c r="B172" s="38" t="s">
        <v>725</v>
      </c>
      <c r="C172" s="38" t="s">
        <v>819</v>
      </c>
      <c r="D172" s="38"/>
      <c r="E172" s="38" t="s">
        <v>759</v>
      </c>
      <c r="F172" s="38"/>
      <c r="G172" s="38" t="s">
        <v>819</v>
      </c>
      <c r="H172" s="64"/>
      <c r="I172" s="41"/>
      <c r="J172" s="39"/>
      <c r="K172" s="39"/>
      <c r="L172" s="39"/>
      <c r="M172" s="39"/>
      <c r="N172" s="40"/>
      <c r="O172" s="40"/>
      <c r="P172" s="40"/>
      <c r="Q172" s="40"/>
      <c r="R172" s="40"/>
      <c r="S172" s="40"/>
      <c r="T172" s="40"/>
      <c r="U172" s="40"/>
      <c r="V172" s="40"/>
      <c r="W172" s="40"/>
      <c r="X172" s="40"/>
      <c r="Y172" s="40" t="s">
        <v>97</v>
      </c>
      <c r="Z172" s="40" t="s">
        <v>97</v>
      </c>
      <c r="AA172" s="40"/>
      <c r="AB172" s="40"/>
      <c r="AC172" s="40"/>
      <c r="AD172" s="40"/>
      <c r="AE172" s="40"/>
      <c r="AF172" s="40"/>
      <c r="AG172" s="40"/>
      <c r="AH172" s="40"/>
      <c r="AI172" s="40"/>
      <c r="AJ172" s="40"/>
      <c r="AK172" s="40"/>
      <c r="AL172" s="40"/>
      <c r="AM172" s="40"/>
      <c r="AN172" s="40"/>
      <c r="AO172" s="40"/>
      <c r="AP172" s="40"/>
      <c r="AQ172" s="40"/>
      <c r="AR172" s="40"/>
      <c r="AS172" s="40"/>
      <c r="AT172" s="40"/>
      <c r="AU172" s="40"/>
      <c r="AV172" s="40"/>
      <c r="AW172" s="40"/>
      <c r="AX172" s="40"/>
      <c r="AY172" s="40"/>
      <c r="AZ172" s="40"/>
    </row>
    <row r="173" spans="1:52" s="71" customFormat="1" ht="12" thickBot="1" x14ac:dyDescent="0.2">
      <c r="A173" s="37" t="s">
        <v>68</v>
      </c>
      <c r="B173" s="38" t="s">
        <v>995</v>
      </c>
      <c r="C173" s="109" t="str">
        <f>HYPERLINK(Hoofddocument!$H$173,Hoofddocument!$G$173)</f>
        <v>IAITAM Certified IT Asset Manager (CITAM)</v>
      </c>
      <c r="D173" s="38"/>
      <c r="E173" s="38" t="s">
        <v>992</v>
      </c>
      <c r="F173" s="44"/>
      <c r="G173" s="121" t="s">
        <v>996</v>
      </c>
      <c r="H173" s="64" t="s">
        <v>997</v>
      </c>
      <c r="I173" s="41"/>
      <c r="J173" s="39"/>
      <c r="K173" s="39"/>
      <c r="L173" s="40"/>
      <c r="M173" s="40"/>
      <c r="N173" s="40"/>
      <c r="O173" s="40"/>
      <c r="P173" s="40"/>
      <c r="Q173" s="40"/>
      <c r="R173" s="40"/>
      <c r="S173" s="40"/>
      <c r="T173" s="40"/>
      <c r="U173" s="40"/>
      <c r="V173" s="40"/>
      <c r="W173" s="39"/>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121" t="s">
        <v>97</v>
      </c>
      <c r="AX173" s="121" t="s">
        <v>97</v>
      </c>
      <c r="AY173" s="40"/>
      <c r="AZ173" s="40"/>
    </row>
    <row r="174" spans="1:52" s="71" customFormat="1" ht="12" thickBot="1" x14ac:dyDescent="0.2">
      <c r="A174" s="37" t="s">
        <v>68</v>
      </c>
      <c r="B174" s="38" t="s">
        <v>68</v>
      </c>
      <c r="C174" s="109" t="str">
        <f>HYPERLINK(Hoofddocument!$H$174,Hoofddocument!$G$174)</f>
        <v>Masterclass IT Demand- en Leveranciersmanagement</v>
      </c>
      <c r="D174" s="38" t="s">
        <v>166</v>
      </c>
      <c r="E174" s="38" t="s">
        <v>12</v>
      </c>
      <c r="F174" s="38" t="s">
        <v>675</v>
      </c>
      <c r="G174" s="38" t="s">
        <v>453</v>
      </c>
      <c r="H174" s="64" t="s">
        <v>454</v>
      </c>
      <c r="I174" s="41"/>
      <c r="J174" s="39"/>
      <c r="K174" s="39"/>
      <c r="L174" s="39"/>
      <c r="M174" s="39"/>
      <c r="N174" s="40"/>
      <c r="O174" s="40"/>
      <c r="P174" s="40"/>
      <c r="Q174" s="40"/>
      <c r="R174" s="40"/>
      <c r="S174" s="40"/>
      <c r="T174" s="40"/>
      <c r="U174" s="40" t="s">
        <v>97</v>
      </c>
      <c r="V174" s="40"/>
      <c r="W174" s="40"/>
      <c r="X174" s="40"/>
      <c r="Y174" s="40"/>
      <c r="Z174" s="40"/>
      <c r="AA174" s="40" t="s">
        <v>634</v>
      </c>
      <c r="AB174" s="40"/>
      <c r="AC174" s="40"/>
      <c r="AD174" s="40"/>
      <c r="AE174" s="40" t="s">
        <v>634</v>
      </c>
      <c r="AF174" s="40"/>
      <c r="AG174" s="40"/>
      <c r="AH174" s="40" t="s">
        <v>97</v>
      </c>
      <c r="AI174" s="40" t="s">
        <v>97</v>
      </c>
      <c r="AJ174" s="40"/>
      <c r="AK174" s="40"/>
      <c r="AL174" s="40"/>
      <c r="AM174" s="40"/>
      <c r="AN174" s="40"/>
      <c r="AO174" s="40"/>
      <c r="AP174" s="40"/>
      <c r="AQ174" s="40"/>
      <c r="AR174" s="40"/>
      <c r="AS174" s="40"/>
      <c r="AT174" s="40"/>
      <c r="AU174" s="40"/>
      <c r="AV174" s="40"/>
      <c r="AW174" s="40"/>
      <c r="AX174" s="40"/>
      <c r="AY174" s="40"/>
      <c r="AZ174" s="40"/>
    </row>
    <row r="175" spans="1:52" s="71" customFormat="1" ht="12" thickBot="1" x14ac:dyDescent="0.2">
      <c r="A175" s="37" t="s">
        <v>68</v>
      </c>
      <c r="B175" s="38" t="s">
        <v>68</v>
      </c>
      <c r="C175" s="109" t="str">
        <f>HYPERLINK(Hoofddocument!$H$175,Hoofddocument!$G$175)</f>
        <v>Leveranciersmanagement</v>
      </c>
      <c r="D175" s="38"/>
      <c r="E175" s="38" t="s">
        <v>761</v>
      </c>
      <c r="F175" s="38"/>
      <c r="G175" s="38" t="s">
        <v>68</v>
      </c>
      <c r="H175" s="64" t="s">
        <v>895</v>
      </c>
      <c r="I175" s="41"/>
      <c r="J175" s="39"/>
      <c r="K175" s="39"/>
      <c r="L175" s="39"/>
      <c r="M175" s="39"/>
      <c r="N175" s="40"/>
      <c r="O175" s="40"/>
      <c r="P175" s="40"/>
      <c r="Q175" s="40"/>
      <c r="R175" s="40"/>
      <c r="S175" s="40"/>
      <c r="T175" s="40"/>
      <c r="U175" s="40"/>
      <c r="V175" s="40"/>
      <c r="W175" s="40"/>
      <c r="X175" s="40"/>
      <c r="Y175" s="40"/>
      <c r="Z175" s="40"/>
      <c r="AA175" s="40"/>
      <c r="AB175" s="40"/>
      <c r="AC175" s="40"/>
      <c r="AD175" s="40"/>
      <c r="AE175" s="40" t="s">
        <v>97</v>
      </c>
      <c r="AF175" s="40"/>
      <c r="AG175" s="40"/>
      <c r="AH175" s="40"/>
      <c r="AI175" s="40"/>
      <c r="AJ175" s="40"/>
      <c r="AK175" s="40"/>
      <c r="AL175" s="40"/>
      <c r="AM175" s="40"/>
      <c r="AN175" s="40"/>
      <c r="AO175" s="40"/>
      <c r="AP175" s="40"/>
      <c r="AQ175" s="40"/>
      <c r="AR175" s="40"/>
      <c r="AS175" s="40"/>
      <c r="AT175" s="40"/>
      <c r="AU175" s="40"/>
      <c r="AV175" s="40"/>
      <c r="AW175" s="40"/>
      <c r="AX175" s="40"/>
      <c r="AY175" s="40"/>
      <c r="AZ175" s="40"/>
    </row>
    <row r="176" spans="1:52" s="71" customFormat="1" ht="12" thickBot="1" x14ac:dyDescent="0.2">
      <c r="A176" s="37" t="s">
        <v>68</v>
      </c>
      <c r="B176" s="38" t="s">
        <v>68</v>
      </c>
      <c r="C176" s="109" t="str">
        <f>HYPERLINK(Hoofddocument!$H$176,Hoofddocument!$G$176)</f>
        <v>Sourcing Foundation</v>
      </c>
      <c r="D176" s="38"/>
      <c r="E176" s="38" t="s">
        <v>762</v>
      </c>
      <c r="F176" s="38"/>
      <c r="G176" s="38" t="s">
        <v>822</v>
      </c>
      <c r="H176" s="64" t="s">
        <v>896</v>
      </c>
      <c r="I176" s="41"/>
      <c r="J176" s="39"/>
      <c r="K176" s="39"/>
      <c r="L176" s="39"/>
      <c r="M176" s="39"/>
      <c r="N176" s="40"/>
      <c r="O176" s="40"/>
      <c r="P176" s="40"/>
      <c r="Q176" s="40"/>
      <c r="R176" s="40"/>
      <c r="S176" s="40"/>
      <c r="T176" s="40"/>
      <c r="U176" s="40"/>
      <c r="V176" s="40"/>
      <c r="W176" s="40"/>
      <c r="X176" s="40"/>
      <c r="Y176" s="40"/>
      <c r="Z176" s="40"/>
      <c r="AA176" s="40"/>
      <c r="AB176" s="40"/>
      <c r="AC176" s="40"/>
      <c r="AD176" s="40" t="s">
        <v>97</v>
      </c>
      <c r="AE176" s="40" t="s">
        <v>97</v>
      </c>
      <c r="AF176" s="40"/>
      <c r="AG176" s="40"/>
      <c r="AH176" s="40"/>
      <c r="AI176" s="40"/>
      <c r="AJ176" s="40"/>
      <c r="AK176" s="40"/>
      <c r="AL176" s="40"/>
      <c r="AM176" s="40"/>
      <c r="AN176" s="40"/>
      <c r="AO176" s="40"/>
      <c r="AP176" s="40"/>
      <c r="AQ176" s="40"/>
      <c r="AR176" s="40"/>
      <c r="AS176" s="40"/>
      <c r="AT176" s="40"/>
      <c r="AU176" s="40"/>
      <c r="AV176" s="40"/>
      <c r="AW176" s="40"/>
      <c r="AX176" s="40"/>
      <c r="AY176" s="40"/>
      <c r="AZ176" s="40"/>
    </row>
    <row r="177" spans="1:52" s="71" customFormat="1" ht="12" thickBot="1" x14ac:dyDescent="0.2">
      <c r="A177" s="46" t="s">
        <v>65</v>
      </c>
      <c r="B177" s="55" t="s">
        <v>332</v>
      </c>
      <c r="C177" s="109" t="str">
        <f>HYPERLINK(Hoofddocument!$H$177,Hoofddocument!$G$177)</f>
        <v>Natuurlijk Assertief Gedrag</v>
      </c>
      <c r="D177" s="45" t="s">
        <v>166</v>
      </c>
      <c r="E177" s="45" t="s">
        <v>12</v>
      </c>
      <c r="F177" s="38" t="s">
        <v>335</v>
      </c>
      <c r="G177" s="38" t="s">
        <v>336</v>
      </c>
      <c r="H177" s="49" t="s">
        <v>575</v>
      </c>
      <c r="I177" s="41" t="s">
        <v>97</v>
      </c>
      <c r="J177" s="47"/>
      <c r="K177" s="47"/>
      <c r="L177" s="47"/>
      <c r="M177" s="47"/>
      <c r="N177" s="47"/>
      <c r="O177" s="47"/>
      <c r="P177" s="47"/>
      <c r="Q177" s="47"/>
      <c r="R177" s="47"/>
      <c r="S177" s="47"/>
      <c r="T177" s="47"/>
      <c r="U177" s="47"/>
      <c r="V177" s="47"/>
      <c r="W177" s="47"/>
      <c r="X177" s="47"/>
      <c r="Y177" s="47"/>
      <c r="Z177" s="47"/>
      <c r="AA177" s="47" t="s">
        <v>97</v>
      </c>
      <c r="AB177" s="47"/>
      <c r="AC177" s="47"/>
      <c r="AD177" s="47"/>
      <c r="AE177" s="47"/>
      <c r="AF177" s="47"/>
      <c r="AG177" s="47" t="s">
        <v>634</v>
      </c>
      <c r="AH177" s="40"/>
      <c r="AI177" s="40"/>
      <c r="AJ177" s="40"/>
      <c r="AK177" s="40" t="s">
        <v>97</v>
      </c>
      <c r="AL177" s="40"/>
      <c r="AM177" s="40"/>
      <c r="AN177" s="40"/>
      <c r="AO177" s="40"/>
      <c r="AP177" s="40"/>
      <c r="AQ177" s="40"/>
      <c r="AR177" s="40"/>
      <c r="AS177" s="40"/>
      <c r="AT177" s="40"/>
      <c r="AU177" s="40"/>
      <c r="AV177" s="40"/>
      <c r="AW177" s="40"/>
      <c r="AX177" s="40"/>
      <c r="AY177" s="40"/>
      <c r="AZ177" s="40"/>
    </row>
    <row r="178" spans="1:52" s="71" customFormat="1" ht="12" thickBot="1" x14ac:dyDescent="0.2">
      <c r="A178" s="37" t="s">
        <v>65</v>
      </c>
      <c r="B178" s="55" t="s">
        <v>332</v>
      </c>
      <c r="C178" s="109" t="str">
        <f>HYPERLINK(Hoofddocument!$H$178,Hoofddocument!$G$178)</f>
        <v>Assertief en Zelfverzekerd Communiceren</v>
      </c>
      <c r="D178" s="44" t="s">
        <v>166</v>
      </c>
      <c r="E178" s="44" t="s">
        <v>12</v>
      </c>
      <c r="F178" s="44" t="s">
        <v>202</v>
      </c>
      <c r="G178" s="38" t="s">
        <v>203</v>
      </c>
      <c r="H178" s="64" t="s">
        <v>530</v>
      </c>
      <c r="I178" s="41"/>
      <c r="J178" s="39" t="s">
        <v>97</v>
      </c>
      <c r="K178" s="39"/>
      <c r="L178" s="39"/>
      <c r="M178" s="39"/>
      <c r="N178" s="39"/>
      <c r="O178" s="39"/>
      <c r="P178" s="39"/>
      <c r="Q178" s="39"/>
      <c r="R178" s="40"/>
      <c r="S178" s="40"/>
      <c r="T178" s="40"/>
      <c r="U178" s="40"/>
      <c r="V178" s="40"/>
      <c r="W178" s="40"/>
      <c r="X178" s="40"/>
      <c r="Y178" s="40"/>
      <c r="Z178" s="40"/>
      <c r="AA178" s="40" t="s">
        <v>634</v>
      </c>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row>
    <row r="179" spans="1:52" s="71" customFormat="1" ht="12" thickBot="1" x14ac:dyDescent="0.2">
      <c r="A179" s="37" t="s">
        <v>65</v>
      </c>
      <c r="B179" s="38" t="s">
        <v>727</v>
      </c>
      <c r="C179" s="109" t="str">
        <f>HYPERLINK(Hoofddocument!$H$179,Hoofddocument!$G$179)</f>
        <v>Schrijven van Beschikkingen en Rapportages</v>
      </c>
      <c r="D179" s="38" t="s">
        <v>166</v>
      </c>
      <c r="E179" s="38" t="s">
        <v>12</v>
      </c>
      <c r="F179" s="38" t="s">
        <v>763</v>
      </c>
      <c r="G179" s="38" t="s">
        <v>823</v>
      </c>
      <c r="H179" s="64" t="s">
        <v>897</v>
      </c>
      <c r="I179" s="41"/>
      <c r="J179" s="39"/>
      <c r="K179" s="39"/>
      <c r="L179" s="39"/>
      <c r="M179" s="39"/>
      <c r="N179" s="40"/>
      <c r="O179" s="40"/>
      <c r="P179" s="40"/>
      <c r="Q179" s="40"/>
      <c r="R179" s="40"/>
      <c r="S179" s="40"/>
      <c r="T179" s="40"/>
      <c r="U179" s="40"/>
      <c r="V179" s="40"/>
      <c r="W179" s="40"/>
      <c r="X179" s="40"/>
      <c r="Y179" s="40"/>
      <c r="Z179" s="40"/>
      <c r="AA179" s="40"/>
      <c r="AB179" s="40"/>
      <c r="AC179" s="40"/>
      <c r="AD179" s="40"/>
      <c r="AE179" s="40"/>
      <c r="AF179" s="40" t="s">
        <v>97</v>
      </c>
      <c r="AG179" s="40"/>
      <c r="AH179" s="40"/>
      <c r="AI179" s="40"/>
      <c r="AJ179" s="40"/>
      <c r="AK179" s="40"/>
      <c r="AL179" s="40"/>
      <c r="AM179" s="40"/>
      <c r="AN179" s="40"/>
      <c r="AO179" s="40"/>
      <c r="AP179" s="40"/>
      <c r="AQ179" s="40"/>
      <c r="AR179" s="40"/>
      <c r="AS179" s="40"/>
      <c r="AT179" s="40"/>
      <c r="AU179" s="40"/>
      <c r="AV179" s="40"/>
      <c r="AW179" s="40"/>
      <c r="AX179" s="40"/>
      <c r="AY179" s="40"/>
      <c r="AZ179" s="40"/>
    </row>
    <row r="180" spans="1:52" s="71" customFormat="1" ht="12" thickBot="1" x14ac:dyDescent="0.2">
      <c r="A180" s="37" t="s">
        <v>65</v>
      </c>
      <c r="B180" s="38" t="s">
        <v>727</v>
      </c>
      <c r="C180" s="109" t="str">
        <f>HYPERLINK(Hoofddocument!$H$180,Hoofddocument!$G$180)</f>
        <v>Beleid maken en Beleid schrijven</v>
      </c>
      <c r="D180" s="38" t="s">
        <v>166</v>
      </c>
      <c r="E180" s="38" t="s">
        <v>12</v>
      </c>
      <c r="F180" s="38" t="s">
        <v>764</v>
      </c>
      <c r="G180" s="38" t="s">
        <v>824</v>
      </c>
      <c r="H180" s="64" t="s">
        <v>898</v>
      </c>
      <c r="I180" s="41"/>
      <c r="J180" s="39"/>
      <c r="K180" s="39"/>
      <c r="L180" s="39"/>
      <c r="M180" s="39"/>
      <c r="N180" s="40"/>
      <c r="O180" s="40"/>
      <c r="P180" s="40"/>
      <c r="Q180" s="40"/>
      <c r="R180" s="40"/>
      <c r="S180" s="40"/>
      <c r="T180" s="40"/>
      <c r="U180" s="40"/>
      <c r="V180" s="40"/>
      <c r="W180" s="40"/>
      <c r="X180" s="40"/>
      <c r="Y180" s="40"/>
      <c r="Z180" s="40"/>
      <c r="AA180" s="40"/>
      <c r="AB180" s="40"/>
      <c r="AC180" s="40"/>
      <c r="AD180" s="40"/>
      <c r="AE180" s="40"/>
      <c r="AF180" s="40" t="s">
        <v>97</v>
      </c>
      <c r="AG180" s="40"/>
      <c r="AH180" s="40"/>
      <c r="AI180" s="40"/>
      <c r="AJ180" s="40"/>
      <c r="AK180" s="40"/>
      <c r="AL180" s="40"/>
      <c r="AM180" s="40"/>
      <c r="AN180" s="40" t="s">
        <v>97</v>
      </c>
      <c r="AO180" s="40" t="s">
        <v>634</v>
      </c>
      <c r="AP180" s="40" t="s">
        <v>97</v>
      </c>
      <c r="AQ180" s="40" t="s">
        <v>97</v>
      </c>
      <c r="AR180" s="40" t="s">
        <v>97</v>
      </c>
      <c r="AS180" s="40" t="s">
        <v>97</v>
      </c>
      <c r="AT180" s="40" t="s">
        <v>97</v>
      </c>
      <c r="AU180" s="40" t="s">
        <v>97</v>
      </c>
      <c r="AV180" s="40" t="s">
        <v>97</v>
      </c>
      <c r="AW180" s="40"/>
      <c r="AX180" s="40"/>
      <c r="AY180" s="40"/>
      <c r="AZ180" s="40"/>
    </row>
    <row r="181" spans="1:52" s="71" customFormat="1" ht="12" thickBot="1" x14ac:dyDescent="0.2">
      <c r="A181" s="37" t="s">
        <v>65</v>
      </c>
      <c r="B181" s="38" t="s">
        <v>252</v>
      </c>
      <c r="C181" s="109" t="str">
        <f>HYPERLINK(Hoofddocument!$H$181,Hoofddocument!$G$181)</f>
        <v>Coachingsvaardigheden</v>
      </c>
      <c r="D181" s="38" t="s">
        <v>166</v>
      </c>
      <c r="E181" s="38" t="s">
        <v>12</v>
      </c>
      <c r="F181" s="38" t="s">
        <v>184</v>
      </c>
      <c r="G181" s="38" t="s">
        <v>185</v>
      </c>
      <c r="H181" s="64" t="s">
        <v>259</v>
      </c>
      <c r="I181" s="41"/>
      <c r="J181" s="39"/>
      <c r="K181" s="39"/>
      <c r="L181" s="39"/>
      <c r="M181" s="39"/>
      <c r="N181" s="40"/>
      <c r="O181" s="40"/>
      <c r="P181" s="40"/>
      <c r="Q181" s="40" t="s">
        <v>634</v>
      </c>
      <c r="R181" s="40"/>
      <c r="S181" s="40"/>
      <c r="T181" s="40"/>
      <c r="U181" s="40"/>
      <c r="V181" s="40"/>
      <c r="W181" s="40"/>
      <c r="X181" s="40" t="s">
        <v>97</v>
      </c>
      <c r="Y181" s="40"/>
      <c r="Z181" s="40"/>
      <c r="AA181" s="40"/>
      <c r="AB181" s="40" t="s">
        <v>97</v>
      </c>
      <c r="AC181" s="40"/>
      <c r="AD181" s="40"/>
      <c r="AE181" s="40"/>
      <c r="AF181" s="40"/>
      <c r="AG181" s="40"/>
      <c r="AH181" s="40"/>
      <c r="AI181" s="40"/>
      <c r="AJ181" s="40"/>
      <c r="AK181" s="40" t="s">
        <v>97</v>
      </c>
      <c r="AL181" s="40"/>
      <c r="AM181" s="40"/>
      <c r="AN181" s="40" t="s">
        <v>634</v>
      </c>
      <c r="AO181" s="40"/>
      <c r="AP181" s="40" t="s">
        <v>97</v>
      </c>
      <c r="AQ181" s="40" t="s">
        <v>97</v>
      </c>
      <c r="AR181" s="40" t="s">
        <v>97</v>
      </c>
      <c r="AS181" s="40" t="s">
        <v>97</v>
      </c>
      <c r="AT181" s="40" t="s">
        <v>97</v>
      </c>
      <c r="AU181" s="40" t="s">
        <v>97</v>
      </c>
      <c r="AV181" s="40" t="s">
        <v>97</v>
      </c>
      <c r="AW181" s="40"/>
      <c r="AX181" s="40"/>
      <c r="AY181" s="40"/>
      <c r="AZ181" s="40"/>
    </row>
    <row r="182" spans="1:52" s="71" customFormat="1" ht="12" thickBot="1" x14ac:dyDescent="0.2">
      <c r="A182" s="37" t="s">
        <v>65</v>
      </c>
      <c r="B182" s="38" t="s">
        <v>252</v>
      </c>
      <c r="C182" s="109" t="str">
        <f>HYPERLINK(Hoofddocument!$H$182,Hoofddocument!$G$182)</f>
        <v>Coachend Leidinggeven</v>
      </c>
      <c r="D182" s="38" t="s">
        <v>166</v>
      </c>
      <c r="E182" s="38" t="s">
        <v>12</v>
      </c>
      <c r="F182" s="38" t="s">
        <v>256</v>
      </c>
      <c r="G182" s="38" t="s">
        <v>257</v>
      </c>
      <c r="H182" s="64" t="s">
        <v>258</v>
      </c>
      <c r="I182" s="41"/>
      <c r="J182" s="39"/>
      <c r="K182" s="39"/>
      <c r="L182" s="39"/>
      <c r="M182" s="39"/>
      <c r="N182" s="40"/>
      <c r="O182" s="40"/>
      <c r="P182" s="40"/>
      <c r="Q182" s="40"/>
      <c r="R182" s="40"/>
      <c r="S182" s="40"/>
      <c r="T182" s="40"/>
      <c r="U182" s="40"/>
      <c r="V182" s="40"/>
      <c r="W182" s="40"/>
      <c r="X182" s="40"/>
      <c r="Y182" s="40"/>
      <c r="Z182" s="40"/>
      <c r="AA182" s="40"/>
      <c r="AB182" s="40"/>
      <c r="AC182" s="40"/>
      <c r="AD182" s="40"/>
      <c r="AE182" s="40"/>
      <c r="AF182" s="40"/>
      <c r="AG182" s="40"/>
      <c r="AH182" s="40"/>
      <c r="AI182" s="40"/>
      <c r="AJ182" s="40"/>
      <c r="AK182" s="40"/>
      <c r="AL182" s="40" t="s">
        <v>634</v>
      </c>
      <c r="AM182" s="40"/>
      <c r="AN182" s="40"/>
      <c r="AO182" s="40"/>
      <c r="AP182" s="40"/>
      <c r="AQ182" s="40"/>
      <c r="AR182" s="40"/>
      <c r="AS182" s="40"/>
      <c r="AT182" s="40"/>
      <c r="AU182" s="40"/>
      <c r="AV182" s="40"/>
      <c r="AW182" s="40"/>
      <c r="AX182" s="40"/>
      <c r="AY182" s="40"/>
      <c r="AZ182" s="40"/>
    </row>
    <row r="183" spans="1:52" s="71" customFormat="1" ht="12" thickBot="1" x14ac:dyDescent="0.2">
      <c r="A183" s="37" t="s">
        <v>65</v>
      </c>
      <c r="B183" s="38" t="s">
        <v>7</v>
      </c>
      <c r="C183" s="109" t="str">
        <f>HYPERLINK(Hoofddocument!$H$183,Hoofddocument!$G$183)</f>
        <v>Verbindende Communicatie</v>
      </c>
      <c r="D183" s="38" t="s">
        <v>166</v>
      </c>
      <c r="E183" s="38" t="s">
        <v>12</v>
      </c>
      <c r="F183" s="38" t="s">
        <v>477</v>
      </c>
      <c r="G183" s="38" t="s">
        <v>478</v>
      </c>
      <c r="H183" s="64" t="s">
        <v>603</v>
      </c>
      <c r="I183" s="41"/>
      <c r="J183" s="39"/>
      <c r="K183" s="39"/>
      <c r="L183" s="39"/>
      <c r="M183" s="39"/>
      <c r="N183" s="40"/>
      <c r="O183" s="40"/>
      <c r="P183" s="40"/>
      <c r="Q183" s="40"/>
      <c r="R183" s="40"/>
      <c r="S183" s="40"/>
      <c r="T183" s="40"/>
      <c r="U183" s="40" t="s">
        <v>634</v>
      </c>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row>
    <row r="184" spans="1:52" s="71" customFormat="1" ht="12" thickBot="1" x14ac:dyDescent="0.2">
      <c r="A184" s="37" t="s">
        <v>65</v>
      </c>
      <c r="B184" s="38" t="s">
        <v>7</v>
      </c>
      <c r="C184" s="109" t="str">
        <f>HYPERLINK(Hoofddocument!$H$184,Hoofddocument!$G$184)</f>
        <v>Effectief Communiceren met NLP</v>
      </c>
      <c r="D184" s="38" t="s">
        <v>166</v>
      </c>
      <c r="E184" s="38" t="s">
        <v>12</v>
      </c>
      <c r="F184" s="38" t="s">
        <v>196</v>
      </c>
      <c r="G184" s="38" t="s">
        <v>197</v>
      </c>
      <c r="H184" s="55" t="s">
        <v>251</v>
      </c>
      <c r="I184" s="41"/>
      <c r="J184" s="39"/>
      <c r="K184" s="39"/>
      <c r="L184" s="39"/>
      <c r="M184" s="39"/>
      <c r="N184" s="40"/>
      <c r="O184" s="40"/>
      <c r="P184" s="40"/>
      <c r="Q184" s="40"/>
      <c r="R184" s="40"/>
      <c r="S184" s="40"/>
      <c r="T184" s="40"/>
      <c r="U184" s="40" t="s">
        <v>634</v>
      </c>
      <c r="V184" s="40"/>
      <c r="W184" s="40"/>
      <c r="X184" s="40"/>
      <c r="Y184" s="40" t="s">
        <v>634</v>
      </c>
      <c r="Z184" s="40" t="s">
        <v>634</v>
      </c>
      <c r="AA184" s="40"/>
      <c r="AB184" s="40"/>
      <c r="AC184" s="40"/>
      <c r="AD184" s="40"/>
      <c r="AE184" s="40"/>
      <c r="AF184" s="40"/>
      <c r="AG184" s="40" t="s">
        <v>97</v>
      </c>
      <c r="AH184" s="40"/>
      <c r="AI184" s="40"/>
      <c r="AJ184" s="40"/>
      <c r="AK184" s="40"/>
      <c r="AL184" s="40"/>
      <c r="AM184" s="40"/>
      <c r="AN184" s="40"/>
      <c r="AO184" s="40"/>
      <c r="AP184" s="40"/>
      <c r="AQ184" s="40"/>
      <c r="AR184" s="40"/>
      <c r="AS184" s="40"/>
      <c r="AT184" s="40"/>
      <c r="AU184" s="40"/>
      <c r="AV184" s="40"/>
      <c r="AW184" s="40"/>
      <c r="AX184" s="40"/>
      <c r="AY184" s="40"/>
      <c r="AZ184" s="40"/>
    </row>
    <row r="185" spans="1:52" s="71" customFormat="1" ht="12" thickBot="1" x14ac:dyDescent="0.2">
      <c r="A185" s="43" t="s">
        <v>65</v>
      </c>
      <c r="B185" s="38" t="s">
        <v>7</v>
      </c>
      <c r="C185" s="109" t="str">
        <f>HYPERLINK(Hoofddocument!$H$185,Hoofddocument!$G$185)</f>
        <v>Powerboost Communicatie en Samenwerking</v>
      </c>
      <c r="D185" s="44" t="s">
        <v>166</v>
      </c>
      <c r="E185" s="44" t="s">
        <v>12</v>
      </c>
      <c r="F185" s="44" t="s">
        <v>171</v>
      </c>
      <c r="G185" s="38" t="s">
        <v>172</v>
      </c>
      <c r="H185" s="49" t="s">
        <v>347</v>
      </c>
      <c r="I185" s="41"/>
      <c r="J185" s="39"/>
      <c r="K185" s="39"/>
      <c r="L185" s="39"/>
      <c r="M185" s="39"/>
      <c r="N185" s="39"/>
      <c r="O185" s="39"/>
      <c r="P185" s="39"/>
      <c r="Q185" s="39"/>
      <c r="R185" s="40"/>
      <c r="S185" s="40"/>
      <c r="T185" s="40"/>
      <c r="U185" s="40" t="s">
        <v>634</v>
      </c>
      <c r="V185" s="40"/>
      <c r="W185" s="40"/>
      <c r="X185" s="40"/>
      <c r="Y185" s="40"/>
      <c r="Z185" s="40"/>
      <c r="AA185" s="40"/>
      <c r="AB185" s="40"/>
      <c r="AC185" s="40"/>
      <c r="AD185" s="40"/>
      <c r="AE185" s="40"/>
      <c r="AF185" s="40"/>
      <c r="AG185" s="40"/>
      <c r="AH185" s="40"/>
      <c r="AI185" s="40"/>
      <c r="AJ185" s="40"/>
      <c r="AK185" s="40"/>
      <c r="AL185" s="40"/>
      <c r="AM185" s="40"/>
      <c r="AN185" s="40"/>
      <c r="AO185" s="40"/>
      <c r="AP185" s="40"/>
      <c r="AQ185" s="40"/>
      <c r="AR185" s="40"/>
      <c r="AS185" s="40"/>
      <c r="AT185" s="40"/>
      <c r="AU185" s="40"/>
      <c r="AV185" s="40"/>
      <c r="AW185" s="40"/>
      <c r="AX185" s="40"/>
      <c r="AY185" s="40"/>
      <c r="AZ185" s="40"/>
    </row>
    <row r="186" spans="1:52" s="71" customFormat="1" ht="12" thickBot="1" x14ac:dyDescent="0.2">
      <c r="A186" s="37" t="s">
        <v>65</v>
      </c>
      <c r="B186" s="38" t="s">
        <v>7</v>
      </c>
      <c r="C186" s="109" t="str">
        <f>HYPERLINK(Hoofddocument!$H$186,Hoofddocument!$G$186)</f>
        <v>Communicatie met  Impact!</v>
      </c>
      <c r="D186" s="44" t="s">
        <v>166</v>
      </c>
      <c r="E186" s="44" t="s">
        <v>12</v>
      </c>
      <c r="F186" s="44" t="s">
        <v>671</v>
      </c>
      <c r="G186" s="38" t="s">
        <v>670</v>
      </c>
      <c r="H186" s="49" t="s">
        <v>98</v>
      </c>
      <c r="I186" s="41"/>
      <c r="J186" s="39"/>
      <c r="K186" s="39"/>
      <c r="L186" s="39"/>
      <c r="M186" s="39"/>
      <c r="N186" s="39"/>
      <c r="O186" s="39"/>
      <c r="P186" s="39"/>
      <c r="Q186" s="39"/>
      <c r="R186" s="40"/>
      <c r="S186" s="40"/>
      <c r="T186" s="40"/>
      <c r="U186" s="40" t="s">
        <v>97</v>
      </c>
      <c r="V186" s="40"/>
      <c r="W186" s="40"/>
      <c r="X186" s="40" t="s">
        <v>634</v>
      </c>
      <c r="Y186" s="40"/>
      <c r="Z186" s="40"/>
      <c r="AA186" s="40"/>
      <c r="AB186" s="40" t="s">
        <v>97</v>
      </c>
      <c r="AC186" s="40"/>
      <c r="AD186" s="40"/>
      <c r="AE186" s="40"/>
      <c r="AF186" s="40" t="s">
        <v>97</v>
      </c>
      <c r="AG186" s="40" t="s">
        <v>634</v>
      </c>
      <c r="AH186" s="40"/>
      <c r="AI186" s="40"/>
      <c r="AJ186" s="40"/>
      <c r="AK186" s="40" t="s">
        <v>97</v>
      </c>
      <c r="AL186" s="40" t="s">
        <v>97</v>
      </c>
      <c r="AM186" s="40"/>
      <c r="AN186" s="40"/>
      <c r="AO186" s="40"/>
      <c r="AP186" s="40" t="s">
        <v>97</v>
      </c>
      <c r="AQ186" s="40" t="s">
        <v>97</v>
      </c>
      <c r="AR186" s="40" t="s">
        <v>97</v>
      </c>
      <c r="AS186" s="40" t="s">
        <v>97</v>
      </c>
      <c r="AT186" s="40" t="s">
        <v>97</v>
      </c>
      <c r="AU186" s="40" t="s">
        <v>97</v>
      </c>
      <c r="AV186" s="40" t="s">
        <v>97</v>
      </c>
      <c r="AW186" s="40"/>
      <c r="AX186" s="40"/>
      <c r="AY186" s="40"/>
      <c r="AZ186" s="40"/>
    </row>
    <row r="187" spans="1:52" s="71" customFormat="1" ht="12" thickBot="1" x14ac:dyDescent="0.2">
      <c r="A187" s="37" t="s">
        <v>65</v>
      </c>
      <c r="B187" s="38" t="s">
        <v>7</v>
      </c>
      <c r="C187" s="109" t="str">
        <f>HYPERLINK(Hoofddocument!$H$187,Hoofddocument!$G$187)</f>
        <v>Professioneel communiceren voor managers en hoger opgeleiden</v>
      </c>
      <c r="D187" s="44"/>
      <c r="E187" s="44" t="s">
        <v>225</v>
      </c>
      <c r="F187" s="44"/>
      <c r="G187" s="38" t="s">
        <v>475</v>
      </c>
      <c r="H187" s="64" t="s">
        <v>617</v>
      </c>
      <c r="I187" s="41"/>
      <c r="J187" s="39"/>
      <c r="K187" s="39"/>
      <c r="L187" s="39"/>
      <c r="M187" s="39"/>
      <c r="N187" s="39"/>
      <c r="O187" s="39"/>
      <c r="P187" s="39"/>
      <c r="Q187" s="39"/>
      <c r="R187" s="40"/>
      <c r="S187" s="40"/>
      <c r="T187" s="40"/>
      <c r="U187" s="40" t="s">
        <v>634</v>
      </c>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c r="AR187" s="40"/>
      <c r="AS187" s="40"/>
      <c r="AT187" s="40"/>
      <c r="AU187" s="40"/>
      <c r="AV187" s="40"/>
      <c r="AW187" s="40"/>
      <c r="AX187" s="40"/>
      <c r="AY187" s="40"/>
      <c r="AZ187" s="40"/>
    </row>
    <row r="188" spans="1:52" s="71" customFormat="1" ht="12" thickBot="1" x14ac:dyDescent="0.2">
      <c r="A188" s="37" t="s">
        <v>65</v>
      </c>
      <c r="B188" s="38" t="s">
        <v>7</v>
      </c>
      <c r="C188" s="109" t="str">
        <f>HYPERLINK(Hoofddocument!$H$188,Hoofddocument!$G$188)</f>
        <v>Effectief communiceren in het kort</v>
      </c>
      <c r="D188" s="44" t="s">
        <v>767</v>
      </c>
      <c r="E188" s="44" t="s">
        <v>12</v>
      </c>
      <c r="F188" s="44" t="s">
        <v>768</v>
      </c>
      <c r="G188" s="38" t="s">
        <v>827</v>
      </c>
      <c r="H188" s="49"/>
      <c r="I188" s="41"/>
      <c r="J188" s="39"/>
      <c r="K188" s="39"/>
      <c r="L188" s="62"/>
      <c r="M188" s="62"/>
      <c r="N188" s="39"/>
      <c r="O188" s="39"/>
      <c r="P188" s="62"/>
      <c r="Q188" s="62"/>
      <c r="R188" s="40"/>
      <c r="S188" s="40"/>
      <c r="T188" s="40"/>
      <c r="U188" s="40"/>
      <c r="V188" s="40"/>
      <c r="W188" s="40"/>
      <c r="X188" s="40"/>
      <c r="Y188" s="40" t="s">
        <v>97</v>
      </c>
      <c r="Z188" s="40" t="s">
        <v>97</v>
      </c>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row>
    <row r="189" spans="1:52" s="71" customFormat="1" ht="12" thickBot="1" x14ac:dyDescent="0.2">
      <c r="A189" s="43" t="s">
        <v>65</v>
      </c>
      <c r="B189" s="38" t="s">
        <v>7</v>
      </c>
      <c r="C189" s="109" t="str">
        <f>HYPERLINK(Hoofddocument!$H$189,Hoofddocument!$G$189)</f>
        <v>Trainingsprogramma Effectief Communiceren en Beinvloeden</v>
      </c>
      <c r="D189" s="44"/>
      <c r="E189" s="44" t="s">
        <v>225</v>
      </c>
      <c r="F189" s="44"/>
      <c r="G189" s="38" t="s">
        <v>828</v>
      </c>
      <c r="H189" s="49" t="s">
        <v>900</v>
      </c>
      <c r="I189" s="41"/>
      <c r="J189" s="39"/>
      <c r="K189" s="39"/>
      <c r="L189" s="39"/>
      <c r="M189" s="39"/>
      <c r="N189" s="39"/>
      <c r="O189" s="39"/>
      <c r="P189" s="39"/>
      <c r="Q189" s="39"/>
      <c r="R189" s="40"/>
      <c r="S189" s="40"/>
      <c r="T189" s="40"/>
      <c r="U189" s="40"/>
      <c r="V189" s="40"/>
      <c r="W189" s="40"/>
      <c r="X189" s="40"/>
      <c r="Y189" s="40"/>
      <c r="Z189" s="40"/>
      <c r="AA189" s="40"/>
      <c r="AB189" s="40"/>
      <c r="AC189" s="40"/>
      <c r="AD189" s="40"/>
      <c r="AE189" s="40"/>
      <c r="AF189" s="40" t="s">
        <v>634</v>
      </c>
      <c r="AG189" s="40"/>
      <c r="AH189" s="40"/>
      <c r="AI189" s="40"/>
      <c r="AJ189" s="40"/>
      <c r="AK189" s="40"/>
      <c r="AL189" s="40"/>
      <c r="AM189" s="40"/>
      <c r="AN189" s="40"/>
      <c r="AO189" s="40"/>
      <c r="AP189" s="40"/>
      <c r="AQ189" s="40"/>
      <c r="AR189" s="40"/>
      <c r="AS189" s="40"/>
      <c r="AT189" s="40"/>
      <c r="AU189" s="40"/>
      <c r="AV189" s="40"/>
      <c r="AW189" s="40"/>
      <c r="AX189" s="40"/>
      <c r="AY189" s="40"/>
      <c r="AZ189" s="40"/>
    </row>
    <row r="190" spans="1:52" s="71" customFormat="1" ht="12" thickBot="1" x14ac:dyDescent="0.2">
      <c r="A190" s="37" t="s">
        <v>65</v>
      </c>
      <c r="B190" s="38" t="s">
        <v>728</v>
      </c>
      <c r="C190" s="109" t="str">
        <f>HYPERLINK(Hoofddocument!$H$190,Hoofddocument!$G$190)</f>
        <v>Contractmanagement</v>
      </c>
      <c r="D190" s="38" t="s">
        <v>166</v>
      </c>
      <c r="E190" s="38" t="s">
        <v>12</v>
      </c>
      <c r="F190" s="38" t="s">
        <v>765</v>
      </c>
      <c r="G190" s="38" t="s">
        <v>728</v>
      </c>
      <c r="H190" s="64"/>
      <c r="I190" s="41"/>
      <c r="J190" s="39"/>
      <c r="K190" s="39"/>
      <c r="L190" s="39"/>
      <c r="M190" s="39"/>
      <c r="N190" s="40"/>
      <c r="O190" s="40"/>
      <c r="P190" s="40"/>
      <c r="Q190" s="40"/>
      <c r="R190" s="40"/>
      <c r="S190" s="40"/>
      <c r="T190" s="40"/>
      <c r="U190" s="40"/>
      <c r="V190" s="40"/>
      <c r="W190" s="40"/>
      <c r="X190" s="40"/>
      <c r="Y190" s="40"/>
      <c r="Z190" s="40"/>
      <c r="AA190" s="40"/>
      <c r="AB190" s="40"/>
      <c r="AC190" s="40"/>
      <c r="AD190" s="40"/>
      <c r="AE190" s="40"/>
      <c r="AF190" s="40"/>
      <c r="AG190" s="40"/>
      <c r="AH190" s="40"/>
      <c r="AI190" s="40"/>
      <c r="AJ190" s="40"/>
      <c r="AK190" s="40"/>
      <c r="AL190" s="40"/>
      <c r="AM190" s="40"/>
      <c r="AN190" s="40" t="s">
        <v>634</v>
      </c>
      <c r="AO190" s="40"/>
      <c r="AP190" s="40"/>
      <c r="AQ190" s="40"/>
      <c r="AR190" s="40"/>
      <c r="AS190" s="40"/>
      <c r="AT190" s="40"/>
      <c r="AU190" s="40"/>
      <c r="AV190" s="40"/>
      <c r="AW190" s="40"/>
      <c r="AX190" s="40"/>
      <c r="AY190" s="40"/>
      <c r="AZ190" s="40"/>
    </row>
    <row r="191" spans="1:52" s="71" customFormat="1" ht="12" thickBot="1" x14ac:dyDescent="0.2">
      <c r="A191" s="37" t="s">
        <v>65</v>
      </c>
      <c r="B191" s="38" t="s">
        <v>5</v>
      </c>
      <c r="C191" s="109" t="str">
        <f>HYPERLINK(Hoofddocument!$H$191,Hoofddocument!$G$191)</f>
        <v>Creatief Denken en Doen</v>
      </c>
      <c r="D191" s="38" t="s">
        <v>166</v>
      </c>
      <c r="E191" s="38" t="s">
        <v>12</v>
      </c>
      <c r="F191" s="38" t="s">
        <v>228</v>
      </c>
      <c r="G191" s="38" t="s">
        <v>229</v>
      </c>
      <c r="H191" s="49" t="s">
        <v>542</v>
      </c>
      <c r="I191" s="41" t="s">
        <v>97</v>
      </c>
      <c r="J191" s="39" t="s">
        <v>97</v>
      </c>
      <c r="K191" s="39"/>
      <c r="L191" s="39"/>
      <c r="M191" s="39"/>
      <c r="N191" s="40"/>
      <c r="O191" s="40"/>
      <c r="P191" s="40"/>
      <c r="Q191" s="40" t="s">
        <v>97</v>
      </c>
      <c r="R191" s="40"/>
      <c r="S191" s="40"/>
      <c r="T191" s="40"/>
      <c r="U191" s="40"/>
      <c r="V191" s="40"/>
      <c r="W191" s="40"/>
      <c r="X191" s="40"/>
      <c r="Y191" s="40"/>
      <c r="Z191" s="40"/>
      <c r="AA191" s="40"/>
      <c r="AB191" s="40"/>
      <c r="AC191" s="40"/>
      <c r="AD191" s="40"/>
      <c r="AE191" s="40"/>
      <c r="AF191" s="40"/>
      <c r="AG191" s="40"/>
      <c r="AH191" s="40"/>
      <c r="AI191" s="40"/>
      <c r="AJ191" s="40"/>
      <c r="AK191" s="40"/>
      <c r="AL191" s="40"/>
      <c r="AM191" s="40"/>
      <c r="AN191" s="40"/>
      <c r="AO191" s="40" t="s">
        <v>634</v>
      </c>
      <c r="AP191" s="40"/>
      <c r="AQ191" s="40"/>
      <c r="AR191" s="40"/>
      <c r="AS191" s="40"/>
      <c r="AT191" s="40"/>
      <c r="AU191" s="40"/>
      <c r="AV191" s="40"/>
      <c r="AW191" s="40"/>
      <c r="AX191" s="40"/>
      <c r="AY191" s="40"/>
      <c r="AZ191" s="40"/>
    </row>
    <row r="192" spans="1:52" s="71" customFormat="1" ht="12" thickBot="1" x14ac:dyDescent="0.2">
      <c r="A192" s="37" t="s">
        <v>65</v>
      </c>
      <c r="B192" s="38" t="s">
        <v>5</v>
      </c>
      <c r="C192" s="109" t="str">
        <f>HYPERLINK(Hoofddocument!$H$192,Hoofddocument!$G$192)</f>
        <v>Training Creativiteit en Resultaat</v>
      </c>
      <c r="D192" s="38"/>
      <c r="E192" s="38" t="s">
        <v>225</v>
      </c>
      <c r="F192" s="38"/>
      <c r="G192" s="38" t="s">
        <v>226</v>
      </c>
      <c r="H192" s="64" t="s">
        <v>227</v>
      </c>
      <c r="I192" s="41" t="s">
        <v>634</v>
      </c>
      <c r="J192" s="39" t="s">
        <v>97</v>
      </c>
      <c r="K192" s="39"/>
      <c r="L192" s="39"/>
      <c r="M192" s="39"/>
      <c r="N192" s="39"/>
      <c r="O192" s="39"/>
      <c r="P192" s="39"/>
      <c r="Q192" s="39"/>
      <c r="R192" s="40"/>
      <c r="S192" s="40"/>
      <c r="T192" s="40"/>
      <c r="U192" s="40"/>
      <c r="V192" s="40"/>
      <c r="W192" s="40"/>
      <c r="X192" s="40"/>
      <c r="Y192" s="40"/>
      <c r="Z192" s="40"/>
      <c r="AA192" s="40" t="s">
        <v>634</v>
      </c>
      <c r="AB192" s="40"/>
      <c r="AC192" s="40"/>
      <c r="AD192" s="40"/>
      <c r="AE192" s="40"/>
      <c r="AF192" s="40"/>
      <c r="AG192" s="40" t="s">
        <v>634</v>
      </c>
      <c r="AH192" s="40"/>
      <c r="AI192" s="40"/>
      <c r="AJ192" s="40"/>
      <c r="AK192" s="40"/>
      <c r="AL192" s="40"/>
      <c r="AM192" s="40"/>
      <c r="AN192" s="40"/>
      <c r="AO192" s="40"/>
      <c r="AP192" s="40"/>
      <c r="AQ192" s="40"/>
      <c r="AR192" s="40"/>
      <c r="AS192" s="40"/>
      <c r="AT192" s="40"/>
      <c r="AU192" s="40"/>
      <c r="AV192" s="40"/>
      <c r="AW192" s="40"/>
      <c r="AX192" s="40"/>
      <c r="AY192" s="40"/>
      <c r="AZ192" s="40"/>
    </row>
    <row r="193" spans="1:52" s="71" customFormat="1" ht="12" thickBot="1" x14ac:dyDescent="0.2">
      <c r="A193" s="37" t="s">
        <v>65</v>
      </c>
      <c r="B193" s="38" t="s">
        <v>971</v>
      </c>
      <c r="C193" s="109" t="str">
        <f>HYPERLINK(Hoofddocument!$H$193,Hoofddocument!$G$193)</f>
        <v>HBO Module Crisismanagement</v>
      </c>
      <c r="D193" s="38" t="s">
        <v>166</v>
      </c>
      <c r="E193" s="38" t="s">
        <v>12</v>
      </c>
      <c r="F193" s="38" t="s">
        <v>766</v>
      </c>
      <c r="G193" s="38" t="s">
        <v>825</v>
      </c>
      <c r="H193" s="49"/>
      <c r="I193" s="41"/>
      <c r="J193" s="39"/>
      <c r="K193" s="39"/>
      <c r="L193" s="39"/>
      <c r="M193" s="39"/>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t="s">
        <v>634</v>
      </c>
      <c r="AT193" s="40"/>
      <c r="AU193" s="40"/>
      <c r="AV193" s="40"/>
      <c r="AW193" s="40"/>
      <c r="AX193" s="40"/>
      <c r="AY193" s="40"/>
      <c r="AZ193" s="40"/>
    </row>
    <row r="194" spans="1:52" s="71" customFormat="1" ht="12" thickBot="1" x14ac:dyDescent="0.2">
      <c r="A194" s="57" t="s">
        <v>65</v>
      </c>
      <c r="B194" s="38" t="s">
        <v>729</v>
      </c>
      <c r="C194" s="109" t="str">
        <f>HYPERLINK(Hoofddocument!$H$194,Hoofddocument!$G$194)</f>
        <v>Training Delegeren en Loslaten</v>
      </c>
      <c r="D194" s="38"/>
      <c r="E194" s="38" t="s">
        <v>225</v>
      </c>
      <c r="F194" s="38"/>
      <c r="G194" s="38" t="s">
        <v>826</v>
      </c>
      <c r="H194" s="64" t="s">
        <v>899</v>
      </c>
      <c r="I194" s="41"/>
      <c r="J194" s="39"/>
      <c r="K194" s="39"/>
      <c r="L194" s="39"/>
      <c r="M194" s="39"/>
      <c r="N194" s="40"/>
      <c r="O194" s="40"/>
      <c r="P194" s="40"/>
      <c r="Q194" s="40"/>
      <c r="R194" s="40"/>
      <c r="S194" s="40"/>
      <c r="T194" s="40"/>
      <c r="U194" s="40"/>
      <c r="V194" s="40"/>
      <c r="W194" s="40"/>
      <c r="X194" s="40" t="s">
        <v>97</v>
      </c>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row>
    <row r="195" spans="1:52" s="71" customFormat="1" ht="12" thickBot="1" x14ac:dyDescent="0.2">
      <c r="A195" s="37" t="s">
        <v>65</v>
      </c>
      <c r="B195" s="38" t="s">
        <v>325</v>
      </c>
      <c r="C195" s="109" t="str">
        <f>HYPERLINK(Hoofddocument!$H$195,Hoofddocument!$G$195)</f>
        <v>Masterclass Digitale Transformatie</v>
      </c>
      <c r="D195" s="38" t="s">
        <v>166</v>
      </c>
      <c r="E195" s="38" t="s">
        <v>12</v>
      </c>
      <c r="F195" s="38" t="s">
        <v>326</v>
      </c>
      <c r="G195" s="38" t="s">
        <v>327</v>
      </c>
      <c r="H195" s="64" t="s">
        <v>573</v>
      </c>
      <c r="I195" s="41"/>
      <c r="J195" s="39"/>
      <c r="K195" s="39"/>
      <c r="L195" s="40"/>
      <c r="M195" s="40" t="s">
        <v>97</v>
      </c>
      <c r="N195" s="40"/>
      <c r="O195" s="40"/>
      <c r="P195" s="40"/>
      <c r="Q195" s="40"/>
      <c r="R195" s="40"/>
      <c r="S195" s="40"/>
      <c r="T195" s="40"/>
      <c r="U195" s="40"/>
      <c r="V195" s="40"/>
      <c r="W195" s="40"/>
      <c r="X195" s="40"/>
      <c r="Y195" s="40"/>
      <c r="Z195" s="40"/>
      <c r="AA195" s="40"/>
      <c r="AB195" s="40"/>
      <c r="AC195" s="40"/>
      <c r="AD195" s="40"/>
      <c r="AE195" s="40"/>
      <c r="AF195" s="40"/>
      <c r="AG195" s="40"/>
      <c r="AH195" s="40" t="s">
        <v>634</v>
      </c>
      <c r="AI195" s="40" t="s">
        <v>634</v>
      </c>
      <c r="AJ195" s="40"/>
      <c r="AK195" s="40"/>
      <c r="AL195" s="40"/>
      <c r="AM195" s="40"/>
      <c r="AN195" s="40"/>
      <c r="AO195" s="40"/>
      <c r="AP195" s="40"/>
      <c r="AQ195" s="40"/>
      <c r="AR195" s="40"/>
      <c r="AS195" s="40"/>
      <c r="AT195" s="40"/>
      <c r="AU195" s="40"/>
      <c r="AV195" s="40"/>
      <c r="AW195" s="40"/>
      <c r="AX195" s="40"/>
      <c r="AY195" s="40"/>
      <c r="AZ195" s="40"/>
    </row>
    <row r="196" spans="1:52" s="71" customFormat="1" ht="12" thickBot="1" x14ac:dyDescent="0.2">
      <c r="A196" s="46" t="s">
        <v>65</v>
      </c>
      <c r="B196" s="45" t="s">
        <v>233</v>
      </c>
      <c r="C196" s="109" t="str">
        <f>HYPERLINK(Hoofddocument!$H$196,Hoofddocument!$G$196)</f>
        <v>Feedback Geven en Ontvangen</v>
      </c>
      <c r="D196" s="45" t="s">
        <v>166</v>
      </c>
      <c r="E196" s="45" t="s">
        <v>12</v>
      </c>
      <c r="F196" s="45" t="s">
        <v>13</v>
      </c>
      <c r="G196" s="38" t="s">
        <v>233</v>
      </c>
      <c r="H196" s="49" t="s">
        <v>502</v>
      </c>
      <c r="I196" s="41" t="s">
        <v>97</v>
      </c>
      <c r="J196" s="47" t="s">
        <v>97</v>
      </c>
      <c r="K196" s="47"/>
      <c r="L196" s="47"/>
      <c r="M196" s="47"/>
      <c r="N196" s="47"/>
      <c r="O196" s="47"/>
      <c r="P196" s="47"/>
      <c r="Q196" s="47"/>
      <c r="R196" s="47"/>
      <c r="S196" s="47"/>
      <c r="T196" s="47"/>
      <c r="U196" s="47"/>
      <c r="V196" s="47" t="s">
        <v>634</v>
      </c>
      <c r="W196" s="47"/>
      <c r="X196" s="47" t="s">
        <v>97</v>
      </c>
      <c r="Y196" s="47"/>
      <c r="Z196" s="47"/>
      <c r="AA196" s="47"/>
      <c r="AB196" s="47" t="s">
        <v>97</v>
      </c>
      <c r="AC196" s="47"/>
      <c r="AD196" s="47"/>
      <c r="AE196" s="47"/>
      <c r="AF196" s="47"/>
      <c r="AG196" s="47"/>
      <c r="AH196" s="40"/>
      <c r="AI196" s="40"/>
      <c r="AJ196" s="40"/>
      <c r="AK196" s="40" t="s">
        <v>97</v>
      </c>
      <c r="AL196" s="40" t="s">
        <v>97</v>
      </c>
      <c r="AM196" s="40"/>
      <c r="AN196" s="40"/>
      <c r="AO196" s="40"/>
      <c r="AP196" s="40"/>
      <c r="AQ196" s="40"/>
      <c r="AR196" s="40"/>
      <c r="AS196" s="40"/>
      <c r="AT196" s="40"/>
      <c r="AU196" s="40"/>
      <c r="AV196" s="40"/>
      <c r="AW196" s="40"/>
      <c r="AX196" s="40"/>
      <c r="AY196" s="40"/>
      <c r="AZ196" s="40"/>
    </row>
    <row r="197" spans="1:52" s="71" customFormat="1" ht="12.75" customHeight="1" thickBot="1" x14ac:dyDescent="0.2">
      <c r="A197" s="37" t="s">
        <v>65</v>
      </c>
      <c r="B197" s="38" t="s">
        <v>725</v>
      </c>
      <c r="C197" s="38" t="s">
        <v>820</v>
      </c>
      <c r="D197" s="38"/>
      <c r="E197" s="38" t="s">
        <v>759</v>
      </c>
      <c r="F197" s="38"/>
      <c r="G197" s="38" t="s">
        <v>820</v>
      </c>
      <c r="H197" s="64"/>
      <c r="I197" s="41"/>
      <c r="J197" s="39"/>
      <c r="K197" s="39"/>
      <c r="L197" s="39"/>
      <c r="M197" s="39"/>
      <c r="N197" s="40"/>
      <c r="O197" s="40"/>
      <c r="P197" s="40"/>
      <c r="Q197" s="40"/>
      <c r="R197" s="40"/>
      <c r="S197" s="40"/>
      <c r="T197" s="40"/>
      <c r="U197" s="40"/>
      <c r="V197" s="40"/>
      <c r="W197" s="40"/>
      <c r="X197" s="40"/>
      <c r="Y197" s="40" t="s">
        <v>97</v>
      </c>
      <c r="Z197" s="40" t="s">
        <v>97</v>
      </c>
      <c r="AA197" s="40"/>
      <c r="AB197" s="40"/>
      <c r="AC197" s="40"/>
      <c r="AD197" s="40"/>
      <c r="AE197" s="40"/>
      <c r="AF197" s="40"/>
      <c r="AG197" s="40"/>
      <c r="AH197" s="40"/>
      <c r="AI197" s="40"/>
      <c r="AJ197" s="40"/>
      <c r="AK197" s="40"/>
      <c r="AL197" s="40"/>
      <c r="AM197" s="40"/>
      <c r="AN197" s="40"/>
      <c r="AO197" s="40"/>
      <c r="AP197" s="40"/>
      <c r="AQ197" s="40"/>
      <c r="AR197" s="40"/>
      <c r="AS197" s="40"/>
      <c r="AT197" s="40"/>
      <c r="AU197" s="40"/>
      <c r="AV197" s="40"/>
      <c r="AW197" s="40"/>
      <c r="AX197" s="40"/>
      <c r="AY197" s="40"/>
      <c r="AZ197" s="40"/>
    </row>
    <row r="198" spans="1:52" s="71" customFormat="1" ht="12" thickBot="1" x14ac:dyDescent="0.2">
      <c r="A198" s="37" t="s">
        <v>65</v>
      </c>
      <c r="B198" s="44" t="s">
        <v>319</v>
      </c>
      <c r="C198" s="109" t="str">
        <f>HYPERLINK(Hoofddocument!$H$198,Hoofddocument!$G$198)</f>
        <v>Masterclass IT Developments</v>
      </c>
      <c r="D198" s="44"/>
      <c r="E198" s="44" t="s">
        <v>320</v>
      </c>
      <c r="F198" s="44"/>
      <c r="G198" s="38" t="s">
        <v>321</v>
      </c>
      <c r="H198" s="64" t="s">
        <v>322</v>
      </c>
      <c r="I198" s="41"/>
      <c r="J198" s="39"/>
      <c r="K198" s="39"/>
      <c r="L198" s="39"/>
      <c r="M198" s="39" t="s">
        <v>97</v>
      </c>
      <c r="N198" s="39" t="s">
        <v>97</v>
      </c>
      <c r="O198" s="39" t="s">
        <v>97</v>
      </c>
      <c r="P198" s="39" t="s">
        <v>97</v>
      </c>
      <c r="Q198" s="39"/>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row>
    <row r="199" spans="1:52" s="71" customFormat="1" ht="12" thickBot="1" x14ac:dyDescent="0.2">
      <c r="A199" s="37" t="s">
        <v>65</v>
      </c>
      <c r="B199" s="44" t="s">
        <v>11</v>
      </c>
      <c r="C199" s="109" t="str">
        <f>HYPERLINK(Hoofddocument!$H$199,Hoofddocument!$G$199)</f>
        <v>Slim Leren op de Werkplek</v>
      </c>
      <c r="D199" s="44" t="s">
        <v>166</v>
      </c>
      <c r="E199" s="44" t="s">
        <v>12</v>
      </c>
      <c r="F199" s="44" t="s">
        <v>246</v>
      </c>
      <c r="G199" s="38" t="s">
        <v>392</v>
      </c>
      <c r="H199" s="49" t="s">
        <v>247</v>
      </c>
      <c r="I199" s="41"/>
      <c r="J199" s="39"/>
      <c r="K199" s="39"/>
      <c r="L199" s="39"/>
      <c r="M199" s="39"/>
      <c r="N199" s="39"/>
      <c r="O199" s="39"/>
      <c r="P199" s="39"/>
      <c r="Q199" s="39"/>
      <c r="R199" s="40"/>
      <c r="S199" s="40"/>
      <c r="T199" s="40"/>
      <c r="U199" s="40"/>
      <c r="V199" s="40"/>
      <c r="W199" s="40"/>
      <c r="X199" s="40"/>
      <c r="Y199" s="40"/>
      <c r="Z199" s="40"/>
      <c r="AA199" s="40"/>
      <c r="AB199" s="40"/>
      <c r="AC199" s="40"/>
      <c r="AD199" s="40"/>
      <c r="AE199" s="40"/>
      <c r="AF199" s="40"/>
      <c r="AG199" s="40"/>
      <c r="AH199" s="40" t="s">
        <v>97</v>
      </c>
      <c r="AI199" s="40"/>
      <c r="AJ199" s="40"/>
      <c r="AK199" s="40"/>
      <c r="AL199" s="40"/>
      <c r="AM199" s="40"/>
      <c r="AN199" s="40"/>
      <c r="AO199" s="40"/>
      <c r="AP199" s="40"/>
      <c r="AQ199" s="40"/>
      <c r="AR199" s="40"/>
      <c r="AS199" s="40"/>
      <c r="AT199" s="40"/>
      <c r="AU199" s="40"/>
      <c r="AV199" s="40"/>
      <c r="AW199" s="40"/>
      <c r="AX199" s="40"/>
      <c r="AY199" s="40"/>
      <c r="AZ199" s="40"/>
    </row>
    <row r="200" spans="1:52" s="71" customFormat="1" ht="12" thickBot="1" x14ac:dyDescent="0.2">
      <c r="A200" s="43" t="s">
        <v>65</v>
      </c>
      <c r="B200" s="44" t="s">
        <v>731</v>
      </c>
      <c r="C200" s="109" t="str">
        <f>HYPERLINK(Hoofddocument!$H$200,Hoofddocument!$G$200)</f>
        <v>Leidinggeven zonder Macht</v>
      </c>
      <c r="D200" s="44" t="s">
        <v>166</v>
      </c>
      <c r="E200" s="44" t="s">
        <v>12</v>
      </c>
      <c r="F200" s="63" t="s">
        <v>445</v>
      </c>
      <c r="G200" s="38" t="s">
        <v>446</v>
      </c>
      <c r="H200" s="65" t="s">
        <v>447</v>
      </c>
      <c r="I200" s="41"/>
      <c r="J200" s="39"/>
      <c r="K200" s="39"/>
      <c r="L200" s="39"/>
      <c r="M200" s="39"/>
      <c r="N200" s="39"/>
      <c r="O200" s="39"/>
      <c r="P200" s="39"/>
      <c r="Q200" s="39"/>
      <c r="R200" s="40"/>
      <c r="S200" s="40"/>
      <c r="T200" s="40"/>
      <c r="U200" s="40"/>
      <c r="V200" s="40"/>
      <c r="W200" s="40"/>
      <c r="X200" s="40"/>
      <c r="Y200" s="40"/>
      <c r="Z200" s="40"/>
      <c r="AA200" s="40"/>
      <c r="AB200" s="40"/>
      <c r="AC200" s="40"/>
      <c r="AD200" s="40"/>
      <c r="AE200" s="40"/>
      <c r="AF200" s="40"/>
      <c r="AG200" s="40"/>
      <c r="AH200" s="40"/>
      <c r="AI200" s="40"/>
      <c r="AJ200" s="40"/>
      <c r="AK200" s="40"/>
      <c r="AL200" s="40" t="s">
        <v>97</v>
      </c>
      <c r="AM200" s="40" t="s">
        <v>634</v>
      </c>
      <c r="AN200" s="40"/>
      <c r="AO200" s="40"/>
      <c r="AP200" s="40"/>
      <c r="AQ200" s="40"/>
      <c r="AR200" s="40"/>
      <c r="AS200" s="40"/>
      <c r="AT200" s="40"/>
      <c r="AU200" s="40"/>
      <c r="AV200" s="40"/>
      <c r="AW200" s="40"/>
      <c r="AX200" s="40"/>
      <c r="AY200" s="40"/>
      <c r="AZ200" s="40"/>
    </row>
    <row r="201" spans="1:52" s="71" customFormat="1" ht="12" thickBot="1" x14ac:dyDescent="0.2">
      <c r="A201" s="43" t="s">
        <v>65</v>
      </c>
      <c r="B201" s="44" t="s">
        <v>731</v>
      </c>
      <c r="C201" s="109" t="str">
        <f>HYPERLINK(Hoofddocument!$H$201,Hoofddocument!$G$201)</f>
        <v>Basistraining Leidinggeven</v>
      </c>
      <c r="D201" s="44" t="s">
        <v>166</v>
      </c>
      <c r="E201" s="44" t="s">
        <v>12</v>
      </c>
      <c r="F201" s="44" t="s">
        <v>702</v>
      </c>
      <c r="G201" s="38" t="s">
        <v>701</v>
      </c>
      <c r="H201" s="65" t="s">
        <v>444</v>
      </c>
      <c r="I201" s="41"/>
      <c r="J201" s="39"/>
      <c r="K201" s="39"/>
      <c r="L201" s="39"/>
      <c r="M201" s="39"/>
      <c r="N201" s="39"/>
      <c r="O201" s="39"/>
      <c r="P201" s="39"/>
      <c r="Q201" s="39"/>
      <c r="R201" s="40"/>
      <c r="S201" s="40"/>
      <c r="T201" s="40"/>
      <c r="U201" s="40"/>
      <c r="V201" s="40"/>
      <c r="W201" s="40"/>
      <c r="X201" s="40"/>
      <c r="Y201" s="40"/>
      <c r="Z201" s="40"/>
      <c r="AA201" s="40"/>
      <c r="AB201" s="40"/>
      <c r="AC201" s="40"/>
      <c r="AD201" s="40"/>
      <c r="AE201" s="40"/>
      <c r="AF201" s="40"/>
      <c r="AG201" s="40"/>
      <c r="AH201" s="40"/>
      <c r="AI201" s="40"/>
      <c r="AJ201" s="40"/>
      <c r="AK201" s="40"/>
      <c r="AL201" s="40"/>
      <c r="AM201" s="40" t="s">
        <v>634</v>
      </c>
      <c r="AN201" s="40"/>
      <c r="AO201" s="40"/>
      <c r="AP201" s="40"/>
      <c r="AQ201" s="40"/>
      <c r="AR201" s="40"/>
      <c r="AS201" s="40"/>
      <c r="AT201" s="40"/>
      <c r="AU201" s="40"/>
      <c r="AV201" s="40"/>
      <c r="AW201" s="40"/>
      <c r="AX201" s="40"/>
      <c r="AY201" s="40"/>
      <c r="AZ201" s="40"/>
    </row>
    <row r="202" spans="1:52" s="71" customFormat="1" ht="12" thickBot="1" x14ac:dyDescent="0.2">
      <c r="A202" s="43" t="s">
        <v>65</v>
      </c>
      <c r="B202" s="44" t="s">
        <v>14</v>
      </c>
      <c r="C202" s="109" t="str">
        <f>HYPERLINK(Hoofddocument!$H$202,Hoofddocument!$G$202)</f>
        <v>Basisvaardigheden in Communicatie</v>
      </c>
      <c r="D202" s="44" t="s">
        <v>166</v>
      </c>
      <c r="E202" s="44" t="s">
        <v>12</v>
      </c>
      <c r="F202" s="44" t="s">
        <v>200</v>
      </c>
      <c r="G202" s="38" t="s">
        <v>201</v>
      </c>
      <c r="H202" s="49" t="s">
        <v>529</v>
      </c>
      <c r="I202" s="41"/>
      <c r="J202" s="39"/>
      <c r="K202" s="39"/>
      <c r="L202" s="39"/>
      <c r="M202" s="39"/>
      <c r="N202" s="39"/>
      <c r="O202" s="39"/>
      <c r="P202" s="39"/>
      <c r="Q202" s="39"/>
      <c r="R202" s="40"/>
      <c r="S202" s="40"/>
      <c r="T202" s="40"/>
      <c r="U202" s="40"/>
      <c r="V202" s="40" t="s">
        <v>634</v>
      </c>
      <c r="W202" s="40"/>
      <c r="X202" s="40"/>
      <c r="Y202" s="40"/>
      <c r="Z202" s="40"/>
      <c r="AA202" s="40"/>
      <c r="AB202" s="40"/>
      <c r="AC202" s="40"/>
      <c r="AD202" s="40"/>
      <c r="AE202" s="40"/>
      <c r="AF202" s="40"/>
      <c r="AG202" s="40"/>
      <c r="AH202" s="40"/>
      <c r="AI202" s="40"/>
      <c r="AJ202" s="40"/>
      <c r="AK202" s="40"/>
      <c r="AL202" s="40"/>
      <c r="AM202" s="40"/>
      <c r="AN202" s="40"/>
      <c r="AO202" s="40"/>
      <c r="AP202" s="40"/>
      <c r="AQ202" s="40"/>
      <c r="AR202" s="40"/>
      <c r="AS202" s="40"/>
      <c r="AT202" s="40"/>
      <c r="AU202" s="40"/>
      <c r="AV202" s="40"/>
      <c r="AW202" s="40"/>
      <c r="AX202" s="40"/>
      <c r="AY202" s="40"/>
      <c r="AZ202" s="40"/>
    </row>
    <row r="203" spans="1:52" s="71" customFormat="1" ht="12" thickBot="1" x14ac:dyDescent="0.2">
      <c r="A203" s="43" t="s">
        <v>65</v>
      </c>
      <c r="B203" s="44" t="s">
        <v>14</v>
      </c>
      <c r="C203" s="109" t="str">
        <f>HYPERLINK(Hoofddocument!$H$203,Hoofddocument!$G$203)</f>
        <v>Powerboost Basis Gespreksvaardigheden</v>
      </c>
      <c r="D203" s="44" t="s">
        <v>166</v>
      </c>
      <c r="E203" s="44" t="s">
        <v>12</v>
      </c>
      <c r="F203" s="44" t="s">
        <v>500</v>
      </c>
      <c r="G203" s="38" t="s">
        <v>501</v>
      </c>
      <c r="H203" s="64" t="s">
        <v>626</v>
      </c>
      <c r="I203" s="41"/>
      <c r="J203" s="39"/>
      <c r="K203" s="39"/>
      <c r="L203" s="39"/>
      <c r="M203" s="39"/>
      <c r="N203" s="39"/>
      <c r="O203" s="39"/>
      <c r="P203" s="39"/>
      <c r="Q203" s="39"/>
      <c r="R203" s="40"/>
      <c r="S203" s="40"/>
      <c r="T203" s="40"/>
      <c r="U203" s="40"/>
      <c r="V203" s="40" t="s">
        <v>634</v>
      </c>
      <c r="W203" s="40"/>
      <c r="X203" s="40" t="s">
        <v>634</v>
      </c>
      <c r="Y203" s="40"/>
      <c r="Z203" s="40"/>
      <c r="AA203" s="40"/>
      <c r="AB203" s="40" t="s">
        <v>634</v>
      </c>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row>
    <row r="204" spans="1:52" s="71" customFormat="1" ht="12" thickBot="1" x14ac:dyDescent="0.2">
      <c r="A204" s="43" t="s">
        <v>65</v>
      </c>
      <c r="B204" s="44" t="s">
        <v>230</v>
      </c>
      <c r="C204" s="109" t="str">
        <f>HYPERLINK(Hoofddocument!$H$204,Hoofddocument!$G$204)</f>
        <v>Invloed in Complexiteit</v>
      </c>
      <c r="D204" s="44" t="s">
        <v>166</v>
      </c>
      <c r="E204" s="44" t="s">
        <v>12</v>
      </c>
      <c r="F204" s="44" t="s">
        <v>231</v>
      </c>
      <c r="G204" s="38" t="s">
        <v>232</v>
      </c>
      <c r="H204" s="64" t="s">
        <v>543</v>
      </c>
      <c r="I204" s="41" t="s">
        <v>634</v>
      </c>
      <c r="J204" s="39"/>
      <c r="K204" s="39"/>
      <c r="L204" s="39"/>
      <c r="M204" s="39"/>
      <c r="N204" s="39"/>
      <c r="O204" s="39"/>
      <c r="P204" s="39"/>
      <c r="Q204" s="39"/>
      <c r="R204" s="40"/>
      <c r="S204" s="40"/>
      <c r="T204" s="40"/>
      <c r="U204" s="40"/>
      <c r="V204" s="40"/>
      <c r="W204" s="40"/>
      <c r="X204" s="40" t="s">
        <v>634</v>
      </c>
      <c r="Y204" s="40"/>
      <c r="Z204" s="40"/>
      <c r="AA204" s="40"/>
      <c r="AB204" s="40" t="s">
        <v>97</v>
      </c>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row>
    <row r="205" spans="1:52" s="71" customFormat="1" ht="12" thickBot="1" x14ac:dyDescent="0.2">
      <c r="A205" s="43" t="s">
        <v>65</v>
      </c>
      <c r="B205" s="44" t="s">
        <v>22</v>
      </c>
      <c r="C205" s="109" t="str">
        <f>HYPERLINK(Hoofddocument!$H$205,Hoofddocument!$G$205)</f>
        <v>Emotionele Intelligentie</v>
      </c>
      <c r="D205" s="44" t="s">
        <v>166</v>
      </c>
      <c r="E205" s="44" t="s">
        <v>12</v>
      </c>
      <c r="F205" s="44" t="s">
        <v>177</v>
      </c>
      <c r="G205" s="38" t="s">
        <v>178</v>
      </c>
      <c r="H205" s="49" t="s">
        <v>521</v>
      </c>
      <c r="I205" s="41" t="s">
        <v>97</v>
      </c>
      <c r="J205" s="39"/>
      <c r="K205" s="39"/>
      <c r="L205" s="39"/>
      <c r="M205" s="39"/>
      <c r="N205" s="39"/>
      <c r="O205" s="39"/>
      <c r="P205" s="39"/>
      <c r="Q205" s="39"/>
      <c r="R205" s="40"/>
      <c r="S205" s="40"/>
      <c r="T205" s="40"/>
      <c r="U205" s="40"/>
      <c r="V205" s="40"/>
      <c r="W205" s="40"/>
      <c r="X205" s="40"/>
      <c r="Y205" s="40"/>
      <c r="Z205" s="40"/>
      <c r="AA205" s="40"/>
      <c r="AB205" s="40"/>
      <c r="AC205" s="40"/>
      <c r="AD205" s="40"/>
      <c r="AE205" s="40"/>
      <c r="AF205" s="40"/>
      <c r="AG205" s="40"/>
      <c r="AH205" s="40"/>
      <c r="AI205" s="40"/>
      <c r="AJ205" s="40"/>
      <c r="AK205" s="40"/>
      <c r="AL205" s="40"/>
      <c r="AM205" s="40"/>
      <c r="AN205" s="40"/>
      <c r="AO205" s="40"/>
      <c r="AP205" s="40"/>
      <c r="AQ205" s="40"/>
      <c r="AR205" s="40"/>
      <c r="AS205" s="40"/>
      <c r="AT205" s="40"/>
      <c r="AU205" s="40"/>
      <c r="AV205" s="40"/>
      <c r="AW205" s="40"/>
      <c r="AX205" s="40"/>
      <c r="AY205" s="40"/>
      <c r="AZ205" s="40"/>
    </row>
    <row r="206" spans="1:52" s="71" customFormat="1" ht="12" thickBot="1" x14ac:dyDescent="0.2">
      <c r="A206" s="43" t="s">
        <v>65</v>
      </c>
      <c r="B206" s="44" t="s">
        <v>22</v>
      </c>
      <c r="C206" s="109" t="str">
        <f>HYPERLINK(Hoofddocument!$H$206,Hoofddocument!$G$206)</f>
        <v>Politiek-bestuurlijke Sensitiviteit en Beïnvloeding</v>
      </c>
      <c r="D206" s="44" t="s">
        <v>166</v>
      </c>
      <c r="E206" s="44" t="s">
        <v>12</v>
      </c>
      <c r="F206" s="44" t="s">
        <v>676</v>
      </c>
      <c r="G206" s="38" t="s">
        <v>104</v>
      </c>
      <c r="H206" s="49" t="s">
        <v>250</v>
      </c>
      <c r="I206" s="41"/>
      <c r="J206" s="39" t="s">
        <v>97</v>
      </c>
      <c r="K206" s="39"/>
      <c r="L206" s="39"/>
      <c r="M206" s="39"/>
      <c r="N206" s="39"/>
      <c r="O206" s="39"/>
      <c r="P206" s="39"/>
      <c r="Q206" s="39"/>
      <c r="R206" s="40"/>
      <c r="S206" s="40"/>
      <c r="T206" s="40"/>
      <c r="U206" s="40"/>
      <c r="V206" s="40"/>
      <c r="W206" s="40"/>
      <c r="X206" s="40" t="s">
        <v>97</v>
      </c>
      <c r="Y206" s="40"/>
      <c r="Z206" s="40"/>
      <c r="AA206" s="40"/>
      <c r="AB206" s="40" t="s">
        <v>97</v>
      </c>
      <c r="AC206" s="40"/>
      <c r="AD206" s="40"/>
      <c r="AE206" s="40"/>
      <c r="AF206" s="40"/>
      <c r="AG206" s="40" t="s">
        <v>97</v>
      </c>
      <c r="AH206" s="40"/>
      <c r="AI206" s="40"/>
      <c r="AJ206" s="40"/>
      <c r="AK206" s="40" t="s">
        <v>634</v>
      </c>
      <c r="AL206" s="40"/>
      <c r="AM206" s="40"/>
      <c r="AN206" s="40"/>
      <c r="AO206" s="40"/>
      <c r="AP206" s="40"/>
      <c r="AQ206" s="40" t="s">
        <v>634</v>
      </c>
      <c r="AR206" s="40"/>
      <c r="AS206" s="40"/>
      <c r="AT206" s="40"/>
      <c r="AU206" s="40"/>
      <c r="AV206" s="40"/>
      <c r="AW206" s="40"/>
      <c r="AX206" s="40"/>
      <c r="AY206" s="40"/>
      <c r="AZ206" s="40"/>
    </row>
    <row r="207" spans="1:52" s="71" customFormat="1" ht="12" thickBot="1" x14ac:dyDescent="0.2">
      <c r="A207" s="43" t="s">
        <v>65</v>
      </c>
      <c r="B207" s="44" t="s">
        <v>23</v>
      </c>
      <c r="C207" s="109" t="str">
        <f>HYPERLINK(Hoofddocument!$H$207,Hoofddocument!$G$207)</f>
        <v>Overtuigingskracht</v>
      </c>
      <c r="D207" s="38" t="s">
        <v>166</v>
      </c>
      <c r="E207" s="38" t="s">
        <v>12</v>
      </c>
      <c r="F207" s="38" t="s">
        <v>179</v>
      </c>
      <c r="G207" s="38" t="s">
        <v>23</v>
      </c>
      <c r="H207" s="49" t="s">
        <v>329</v>
      </c>
      <c r="I207" s="41"/>
      <c r="J207" s="39"/>
      <c r="K207" s="39"/>
      <c r="L207" s="39"/>
      <c r="M207" s="39"/>
      <c r="N207" s="39"/>
      <c r="O207" s="39"/>
      <c r="P207" s="39"/>
      <c r="Q207" s="39" t="s">
        <v>97</v>
      </c>
      <c r="R207" s="40"/>
      <c r="S207" s="40"/>
      <c r="T207" s="40"/>
      <c r="U207" s="40"/>
      <c r="V207" s="40"/>
      <c r="W207" s="40"/>
      <c r="X207" s="40" t="s">
        <v>634</v>
      </c>
      <c r="Y207" s="40"/>
      <c r="Z207" s="40"/>
      <c r="AA207" s="40" t="s">
        <v>97</v>
      </c>
      <c r="AB207" s="40" t="s">
        <v>97</v>
      </c>
      <c r="AC207" s="40"/>
      <c r="AD207" s="40" t="s">
        <v>97</v>
      </c>
      <c r="AE207" s="40" t="s">
        <v>97</v>
      </c>
      <c r="AF207" s="40"/>
      <c r="AG207" s="40"/>
      <c r="AH207" s="40"/>
      <c r="AI207" s="40"/>
      <c r="AJ207" s="40"/>
      <c r="AK207" s="40" t="s">
        <v>97</v>
      </c>
      <c r="AL207" s="40"/>
      <c r="AM207" s="40"/>
      <c r="AN207" s="40"/>
      <c r="AO207" s="40"/>
      <c r="AP207" s="40"/>
      <c r="AQ207" s="40"/>
      <c r="AR207" s="40"/>
      <c r="AS207" s="40"/>
      <c r="AT207" s="40"/>
      <c r="AU207" s="40"/>
      <c r="AV207" s="40"/>
      <c r="AW207" s="40"/>
      <c r="AX207" s="40"/>
      <c r="AY207" s="40"/>
      <c r="AZ207" s="40"/>
    </row>
    <row r="208" spans="1:52" s="71" customFormat="1" ht="12" thickBot="1" x14ac:dyDescent="0.2">
      <c r="A208" s="43" t="s">
        <v>65</v>
      </c>
      <c r="B208" s="44" t="s">
        <v>23</v>
      </c>
      <c r="C208" s="109" t="str">
        <f>HYPERLINK(Hoofddocument!$H$208,Hoofddocument!$G$208)</f>
        <v>Masterclass Effectief Beïnvloeden en Overtuigen</v>
      </c>
      <c r="D208" s="44" t="s">
        <v>166</v>
      </c>
      <c r="E208" s="44" t="s">
        <v>12</v>
      </c>
      <c r="F208" s="44" t="s">
        <v>330</v>
      </c>
      <c r="G208" s="38" t="s">
        <v>331</v>
      </c>
      <c r="H208" s="49" t="s">
        <v>115</v>
      </c>
      <c r="I208" s="41"/>
      <c r="J208" s="39"/>
      <c r="K208" s="39"/>
      <c r="L208" s="39"/>
      <c r="M208" s="39"/>
      <c r="N208" s="39"/>
      <c r="O208" s="39"/>
      <c r="P208" s="39"/>
      <c r="Q208" s="39"/>
      <c r="R208" s="40"/>
      <c r="S208" s="40"/>
      <c r="T208" s="40"/>
      <c r="U208" s="40"/>
      <c r="V208" s="40"/>
      <c r="W208" s="40"/>
      <c r="X208" s="40" t="s">
        <v>634</v>
      </c>
      <c r="Y208" s="40"/>
      <c r="Z208" s="40"/>
      <c r="AA208" s="40"/>
      <c r="AB208" s="40"/>
      <c r="AC208" s="40"/>
      <c r="AD208" s="40"/>
      <c r="AE208" s="40"/>
      <c r="AF208" s="40"/>
      <c r="AG208" s="40"/>
      <c r="AH208" s="40"/>
      <c r="AI208" s="40"/>
      <c r="AJ208" s="40"/>
      <c r="AK208" s="40"/>
      <c r="AL208" s="40"/>
      <c r="AM208" s="40"/>
      <c r="AN208" s="40"/>
      <c r="AO208" s="40"/>
      <c r="AP208" s="40"/>
      <c r="AQ208" s="40" t="s">
        <v>634</v>
      </c>
      <c r="AR208" s="40"/>
      <c r="AS208" s="40"/>
      <c r="AT208" s="40"/>
      <c r="AU208" s="40"/>
      <c r="AV208" s="40"/>
      <c r="AW208" s="40"/>
      <c r="AX208" s="40"/>
      <c r="AY208" s="40"/>
      <c r="AZ208" s="40"/>
    </row>
    <row r="209" spans="1:52" s="71" customFormat="1" ht="12" thickBot="1" x14ac:dyDescent="0.2">
      <c r="A209" s="37" t="s">
        <v>65</v>
      </c>
      <c r="B209" s="44" t="s">
        <v>23</v>
      </c>
      <c r="C209" s="109" t="str">
        <f>HYPERLINK(Hoofddocument!$H$209,Hoofddocument!$G$209)</f>
        <v>Storytelling</v>
      </c>
      <c r="D209" s="44" t="s">
        <v>166</v>
      </c>
      <c r="E209" s="44" t="s">
        <v>12</v>
      </c>
      <c r="F209" s="44" t="s">
        <v>312</v>
      </c>
      <c r="G209" s="38" t="s">
        <v>111</v>
      </c>
      <c r="H209" s="64" t="s">
        <v>112</v>
      </c>
      <c r="I209" s="41"/>
      <c r="J209" s="39"/>
      <c r="K209" s="39"/>
      <c r="L209" s="39"/>
      <c r="M209" s="39"/>
      <c r="N209" s="39"/>
      <c r="O209" s="39"/>
      <c r="P209" s="39"/>
      <c r="Q209" s="39"/>
      <c r="R209" s="40"/>
      <c r="S209" s="40"/>
      <c r="T209" s="40"/>
      <c r="U209" s="40"/>
      <c r="V209" s="40"/>
      <c r="W209" s="40"/>
      <c r="X209" s="40" t="s">
        <v>634</v>
      </c>
      <c r="Y209" s="40"/>
      <c r="Z209" s="40"/>
      <c r="AA209" s="40"/>
      <c r="AB209" s="40"/>
      <c r="AC209" s="40"/>
      <c r="AD209" s="40" t="s">
        <v>97</v>
      </c>
      <c r="AE209" s="40" t="s">
        <v>97</v>
      </c>
      <c r="AF209" s="40"/>
      <c r="AG209" s="40"/>
      <c r="AH209" s="40"/>
      <c r="AI209" s="40"/>
      <c r="AJ209" s="40"/>
      <c r="AK209" s="40"/>
      <c r="AL209" s="40"/>
      <c r="AM209" s="40"/>
      <c r="AN209" s="40"/>
      <c r="AO209" s="40"/>
      <c r="AP209" s="40"/>
      <c r="AQ209" s="40"/>
      <c r="AR209" s="40"/>
      <c r="AS209" s="40"/>
      <c r="AT209" s="40"/>
      <c r="AU209" s="40"/>
      <c r="AV209" s="40"/>
      <c r="AW209" s="40"/>
      <c r="AX209" s="40"/>
      <c r="AY209" s="40"/>
      <c r="AZ209" s="40"/>
    </row>
    <row r="210" spans="1:52" s="71" customFormat="1" ht="12" thickBot="1" x14ac:dyDescent="0.2">
      <c r="A210" s="43" t="s">
        <v>65</v>
      </c>
      <c r="B210" s="44" t="s">
        <v>23</v>
      </c>
      <c r="C210" s="109" t="str">
        <f>HYPERLINK(Hoofddocument!$H$210,Hoofddocument!$G$210)</f>
        <v>Strategisch Onderhandelen bij de Overheid</v>
      </c>
      <c r="D210" s="44" t="s">
        <v>166</v>
      </c>
      <c r="E210" s="44" t="s">
        <v>12</v>
      </c>
      <c r="F210" s="44" t="s">
        <v>769</v>
      </c>
      <c r="G210" s="38" t="s">
        <v>829</v>
      </c>
      <c r="H210" s="64" t="s">
        <v>901</v>
      </c>
      <c r="I210" s="41"/>
      <c r="J210" s="39"/>
      <c r="K210" s="39"/>
      <c r="L210" s="39"/>
      <c r="M210" s="39"/>
      <c r="N210" s="39"/>
      <c r="O210" s="39"/>
      <c r="P210" s="39"/>
      <c r="Q210" s="39"/>
      <c r="R210" s="40"/>
      <c r="S210" s="40"/>
      <c r="T210" s="40"/>
      <c r="U210" s="40"/>
      <c r="V210" s="40"/>
      <c r="W210" s="40"/>
      <c r="X210" s="40"/>
      <c r="Y210" s="40"/>
      <c r="Z210" s="40"/>
      <c r="AA210" s="40"/>
      <c r="AB210" s="40" t="s">
        <v>634</v>
      </c>
      <c r="AC210" s="40"/>
      <c r="AD210" s="40"/>
      <c r="AE210" s="40" t="s">
        <v>634</v>
      </c>
      <c r="AF210" s="40"/>
      <c r="AG210" s="40"/>
      <c r="AH210" s="40"/>
      <c r="AI210" s="40"/>
      <c r="AJ210" s="40"/>
      <c r="AK210" s="40"/>
      <c r="AL210" s="40"/>
      <c r="AM210" s="40"/>
      <c r="AN210" s="40"/>
      <c r="AO210" s="40"/>
      <c r="AP210" s="40"/>
      <c r="AQ210" s="40"/>
      <c r="AR210" s="40"/>
      <c r="AS210" s="40"/>
      <c r="AT210" s="40"/>
      <c r="AU210" s="40"/>
      <c r="AV210" s="40"/>
      <c r="AW210" s="40"/>
      <c r="AX210" s="40"/>
      <c r="AY210" s="40"/>
      <c r="AZ210" s="40"/>
    </row>
    <row r="211" spans="1:52" s="71" customFormat="1" ht="12" thickBot="1" x14ac:dyDescent="0.2">
      <c r="A211" s="43" t="s">
        <v>65</v>
      </c>
      <c r="B211" s="44" t="s">
        <v>25</v>
      </c>
      <c r="C211" s="109" t="str">
        <f>HYPERLINK(Hoofddocument!$H$211,Hoofddocument!$G$211)</f>
        <v>Training Goed Waarnemen, Juist interpreteren en Effectief Communiceren</v>
      </c>
      <c r="D211" s="44"/>
      <c r="E211" s="44" t="s">
        <v>225</v>
      </c>
      <c r="F211" s="44"/>
      <c r="G211" s="38" t="s">
        <v>263</v>
      </c>
      <c r="H211" s="64" t="s">
        <v>549</v>
      </c>
      <c r="I211" s="41" t="s">
        <v>97</v>
      </c>
      <c r="J211" s="39"/>
      <c r="K211" s="39"/>
      <c r="L211" s="39"/>
      <c r="M211" s="39"/>
      <c r="N211" s="39"/>
      <c r="O211" s="39"/>
      <c r="P211" s="39"/>
      <c r="Q211" s="39"/>
      <c r="R211" s="40"/>
      <c r="S211" s="40"/>
      <c r="T211" s="40"/>
      <c r="U211" s="40"/>
      <c r="V211" s="40"/>
      <c r="W211" s="40"/>
      <c r="X211" s="40"/>
      <c r="Y211" s="40"/>
      <c r="Z211" s="40"/>
      <c r="AA211" s="40" t="s">
        <v>97</v>
      </c>
      <c r="AB211" s="40"/>
      <c r="AC211" s="40"/>
      <c r="AD211" s="40"/>
      <c r="AE211" s="40"/>
      <c r="AF211" s="40"/>
      <c r="AG211" s="40" t="s">
        <v>634</v>
      </c>
      <c r="AH211" s="40"/>
      <c r="AI211" s="40"/>
      <c r="AJ211" s="40"/>
      <c r="AK211" s="40"/>
      <c r="AL211" s="40"/>
      <c r="AM211" s="40"/>
      <c r="AN211" s="40"/>
      <c r="AO211" s="40"/>
      <c r="AP211" s="40"/>
      <c r="AQ211" s="40"/>
      <c r="AR211" s="40"/>
      <c r="AS211" s="40" t="s">
        <v>634</v>
      </c>
      <c r="AT211" s="40"/>
      <c r="AU211" s="40"/>
      <c r="AV211" s="40"/>
      <c r="AW211" s="40"/>
      <c r="AX211" s="40"/>
      <c r="AY211" s="40"/>
      <c r="AZ211" s="40"/>
    </row>
    <row r="212" spans="1:52" s="71" customFormat="1" ht="12" thickBot="1" x14ac:dyDescent="0.2">
      <c r="A212" s="43" t="s">
        <v>65</v>
      </c>
      <c r="B212" s="44" t="s">
        <v>28</v>
      </c>
      <c r="C212" s="109" t="str">
        <f>HYPERLINK(Hoofddocument!$H$212,Hoofddocument!$G$212)</f>
        <v>Schrijven met het piramideprincipe</v>
      </c>
      <c r="D212" s="44" t="s">
        <v>166</v>
      </c>
      <c r="E212" s="44" t="s">
        <v>12</v>
      </c>
      <c r="F212" s="44" t="s">
        <v>311</v>
      </c>
      <c r="G212" s="38" t="s">
        <v>109</v>
      </c>
      <c r="H212" s="64" t="s">
        <v>110</v>
      </c>
      <c r="I212" s="41"/>
      <c r="J212" s="39"/>
      <c r="K212" s="39"/>
      <c r="L212" s="39"/>
      <c r="M212" s="39"/>
      <c r="N212" s="39"/>
      <c r="O212" s="39"/>
      <c r="P212" s="39"/>
      <c r="Q212" s="39" t="s">
        <v>97</v>
      </c>
      <c r="R212" s="40"/>
      <c r="S212" s="40"/>
      <c r="T212" s="40"/>
      <c r="U212" s="40"/>
      <c r="V212" s="40"/>
      <c r="W212" s="40"/>
      <c r="X212" s="40" t="s">
        <v>97</v>
      </c>
      <c r="Y212" s="40" t="s">
        <v>97</v>
      </c>
      <c r="Z212" s="40" t="s">
        <v>97</v>
      </c>
      <c r="AA212" s="40" t="s">
        <v>97</v>
      </c>
      <c r="AB212" s="40" t="s">
        <v>97</v>
      </c>
      <c r="AC212" s="40"/>
      <c r="AD212" s="40" t="s">
        <v>97</v>
      </c>
      <c r="AE212" s="40" t="s">
        <v>97</v>
      </c>
      <c r="AF212" s="40" t="s">
        <v>97</v>
      </c>
      <c r="AG212" s="40" t="s">
        <v>97</v>
      </c>
      <c r="AH212" s="40" t="s">
        <v>97</v>
      </c>
      <c r="AI212" s="40"/>
      <c r="AJ212" s="40"/>
      <c r="AK212" s="40"/>
      <c r="AL212" s="40" t="s">
        <v>97</v>
      </c>
      <c r="AM212" s="40"/>
      <c r="AN212" s="40" t="s">
        <v>97</v>
      </c>
      <c r="AO212" s="40" t="s">
        <v>97</v>
      </c>
      <c r="AP212" s="40"/>
      <c r="AQ212" s="40"/>
      <c r="AR212" s="40"/>
      <c r="AS212" s="40"/>
      <c r="AT212" s="40"/>
      <c r="AU212" s="40"/>
      <c r="AV212" s="40"/>
      <c r="AW212" s="40"/>
      <c r="AX212" s="40"/>
      <c r="AY212" s="40"/>
      <c r="AZ212" s="40"/>
    </row>
    <row r="213" spans="1:52" s="71" customFormat="1" ht="12" thickBot="1" x14ac:dyDescent="0.2">
      <c r="A213" s="43" t="s">
        <v>65</v>
      </c>
      <c r="B213" s="44" t="s">
        <v>28</v>
      </c>
      <c r="C213" s="109" t="str">
        <f>HYPERLINK(Hoofddocument!$H$213,Hoofddocument!$G$213)</f>
        <v>Powerboost Schriftelijke Vaardigheden</v>
      </c>
      <c r="D213" s="44" t="s">
        <v>166</v>
      </c>
      <c r="E213" s="44" t="s">
        <v>12</v>
      </c>
      <c r="F213" s="44" t="s">
        <v>234</v>
      </c>
      <c r="G213" s="38" t="s">
        <v>235</v>
      </c>
      <c r="H213" s="64" t="s">
        <v>544</v>
      </c>
      <c r="I213" s="41" t="s">
        <v>634</v>
      </c>
      <c r="J213" s="39" t="s">
        <v>97</v>
      </c>
      <c r="K213" s="39"/>
      <c r="L213" s="39"/>
      <c r="M213" s="39"/>
      <c r="N213" s="39"/>
      <c r="O213" s="39"/>
      <c r="P213" s="39"/>
      <c r="Q213" s="39"/>
      <c r="R213" s="40"/>
      <c r="S213" s="40"/>
      <c r="T213" s="40"/>
      <c r="U213" s="40"/>
      <c r="V213" s="40"/>
      <c r="W213" s="40"/>
      <c r="X213" s="40" t="s">
        <v>634</v>
      </c>
      <c r="Y213" s="40"/>
      <c r="Z213" s="40"/>
      <c r="AA213" s="40"/>
      <c r="AB213" s="40"/>
      <c r="AC213" s="40"/>
      <c r="AD213" s="40"/>
      <c r="AE213" s="40"/>
      <c r="AF213" s="40" t="s">
        <v>97</v>
      </c>
      <c r="AG213" s="40"/>
      <c r="AH213" s="40"/>
      <c r="AI213" s="40"/>
      <c r="AJ213" s="40"/>
      <c r="AK213" s="40" t="s">
        <v>97</v>
      </c>
      <c r="AL213" s="40"/>
      <c r="AM213" s="40"/>
      <c r="AN213" s="40"/>
      <c r="AO213" s="40"/>
      <c r="AP213" s="40"/>
      <c r="AQ213" s="40"/>
      <c r="AR213" s="40"/>
      <c r="AS213" s="40"/>
      <c r="AT213" s="40"/>
      <c r="AU213" s="40"/>
      <c r="AV213" s="40"/>
      <c r="AW213" s="40"/>
      <c r="AX213" s="40"/>
      <c r="AY213" s="40"/>
      <c r="AZ213" s="40"/>
    </row>
    <row r="214" spans="1:52" s="71" customFormat="1" ht="12" thickBot="1" x14ac:dyDescent="0.2">
      <c r="A214" s="37" t="s">
        <v>65</v>
      </c>
      <c r="B214" s="44" t="s">
        <v>28</v>
      </c>
      <c r="C214" s="109" t="str">
        <f>HYPERLINK(Hoofddocument!$H$214,Hoofddocument!$G$214)</f>
        <v>Kort en Krachtig formuleren</v>
      </c>
      <c r="D214" s="44" t="s">
        <v>166</v>
      </c>
      <c r="E214" s="44" t="s">
        <v>12</v>
      </c>
      <c r="F214" s="44" t="s">
        <v>770</v>
      </c>
      <c r="G214" s="38" t="s">
        <v>830</v>
      </c>
      <c r="H214" s="64" t="s">
        <v>902</v>
      </c>
      <c r="I214" s="41"/>
      <c r="J214" s="39"/>
      <c r="K214" s="39"/>
      <c r="L214" s="39"/>
      <c r="M214" s="39"/>
      <c r="N214" s="39"/>
      <c r="O214" s="39"/>
      <c r="P214" s="39"/>
      <c r="Q214" s="39"/>
      <c r="R214" s="40"/>
      <c r="S214" s="40"/>
      <c r="T214" s="40"/>
      <c r="U214" s="40"/>
      <c r="V214" s="40"/>
      <c r="W214" s="40"/>
      <c r="X214" s="40"/>
      <c r="Y214" s="40"/>
      <c r="Z214" s="40"/>
      <c r="AA214" s="40"/>
      <c r="AB214" s="40"/>
      <c r="AC214" s="40"/>
      <c r="AD214" s="40"/>
      <c r="AE214" s="40"/>
      <c r="AF214" s="40"/>
      <c r="AG214" s="40"/>
      <c r="AH214" s="40" t="s">
        <v>97</v>
      </c>
      <c r="AI214" s="40" t="s">
        <v>97</v>
      </c>
      <c r="AJ214" s="40"/>
      <c r="AK214" s="40"/>
      <c r="AL214" s="40"/>
      <c r="AM214" s="40"/>
      <c r="AN214" s="40"/>
      <c r="AO214" s="40"/>
      <c r="AP214" s="40"/>
      <c r="AQ214" s="40"/>
      <c r="AR214" s="40"/>
      <c r="AS214" s="40"/>
      <c r="AT214" s="40"/>
      <c r="AU214" s="40"/>
      <c r="AV214" s="40"/>
      <c r="AW214" s="40"/>
      <c r="AX214" s="40"/>
      <c r="AY214" s="40"/>
      <c r="AZ214" s="40"/>
    </row>
    <row r="215" spans="1:52" s="71" customFormat="1" ht="12" thickBot="1" x14ac:dyDescent="0.2">
      <c r="A215" s="43" t="s">
        <v>65</v>
      </c>
      <c r="B215" s="44" t="s">
        <v>28</v>
      </c>
      <c r="C215" s="109" t="str">
        <f>HYPERLINK(Hoofddocument!$H$215,Hoofddocument!$G$215)</f>
        <v>Powerboost Schriftelijke Vaardigheden</v>
      </c>
      <c r="D215" s="38" t="s">
        <v>166</v>
      </c>
      <c r="E215" s="38" t="s">
        <v>12</v>
      </c>
      <c r="F215" s="44" t="s">
        <v>234</v>
      </c>
      <c r="G215" s="38" t="s">
        <v>235</v>
      </c>
      <c r="H215" s="64" t="s">
        <v>915</v>
      </c>
      <c r="I215" s="41"/>
      <c r="J215" s="39"/>
      <c r="K215" s="39"/>
      <c r="L215" s="40"/>
      <c r="M215" s="40"/>
      <c r="N215" s="40"/>
      <c r="O215" s="40"/>
      <c r="P215" s="40"/>
      <c r="Q215" s="40"/>
      <c r="R215" s="39"/>
      <c r="S215" s="40"/>
      <c r="T215" s="40"/>
      <c r="U215" s="40"/>
      <c r="V215" s="40"/>
      <c r="W215" s="40"/>
      <c r="X215" s="40"/>
      <c r="Y215" s="40"/>
      <c r="Z215" s="40"/>
      <c r="AA215" s="40"/>
      <c r="AB215" s="40"/>
      <c r="AC215" s="40"/>
      <c r="AD215" s="40"/>
      <c r="AE215" s="40"/>
      <c r="AF215" s="40"/>
      <c r="AG215" s="40"/>
      <c r="AH215" s="40"/>
      <c r="AI215" s="40"/>
      <c r="AJ215" s="40" t="s">
        <v>97</v>
      </c>
      <c r="AK215" s="40"/>
      <c r="AL215" s="40"/>
      <c r="AM215" s="40"/>
      <c r="AN215" s="40"/>
      <c r="AO215" s="40"/>
      <c r="AP215" s="40"/>
      <c r="AQ215" s="40"/>
      <c r="AR215" s="40"/>
      <c r="AS215" s="40"/>
      <c r="AT215" s="40"/>
      <c r="AU215" s="40"/>
      <c r="AV215" s="40"/>
      <c r="AW215" s="40"/>
      <c r="AX215" s="40"/>
      <c r="AY215" s="40"/>
      <c r="AZ215" s="40"/>
    </row>
    <row r="216" spans="1:52" s="71" customFormat="1" ht="12" thickBot="1" x14ac:dyDescent="0.2">
      <c r="A216" s="43" t="s">
        <v>65</v>
      </c>
      <c r="B216" s="44" t="s">
        <v>29</v>
      </c>
      <c r="C216" s="109" t="str">
        <f>HYPERLINK(Hoofddocument!$H$216,Hoofddocument!$G$216)</f>
        <v>Sensitief Communiceren</v>
      </c>
      <c r="D216" s="44" t="s">
        <v>166</v>
      </c>
      <c r="E216" s="44" t="s">
        <v>12</v>
      </c>
      <c r="F216" s="44" t="s">
        <v>393</v>
      </c>
      <c r="G216" s="38" t="s">
        <v>394</v>
      </c>
      <c r="H216" s="64" t="s">
        <v>590</v>
      </c>
      <c r="I216" s="41"/>
      <c r="J216" s="39"/>
      <c r="K216" s="39"/>
      <c r="L216" s="39"/>
      <c r="M216" s="39"/>
      <c r="N216" s="39"/>
      <c r="O216" s="39"/>
      <c r="P216" s="39"/>
      <c r="Q216" s="39"/>
      <c r="R216" s="40"/>
      <c r="S216" s="40" t="s">
        <v>97</v>
      </c>
      <c r="T216" s="40"/>
      <c r="U216" s="40"/>
      <c r="V216" s="40"/>
      <c r="W216" s="40"/>
      <c r="X216" s="40" t="s">
        <v>97</v>
      </c>
      <c r="Y216" s="40" t="s">
        <v>634</v>
      </c>
      <c r="Z216" s="40" t="s">
        <v>634</v>
      </c>
      <c r="AA216" s="40"/>
      <c r="AB216" s="40" t="s">
        <v>634</v>
      </c>
      <c r="AC216" s="40"/>
      <c r="AD216" s="40"/>
      <c r="AE216" s="40"/>
      <c r="AF216" s="40"/>
      <c r="AG216" s="40"/>
      <c r="AH216" s="40" t="s">
        <v>97</v>
      </c>
      <c r="AI216" s="40" t="s">
        <v>97</v>
      </c>
      <c r="AJ216" s="40"/>
      <c r="AK216" s="40" t="s">
        <v>634</v>
      </c>
      <c r="AL216" s="40"/>
      <c r="AM216" s="40"/>
      <c r="AN216" s="40"/>
      <c r="AO216" s="40"/>
      <c r="AP216" s="40"/>
      <c r="AQ216" s="40"/>
      <c r="AR216" s="40"/>
      <c r="AS216" s="40"/>
      <c r="AT216" s="40"/>
      <c r="AU216" s="40"/>
      <c r="AV216" s="40"/>
      <c r="AW216" s="40"/>
      <c r="AX216" s="40"/>
      <c r="AY216" s="40"/>
      <c r="AZ216" s="40"/>
    </row>
    <row r="217" spans="1:52" s="71" customFormat="1" ht="12" thickBot="1" x14ac:dyDescent="0.2">
      <c r="A217" s="37" t="s">
        <v>65</v>
      </c>
      <c r="B217" s="44" t="s">
        <v>972</v>
      </c>
      <c r="C217" s="109" t="str">
        <f>HYPERLINK(Hoofddocument!$H$217,Hoofddocument!$G$217)</f>
        <v>Didactische vaardigheden</v>
      </c>
      <c r="D217" s="44" t="s">
        <v>166</v>
      </c>
      <c r="E217" s="44" t="s">
        <v>12</v>
      </c>
      <c r="F217" s="44" t="s">
        <v>409</v>
      </c>
      <c r="G217" s="38" t="s">
        <v>410</v>
      </c>
      <c r="H217" s="64" t="s">
        <v>598</v>
      </c>
      <c r="I217" s="41"/>
      <c r="J217" s="39"/>
      <c r="K217" s="39"/>
      <c r="L217" s="39"/>
      <c r="M217" s="39"/>
      <c r="N217" s="39"/>
      <c r="O217" s="39"/>
      <c r="P217" s="39"/>
      <c r="Q217" s="39"/>
      <c r="R217" s="40" t="s">
        <v>634</v>
      </c>
      <c r="S217" s="40" t="s">
        <v>634</v>
      </c>
      <c r="T217" s="40"/>
      <c r="U217" s="40"/>
      <c r="V217" s="40"/>
      <c r="W217" s="40"/>
      <c r="X217" s="40"/>
      <c r="Y217" s="40"/>
      <c r="Z217" s="40"/>
      <c r="AA217" s="40"/>
      <c r="AB217" s="40"/>
      <c r="AC217" s="40"/>
      <c r="AD217" s="40"/>
      <c r="AE217" s="40"/>
      <c r="AF217" s="40"/>
      <c r="AG217" s="40"/>
      <c r="AH217" s="40"/>
      <c r="AI217" s="40"/>
      <c r="AJ217" s="40"/>
      <c r="AK217" s="40"/>
      <c r="AL217" s="40"/>
      <c r="AM217" s="40"/>
      <c r="AN217" s="40"/>
      <c r="AO217" s="40"/>
      <c r="AP217" s="40"/>
      <c r="AQ217" s="40"/>
      <c r="AR217" s="40"/>
      <c r="AS217" s="40"/>
      <c r="AT217" s="40"/>
      <c r="AU217" s="40"/>
      <c r="AV217" s="40"/>
      <c r="AW217" s="40"/>
      <c r="AX217" s="40"/>
      <c r="AY217" s="40"/>
      <c r="AZ217" s="40"/>
    </row>
    <row r="218" spans="1:52" s="71" customFormat="1" ht="12" thickBot="1" x14ac:dyDescent="0.2">
      <c r="A218" s="43" t="s">
        <v>65</v>
      </c>
      <c r="B218" s="44" t="s">
        <v>972</v>
      </c>
      <c r="C218" s="109" t="str">
        <f>HYPERLINK(Hoofddocument!$H$218,Hoofddocument!$G$218)</f>
        <v>Post HBO Train de trainer</v>
      </c>
      <c r="D218" s="44" t="s">
        <v>166</v>
      </c>
      <c r="E218" s="44" t="s">
        <v>12</v>
      </c>
      <c r="F218" s="44" t="s">
        <v>407</v>
      </c>
      <c r="G218" s="38" t="s">
        <v>408</v>
      </c>
      <c r="H218" s="64" t="s">
        <v>597</v>
      </c>
      <c r="I218" s="41"/>
      <c r="J218" s="39"/>
      <c r="K218" s="39"/>
      <c r="L218" s="39"/>
      <c r="M218" s="39"/>
      <c r="N218" s="39"/>
      <c r="O218" s="39"/>
      <c r="P218" s="39"/>
      <c r="Q218" s="39"/>
      <c r="R218" s="40" t="s">
        <v>634</v>
      </c>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row>
    <row r="219" spans="1:52" s="71" customFormat="1" ht="12" thickBot="1" x14ac:dyDescent="0.2">
      <c r="A219" s="43" t="s">
        <v>65</v>
      </c>
      <c r="B219" s="44" t="s">
        <v>973</v>
      </c>
      <c r="C219" s="109" t="str">
        <f>HYPERLINK(Hoofddocument!$H$219,Hoofddocument!$G$219)</f>
        <v>Sociale Veiligheid op het werk</v>
      </c>
      <c r="D219" s="44"/>
      <c r="E219" s="44" t="s">
        <v>225</v>
      </c>
      <c r="F219" s="44"/>
      <c r="G219" s="38" t="s">
        <v>236</v>
      </c>
      <c r="H219" s="64" t="s">
        <v>545</v>
      </c>
      <c r="I219" s="41" t="s">
        <v>97</v>
      </c>
      <c r="J219" s="39" t="s">
        <v>97</v>
      </c>
      <c r="K219" s="39"/>
      <c r="L219" s="39"/>
      <c r="M219" s="39"/>
      <c r="N219" s="39"/>
      <c r="O219" s="39"/>
      <c r="P219" s="39"/>
      <c r="Q219" s="39"/>
      <c r="R219" s="40"/>
      <c r="S219" s="40"/>
      <c r="T219" s="40"/>
      <c r="U219" s="40"/>
      <c r="V219" s="40"/>
      <c r="W219" s="40"/>
      <c r="X219" s="40" t="s">
        <v>97</v>
      </c>
      <c r="Y219" s="40"/>
      <c r="Z219" s="40"/>
      <c r="AA219" s="40"/>
      <c r="AB219" s="40" t="s">
        <v>97</v>
      </c>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row>
    <row r="220" spans="1:52" s="71" customFormat="1" ht="12" thickBot="1" x14ac:dyDescent="0.2">
      <c r="A220" s="37" t="s">
        <v>65</v>
      </c>
      <c r="B220" s="44" t="s">
        <v>973</v>
      </c>
      <c r="C220" s="109" t="str">
        <f>HYPERLINK(Hoofddocument!$H$220,Hoofddocument!$G$220)</f>
        <v>Sociale Veiligheid op het werk voor leidinggevenden</v>
      </c>
      <c r="D220" s="44" t="s">
        <v>166</v>
      </c>
      <c r="E220" s="44" t="s">
        <v>12</v>
      </c>
      <c r="F220" s="44" t="s">
        <v>771</v>
      </c>
      <c r="G220" s="38" t="s">
        <v>831</v>
      </c>
      <c r="H220" s="64" t="s">
        <v>903</v>
      </c>
      <c r="I220" s="41"/>
      <c r="J220" s="39"/>
      <c r="K220" s="39"/>
      <c r="L220" s="39"/>
      <c r="M220" s="39"/>
      <c r="N220" s="39"/>
      <c r="O220" s="39"/>
      <c r="P220" s="39"/>
      <c r="Q220" s="39"/>
      <c r="R220" s="40"/>
      <c r="S220" s="40"/>
      <c r="T220" s="40"/>
      <c r="U220" s="40"/>
      <c r="V220" s="40"/>
      <c r="W220" s="40"/>
      <c r="X220" s="40"/>
      <c r="Y220" s="40"/>
      <c r="Z220" s="40"/>
      <c r="AA220" s="40"/>
      <c r="AB220" s="40"/>
      <c r="AC220" s="40"/>
      <c r="AD220" s="40"/>
      <c r="AE220" s="40"/>
      <c r="AF220" s="40"/>
      <c r="AG220" s="40"/>
      <c r="AH220" s="40"/>
      <c r="AI220" s="40"/>
      <c r="AJ220" s="40"/>
      <c r="AK220" s="40" t="s">
        <v>97</v>
      </c>
      <c r="AL220" s="40"/>
      <c r="AM220" s="40"/>
      <c r="AN220" s="40"/>
      <c r="AO220" s="40"/>
      <c r="AP220" s="40"/>
      <c r="AQ220" s="40"/>
      <c r="AR220" s="40"/>
      <c r="AS220" s="40"/>
      <c r="AT220" s="40"/>
      <c r="AU220" s="40"/>
      <c r="AV220" s="40"/>
      <c r="AW220" s="40"/>
      <c r="AX220" s="40"/>
      <c r="AY220" s="40"/>
      <c r="AZ220" s="40"/>
    </row>
    <row r="221" spans="1:52" s="71" customFormat="1" ht="12" thickBot="1" x14ac:dyDescent="0.2">
      <c r="A221" s="43" t="s">
        <v>65</v>
      </c>
      <c r="B221" s="44" t="s">
        <v>974</v>
      </c>
      <c r="C221" s="109" t="str">
        <f>HYPERLINK(Hoofddocument!$H$221,Hoofddocument!$G$221)</f>
        <v>Masterclass Strategie en Beleid in een Politieke Omgeving</v>
      </c>
      <c r="D221" s="44" t="s">
        <v>166</v>
      </c>
      <c r="E221" s="44" t="s">
        <v>12</v>
      </c>
      <c r="F221" s="44" t="s">
        <v>341</v>
      </c>
      <c r="G221" s="38" t="s">
        <v>342</v>
      </c>
      <c r="H221" s="49" t="s">
        <v>343</v>
      </c>
      <c r="I221" s="41"/>
      <c r="J221" s="39"/>
      <c r="K221" s="39"/>
      <c r="L221" s="39"/>
      <c r="M221" s="39"/>
      <c r="N221" s="39"/>
      <c r="O221" s="39"/>
      <c r="P221" s="39"/>
      <c r="Q221" s="39"/>
      <c r="R221" s="40"/>
      <c r="S221" s="40"/>
      <c r="T221" s="40"/>
      <c r="U221" s="40"/>
      <c r="V221" s="40"/>
      <c r="W221" s="40"/>
      <c r="X221" s="40" t="s">
        <v>634</v>
      </c>
      <c r="Y221" s="40"/>
      <c r="Z221" s="40"/>
      <c r="AA221" s="40"/>
      <c r="AB221" s="40"/>
      <c r="AC221" s="40"/>
      <c r="AD221" s="40"/>
      <c r="AE221" s="40"/>
      <c r="AF221" s="40"/>
      <c r="AG221" s="40"/>
      <c r="AH221" s="40"/>
      <c r="AI221" s="40"/>
      <c r="AJ221" s="40"/>
      <c r="AK221" s="40" t="s">
        <v>634</v>
      </c>
      <c r="AL221" s="40"/>
      <c r="AM221" s="40"/>
      <c r="AN221" s="40"/>
      <c r="AO221" s="40"/>
      <c r="AP221" s="40"/>
      <c r="AQ221" s="40"/>
      <c r="AR221" s="40"/>
      <c r="AS221" s="40"/>
      <c r="AT221" s="40"/>
      <c r="AU221" s="40"/>
      <c r="AV221" s="40"/>
      <c r="AW221" s="40"/>
      <c r="AX221" s="40"/>
      <c r="AY221" s="40"/>
      <c r="AZ221" s="40"/>
    </row>
    <row r="222" spans="1:52" s="71" customFormat="1" ht="12" thickBot="1" x14ac:dyDescent="0.2">
      <c r="A222" s="43" t="s">
        <v>67</v>
      </c>
      <c r="B222" s="38" t="s">
        <v>432</v>
      </c>
      <c r="C222" s="109" t="str">
        <f>HYPERLINK(Hoofddocument!$H$222,Hoofddocument!$G$222)</f>
        <v>Management of Portfolios (MoP®) Foundation</v>
      </c>
      <c r="D222" s="44" t="s">
        <v>166</v>
      </c>
      <c r="E222" s="44" t="s">
        <v>12</v>
      </c>
      <c r="F222" s="38" t="s">
        <v>678</v>
      </c>
      <c r="G222" s="38" t="s">
        <v>677</v>
      </c>
      <c r="H222" s="64" t="s">
        <v>606</v>
      </c>
      <c r="I222" s="41"/>
      <c r="J222" s="39"/>
      <c r="K222" s="39"/>
      <c r="L222" s="39"/>
      <c r="M222" s="39"/>
      <c r="N222" s="39"/>
      <c r="O222" s="39"/>
      <c r="P222" s="39"/>
      <c r="Q222" s="39"/>
      <c r="R222" s="40"/>
      <c r="S222" s="40"/>
      <c r="T222" s="40" t="s">
        <v>97</v>
      </c>
      <c r="U222" s="40" t="s">
        <v>97</v>
      </c>
      <c r="V222" s="40" t="s">
        <v>97</v>
      </c>
      <c r="W222" s="40"/>
      <c r="X222" s="40"/>
      <c r="Y222" s="40"/>
      <c r="Z222" s="40"/>
      <c r="AA222" s="40"/>
      <c r="AB222" s="40"/>
      <c r="AC222" s="40"/>
      <c r="AD222" s="40"/>
      <c r="AE222" s="40"/>
      <c r="AF222" s="40"/>
      <c r="AG222" s="40" t="s">
        <v>97</v>
      </c>
      <c r="AH222" s="40" t="s">
        <v>97</v>
      </c>
      <c r="AI222" s="40" t="s">
        <v>634</v>
      </c>
      <c r="AJ222" s="40"/>
      <c r="AK222" s="40"/>
      <c r="AL222" s="40"/>
      <c r="AM222" s="40"/>
      <c r="AN222" s="40"/>
      <c r="AO222" s="40"/>
      <c r="AP222" s="40"/>
      <c r="AQ222" s="40"/>
      <c r="AR222" s="40"/>
      <c r="AS222" s="40"/>
      <c r="AT222" s="40"/>
      <c r="AU222" s="40"/>
      <c r="AV222" s="40"/>
      <c r="AW222" s="40"/>
      <c r="AX222" s="40"/>
      <c r="AY222" s="40"/>
      <c r="AZ222" s="40"/>
    </row>
    <row r="223" spans="1:52" s="71" customFormat="1" ht="12" thickBot="1" x14ac:dyDescent="0.2">
      <c r="A223" s="43" t="s">
        <v>67</v>
      </c>
      <c r="B223" s="44" t="s">
        <v>432</v>
      </c>
      <c r="C223" s="109" t="str">
        <f>HYPERLINK(Hoofddocument!$H$223,Hoofddocument!$G$223)</f>
        <v>Management of Portfolios (MoP®) Practitioner</v>
      </c>
      <c r="D223" s="44" t="s">
        <v>166</v>
      </c>
      <c r="E223" s="44" t="s">
        <v>12</v>
      </c>
      <c r="F223" s="44" t="s">
        <v>680</v>
      </c>
      <c r="G223" s="38" t="s">
        <v>679</v>
      </c>
      <c r="H223" s="49" t="s">
        <v>607</v>
      </c>
      <c r="I223" s="41"/>
      <c r="J223" s="39"/>
      <c r="K223" s="39"/>
      <c r="L223" s="39"/>
      <c r="M223" s="39"/>
      <c r="N223" s="39"/>
      <c r="O223" s="39"/>
      <c r="P223" s="39"/>
      <c r="Q223" s="39"/>
      <c r="R223" s="40"/>
      <c r="S223" s="40"/>
      <c r="T223" s="40" t="s">
        <v>634</v>
      </c>
      <c r="U223" s="40" t="s">
        <v>634</v>
      </c>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row>
    <row r="224" spans="1:52" s="71" customFormat="1" ht="12" thickBot="1" x14ac:dyDescent="0.2">
      <c r="A224" s="37" t="s">
        <v>67</v>
      </c>
      <c r="B224" s="38" t="s">
        <v>314</v>
      </c>
      <c r="C224" s="109" t="str">
        <f>HYPERLINK(Hoofddocument!$H$224,Hoofddocument!$G$224)</f>
        <v>SAFe Lean Portfolio Management ©</v>
      </c>
      <c r="D224" s="44"/>
      <c r="E224" s="44" t="s">
        <v>207</v>
      </c>
      <c r="F224" s="38"/>
      <c r="G224" s="38" t="s">
        <v>314</v>
      </c>
      <c r="H224" s="64" t="s">
        <v>569</v>
      </c>
      <c r="I224" s="41"/>
      <c r="J224" s="39"/>
      <c r="K224" s="39"/>
      <c r="L224" s="39"/>
      <c r="M224" s="39"/>
      <c r="N224" s="39"/>
      <c r="O224" s="39"/>
      <c r="P224" s="39"/>
      <c r="Q224" s="39"/>
      <c r="R224" s="40"/>
      <c r="S224" s="40"/>
      <c r="T224" s="40" t="s">
        <v>634</v>
      </c>
      <c r="U224" s="40"/>
      <c r="V224" s="40"/>
      <c r="W224" s="40"/>
      <c r="X224" s="40"/>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row>
    <row r="225" spans="1:52" s="71" customFormat="1" ht="12" thickBot="1" x14ac:dyDescent="0.2">
      <c r="A225" s="37" t="s">
        <v>67</v>
      </c>
      <c r="B225" s="44" t="s">
        <v>434</v>
      </c>
      <c r="C225" s="38" t="s">
        <v>434</v>
      </c>
      <c r="D225" s="44" t="s">
        <v>648</v>
      </c>
      <c r="E225" s="44"/>
      <c r="F225" s="44"/>
      <c r="G225" s="38" t="s">
        <v>434</v>
      </c>
      <c r="H225" s="49"/>
      <c r="I225" s="41"/>
      <c r="J225" s="39"/>
      <c r="K225" s="39"/>
      <c r="L225" s="39"/>
      <c r="M225" s="39"/>
      <c r="N225" s="39"/>
      <c r="O225" s="39"/>
      <c r="P225" s="39"/>
      <c r="Q225" s="39"/>
      <c r="R225" s="40"/>
      <c r="S225" s="40"/>
      <c r="T225" s="40" t="s">
        <v>97</v>
      </c>
      <c r="U225" s="40"/>
      <c r="V225" s="40" t="s">
        <v>97</v>
      </c>
      <c r="W225" s="40"/>
      <c r="X225" s="40"/>
      <c r="Y225" s="40"/>
      <c r="Z225" s="40"/>
      <c r="AA225" s="40"/>
      <c r="AB225" s="40"/>
      <c r="AC225" s="40"/>
      <c r="AD225" s="40"/>
      <c r="AE225" s="40"/>
      <c r="AF225" s="40"/>
      <c r="AG225" s="40"/>
      <c r="AH225" s="40"/>
      <c r="AI225" s="40"/>
      <c r="AJ225" s="40"/>
      <c r="AK225" s="40"/>
      <c r="AL225" s="40"/>
      <c r="AM225" s="40"/>
      <c r="AN225" s="40"/>
      <c r="AO225" s="40"/>
      <c r="AP225" s="40"/>
      <c r="AQ225" s="40"/>
      <c r="AR225" s="40"/>
      <c r="AS225" s="40"/>
      <c r="AT225" s="40"/>
      <c r="AU225" s="40"/>
      <c r="AV225" s="40"/>
      <c r="AW225" s="40"/>
      <c r="AX225" s="40"/>
      <c r="AY225" s="40"/>
      <c r="AZ225" s="40"/>
    </row>
    <row r="226" spans="1:52" s="71" customFormat="1" ht="12" thickBot="1" x14ac:dyDescent="0.2">
      <c r="A226" s="37" t="s">
        <v>51</v>
      </c>
      <c r="B226" s="44" t="s">
        <v>284</v>
      </c>
      <c r="C226" s="109" t="str">
        <f>HYPERLINK(Hoofddocument!$H$226,Hoofddocument!$G$226)</f>
        <v>Active Directory</v>
      </c>
      <c r="D226" s="44"/>
      <c r="E226" s="44" t="s">
        <v>289</v>
      </c>
      <c r="F226" s="44"/>
      <c r="G226" s="44" t="s">
        <v>284</v>
      </c>
      <c r="H226" s="64" t="s">
        <v>975</v>
      </c>
      <c r="I226" s="41"/>
      <c r="J226" s="39"/>
      <c r="K226" s="39"/>
      <c r="L226" s="39" t="s">
        <v>97</v>
      </c>
      <c r="M226" s="39"/>
      <c r="N226" s="39"/>
      <c r="O226" s="39"/>
      <c r="P226" s="39"/>
      <c r="Q226" s="39"/>
      <c r="R226" s="40"/>
      <c r="S226" s="40"/>
      <c r="T226" s="40"/>
      <c r="U226" s="40"/>
      <c r="V226" s="40"/>
      <c r="W226" s="40"/>
      <c r="X226" s="40"/>
      <c r="Y226" s="40"/>
      <c r="Z226" s="40"/>
      <c r="AA226" s="40"/>
      <c r="AB226" s="40"/>
      <c r="AC226" s="40"/>
      <c r="AD226" s="40"/>
      <c r="AE226" s="40"/>
      <c r="AF226" s="40"/>
      <c r="AG226" s="40"/>
      <c r="AH226" s="40"/>
      <c r="AI226" s="40"/>
      <c r="AJ226" s="40"/>
      <c r="AK226" s="40"/>
      <c r="AL226" s="40"/>
      <c r="AM226" s="40"/>
      <c r="AN226" s="40"/>
      <c r="AO226" s="40"/>
      <c r="AP226" s="40"/>
      <c r="AQ226" s="40"/>
      <c r="AR226" s="40"/>
      <c r="AS226" s="40"/>
      <c r="AT226" s="40"/>
      <c r="AU226" s="40"/>
      <c r="AV226" s="40"/>
      <c r="AW226" s="40"/>
      <c r="AX226" s="40"/>
      <c r="AY226" s="40"/>
      <c r="AZ226" s="40"/>
    </row>
    <row r="227" spans="1:52" s="71" customFormat="1" ht="12" thickBot="1" x14ac:dyDescent="0.2">
      <c r="A227" s="43" t="s">
        <v>51</v>
      </c>
      <c r="B227" s="44" t="s">
        <v>399</v>
      </c>
      <c r="C227" s="109" t="str">
        <f>HYPERLINK(Hoofddocument!$H$227,Hoofddocument!$G$227)</f>
        <v>Active Directory Fundamentals</v>
      </c>
      <c r="D227" s="44"/>
      <c r="E227" s="44" t="s">
        <v>289</v>
      </c>
      <c r="F227" s="44"/>
      <c r="G227" s="44" t="s">
        <v>399</v>
      </c>
      <c r="H227" s="64" t="s">
        <v>975</v>
      </c>
      <c r="I227" s="41"/>
      <c r="J227" s="39"/>
      <c r="K227" s="39"/>
      <c r="L227" s="39"/>
      <c r="M227" s="39"/>
      <c r="N227" s="39"/>
      <c r="O227" s="39"/>
      <c r="P227" s="39"/>
      <c r="Q227" s="39"/>
      <c r="R227" s="40" t="s">
        <v>97</v>
      </c>
      <c r="S227" s="40" t="s">
        <v>97</v>
      </c>
      <c r="T227" s="40"/>
      <c r="U227" s="40"/>
      <c r="V227" s="40"/>
      <c r="W227" s="40"/>
      <c r="X227" s="40"/>
      <c r="Y227" s="40"/>
      <c r="Z227" s="40"/>
      <c r="AA227" s="40"/>
      <c r="AB227" s="40"/>
      <c r="AC227" s="40"/>
      <c r="AD227" s="40"/>
      <c r="AE227" s="40"/>
      <c r="AF227" s="40"/>
      <c r="AG227" s="40"/>
      <c r="AH227" s="40"/>
      <c r="AI227" s="40"/>
      <c r="AJ227" s="40"/>
      <c r="AK227" s="40"/>
      <c r="AL227" s="40"/>
      <c r="AM227" s="40"/>
      <c r="AN227" s="40"/>
      <c r="AO227" s="40"/>
      <c r="AP227" s="40"/>
      <c r="AQ227" s="40"/>
      <c r="AR227" s="40"/>
      <c r="AS227" s="40"/>
      <c r="AT227" s="40"/>
      <c r="AU227" s="40"/>
      <c r="AV227" s="40"/>
      <c r="AW227" s="40"/>
      <c r="AX227" s="40"/>
      <c r="AY227" s="40"/>
      <c r="AZ227" s="40"/>
    </row>
    <row r="228" spans="1:52" s="71" customFormat="1" ht="12" thickBot="1" x14ac:dyDescent="0.2">
      <c r="A228" s="37" t="s">
        <v>51</v>
      </c>
      <c r="B228" s="44" t="s">
        <v>285</v>
      </c>
      <c r="C228" s="109" t="str">
        <f>HYPERLINK(Hoofddocument!$H$228,Hoofddocument!$G$228)</f>
        <v>ITIL® 4 Foundation</v>
      </c>
      <c r="D228" s="44" t="s">
        <v>166</v>
      </c>
      <c r="E228" s="44" t="s">
        <v>12</v>
      </c>
      <c r="F228" s="44" t="s">
        <v>287</v>
      </c>
      <c r="G228" s="38" t="s">
        <v>288</v>
      </c>
      <c r="H228" s="64" t="s">
        <v>556</v>
      </c>
      <c r="I228" s="41"/>
      <c r="J228" s="39"/>
      <c r="K228" s="39"/>
      <c r="L228" s="39" t="s">
        <v>97</v>
      </c>
      <c r="M228" s="39"/>
      <c r="N228" s="39"/>
      <c r="O228" s="39"/>
      <c r="P228" s="39"/>
      <c r="Q228" s="39" t="s">
        <v>97</v>
      </c>
      <c r="R228" s="40" t="s">
        <v>97</v>
      </c>
      <c r="S228" s="40"/>
      <c r="T228" s="40"/>
      <c r="U228" s="40" t="s">
        <v>97</v>
      </c>
      <c r="V228" s="40"/>
      <c r="W228" s="40" t="s">
        <v>97</v>
      </c>
      <c r="X228" s="40" t="s">
        <v>634</v>
      </c>
      <c r="Y228" s="40"/>
      <c r="Z228" s="40"/>
      <c r="AA228" s="40" t="s">
        <v>97</v>
      </c>
      <c r="AB228" s="40" t="s">
        <v>97</v>
      </c>
      <c r="AC228" s="40" t="s">
        <v>634</v>
      </c>
      <c r="AD228" s="40" t="s">
        <v>97</v>
      </c>
      <c r="AE228" s="40" t="s">
        <v>97</v>
      </c>
      <c r="AF228" s="40"/>
      <c r="AG228" s="40" t="s">
        <v>97</v>
      </c>
      <c r="AH228" s="40"/>
      <c r="AI228" s="40"/>
      <c r="AJ228" s="40" t="s">
        <v>97</v>
      </c>
      <c r="AK228" s="40" t="s">
        <v>97</v>
      </c>
      <c r="AL228" s="40" t="s">
        <v>97</v>
      </c>
      <c r="AM228" s="40" t="s">
        <v>97</v>
      </c>
      <c r="AN228" s="40" t="s">
        <v>97</v>
      </c>
      <c r="AO228" s="40" t="s">
        <v>97</v>
      </c>
      <c r="AP228" s="40"/>
      <c r="AQ228" s="40"/>
      <c r="AR228" s="40"/>
      <c r="AS228" s="40"/>
      <c r="AT228" s="40"/>
      <c r="AU228" s="40"/>
      <c r="AV228" s="40"/>
      <c r="AW228" s="40" t="s">
        <v>97</v>
      </c>
      <c r="AX228" s="40" t="s">
        <v>97</v>
      </c>
      <c r="AY228" s="40"/>
      <c r="AZ228" s="40"/>
    </row>
    <row r="229" spans="1:52" s="71" customFormat="1" ht="12" thickBot="1" x14ac:dyDescent="0.2">
      <c r="A229" s="37" t="s">
        <v>51</v>
      </c>
      <c r="B229" s="44" t="s">
        <v>285</v>
      </c>
      <c r="C229" s="109" t="str">
        <f>HYPERLINK(Hoofddocument!$H$229,Hoofddocument!$G$229)</f>
        <v>BiSL® Foundation</v>
      </c>
      <c r="D229" s="44" t="s">
        <v>166</v>
      </c>
      <c r="E229" s="44" t="s">
        <v>12</v>
      </c>
      <c r="F229" s="44" t="s">
        <v>381</v>
      </c>
      <c r="G229" s="38" t="s">
        <v>382</v>
      </c>
      <c r="H229" s="64" t="s">
        <v>554</v>
      </c>
      <c r="I229" s="41"/>
      <c r="J229" s="39"/>
      <c r="K229" s="39"/>
      <c r="L229" s="39" t="s">
        <v>97</v>
      </c>
      <c r="M229" s="39"/>
      <c r="N229" s="39"/>
      <c r="O229" s="39"/>
      <c r="P229" s="39"/>
      <c r="Q229" s="39" t="s">
        <v>97</v>
      </c>
      <c r="R229" s="40"/>
      <c r="S229" s="40"/>
      <c r="T229" s="40"/>
      <c r="U229" s="40"/>
      <c r="V229" s="40" t="s">
        <v>97</v>
      </c>
      <c r="W229" s="40" t="s">
        <v>97</v>
      </c>
      <c r="X229" s="40" t="s">
        <v>634</v>
      </c>
      <c r="Y229" s="40"/>
      <c r="Z229" s="40"/>
      <c r="AA229" s="40" t="s">
        <v>97</v>
      </c>
      <c r="AB229" s="40" t="s">
        <v>97</v>
      </c>
      <c r="AC229" s="40"/>
      <c r="AD229" s="40" t="s">
        <v>634</v>
      </c>
      <c r="AE229" s="40" t="s">
        <v>634</v>
      </c>
      <c r="AF229" s="40"/>
      <c r="AG229" s="40" t="s">
        <v>97</v>
      </c>
      <c r="AH229" s="40"/>
      <c r="AI229" s="40"/>
      <c r="AJ229" s="40"/>
      <c r="AK229" s="40"/>
      <c r="AL229" s="40" t="s">
        <v>97</v>
      </c>
      <c r="AM229" s="40"/>
      <c r="AN229" s="40" t="s">
        <v>634</v>
      </c>
      <c r="AO229" s="40" t="s">
        <v>97</v>
      </c>
      <c r="AP229" s="40" t="s">
        <v>97</v>
      </c>
      <c r="AQ229" s="40" t="s">
        <v>97</v>
      </c>
      <c r="AR229" s="40" t="s">
        <v>97</v>
      </c>
      <c r="AS229" s="40" t="s">
        <v>97</v>
      </c>
      <c r="AT229" s="40" t="s">
        <v>97</v>
      </c>
      <c r="AU229" s="40" t="s">
        <v>97</v>
      </c>
      <c r="AV229" s="40" t="s">
        <v>97</v>
      </c>
      <c r="AW229" s="40"/>
      <c r="AX229" s="40"/>
      <c r="AY229" s="40"/>
      <c r="AZ229" s="40"/>
    </row>
    <row r="230" spans="1:52" s="71" customFormat="1" ht="12" thickBot="1" x14ac:dyDescent="0.2">
      <c r="A230" s="37" t="s">
        <v>51</v>
      </c>
      <c r="B230" s="44" t="s">
        <v>285</v>
      </c>
      <c r="C230" s="109" t="str">
        <f>HYPERLINK(Hoofddocument!$H$230,Hoofddocument!$G$230)</f>
        <v>ITIL® 4 Strategist: Direct, Plan and Improve</v>
      </c>
      <c r="D230" s="44" t="s">
        <v>166</v>
      </c>
      <c r="E230" s="44" t="s">
        <v>12</v>
      </c>
      <c r="F230" s="44" t="s">
        <v>684</v>
      </c>
      <c r="G230" s="38" t="s">
        <v>683</v>
      </c>
      <c r="H230" s="64" t="s">
        <v>582</v>
      </c>
      <c r="I230" s="41"/>
      <c r="J230" s="39"/>
      <c r="K230" s="39"/>
      <c r="L230" s="39"/>
      <c r="M230" s="39"/>
      <c r="N230" s="39"/>
      <c r="O230" s="39"/>
      <c r="P230" s="39"/>
      <c r="Q230" s="39"/>
      <c r="R230" s="40"/>
      <c r="S230" s="40"/>
      <c r="T230" s="40"/>
      <c r="U230" s="40"/>
      <c r="V230" s="40" t="s">
        <v>97</v>
      </c>
      <c r="W230" s="40" t="s">
        <v>97</v>
      </c>
      <c r="X230" s="40"/>
      <c r="Y230" s="40"/>
      <c r="Z230" s="40"/>
      <c r="AA230" s="40"/>
      <c r="AB230" s="40"/>
      <c r="AC230" s="40"/>
      <c r="AD230" s="40"/>
      <c r="AE230" s="40" t="s">
        <v>634</v>
      </c>
      <c r="AF230" s="40"/>
      <c r="AG230" s="40"/>
      <c r="AH230" s="40"/>
      <c r="AI230" s="40"/>
      <c r="AJ230" s="40"/>
      <c r="AK230" s="40"/>
      <c r="AL230" s="40"/>
      <c r="AM230" s="40"/>
      <c r="AN230" s="40"/>
      <c r="AO230" s="40" t="s">
        <v>634</v>
      </c>
      <c r="AP230" s="40" t="s">
        <v>97</v>
      </c>
      <c r="AQ230" s="40" t="s">
        <v>97</v>
      </c>
      <c r="AR230" s="40" t="s">
        <v>97</v>
      </c>
      <c r="AS230" s="40" t="s">
        <v>97</v>
      </c>
      <c r="AT230" s="40" t="s">
        <v>97</v>
      </c>
      <c r="AU230" s="40" t="s">
        <v>97</v>
      </c>
      <c r="AV230" s="40" t="s">
        <v>97</v>
      </c>
      <c r="AW230" s="40"/>
      <c r="AX230" s="40"/>
      <c r="AY230" s="40"/>
      <c r="AZ230" s="40"/>
    </row>
    <row r="231" spans="1:52" s="71" customFormat="1" ht="12" thickBot="1" x14ac:dyDescent="0.2">
      <c r="A231" s="43" t="s">
        <v>51</v>
      </c>
      <c r="B231" s="44" t="s">
        <v>285</v>
      </c>
      <c r="C231" s="109" t="str">
        <f>HYPERLINK(Hoofddocument!$H$231,Hoofddocument!$G$231)</f>
        <v>ASL® Foundation</v>
      </c>
      <c r="D231" s="44" t="s">
        <v>166</v>
      </c>
      <c r="E231" s="44" t="s">
        <v>12</v>
      </c>
      <c r="F231" s="44" t="s">
        <v>686</v>
      </c>
      <c r="G231" s="38" t="s">
        <v>685</v>
      </c>
      <c r="H231" s="64" t="s">
        <v>555</v>
      </c>
      <c r="I231" s="41"/>
      <c r="J231" s="39"/>
      <c r="K231" s="39"/>
      <c r="L231" s="39" t="s">
        <v>97</v>
      </c>
      <c r="M231" s="39"/>
      <c r="N231" s="39"/>
      <c r="O231" s="39"/>
      <c r="P231" s="39"/>
      <c r="Q231" s="39" t="s">
        <v>97</v>
      </c>
      <c r="R231" s="40" t="s">
        <v>97</v>
      </c>
      <c r="S231" s="40"/>
      <c r="T231" s="40"/>
      <c r="U231" s="40" t="s">
        <v>97</v>
      </c>
      <c r="V231" s="40"/>
      <c r="W231" s="40" t="s">
        <v>97</v>
      </c>
      <c r="X231" s="40" t="s">
        <v>634</v>
      </c>
      <c r="Y231" s="40"/>
      <c r="Z231" s="40"/>
      <c r="AA231" s="40" t="s">
        <v>97</v>
      </c>
      <c r="AB231" s="40" t="s">
        <v>97</v>
      </c>
      <c r="AC231" s="40"/>
      <c r="AD231" s="40" t="s">
        <v>97</v>
      </c>
      <c r="AE231" s="40" t="s">
        <v>97</v>
      </c>
      <c r="AF231" s="40"/>
      <c r="AG231" s="40" t="s">
        <v>97</v>
      </c>
      <c r="AH231" s="40"/>
      <c r="AI231" s="40"/>
      <c r="AJ231" s="40"/>
      <c r="AK231" s="40"/>
      <c r="AL231" s="40" t="s">
        <v>97</v>
      </c>
      <c r="AM231" s="40"/>
      <c r="AN231" s="40" t="s">
        <v>634</v>
      </c>
      <c r="AO231" s="40" t="s">
        <v>97</v>
      </c>
      <c r="AP231" s="40" t="s">
        <v>97</v>
      </c>
      <c r="AQ231" s="40" t="s">
        <v>97</v>
      </c>
      <c r="AR231" s="40" t="s">
        <v>97</v>
      </c>
      <c r="AS231" s="40" t="s">
        <v>97</v>
      </c>
      <c r="AT231" s="40" t="s">
        <v>97</v>
      </c>
      <c r="AU231" s="40" t="s">
        <v>97</v>
      </c>
      <c r="AV231" s="40" t="s">
        <v>97</v>
      </c>
      <c r="AW231" s="40" t="s">
        <v>97</v>
      </c>
      <c r="AX231" s="40" t="s">
        <v>97</v>
      </c>
      <c r="AY231" s="40"/>
      <c r="AZ231" s="40"/>
    </row>
    <row r="232" spans="1:52" s="71" customFormat="1" ht="12" thickBot="1" x14ac:dyDescent="0.2">
      <c r="A232" s="43" t="s">
        <v>51</v>
      </c>
      <c r="B232" s="44" t="s">
        <v>285</v>
      </c>
      <c r="C232" s="109" t="str">
        <f>HYPERLINK(Hoofddocument!$H$232,Hoofddocument!$G$232)</f>
        <v>HBO Module Integrale procesbeheersing</v>
      </c>
      <c r="D232" s="44" t="s">
        <v>166</v>
      </c>
      <c r="E232" s="44" t="s">
        <v>12</v>
      </c>
      <c r="F232" s="44" t="s">
        <v>772</v>
      </c>
      <c r="G232" s="38" t="s">
        <v>832</v>
      </c>
      <c r="H232" s="64" t="s">
        <v>904</v>
      </c>
      <c r="I232" s="41"/>
      <c r="J232" s="39"/>
      <c r="K232" s="39"/>
      <c r="L232" s="39"/>
      <c r="M232" s="39"/>
      <c r="N232" s="39"/>
      <c r="O232" s="39"/>
      <c r="P232" s="39"/>
      <c r="Q232" s="39"/>
      <c r="R232" s="40"/>
      <c r="S232" s="40"/>
      <c r="T232" s="40"/>
      <c r="U232" s="40"/>
      <c r="V232" s="40"/>
      <c r="W232" s="40"/>
      <c r="X232" s="40"/>
      <c r="Y232" s="40"/>
      <c r="Z232" s="40"/>
      <c r="AA232" s="40"/>
      <c r="AB232" s="40"/>
      <c r="AC232" s="40"/>
      <c r="AD232" s="40"/>
      <c r="AE232" s="40"/>
      <c r="AF232" s="40"/>
      <c r="AG232" s="40"/>
      <c r="AH232" s="40"/>
      <c r="AI232" s="40"/>
      <c r="AJ232" s="40"/>
      <c r="AK232" s="40" t="s">
        <v>634</v>
      </c>
      <c r="AL232" s="40"/>
      <c r="AM232" s="40"/>
      <c r="AN232" s="40"/>
      <c r="AO232" s="40"/>
      <c r="AP232" s="40"/>
      <c r="AQ232" s="40"/>
      <c r="AR232" s="40"/>
      <c r="AS232" s="40"/>
      <c r="AT232" s="40"/>
      <c r="AU232" s="40"/>
      <c r="AV232" s="40"/>
      <c r="AW232" s="40"/>
      <c r="AX232" s="40"/>
      <c r="AY232" s="40"/>
      <c r="AZ232" s="40"/>
    </row>
    <row r="233" spans="1:52" s="71" customFormat="1" ht="12.75" customHeight="1" thickBot="1" x14ac:dyDescent="0.2">
      <c r="A233" s="43" t="s">
        <v>51</v>
      </c>
      <c r="B233" s="44" t="s">
        <v>732</v>
      </c>
      <c r="C233" s="38" t="s">
        <v>976</v>
      </c>
      <c r="D233" s="44" t="s">
        <v>166</v>
      </c>
      <c r="E233" s="44" t="s">
        <v>12</v>
      </c>
      <c r="F233" s="44" t="s">
        <v>773</v>
      </c>
      <c r="G233" s="38" t="s">
        <v>976</v>
      </c>
      <c r="H233" s="64"/>
      <c r="I233" s="41"/>
      <c r="J233" s="39"/>
      <c r="K233" s="39"/>
      <c r="L233" s="39"/>
      <c r="M233" s="39"/>
      <c r="N233" s="39"/>
      <c r="O233" s="39"/>
      <c r="P233" s="39"/>
      <c r="Q233" s="39"/>
      <c r="R233" s="40"/>
      <c r="S233" s="40"/>
      <c r="T233" s="40"/>
      <c r="U233" s="40"/>
      <c r="V233" s="40"/>
      <c r="W233" s="40"/>
      <c r="X233" s="40"/>
      <c r="Y233" s="40"/>
      <c r="Z233" s="40"/>
      <c r="AA233" s="40"/>
      <c r="AB233" s="40"/>
      <c r="AC233" s="40"/>
      <c r="AD233" s="40"/>
      <c r="AE233" s="40"/>
      <c r="AF233" s="40"/>
      <c r="AG233" s="40"/>
      <c r="AH233" s="40" t="s">
        <v>634</v>
      </c>
      <c r="AI233" s="40" t="s">
        <v>634</v>
      </c>
      <c r="AJ233" s="40"/>
      <c r="AK233" s="40"/>
      <c r="AL233" s="40"/>
      <c r="AM233" s="40"/>
      <c r="AN233" s="40"/>
      <c r="AO233" s="40" t="s">
        <v>97</v>
      </c>
      <c r="AP233" s="40"/>
      <c r="AQ233" s="40"/>
      <c r="AR233" s="40"/>
      <c r="AS233" s="40"/>
      <c r="AT233" s="40"/>
      <c r="AU233" s="40"/>
      <c r="AV233" s="40"/>
      <c r="AW233" s="40"/>
      <c r="AX233" s="40"/>
      <c r="AY233" s="40"/>
      <c r="AZ233" s="40"/>
    </row>
    <row r="234" spans="1:52" s="75" customFormat="1" ht="12" thickBot="1" x14ac:dyDescent="0.2">
      <c r="A234" s="43" t="s">
        <v>51</v>
      </c>
      <c r="B234" s="44" t="s">
        <v>400</v>
      </c>
      <c r="C234" s="109" t="str">
        <f>HYPERLINK(Hoofddocument!$H$234,Hoofddocument!$G$234)</f>
        <v>IPMA D PM</v>
      </c>
      <c r="D234" s="44"/>
      <c r="E234" s="44" t="s">
        <v>207</v>
      </c>
      <c r="F234" s="44"/>
      <c r="G234" s="38" t="s">
        <v>469</v>
      </c>
      <c r="H234" s="64" t="s">
        <v>593</v>
      </c>
      <c r="I234" s="41"/>
      <c r="J234" s="39"/>
      <c r="K234" s="39"/>
      <c r="L234" s="39"/>
      <c r="M234" s="39"/>
      <c r="N234" s="39"/>
      <c r="O234" s="39"/>
      <c r="P234" s="39"/>
      <c r="Q234" s="39"/>
      <c r="R234" s="40" t="s">
        <v>97</v>
      </c>
      <c r="S234" s="40"/>
      <c r="T234" s="40"/>
      <c r="U234" s="40"/>
      <c r="V234" s="40"/>
      <c r="W234" s="40"/>
      <c r="X234" s="40"/>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row>
    <row r="235" spans="1:52" s="71" customFormat="1" ht="12" thickBot="1" x14ac:dyDescent="0.2">
      <c r="A235" s="43" t="s">
        <v>51</v>
      </c>
      <c r="B235" s="44" t="s">
        <v>124</v>
      </c>
      <c r="C235" s="109" t="str">
        <f>HYPERLINK(Hoofddocument!$H$235,Hoofddocument!$G$235)</f>
        <v>Cloud Fundamentals</v>
      </c>
      <c r="D235" s="44"/>
      <c r="E235" s="44" t="s">
        <v>207</v>
      </c>
      <c r="F235" s="44"/>
      <c r="G235" s="38" t="s">
        <v>833</v>
      </c>
      <c r="H235" s="49" t="s">
        <v>125</v>
      </c>
      <c r="I235" s="41"/>
      <c r="J235" s="39"/>
      <c r="K235" s="39"/>
      <c r="L235" s="39" t="s">
        <v>97</v>
      </c>
      <c r="M235" s="39" t="s">
        <v>97</v>
      </c>
      <c r="N235" s="39" t="s">
        <v>97</v>
      </c>
      <c r="O235" s="39" t="s">
        <v>97</v>
      </c>
      <c r="P235" s="39" t="s">
        <v>97</v>
      </c>
      <c r="Q235" s="39" t="s">
        <v>97</v>
      </c>
      <c r="R235" s="40" t="s">
        <v>97</v>
      </c>
      <c r="S235" s="40" t="s">
        <v>97</v>
      </c>
      <c r="T235" s="40"/>
      <c r="U235" s="40" t="s">
        <v>97</v>
      </c>
      <c r="V235" s="40"/>
      <c r="W235" s="40"/>
      <c r="X235" s="40" t="s">
        <v>634</v>
      </c>
      <c r="Y235" s="40"/>
      <c r="Z235" s="40"/>
      <c r="AA235" s="40"/>
      <c r="AB235" s="40" t="s">
        <v>634</v>
      </c>
      <c r="AC235" s="40" t="s">
        <v>97</v>
      </c>
      <c r="AD235" s="40" t="s">
        <v>97</v>
      </c>
      <c r="AE235" s="40" t="s">
        <v>97</v>
      </c>
      <c r="AF235" s="40"/>
      <c r="AG235" s="40"/>
      <c r="AH235" s="40"/>
      <c r="AI235" s="40"/>
      <c r="AJ235" s="40"/>
      <c r="AK235" s="40"/>
      <c r="AL235" s="40"/>
      <c r="AM235" s="40"/>
      <c r="AN235" s="40" t="s">
        <v>634</v>
      </c>
      <c r="AO235" s="40"/>
      <c r="AP235" s="40" t="s">
        <v>97</v>
      </c>
      <c r="AQ235" s="40" t="s">
        <v>97</v>
      </c>
      <c r="AR235" s="40" t="s">
        <v>97</v>
      </c>
      <c r="AS235" s="40" t="s">
        <v>97</v>
      </c>
      <c r="AT235" s="40" t="s">
        <v>97</v>
      </c>
      <c r="AU235" s="40" t="s">
        <v>97</v>
      </c>
      <c r="AV235" s="40" t="s">
        <v>97</v>
      </c>
      <c r="AW235" s="40"/>
      <c r="AX235" s="40"/>
      <c r="AY235" s="40"/>
      <c r="AZ235" s="40"/>
    </row>
    <row r="236" spans="1:52" s="71" customFormat="1" ht="12" thickBot="1" x14ac:dyDescent="0.2">
      <c r="A236" s="44" t="s">
        <v>51</v>
      </c>
      <c r="B236" s="44" t="s">
        <v>286</v>
      </c>
      <c r="C236" s="109" t="str">
        <f>HYPERLINK(Hoofddocument!$H$236,Hoofddocument!$G$236)</f>
        <v>Containers &amp; Kubernetes</v>
      </c>
      <c r="D236" s="44"/>
      <c r="E236" s="44" t="s">
        <v>207</v>
      </c>
      <c r="F236" s="44"/>
      <c r="G236" s="38" t="s">
        <v>834</v>
      </c>
      <c r="H236" s="44" t="s">
        <v>905</v>
      </c>
      <c r="I236" s="41"/>
      <c r="J236" s="39"/>
      <c r="K236" s="39" t="s">
        <v>97</v>
      </c>
      <c r="L236" s="39" t="s">
        <v>97</v>
      </c>
      <c r="M236" s="39"/>
      <c r="N236" s="39"/>
      <c r="O236" s="39"/>
      <c r="P236" s="39"/>
      <c r="Q236" s="39"/>
      <c r="R236" s="40" t="s">
        <v>97</v>
      </c>
      <c r="S236" s="40"/>
      <c r="T236" s="40"/>
      <c r="U236" s="40"/>
      <c r="V236" s="40"/>
      <c r="W236" s="40"/>
      <c r="X236" s="40"/>
      <c r="Y236" s="40"/>
      <c r="Z236" s="40"/>
      <c r="AA236" s="40"/>
      <c r="AB236" s="39" t="s">
        <v>634</v>
      </c>
      <c r="AC236" s="39"/>
      <c r="AD236" s="39"/>
      <c r="AE236" s="39"/>
      <c r="AF236" s="39"/>
      <c r="AG236" s="39"/>
      <c r="AH236" s="40"/>
      <c r="AI236" s="40"/>
      <c r="AJ236" s="40"/>
      <c r="AK236" s="40"/>
      <c r="AL236" s="40"/>
      <c r="AM236" s="40"/>
      <c r="AN236" s="40"/>
      <c r="AO236" s="40"/>
      <c r="AP236" s="40"/>
      <c r="AQ236" s="40"/>
      <c r="AR236" s="40"/>
      <c r="AS236" s="40"/>
      <c r="AT236" s="40"/>
      <c r="AU236" s="40"/>
      <c r="AV236" s="40"/>
      <c r="AW236" s="40"/>
      <c r="AX236" s="40"/>
      <c r="AY236" s="40"/>
      <c r="AZ236" s="40"/>
    </row>
    <row r="237" spans="1:52" s="71" customFormat="1" ht="12" thickBot="1" x14ac:dyDescent="0.2">
      <c r="A237" s="37" t="s">
        <v>51</v>
      </c>
      <c r="B237" s="38" t="s">
        <v>406</v>
      </c>
      <c r="C237" s="109" t="str">
        <f>HYPERLINK(Hoofddocument!$H$237,Hoofddocument!$G$237)</f>
        <v>Big Data Strategy and Analytics</v>
      </c>
      <c r="D237" s="38" t="s">
        <v>166</v>
      </c>
      <c r="E237" s="38" t="s">
        <v>12</v>
      </c>
      <c r="F237" s="44" t="s">
        <v>354</v>
      </c>
      <c r="G237" s="38" t="s">
        <v>355</v>
      </c>
      <c r="H237" s="64" t="s">
        <v>579</v>
      </c>
      <c r="I237" s="41"/>
      <c r="J237" s="39"/>
      <c r="K237" s="39"/>
      <c r="L237" s="40"/>
      <c r="M237" s="40"/>
      <c r="N237" s="40"/>
      <c r="O237" s="40"/>
      <c r="P237" s="40"/>
      <c r="Q237" s="40"/>
      <c r="R237" s="39" t="s">
        <v>97</v>
      </c>
      <c r="S237" s="40"/>
      <c r="T237" s="40"/>
      <c r="U237" s="40"/>
      <c r="V237" s="40"/>
      <c r="W237" s="40"/>
      <c r="X237" s="40"/>
      <c r="Y237" s="40"/>
      <c r="Z237" s="40"/>
      <c r="AA237" s="40"/>
      <c r="AB237" s="40"/>
      <c r="AC237" s="40"/>
      <c r="AD237" s="40"/>
      <c r="AE237" s="40"/>
      <c r="AF237" s="40"/>
      <c r="AG237" s="40"/>
      <c r="AH237" s="40"/>
      <c r="AI237" s="40"/>
      <c r="AJ237" s="40"/>
      <c r="AK237" s="40"/>
      <c r="AL237" s="40"/>
      <c r="AM237" s="40"/>
      <c r="AN237" s="40"/>
      <c r="AO237" s="40"/>
      <c r="AP237" s="40"/>
      <c r="AQ237" s="40"/>
      <c r="AR237" s="40"/>
      <c r="AS237" s="40"/>
      <c r="AT237" s="40"/>
      <c r="AU237" s="40"/>
      <c r="AV237" s="40"/>
      <c r="AW237" s="40"/>
      <c r="AX237" s="40"/>
      <c r="AY237" s="40"/>
      <c r="AZ237" s="40"/>
    </row>
    <row r="238" spans="1:52" s="71" customFormat="1" ht="12" thickBot="1" x14ac:dyDescent="0.2">
      <c r="A238" s="37" t="s">
        <v>51</v>
      </c>
      <c r="B238" s="38" t="s">
        <v>838</v>
      </c>
      <c r="C238" s="109" t="str">
        <f>HYPERLINK(Hoofddocument!$H$238,Hoofddocument!$G$238)</f>
        <v>Data gedreven werken</v>
      </c>
      <c r="D238" s="38"/>
      <c r="E238" s="38" t="s">
        <v>207</v>
      </c>
      <c r="F238" s="44"/>
      <c r="G238" s="38" t="s">
        <v>838</v>
      </c>
      <c r="H238" s="64" t="s">
        <v>908</v>
      </c>
      <c r="I238" s="41"/>
      <c r="J238" s="39"/>
      <c r="K238" s="39"/>
      <c r="L238" s="40"/>
      <c r="M238" s="40"/>
      <c r="N238" s="40"/>
      <c r="O238" s="40"/>
      <c r="P238" s="40"/>
      <c r="Q238" s="40"/>
      <c r="R238" s="39"/>
      <c r="S238" s="40"/>
      <c r="T238" s="40"/>
      <c r="U238" s="40"/>
      <c r="V238" s="40"/>
      <c r="W238" s="40"/>
      <c r="X238" s="40"/>
      <c r="Y238" s="40"/>
      <c r="Z238" s="40"/>
      <c r="AA238" s="40"/>
      <c r="AB238" s="40" t="s">
        <v>97</v>
      </c>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row>
    <row r="239" spans="1:52" s="71" customFormat="1" ht="12" thickBot="1" x14ac:dyDescent="0.2">
      <c r="A239" s="37" t="s">
        <v>51</v>
      </c>
      <c r="B239" s="38" t="s">
        <v>401</v>
      </c>
      <c r="C239" s="109" t="str">
        <f>HYPERLINK(Hoofddocument!$H$239,Hoofddocument!$G$239)</f>
        <v>Microsoft Security, Compliance and Identity</v>
      </c>
      <c r="D239" s="38"/>
      <c r="E239" s="38" t="s">
        <v>207</v>
      </c>
      <c r="F239" s="44"/>
      <c r="G239" s="38" t="s">
        <v>402</v>
      </c>
      <c r="H239" s="64" t="s">
        <v>595</v>
      </c>
      <c r="I239" s="41"/>
      <c r="J239" s="39"/>
      <c r="K239" s="39"/>
      <c r="L239" s="40"/>
      <c r="M239" s="40"/>
      <c r="N239" s="40"/>
      <c r="O239" s="40"/>
      <c r="P239" s="40"/>
      <c r="Q239" s="40"/>
      <c r="R239" s="39" t="s">
        <v>97</v>
      </c>
      <c r="S239" s="40"/>
      <c r="T239" s="40"/>
      <c r="U239" s="40"/>
      <c r="V239" s="40"/>
      <c r="W239" s="40"/>
      <c r="X239" s="40"/>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row>
    <row r="240" spans="1:52" s="71" customFormat="1" ht="12" thickBot="1" x14ac:dyDescent="0.2">
      <c r="A240" s="37" t="s">
        <v>51</v>
      </c>
      <c r="B240" s="38" t="s">
        <v>129</v>
      </c>
      <c r="C240" s="109" t="str">
        <f>HYPERLINK(Hoofddocument!$H$240,Hoofddocument!$G$240)</f>
        <v>Curriculum CIO Adviseur (Overheid masterclass)</v>
      </c>
      <c r="D240" s="38"/>
      <c r="E240" s="38" t="s">
        <v>977</v>
      </c>
      <c r="F240" s="38"/>
      <c r="G240" s="38" t="s">
        <v>130</v>
      </c>
      <c r="H240" s="55" t="s">
        <v>131</v>
      </c>
      <c r="I240" s="41"/>
      <c r="J240" s="39"/>
      <c r="K240" s="39"/>
      <c r="L240" s="40"/>
      <c r="M240" s="40" t="s">
        <v>634</v>
      </c>
      <c r="N240" s="40" t="s">
        <v>634</v>
      </c>
      <c r="O240" s="40" t="s">
        <v>97</v>
      </c>
      <c r="P240" s="40" t="s">
        <v>634</v>
      </c>
      <c r="Q240" s="40"/>
      <c r="R240" s="39"/>
      <c r="S240" s="40"/>
      <c r="T240" s="40"/>
      <c r="U240" s="40"/>
      <c r="V240" s="40"/>
      <c r="W240" s="40"/>
      <c r="X240" s="40"/>
      <c r="Y240" s="40"/>
      <c r="Z240" s="40"/>
      <c r="AA240" s="40"/>
      <c r="AB240" s="40"/>
      <c r="AC240" s="40"/>
      <c r="AD240" s="40"/>
      <c r="AE240" s="40"/>
      <c r="AF240" s="40"/>
      <c r="AG240" s="40"/>
      <c r="AH240" s="40"/>
      <c r="AI240" s="40"/>
      <c r="AJ240" s="40"/>
      <c r="AK240" s="40"/>
      <c r="AL240" s="40"/>
      <c r="AM240" s="40"/>
      <c r="AN240" s="40"/>
      <c r="AO240" s="40"/>
      <c r="AP240" s="40"/>
      <c r="AQ240" s="40"/>
      <c r="AR240" s="40"/>
      <c r="AS240" s="40"/>
      <c r="AT240" s="40"/>
      <c r="AU240" s="40"/>
      <c r="AV240" s="40"/>
      <c r="AW240" s="40"/>
      <c r="AX240" s="40"/>
      <c r="AY240" s="40"/>
      <c r="AZ240" s="40"/>
    </row>
    <row r="241" spans="1:52" s="71" customFormat="1" ht="12" thickBot="1" x14ac:dyDescent="0.2">
      <c r="A241" s="37" t="s">
        <v>51</v>
      </c>
      <c r="B241" s="38" t="s">
        <v>129</v>
      </c>
      <c r="C241" s="109" t="str">
        <f>HYPERLINK(Hoofddocument!$H$241,Hoofddocument!$G$241)</f>
        <v>COBIT 2019 Foundation</v>
      </c>
      <c r="D241" s="38"/>
      <c r="E241" s="38" t="s">
        <v>207</v>
      </c>
      <c r="F241" s="38"/>
      <c r="G241" s="38" t="s">
        <v>509</v>
      </c>
      <c r="H241" s="64" t="s">
        <v>571</v>
      </c>
      <c r="I241" s="41"/>
      <c r="J241" s="39"/>
      <c r="K241" s="39"/>
      <c r="L241" s="40"/>
      <c r="M241" s="40" t="s">
        <v>634</v>
      </c>
      <c r="N241" s="40" t="s">
        <v>634</v>
      </c>
      <c r="O241" s="40" t="s">
        <v>634</v>
      </c>
      <c r="P241" s="40" t="s">
        <v>634</v>
      </c>
      <c r="Q241" s="40"/>
      <c r="R241" s="39"/>
      <c r="S241" s="40"/>
      <c r="T241" s="40"/>
      <c r="U241" s="40"/>
      <c r="V241" s="40"/>
      <c r="W241" s="40"/>
      <c r="X241" s="40"/>
      <c r="Y241" s="40"/>
      <c r="Z241" s="40"/>
      <c r="AA241" s="40"/>
      <c r="AB241" s="40"/>
      <c r="AC241" s="40"/>
      <c r="AD241" s="40"/>
      <c r="AE241" s="40"/>
      <c r="AF241" s="40"/>
      <c r="AG241" s="40"/>
      <c r="AH241" s="40"/>
      <c r="AI241" s="40"/>
      <c r="AJ241" s="40"/>
      <c r="AK241" s="40"/>
      <c r="AL241" s="40"/>
      <c r="AM241" s="40"/>
      <c r="AN241" s="40"/>
      <c r="AO241" s="40"/>
      <c r="AP241" s="40"/>
      <c r="AQ241" s="40"/>
      <c r="AR241" s="40"/>
      <c r="AS241" s="40"/>
      <c r="AT241" s="40"/>
      <c r="AU241" s="40"/>
      <c r="AV241" s="40"/>
      <c r="AW241" s="40"/>
      <c r="AX241" s="40"/>
      <c r="AY241" s="40"/>
      <c r="AZ241" s="40"/>
    </row>
    <row r="242" spans="1:52" s="71" customFormat="1" ht="12" thickBot="1" x14ac:dyDescent="0.2">
      <c r="A242" s="37" t="s">
        <v>51</v>
      </c>
      <c r="B242" s="38" t="s">
        <v>144</v>
      </c>
      <c r="C242" s="109" t="str">
        <f>HYPERLINK(Hoofddocument!$H$242,Hoofddocument!$G$242)</f>
        <v>Six Sigma voor Lean Green Belts</v>
      </c>
      <c r="D242" s="38" t="s">
        <v>166</v>
      </c>
      <c r="E242" s="38" t="s">
        <v>12</v>
      </c>
      <c r="F242" s="38" t="s">
        <v>682</v>
      </c>
      <c r="G242" s="38" t="s">
        <v>681</v>
      </c>
      <c r="H242" s="55" t="s">
        <v>585</v>
      </c>
      <c r="I242" s="41"/>
      <c r="J242" s="39"/>
      <c r="K242" s="39"/>
      <c r="L242" s="40"/>
      <c r="M242" s="40" t="s">
        <v>634</v>
      </c>
      <c r="N242" s="40" t="s">
        <v>634</v>
      </c>
      <c r="O242" s="40" t="s">
        <v>634</v>
      </c>
      <c r="P242" s="40" t="s">
        <v>634</v>
      </c>
      <c r="Q242" s="40"/>
      <c r="R242" s="39"/>
      <c r="S242" s="40"/>
      <c r="T242" s="40"/>
      <c r="U242" s="40"/>
      <c r="V242" s="40"/>
      <c r="W242" s="40"/>
      <c r="X242" s="40"/>
      <c r="Y242" s="40"/>
      <c r="Z242" s="40"/>
      <c r="AA242" s="40"/>
      <c r="AB242" s="40"/>
      <c r="AC242" s="40"/>
      <c r="AD242" s="40"/>
      <c r="AE242" s="40"/>
      <c r="AF242" s="40"/>
      <c r="AG242" s="40"/>
      <c r="AH242" s="40"/>
      <c r="AI242" s="40"/>
      <c r="AJ242" s="40"/>
      <c r="AK242" s="40"/>
      <c r="AL242" s="40"/>
      <c r="AM242" s="40"/>
      <c r="AN242" s="40"/>
      <c r="AO242" s="40"/>
      <c r="AP242" s="40"/>
      <c r="AQ242" s="40"/>
      <c r="AR242" s="40"/>
      <c r="AS242" s="40"/>
      <c r="AT242" s="40"/>
      <c r="AU242" s="40"/>
      <c r="AV242" s="40"/>
      <c r="AW242" s="40"/>
      <c r="AX242" s="40"/>
      <c r="AY242" s="40"/>
      <c r="AZ242" s="40"/>
    </row>
    <row r="243" spans="1:52" s="71" customFormat="1" ht="12" thickBot="1" x14ac:dyDescent="0.2">
      <c r="A243" s="37" t="s">
        <v>51</v>
      </c>
      <c r="B243" s="38" t="s">
        <v>289</v>
      </c>
      <c r="C243" s="109" t="str">
        <f>HYPERLINK(Hoofddocument!$H$243,Hoofddocument!$G$243)</f>
        <v>Microsoft Office 365 Fundamentals</v>
      </c>
      <c r="D243" s="38" t="s">
        <v>166</v>
      </c>
      <c r="E243" s="38" t="s">
        <v>12</v>
      </c>
      <c r="F243" s="38" t="s">
        <v>291</v>
      </c>
      <c r="G243" s="38" t="s">
        <v>292</v>
      </c>
      <c r="H243" s="64" t="s">
        <v>559</v>
      </c>
      <c r="I243" s="41"/>
      <c r="J243" s="39"/>
      <c r="K243" s="39"/>
      <c r="L243" s="40" t="s">
        <v>97</v>
      </c>
      <c r="M243" s="40"/>
      <c r="N243" s="40"/>
      <c r="O243" s="40"/>
      <c r="P243" s="40"/>
      <c r="Q243" s="40"/>
      <c r="R243" s="39" t="s">
        <v>97</v>
      </c>
      <c r="S243" s="40"/>
      <c r="T243" s="40"/>
      <c r="U243" s="40"/>
      <c r="V243" s="40"/>
      <c r="W243" s="40"/>
      <c r="X243" s="40"/>
      <c r="Y243" s="40" t="s">
        <v>97</v>
      </c>
      <c r="Z243" s="40" t="s">
        <v>97</v>
      </c>
      <c r="AA243" s="40"/>
      <c r="AB243" s="40"/>
      <c r="AC243" s="40" t="s">
        <v>634</v>
      </c>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row>
    <row r="244" spans="1:52" s="71" customFormat="1" ht="12" thickBot="1" x14ac:dyDescent="0.2">
      <c r="A244" s="37" t="s">
        <v>51</v>
      </c>
      <c r="B244" s="38" t="s">
        <v>289</v>
      </c>
      <c r="C244" s="109" t="str">
        <f>HYPERLINK(Hoofddocument!$H$244,Hoofddocument!$G$244)</f>
        <v>Microsoft Azure Fundamentals (AZ-900)</v>
      </c>
      <c r="D244" s="38" t="s">
        <v>166</v>
      </c>
      <c r="E244" s="38" t="s">
        <v>12</v>
      </c>
      <c r="F244" s="38" t="s">
        <v>687</v>
      </c>
      <c r="G244" s="38" t="s">
        <v>403</v>
      </c>
      <c r="H244" s="64" t="s">
        <v>557</v>
      </c>
      <c r="I244" s="41"/>
      <c r="J244" s="39"/>
      <c r="K244" s="39"/>
      <c r="L244" s="40" t="s">
        <v>97</v>
      </c>
      <c r="M244" s="40"/>
      <c r="N244" s="40"/>
      <c r="O244" s="40"/>
      <c r="P244" s="40"/>
      <c r="Q244" s="40"/>
      <c r="R244" s="39" t="s">
        <v>97</v>
      </c>
      <c r="S244" s="40"/>
      <c r="T244" s="40"/>
      <c r="U244" s="40"/>
      <c r="V244" s="40"/>
      <c r="W244" s="40"/>
      <c r="X244" s="40"/>
      <c r="Y244" s="40"/>
      <c r="Z244" s="40"/>
      <c r="AA244" s="40"/>
      <c r="AB244" s="40"/>
      <c r="AC244" s="40"/>
      <c r="AD244" s="40"/>
      <c r="AE244" s="40"/>
      <c r="AF244" s="40"/>
      <c r="AG244" s="40"/>
      <c r="AH244" s="40"/>
      <c r="AI244" s="40"/>
      <c r="AJ244" s="40"/>
      <c r="AK244" s="40"/>
      <c r="AL244" s="40"/>
      <c r="AM244" s="40"/>
      <c r="AN244" s="40" t="s">
        <v>634</v>
      </c>
      <c r="AO244" s="40"/>
      <c r="AP244" s="40"/>
      <c r="AQ244" s="40" t="s">
        <v>634</v>
      </c>
      <c r="AR244" s="40"/>
      <c r="AS244" s="40"/>
      <c r="AT244" s="40"/>
      <c r="AU244" s="40"/>
      <c r="AV244" s="40"/>
      <c r="AW244" s="40"/>
      <c r="AX244" s="40"/>
      <c r="AY244" s="40"/>
      <c r="AZ244" s="40"/>
    </row>
    <row r="245" spans="1:52" s="71" customFormat="1" ht="12" thickBot="1" x14ac:dyDescent="0.2">
      <c r="A245" s="37" t="s">
        <v>51</v>
      </c>
      <c r="B245" s="38" t="s">
        <v>289</v>
      </c>
      <c r="C245" s="109" t="str">
        <f>HYPERLINK(Hoofddocument!$H$245,Hoofddocument!$G$245)</f>
        <v>Microsoft Office 365 Administration and Troubleshooting</v>
      </c>
      <c r="D245" s="38"/>
      <c r="E245" s="38" t="s">
        <v>207</v>
      </c>
      <c r="F245" s="38"/>
      <c r="G245" s="38" t="s">
        <v>290</v>
      </c>
      <c r="H245" s="64" t="s">
        <v>558</v>
      </c>
      <c r="I245" s="41"/>
      <c r="J245" s="39"/>
      <c r="K245" s="39"/>
      <c r="L245" s="40" t="s">
        <v>634</v>
      </c>
      <c r="M245" s="40"/>
      <c r="N245" s="40"/>
      <c r="O245" s="40"/>
      <c r="P245" s="40"/>
      <c r="Q245" s="40"/>
      <c r="R245" s="39" t="s">
        <v>97</v>
      </c>
      <c r="S245" s="40"/>
      <c r="T245" s="40"/>
      <c r="U245" s="40"/>
      <c r="V245" s="40"/>
      <c r="W245" s="40"/>
      <c r="X245" s="40"/>
      <c r="Y245" s="40"/>
      <c r="Z245" s="40"/>
      <c r="AA245" s="40"/>
      <c r="AB245" s="40"/>
      <c r="AC245" s="40"/>
      <c r="AD245" s="40"/>
      <c r="AE245" s="40"/>
      <c r="AF245" s="40"/>
      <c r="AG245" s="40"/>
      <c r="AH245" s="40"/>
      <c r="AI245" s="40"/>
      <c r="AJ245" s="40"/>
      <c r="AK245" s="40"/>
      <c r="AL245" s="40"/>
      <c r="AM245" s="40"/>
      <c r="AN245" s="40"/>
      <c r="AO245" s="40"/>
      <c r="AP245" s="40"/>
      <c r="AQ245" s="40"/>
      <c r="AR245" s="40"/>
      <c r="AS245" s="40"/>
      <c r="AT245" s="40"/>
      <c r="AU245" s="40"/>
      <c r="AV245" s="40"/>
      <c r="AW245" s="40"/>
      <c r="AX245" s="40"/>
      <c r="AY245" s="40"/>
      <c r="AZ245" s="40"/>
    </row>
    <row r="246" spans="1:52" s="71" customFormat="1" ht="12" thickBot="1" x14ac:dyDescent="0.2">
      <c r="A246" s="37" t="s">
        <v>51</v>
      </c>
      <c r="B246" s="38" t="s">
        <v>289</v>
      </c>
      <c r="C246" s="109" t="str">
        <f>HYPERLINK(Hoofddocument!$H$246,Hoofddocument!$G$246)</f>
        <v>Automating Administration with Powershel (AZ-040)</v>
      </c>
      <c r="D246" s="38"/>
      <c r="E246" s="38" t="s">
        <v>207</v>
      </c>
      <c r="F246" s="44"/>
      <c r="G246" s="38" t="s">
        <v>293</v>
      </c>
      <c r="H246" s="64" t="s">
        <v>560</v>
      </c>
      <c r="I246" s="41"/>
      <c r="J246" s="39"/>
      <c r="K246" s="39"/>
      <c r="L246" s="40" t="s">
        <v>97</v>
      </c>
      <c r="M246" s="40"/>
      <c r="N246" s="40"/>
      <c r="O246" s="40"/>
      <c r="P246" s="40"/>
      <c r="Q246" s="40"/>
      <c r="R246" s="39"/>
      <c r="S246" s="40"/>
      <c r="T246" s="40"/>
      <c r="U246" s="40"/>
      <c r="V246" s="40"/>
      <c r="W246" s="40"/>
      <c r="X246" s="40"/>
      <c r="Y246" s="40"/>
      <c r="Z246" s="40"/>
      <c r="AA246" s="40"/>
      <c r="AB246" s="40"/>
      <c r="AC246" s="40"/>
      <c r="AD246" s="40"/>
      <c r="AE246" s="40"/>
      <c r="AF246" s="40"/>
      <c r="AG246" s="40"/>
      <c r="AH246" s="40"/>
      <c r="AI246" s="40"/>
      <c r="AJ246" s="40"/>
      <c r="AK246" s="40"/>
      <c r="AL246" s="40"/>
      <c r="AM246" s="40"/>
      <c r="AN246" s="40"/>
      <c r="AO246" s="40"/>
      <c r="AP246" s="40"/>
      <c r="AQ246" s="40"/>
      <c r="AR246" s="40"/>
      <c r="AS246" s="40"/>
      <c r="AT246" s="40"/>
      <c r="AU246" s="40"/>
      <c r="AV246" s="40"/>
      <c r="AW246" s="40"/>
      <c r="AX246" s="40"/>
      <c r="AY246" s="40"/>
      <c r="AZ246" s="40"/>
    </row>
    <row r="247" spans="1:52" s="71" customFormat="1" ht="12" thickBot="1" x14ac:dyDescent="0.2">
      <c r="A247" s="37" t="s">
        <v>51</v>
      </c>
      <c r="B247" s="38" t="s">
        <v>289</v>
      </c>
      <c r="C247" s="109" t="str">
        <f>HYPERLINK(Hoofddocument!$H$247,Hoofddocument!$G$247)</f>
        <v>Windows 10 (MD-100)</v>
      </c>
      <c r="D247" s="38"/>
      <c r="E247" s="38" t="s">
        <v>207</v>
      </c>
      <c r="F247" s="44"/>
      <c r="G247" s="38" t="s">
        <v>294</v>
      </c>
      <c r="H247" s="49" t="s">
        <v>561</v>
      </c>
      <c r="I247" s="41"/>
      <c r="J247" s="39"/>
      <c r="K247" s="39"/>
      <c r="L247" s="40" t="s">
        <v>97</v>
      </c>
      <c r="M247" s="40"/>
      <c r="N247" s="40"/>
      <c r="O247" s="40"/>
      <c r="P247" s="40"/>
      <c r="Q247" s="40"/>
      <c r="R247" s="39" t="s">
        <v>97</v>
      </c>
      <c r="S247" s="40"/>
      <c r="T247" s="40"/>
      <c r="U247" s="40"/>
      <c r="V247" s="40"/>
      <c r="W247" s="40"/>
      <c r="X247" s="40"/>
      <c r="Y247" s="40"/>
      <c r="Z247" s="40"/>
      <c r="AA247" s="40"/>
      <c r="AB247" s="40"/>
      <c r="AC247" s="40"/>
      <c r="AD247" s="40"/>
      <c r="AE247" s="40"/>
      <c r="AF247" s="40"/>
      <c r="AG247" s="40"/>
      <c r="AH247" s="40"/>
      <c r="AI247" s="40"/>
      <c r="AJ247" s="40"/>
      <c r="AK247" s="40"/>
      <c r="AL247" s="40"/>
      <c r="AM247" s="40"/>
      <c r="AN247" s="40"/>
      <c r="AO247" s="40"/>
      <c r="AP247" s="40"/>
      <c r="AQ247" s="40"/>
      <c r="AR247" s="40"/>
      <c r="AS247" s="40"/>
      <c r="AT247" s="40"/>
      <c r="AU247" s="40"/>
      <c r="AV247" s="40"/>
      <c r="AW247" s="40"/>
      <c r="AX247" s="40"/>
      <c r="AY247" s="40"/>
      <c r="AZ247" s="40"/>
    </row>
    <row r="248" spans="1:52" s="71" customFormat="1" ht="12" thickBot="1" x14ac:dyDescent="0.2">
      <c r="A248" s="37" t="s">
        <v>51</v>
      </c>
      <c r="B248" s="38" t="s">
        <v>289</v>
      </c>
      <c r="C248" s="109" t="str">
        <f>HYPERLINK(Hoofddocument!$H$248,Hoofddocument!$G$248)</f>
        <v>Windows Powershell (AZ-040)</v>
      </c>
      <c r="D248" s="38"/>
      <c r="E248" s="38" t="s">
        <v>207</v>
      </c>
      <c r="F248" s="38"/>
      <c r="G248" s="38" t="s">
        <v>404</v>
      </c>
      <c r="H248" s="55" t="s">
        <v>596</v>
      </c>
      <c r="I248" s="41"/>
      <c r="J248" s="39"/>
      <c r="K248" s="39"/>
      <c r="L248" s="40"/>
      <c r="M248" s="40"/>
      <c r="N248" s="40"/>
      <c r="O248" s="40"/>
      <c r="P248" s="40"/>
      <c r="Q248" s="40"/>
      <c r="R248" s="39" t="s">
        <v>97</v>
      </c>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row>
    <row r="249" spans="1:52" s="71" customFormat="1" ht="12" thickBot="1" x14ac:dyDescent="0.2">
      <c r="A249" s="37" t="s">
        <v>51</v>
      </c>
      <c r="B249" s="38" t="s">
        <v>289</v>
      </c>
      <c r="C249" s="38" t="s">
        <v>405</v>
      </c>
      <c r="D249" s="38" t="s">
        <v>648</v>
      </c>
      <c r="E249" s="38"/>
      <c r="F249" s="38"/>
      <c r="G249" s="38" t="s">
        <v>405</v>
      </c>
      <c r="H249" s="55"/>
      <c r="I249" s="41"/>
      <c r="J249" s="39"/>
      <c r="K249" s="39"/>
      <c r="L249" s="40"/>
      <c r="M249" s="40"/>
      <c r="N249" s="40"/>
      <c r="O249" s="40"/>
      <c r="P249" s="40"/>
      <c r="Q249" s="40"/>
      <c r="R249" s="39" t="s">
        <v>97</v>
      </c>
      <c r="S249" s="40"/>
      <c r="T249" s="40"/>
      <c r="U249" s="40"/>
      <c r="V249" s="40"/>
      <c r="W249" s="40"/>
      <c r="X249" s="40"/>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row>
    <row r="250" spans="1:52" s="71" customFormat="1" ht="12" thickBot="1" x14ac:dyDescent="0.2">
      <c r="A250" s="37" t="s">
        <v>51</v>
      </c>
      <c r="B250" s="38" t="s">
        <v>289</v>
      </c>
      <c r="C250" s="109" t="str">
        <f>HYPERLINK(Hoofddocument!$H$250,Hoofddocument!$G$250)</f>
        <v>Excel Basis</v>
      </c>
      <c r="D250" s="38" t="s">
        <v>166</v>
      </c>
      <c r="E250" s="38" t="s">
        <v>12</v>
      </c>
      <c r="F250" s="38" t="s">
        <v>774</v>
      </c>
      <c r="G250" s="38" t="s">
        <v>835</v>
      </c>
      <c r="H250" s="55" t="s">
        <v>906</v>
      </c>
      <c r="I250" s="41"/>
      <c r="J250" s="39"/>
      <c r="K250" s="39"/>
      <c r="L250" s="40"/>
      <c r="M250" s="40"/>
      <c r="N250" s="40"/>
      <c r="O250" s="40"/>
      <c r="P250" s="40"/>
      <c r="Q250" s="40"/>
      <c r="R250" s="39"/>
      <c r="S250" s="40"/>
      <c r="T250" s="40"/>
      <c r="U250" s="40"/>
      <c r="V250" s="40"/>
      <c r="W250" s="40"/>
      <c r="X250" s="40"/>
      <c r="Y250" s="40" t="s">
        <v>97</v>
      </c>
      <c r="Z250" s="40" t="s">
        <v>97</v>
      </c>
      <c r="AA250" s="40"/>
      <c r="AB250" s="40"/>
      <c r="AC250" s="40"/>
      <c r="AD250" s="40"/>
      <c r="AE250" s="40"/>
      <c r="AF250" s="40"/>
      <c r="AG250" s="40"/>
      <c r="AH250" s="40"/>
      <c r="AI250" s="40"/>
      <c r="AJ250" s="40"/>
      <c r="AK250" s="40"/>
      <c r="AL250" s="40"/>
      <c r="AM250" s="40"/>
      <c r="AN250" s="40"/>
      <c r="AO250" s="40"/>
      <c r="AP250" s="40"/>
      <c r="AQ250" s="40"/>
      <c r="AR250" s="40"/>
      <c r="AS250" s="40"/>
      <c r="AT250" s="40"/>
      <c r="AU250" s="40"/>
      <c r="AV250" s="40"/>
      <c r="AW250" s="40"/>
      <c r="AX250" s="40"/>
      <c r="AY250" s="40"/>
      <c r="AZ250" s="40"/>
    </row>
    <row r="251" spans="1:52" s="71" customFormat="1" ht="12" thickBot="1" x14ac:dyDescent="0.2">
      <c r="A251" s="37" t="s">
        <v>51</v>
      </c>
      <c r="B251" s="38" t="s">
        <v>733</v>
      </c>
      <c r="C251" s="109" t="str">
        <f>HYPERLINK(Hoofddocument!$H$251,Hoofddocument!$G$251)</f>
        <v>MBO Microsoft Officevaardigheden</v>
      </c>
      <c r="D251" s="38" t="s">
        <v>166</v>
      </c>
      <c r="E251" s="38" t="s">
        <v>12</v>
      </c>
      <c r="F251" s="38" t="s">
        <v>775</v>
      </c>
      <c r="G251" s="38" t="s">
        <v>836</v>
      </c>
      <c r="H251" s="55" t="s">
        <v>907</v>
      </c>
      <c r="I251" s="41"/>
      <c r="J251" s="39"/>
      <c r="K251" s="39"/>
      <c r="L251" s="40"/>
      <c r="M251" s="40"/>
      <c r="N251" s="40"/>
      <c r="O251" s="40"/>
      <c r="P251" s="40"/>
      <c r="Q251" s="40"/>
      <c r="R251" s="39"/>
      <c r="S251" s="40"/>
      <c r="T251" s="40"/>
      <c r="U251" s="40"/>
      <c r="V251" s="40"/>
      <c r="W251" s="40"/>
      <c r="X251" s="40"/>
      <c r="Y251" s="40"/>
      <c r="Z251" s="40"/>
      <c r="AA251" s="40"/>
      <c r="AB251" s="40"/>
      <c r="AC251" s="40" t="s">
        <v>634</v>
      </c>
      <c r="AD251" s="40"/>
      <c r="AE251" s="40"/>
      <c r="AF251" s="40"/>
      <c r="AG251" s="40"/>
      <c r="AH251" s="40"/>
      <c r="AI251" s="40"/>
      <c r="AJ251" s="40"/>
      <c r="AK251" s="40"/>
      <c r="AL251" s="40"/>
      <c r="AM251" s="40"/>
      <c r="AN251" s="40"/>
      <c r="AO251" s="40"/>
      <c r="AP251" s="40"/>
      <c r="AQ251" s="40"/>
      <c r="AR251" s="40"/>
      <c r="AS251" s="40"/>
      <c r="AT251" s="40"/>
      <c r="AU251" s="40"/>
      <c r="AV251" s="40"/>
      <c r="AW251" s="40"/>
      <c r="AX251" s="40"/>
      <c r="AY251" s="40"/>
      <c r="AZ251" s="40"/>
    </row>
    <row r="252" spans="1:52" s="71" customFormat="1" ht="12" thickBot="1" x14ac:dyDescent="0.2">
      <c r="A252" s="37" t="s">
        <v>51</v>
      </c>
      <c r="B252" s="38" t="s">
        <v>411</v>
      </c>
      <c r="C252" s="109" t="str">
        <f>HYPERLINK(Hoofddocument!$H$252,Hoofddocument!$G$252)</f>
        <v>BCS Modelling Business Processes</v>
      </c>
      <c r="D252" s="38" t="s">
        <v>166</v>
      </c>
      <c r="E252" s="38" t="s">
        <v>12</v>
      </c>
      <c r="F252" s="38" t="s">
        <v>412</v>
      </c>
      <c r="G252" s="38" t="s">
        <v>413</v>
      </c>
      <c r="H252" s="64" t="s">
        <v>599</v>
      </c>
      <c r="I252" s="41"/>
      <c r="J252" s="39"/>
      <c r="K252" s="39"/>
      <c r="L252" s="40"/>
      <c r="M252" s="40"/>
      <c r="N252" s="40"/>
      <c r="O252" s="40"/>
      <c r="P252" s="40"/>
      <c r="Q252" s="40"/>
      <c r="R252" s="39" t="s">
        <v>97</v>
      </c>
      <c r="S252" s="40" t="s">
        <v>97</v>
      </c>
      <c r="T252" s="40"/>
      <c r="U252" s="40"/>
      <c r="V252" s="40"/>
      <c r="W252" s="40"/>
      <c r="X252" s="40"/>
      <c r="Y252" s="40"/>
      <c r="Z252" s="40"/>
      <c r="AA252" s="40"/>
      <c r="AB252" s="40"/>
      <c r="AC252" s="40"/>
      <c r="AD252" s="40"/>
      <c r="AE252" s="40"/>
      <c r="AF252" s="40"/>
      <c r="AG252" s="40"/>
      <c r="AH252" s="40" t="s">
        <v>634</v>
      </c>
      <c r="AI252" s="40" t="s">
        <v>634</v>
      </c>
      <c r="AJ252" s="40"/>
      <c r="AK252" s="40"/>
      <c r="AL252" s="40"/>
      <c r="AM252" s="40"/>
      <c r="AN252" s="40"/>
      <c r="AO252" s="40"/>
      <c r="AP252" s="40"/>
      <c r="AQ252" s="40"/>
      <c r="AR252" s="40"/>
      <c r="AS252" s="40"/>
      <c r="AT252" s="40"/>
      <c r="AU252" s="40"/>
      <c r="AV252" s="40"/>
      <c r="AW252" s="40"/>
      <c r="AX252" s="40"/>
      <c r="AY252" s="40"/>
      <c r="AZ252" s="40"/>
    </row>
    <row r="253" spans="1:52" s="71" customFormat="1" ht="12" thickBot="1" x14ac:dyDescent="0.2">
      <c r="A253" s="37" t="s">
        <v>734</v>
      </c>
      <c r="B253" s="38" t="s">
        <v>735</v>
      </c>
      <c r="C253" s="38" t="s">
        <v>837</v>
      </c>
      <c r="D253" s="38"/>
      <c r="E253" s="38" t="s">
        <v>759</v>
      </c>
      <c r="F253" s="44"/>
      <c r="G253" s="38" t="s">
        <v>837</v>
      </c>
      <c r="H253" s="64"/>
      <c r="I253" s="41"/>
      <c r="J253" s="39"/>
      <c r="K253" s="39"/>
      <c r="L253" s="40"/>
      <c r="M253" s="40"/>
      <c r="N253" s="40"/>
      <c r="O253" s="40"/>
      <c r="P253" s="40"/>
      <c r="Q253" s="40"/>
      <c r="R253" s="39"/>
      <c r="S253" s="40"/>
      <c r="T253" s="40"/>
      <c r="U253" s="40"/>
      <c r="V253" s="40"/>
      <c r="W253" s="40"/>
      <c r="X253" s="40"/>
      <c r="Y253" s="40"/>
      <c r="Z253" s="40"/>
      <c r="AA253" s="40"/>
      <c r="AB253" s="40"/>
      <c r="AC253" s="40"/>
      <c r="AD253" s="40"/>
      <c r="AE253" s="40"/>
      <c r="AF253" s="40"/>
      <c r="AG253" s="40"/>
      <c r="AH253" s="40"/>
      <c r="AI253" s="40"/>
      <c r="AJ253" s="40"/>
      <c r="AK253" s="40"/>
      <c r="AL253" s="40"/>
      <c r="AM253" s="40" t="s">
        <v>97</v>
      </c>
      <c r="AN253" s="40"/>
      <c r="AO253" s="40"/>
      <c r="AP253" s="40"/>
      <c r="AQ253" s="40"/>
      <c r="AR253" s="40"/>
      <c r="AS253" s="40"/>
      <c r="AT253" s="40"/>
      <c r="AU253" s="40"/>
      <c r="AV253" s="40"/>
      <c r="AW253" s="40"/>
      <c r="AX253" s="40"/>
      <c r="AY253" s="40"/>
      <c r="AZ253" s="40"/>
    </row>
    <row r="254" spans="1:52" s="71" customFormat="1" ht="12" thickBot="1" x14ac:dyDescent="0.2">
      <c r="A254" s="37" t="s">
        <v>66</v>
      </c>
      <c r="B254" s="38" t="s">
        <v>416</v>
      </c>
      <c r="C254" s="109" t="str">
        <f>HYPERLINK(Hoofddocument!$H$254,Hoofddocument!$G$254)</f>
        <v>Vakopleiding Functioneel Beheer</v>
      </c>
      <c r="D254" s="38" t="s">
        <v>166</v>
      </c>
      <c r="E254" s="38" t="s">
        <v>12</v>
      </c>
      <c r="F254" s="44" t="s">
        <v>417</v>
      </c>
      <c r="G254" s="38" t="s">
        <v>418</v>
      </c>
      <c r="H254" s="64" t="s">
        <v>600</v>
      </c>
      <c r="I254" s="41"/>
      <c r="J254" s="39"/>
      <c r="K254" s="39"/>
      <c r="L254" s="40"/>
      <c r="M254" s="40"/>
      <c r="N254" s="40"/>
      <c r="O254" s="40"/>
      <c r="P254" s="40"/>
      <c r="Q254" s="40"/>
      <c r="R254" s="39" t="s">
        <v>97</v>
      </c>
      <c r="S254" s="40" t="s">
        <v>97</v>
      </c>
      <c r="T254" s="40"/>
      <c r="U254" s="40" t="s">
        <v>97</v>
      </c>
      <c r="V254" s="40"/>
      <c r="W254" s="40"/>
      <c r="X254" s="40"/>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row>
    <row r="255" spans="1:52" s="71" customFormat="1" ht="12" thickBot="1" x14ac:dyDescent="0.2">
      <c r="A255" s="37" t="s">
        <v>53</v>
      </c>
      <c r="B255" s="38" t="s">
        <v>728</v>
      </c>
      <c r="C255" s="109" t="str">
        <f>HYPERLINK(Hoofddocument!$H$255,Hoofddocument!$G$255)</f>
        <v>Contractmanagement CATS CM Foundation</v>
      </c>
      <c r="D255" s="38"/>
      <c r="E255" s="38" t="s">
        <v>761</v>
      </c>
      <c r="F255" s="38"/>
      <c r="G255" s="38" t="s">
        <v>839</v>
      </c>
      <c r="H255" s="64" t="s">
        <v>909</v>
      </c>
      <c r="I255" s="41"/>
      <c r="J255" s="39"/>
      <c r="K255" s="39"/>
      <c r="L255" s="40"/>
      <c r="M255" s="40"/>
      <c r="N255" s="40"/>
      <c r="O255" s="40"/>
      <c r="P255" s="40"/>
      <c r="Q255" s="40"/>
      <c r="R255" s="39"/>
      <c r="S255" s="40"/>
      <c r="T255" s="40"/>
      <c r="U255" s="40"/>
      <c r="V255" s="40"/>
      <c r="W255" s="40"/>
      <c r="X255" s="40"/>
      <c r="Y255" s="40"/>
      <c r="Z255" s="40"/>
      <c r="AA255" s="40"/>
      <c r="AB255" s="40"/>
      <c r="AC255" s="40"/>
      <c r="AD255" s="40" t="s">
        <v>97</v>
      </c>
      <c r="AE255" s="40"/>
      <c r="AF255" s="40"/>
      <c r="AG255" s="40"/>
      <c r="AH255" s="40"/>
      <c r="AI255" s="40"/>
      <c r="AJ255" s="40"/>
      <c r="AK255" s="40"/>
      <c r="AL255" s="40"/>
      <c r="AM255" s="40"/>
      <c r="AN255" s="40"/>
      <c r="AO255" s="40"/>
      <c r="AP255" s="40"/>
      <c r="AQ255" s="40"/>
      <c r="AR255" s="40"/>
      <c r="AS255" s="40"/>
      <c r="AT255" s="40"/>
      <c r="AU255" s="40"/>
      <c r="AV255" s="40"/>
      <c r="AW255" s="40"/>
      <c r="AX255" s="40"/>
      <c r="AY255" s="40"/>
      <c r="AZ255" s="40"/>
    </row>
    <row r="256" spans="1:52" s="71" customFormat="1" ht="12" thickBot="1" x14ac:dyDescent="0.2">
      <c r="A256" s="37" t="s">
        <v>53</v>
      </c>
      <c r="B256" s="38" t="s">
        <v>728</v>
      </c>
      <c r="C256" s="109" t="str">
        <f>HYPERLINK(Hoofddocument!$H$256,Hoofddocument!$G$256)</f>
        <v>Contractmanagement CATS CM Practitioner</v>
      </c>
      <c r="D256" s="38"/>
      <c r="E256" s="38" t="s">
        <v>761</v>
      </c>
      <c r="F256" s="38"/>
      <c r="G256" s="38" t="s">
        <v>840</v>
      </c>
      <c r="H256" s="64" t="s">
        <v>910</v>
      </c>
      <c r="I256" s="41"/>
      <c r="J256" s="39"/>
      <c r="K256" s="39"/>
      <c r="L256" s="40"/>
      <c r="M256" s="40"/>
      <c r="N256" s="40"/>
      <c r="O256" s="40"/>
      <c r="P256" s="40"/>
      <c r="Q256" s="40"/>
      <c r="R256" s="39"/>
      <c r="S256" s="40"/>
      <c r="T256" s="40"/>
      <c r="U256" s="40"/>
      <c r="V256" s="40"/>
      <c r="W256" s="40"/>
      <c r="X256" s="40"/>
      <c r="Y256" s="40"/>
      <c r="Z256" s="40"/>
      <c r="AA256" s="40"/>
      <c r="AB256" s="40"/>
      <c r="AC256" s="40"/>
      <c r="AD256" s="40" t="s">
        <v>97</v>
      </c>
      <c r="AE256" s="40"/>
      <c r="AF256" s="40"/>
      <c r="AG256" s="40"/>
      <c r="AH256" s="40"/>
      <c r="AI256" s="40"/>
      <c r="AJ256" s="40"/>
      <c r="AK256" s="40"/>
      <c r="AL256" s="40"/>
      <c r="AM256" s="40"/>
      <c r="AN256" s="40"/>
      <c r="AO256" s="40"/>
      <c r="AP256" s="40"/>
      <c r="AQ256" s="40"/>
      <c r="AR256" s="40"/>
      <c r="AS256" s="40"/>
      <c r="AT256" s="40"/>
      <c r="AU256" s="40"/>
      <c r="AV256" s="40"/>
      <c r="AW256" s="40"/>
      <c r="AX256" s="40"/>
      <c r="AY256" s="40"/>
      <c r="AZ256" s="40"/>
    </row>
    <row r="257" spans="1:52" s="71" customFormat="1" ht="12" thickBot="1" x14ac:dyDescent="0.2">
      <c r="A257" s="37" t="s">
        <v>53</v>
      </c>
      <c r="B257" s="38" t="s">
        <v>728</v>
      </c>
      <c r="C257" s="109" t="str">
        <f>HYPERLINK(Hoofddocument!$H$257,Hoofddocument!$G$257)</f>
        <v>Contractmanagement CATS CM Expert</v>
      </c>
      <c r="D257" s="38"/>
      <c r="E257" s="38" t="s">
        <v>761</v>
      </c>
      <c r="F257" s="38"/>
      <c r="G257" s="38" t="s">
        <v>841</v>
      </c>
      <c r="H257" s="55" t="s">
        <v>911</v>
      </c>
      <c r="I257" s="41"/>
      <c r="J257" s="39"/>
      <c r="K257" s="39"/>
      <c r="L257" s="40"/>
      <c r="M257" s="40"/>
      <c r="N257" s="40"/>
      <c r="O257" s="40"/>
      <c r="P257" s="40"/>
      <c r="Q257" s="40"/>
      <c r="R257" s="39"/>
      <c r="S257" s="40"/>
      <c r="T257" s="40"/>
      <c r="U257" s="40"/>
      <c r="V257" s="40"/>
      <c r="W257" s="40"/>
      <c r="X257" s="40"/>
      <c r="Y257" s="40"/>
      <c r="Z257" s="40"/>
      <c r="AA257" s="40"/>
      <c r="AB257" s="40"/>
      <c r="AC257" s="40"/>
      <c r="AD257" s="40" t="s">
        <v>634</v>
      </c>
      <c r="AE257" s="40"/>
      <c r="AF257" s="40"/>
      <c r="AG257" s="40"/>
      <c r="AH257" s="40"/>
      <c r="AI257" s="40"/>
      <c r="AJ257" s="40"/>
      <c r="AK257" s="40"/>
      <c r="AL257" s="40"/>
      <c r="AM257" s="40"/>
      <c r="AN257" s="40"/>
      <c r="AO257" s="40"/>
      <c r="AP257" s="40"/>
      <c r="AQ257" s="40"/>
      <c r="AR257" s="40"/>
      <c r="AS257" s="40"/>
      <c r="AT257" s="40"/>
      <c r="AU257" s="40"/>
      <c r="AV257" s="40"/>
      <c r="AW257" s="40"/>
      <c r="AX257" s="40"/>
      <c r="AY257" s="40"/>
      <c r="AZ257" s="40"/>
    </row>
    <row r="258" spans="1:52" s="71" customFormat="1" ht="12" thickBot="1" x14ac:dyDescent="0.2">
      <c r="A258" s="37" t="s">
        <v>53</v>
      </c>
      <c r="B258" s="38" t="s">
        <v>728</v>
      </c>
      <c r="C258" s="109" t="str">
        <f>HYPERLINK(Hoofddocument!$H$258,Hoofddocument!$G$258)</f>
        <v>Inkoop- en Contractmanagement binnen de Publieke Sector</v>
      </c>
      <c r="D258" s="38" t="s">
        <v>166</v>
      </c>
      <c r="E258" s="38" t="s">
        <v>12</v>
      </c>
      <c r="F258" s="38" t="s">
        <v>776</v>
      </c>
      <c r="G258" s="38" t="s">
        <v>842</v>
      </c>
      <c r="H258" s="64" t="s">
        <v>912</v>
      </c>
      <c r="I258" s="41"/>
      <c r="J258" s="39"/>
      <c r="K258" s="39"/>
      <c r="L258" s="40"/>
      <c r="M258" s="40"/>
      <c r="N258" s="40"/>
      <c r="O258" s="40"/>
      <c r="P258" s="40"/>
      <c r="Q258" s="40"/>
      <c r="R258" s="39"/>
      <c r="S258" s="40"/>
      <c r="T258" s="40"/>
      <c r="U258" s="40"/>
      <c r="V258" s="40"/>
      <c r="W258" s="40"/>
      <c r="X258" s="40"/>
      <c r="Y258" s="40"/>
      <c r="Z258" s="40"/>
      <c r="AA258" s="40"/>
      <c r="AB258" s="40"/>
      <c r="AC258" s="40"/>
      <c r="AD258" s="40" t="s">
        <v>97</v>
      </c>
      <c r="AE258" s="40" t="s">
        <v>97</v>
      </c>
      <c r="AF258" s="40" t="s">
        <v>634</v>
      </c>
      <c r="AG258" s="40"/>
      <c r="AH258" s="40"/>
      <c r="AI258" s="40"/>
      <c r="AJ258" s="40"/>
      <c r="AK258" s="40"/>
      <c r="AL258" s="40"/>
      <c r="AM258" s="40"/>
      <c r="AN258" s="40"/>
      <c r="AO258" s="40"/>
      <c r="AP258" s="40"/>
      <c r="AQ258" s="40"/>
      <c r="AR258" s="40"/>
      <c r="AS258" s="40"/>
      <c r="AT258" s="40"/>
      <c r="AU258" s="40"/>
      <c r="AV258" s="40"/>
      <c r="AW258" s="40"/>
      <c r="AX258" s="40"/>
      <c r="AY258" s="40"/>
      <c r="AZ258" s="40"/>
    </row>
    <row r="259" spans="1:52" s="71" customFormat="1" ht="12" thickBot="1" x14ac:dyDescent="0.2">
      <c r="A259" s="37" t="s">
        <v>53</v>
      </c>
      <c r="B259" s="38" t="s">
        <v>438</v>
      </c>
      <c r="C259" s="109" t="str">
        <f>HYPERLINK(Hoofddocument!$H$259,Hoofddocument!$G$259)</f>
        <v>Module Financiering PDB</v>
      </c>
      <c r="D259" s="38"/>
      <c r="E259" s="38" t="s">
        <v>777</v>
      </c>
      <c r="F259" s="38"/>
      <c r="G259" s="38" t="s">
        <v>843</v>
      </c>
      <c r="H259" s="55" t="s">
        <v>913</v>
      </c>
      <c r="I259" s="41"/>
      <c r="J259" s="39"/>
      <c r="K259" s="39"/>
      <c r="L259" s="40"/>
      <c r="M259" s="40"/>
      <c r="N259" s="40"/>
      <c r="O259" s="40"/>
      <c r="P259" s="40"/>
      <c r="Q259" s="40"/>
      <c r="R259" s="39" t="s">
        <v>97</v>
      </c>
      <c r="S259" s="40"/>
      <c r="T259" s="40" t="s">
        <v>97</v>
      </c>
      <c r="U259" s="40"/>
      <c r="V259" s="40"/>
      <c r="W259" s="40"/>
      <c r="X259" s="40"/>
      <c r="Y259" s="40"/>
      <c r="Z259" s="40" t="s">
        <v>634</v>
      </c>
      <c r="AA259" s="40"/>
      <c r="AB259" s="40"/>
      <c r="AC259" s="40"/>
      <c r="AD259" s="40"/>
      <c r="AE259" s="40"/>
      <c r="AF259" s="40"/>
      <c r="AG259" s="40"/>
      <c r="AH259" s="40"/>
      <c r="AI259" s="40"/>
      <c r="AJ259" s="40"/>
      <c r="AK259" s="40"/>
      <c r="AL259" s="40"/>
      <c r="AM259" s="40"/>
      <c r="AN259" s="40" t="s">
        <v>634</v>
      </c>
      <c r="AO259" s="40"/>
      <c r="AP259" s="40"/>
      <c r="AQ259" s="40"/>
      <c r="AR259" s="40"/>
      <c r="AS259" s="40"/>
      <c r="AT259" s="40"/>
      <c r="AU259" s="40"/>
      <c r="AV259" s="40"/>
      <c r="AW259" s="40"/>
      <c r="AX259" s="40"/>
      <c r="AY259" s="40"/>
      <c r="AZ259" s="40"/>
    </row>
    <row r="260" spans="1:52" s="71" customFormat="1" ht="12" thickBot="1" x14ac:dyDescent="0.2">
      <c r="A260" s="37" t="s">
        <v>53</v>
      </c>
      <c r="B260" s="38" t="s">
        <v>463</v>
      </c>
      <c r="C260" s="109" t="str">
        <f>HYPERLINK(Hoofddocument!$H$260,Hoofddocument!$G$260)</f>
        <v>IPMA B en C</v>
      </c>
      <c r="D260" s="38"/>
      <c r="E260" s="38" t="s">
        <v>207</v>
      </c>
      <c r="F260" s="38"/>
      <c r="G260" s="38" t="s">
        <v>464</v>
      </c>
      <c r="H260" s="65" t="s">
        <v>614</v>
      </c>
      <c r="I260" s="41"/>
      <c r="J260" s="39"/>
      <c r="K260" s="39"/>
      <c r="L260" s="40"/>
      <c r="M260" s="40"/>
      <c r="N260" s="40"/>
      <c r="O260" s="40"/>
      <c r="P260" s="40"/>
      <c r="Q260" s="40"/>
      <c r="R260" s="39"/>
      <c r="S260" s="40"/>
      <c r="T260" s="40"/>
      <c r="U260" s="40" t="s">
        <v>634</v>
      </c>
      <c r="V260" s="40"/>
      <c r="W260" s="40"/>
      <c r="X260" s="40"/>
      <c r="Y260" s="40"/>
      <c r="Z260" s="40"/>
      <c r="AA260" s="40"/>
      <c r="AB260" s="40"/>
      <c r="AC260" s="40"/>
      <c r="AD260" s="40"/>
      <c r="AE260" s="40"/>
      <c r="AF260" s="40"/>
      <c r="AG260" s="40"/>
      <c r="AH260" s="40"/>
      <c r="AI260" s="40"/>
      <c r="AJ260" s="40"/>
      <c r="AK260" s="40"/>
      <c r="AL260" s="40"/>
      <c r="AM260" s="40"/>
      <c r="AN260" s="40"/>
      <c r="AO260" s="40"/>
      <c r="AP260" s="40"/>
      <c r="AQ260" s="40"/>
      <c r="AR260" s="40"/>
      <c r="AS260" s="40"/>
      <c r="AT260" s="40"/>
      <c r="AU260" s="40"/>
      <c r="AV260" s="40"/>
      <c r="AW260" s="40"/>
      <c r="AX260" s="40"/>
      <c r="AY260" s="40"/>
      <c r="AZ260" s="40"/>
    </row>
    <row r="261" spans="1:52" s="71" customFormat="1" ht="12" thickBot="1" x14ac:dyDescent="0.2">
      <c r="A261" s="37" t="s">
        <v>53</v>
      </c>
      <c r="B261" s="38" t="s">
        <v>465</v>
      </c>
      <c r="C261" s="109" t="str">
        <f>HYPERLINK(Hoofddocument!$H$261,Hoofddocument!$G$261)</f>
        <v>IPMA C Project Management</v>
      </c>
      <c r="D261" s="38" t="s">
        <v>166</v>
      </c>
      <c r="E261" s="38" t="s">
        <v>12</v>
      </c>
      <c r="F261" s="38" t="s">
        <v>466</v>
      </c>
      <c r="G261" s="38" t="s">
        <v>467</v>
      </c>
      <c r="H261" s="55" t="s">
        <v>594</v>
      </c>
      <c r="I261" s="41"/>
      <c r="J261" s="39"/>
      <c r="K261" s="39"/>
      <c r="L261" s="40"/>
      <c r="M261" s="40"/>
      <c r="N261" s="40"/>
      <c r="O261" s="40"/>
      <c r="P261" s="40"/>
      <c r="Q261" s="40"/>
      <c r="R261" s="39"/>
      <c r="S261" s="40"/>
      <c r="T261" s="40"/>
      <c r="U261" s="40" t="s">
        <v>97</v>
      </c>
      <c r="V261" s="40"/>
      <c r="W261" s="40"/>
      <c r="X261" s="40"/>
      <c r="Y261" s="40"/>
      <c r="Z261" s="40"/>
      <c r="AA261" s="40" t="s">
        <v>634</v>
      </c>
      <c r="AB261" s="40"/>
      <c r="AC261" s="40"/>
      <c r="AD261" s="40"/>
      <c r="AE261" s="40"/>
      <c r="AF261" s="40"/>
      <c r="AG261" s="40" t="s">
        <v>97</v>
      </c>
      <c r="AH261" s="40"/>
      <c r="AI261" s="40"/>
      <c r="AJ261" s="40"/>
      <c r="AK261" s="40"/>
      <c r="AL261" s="40"/>
      <c r="AM261" s="40"/>
      <c r="AN261" s="40"/>
      <c r="AO261" s="40"/>
      <c r="AP261" s="40"/>
      <c r="AQ261" s="40"/>
      <c r="AR261" s="40"/>
      <c r="AS261" s="40"/>
      <c r="AT261" s="40"/>
      <c r="AU261" s="40"/>
      <c r="AV261" s="40"/>
      <c r="AW261" s="40"/>
      <c r="AX261" s="40"/>
      <c r="AY261" s="40"/>
      <c r="AZ261" s="40"/>
    </row>
    <row r="262" spans="1:52" s="71" customFormat="1" ht="12" thickBot="1" x14ac:dyDescent="0.2">
      <c r="A262" s="37" t="s">
        <v>53</v>
      </c>
      <c r="B262" s="38" t="s">
        <v>468</v>
      </c>
      <c r="C262" s="109" t="str">
        <f>HYPERLINK(Hoofddocument!$H$262,Hoofddocument!$G$262)</f>
        <v>IPMA D PM</v>
      </c>
      <c r="D262" s="38"/>
      <c r="E262" s="38" t="s">
        <v>207</v>
      </c>
      <c r="F262" s="38"/>
      <c r="G262" s="38" t="s">
        <v>469</v>
      </c>
      <c r="H262" s="55" t="s">
        <v>593</v>
      </c>
      <c r="I262" s="41"/>
      <c r="J262" s="39"/>
      <c r="K262" s="39"/>
      <c r="L262" s="40"/>
      <c r="M262" s="40"/>
      <c r="N262" s="40"/>
      <c r="O262" s="40"/>
      <c r="P262" s="40"/>
      <c r="Q262" s="40"/>
      <c r="R262" s="39"/>
      <c r="S262" s="40"/>
      <c r="T262" s="40"/>
      <c r="U262" s="40" t="s">
        <v>97</v>
      </c>
      <c r="V262" s="40"/>
      <c r="W262" s="40"/>
      <c r="X262" s="40" t="s">
        <v>634</v>
      </c>
      <c r="Y262" s="40"/>
      <c r="Z262" s="40"/>
      <c r="AA262" s="40" t="s">
        <v>97</v>
      </c>
      <c r="AB262" s="40"/>
      <c r="AC262" s="40"/>
      <c r="AD262" s="40"/>
      <c r="AE262" s="40"/>
      <c r="AF262" s="40"/>
      <c r="AG262" s="40"/>
      <c r="AH262" s="40"/>
      <c r="AI262" s="40"/>
      <c r="AJ262" s="40"/>
      <c r="AK262" s="40"/>
      <c r="AL262" s="40"/>
      <c r="AM262" s="40"/>
      <c r="AN262" s="40"/>
      <c r="AO262" s="40"/>
      <c r="AP262" s="40"/>
      <c r="AQ262" s="40"/>
      <c r="AR262" s="40"/>
      <c r="AS262" s="40"/>
      <c r="AT262" s="40"/>
      <c r="AU262" s="40"/>
      <c r="AV262" s="40"/>
      <c r="AW262" s="40"/>
      <c r="AX262" s="40"/>
      <c r="AY262" s="40"/>
      <c r="AZ262" s="40"/>
    </row>
    <row r="263" spans="1:52" s="71" customFormat="1" ht="12" thickBot="1" x14ac:dyDescent="0.2">
      <c r="A263" s="37" t="s">
        <v>53</v>
      </c>
      <c r="B263" s="38" t="s">
        <v>419</v>
      </c>
      <c r="C263" s="109" t="str">
        <f>HYPERLINK(Hoofddocument!$H$263,Hoofddocument!$G$263)</f>
        <v>Leergang Netwerk- en Ketenregie in de Publieke Sector</v>
      </c>
      <c r="D263" s="38" t="s">
        <v>166</v>
      </c>
      <c r="E263" s="38" t="s">
        <v>12</v>
      </c>
      <c r="F263" s="38" t="s">
        <v>689</v>
      </c>
      <c r="G263" s="38" t="s">
        <v>420</v>
      </c>
      <c r="H263" s="55" t="s">
        <v>601</v>
      </c>
      <c r="I263" s="41"/>
      <c r="J263" s="39"/>
      <c r="K263" s="39"/>
      <c r="L263" s="40"/>
      <c r="M263" s="40"/>
      <c r="N263" s="40"/>
      <c r="O263" s="40"/>
      <c r="P263" s="40"/>
      <c r="Q263" s="40"/>
      <c r="R263" s="39"/>
      <c r="S263" s="40"/>
      <c r="T263" s="40" t="s">
        <v>634</v>
      </c>
      <c r="U263" s="40"/>
      <c r="V263" s="40"/>
      <c r="W263" s="40"/>
      <c r="X263" s="40"/>
      <c r="Y263" s="40"/>
      <c r="Z263" s="40"/>
      <c r="AA263" s="40"/>
      <c r="AB263" s="40"/>
      <c r="AC263" s="40"/>
      <c r="AD263" s="40"/>
      <c r="AE263" s="40"/>
      <c r="AF263" s="40"/>
      <c r="AG263" s="40"/>
      <c r="AH263" s="40" t="s">
        <v>97</v>
      </c>
      <c r="AI263" s="40" t="s">
        <v>97</v>
      </c>
      <c r="AJ263" s="40"/>
      <c r="AK263" s="40"/>
      <c r="AL263" s="40"/>
      <c r="AM263" s="40"/>
      <c r="AN263" s="40"/>
      <c r="AO263" s="40" t="s">
        <v>97</v>
      </c>
      <c r="AP263" s="40" t="s">
        <v>97</v>
      </c>
      <c r="AQ263" s="40" t="s">
        <v>97</v>
      </c>
      <c r="AR263" s="40" t="s">
        <v>97</v>
      </c>
      <c r="AS263" s="40" t="s">
        <v>97</v>
      </c>
      <c r="AT263" s="40" t="s">
        <v>97</v>
      </c>
      <c r="AU263" s="40" t="s">
        <v>97</v>
      </c>
      <c r="AV263" s="40" t="s">
        <v>97</v>
      </c>
      <c r="AW263" s="40"/>
      <c r="AX263" s="40"/>
      <c r="AY263" s="40"/>
      <c r="AZ263" s="40"/>
    </row>
    <row r="264" spans="1:52" s="71" customFormat="1" ht="12" thickBot="1" x14ac:dyDescent="0.2">
      <c r="A264" s="37" t="s">
        <v>53</v>
      </c>
      <c r="B264" s="38" t="s">
        <v>470</v>
      </c>
      <c r="C264" s="38" t="s">
        <v>433</v>
      </c>
      <c r="D264" s="38"/>
      <c r="E264" s="38" t="s">
        <v>664</v>
      </c>
      <c r="F264" s="38"/>
      <c r="G264" s="38" t="s">
        <v>433</v>
      </c>
      <c r="H264" s="55"/>
      <c r="I264" s="41"/>
      <c r="J264" s="39"/>
      <c r="K264" s="39"/>
      <c r="L264" s="40"/>
      <c r="M264" s="40"/>
      <c r="N264" s="40"/>
      <c r="O264" s="40"/>
      <c r="P264" s="40"/>
      <c r="Q264" s="40"/>
      <c r="R264" s="39"/>
      <c r="S264" s="40"/>
      <c r="T264" s="40" t="s">
        <v>97</v>
      </c>
      <c r="U264" s="40" t="s">
        <v>634</v>
      </c>
      <c r="V264" s="40"/>
      <c r="W264" s="40"/>
      <c r="X264" s="40"/>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row>
    <row r="265" spans="1:52" s="75" customFormat="1" ht="12" thickBot="1" x14ac:dyDescent="0.2">
      <c r="A265" s="37" t="s">
        <v>53</v>
      </c>
      <c r="B265" s="38" t="s">
        <v>222</v>
      </c>
      <c r="C265" s="109" t="str">
        <f>HYPERLINK(Hoofddocument!$H$265,Hoofddocument!$G$265)</f>
        <v>PRINCE2 Agile® Foundation</v>
      </c>
      <c r="D265" s="38" t="s">
        <v>166</v>
      </c>
      <c r="E265" s="38" t="s">
        <v>12</v>
      </c>
      <c r="F265" s="38" t="s">
        <v>691</v>
      </c>
      <c r="G265" s="38" t="s">
        <v>222</v>
      </c>
      <c r="H265" s="55" t="s">
        <v>541</v>
      </c>
      <c r="I265" s="41"/>
      <c r="J265" s="39" t="s">
        <v>634</v>
      </c>
      <c r="K265" s="39"/>
      <c r="L265" s="40"/>
      <c r="M265" s="40" t="s">
        <v>97</v>
      </c>
      <c r="N265" s="40" t="s">
        <v>97</v>
      </c>
      <c r="O265" s="40" t="s">
        <v>97</v>
      </c>
      <c r="P265" s="40" t="s">
        <v>97</v>
      </c>
      <c r="Q265" s="40" t="s">
        <v>97</v>
      </c>
      <c r="R265" s="39"/>
      <c r="S265" s="40"/>
      <c r="T265" s="40" t="s">
        <v>97</v>
      </c>
      <c r="U265" s="40" t="s">
        <v>97</v>
      </c>
      <c r="V265" s="40" t="s">
        <v>97</v>
      </c>
      <c r="W265" s="40"/>
      <c r="X265" s="40" t="s">
        <v>97</v>
      </c>
      <c r="Y265" s="40"/>
      <c r="Z265" s="40"/>
      <c r="AA265" s="40" t="s">
        <v>97</v>
      </c>
      <c r="AB265" s="40" t="s">
        <v>634</v>
      </c>
      <c r="AC265" s="40"/>
      <c r="AD265" s="40" t="s">
        <v>634</v>
      </c>
      <c r="AE265" s="40" t="s">
        <v>634</v>
      </c>
      <c r="AF265" s="40"/>
      <c r="AG265" s="40" t="s">
        <v>97</v>
      </c>
      <c r="AH265" s="40" t="s">
        <v>97</v>
      </c>
      <c r="AI265" s="40"/>
      <c r="AJ265" s="40"/>
      <c r="AK265" s="40"/>
      <c r="AL265" s="40"/>
      <c r="AM265" s="40"/>
      <c r="AN265" s="40"/>
      <c r="AO265" s="40"/>
      <c r="AP265" s="40"/>
      <c r="AQ265" s="40"/>
      <c r="AR265" s="40"/>
      <c r="AS265" s="40"/>
      <c r="AT265" s="40"/>
      <c r="AU265" s="40"/>
      <c r="AV265" s="40"/>
      <c r="AW265" s="40" t="s">
        <v>97</v>
      </c>
      <c r="AX265" s="40"/>
      <c r="AY265" s="40"/>
      <c r="AZ265" s="40"/>
    </row>
    <row r="266" spans="1:52" s="71" customFormat="1" ht="12" thickBot="1" x14ac:dyDescent="0.2">
      <c r="A266" s="37" t="s">
        <v>53</v>
      </c>
      <c r="B266" s="38" t="s">
        <v>383</v>
      </c>
      <c r="C266" s="109" t="str">
        <f>HYPERLINK(Hoofddocument!$H$266,Hoofddocument!$G$266)</f>
        <v>PRINCE2 Agile® Practitioner</v>
      </c>
      <c r="D266" s="38" t="s">
        <v>166</v>
      </c>
      <c r="E266" s="38" t="s">
        <v>12</v>
      </c>
      <c r="F266" s="38" t="s">
        <v>384</v>
      </c>
      <c r="G266" s="38" t="s">
        <v>383</v>
      </c>
      <c r="H266" s="64" t="s">
        <v>610</v>
      </c>
      <c r="I266" s="41"/>
      <c r="J266" s="39"/>
      <c r="K266" s="39"/>
      <c r="L266" s="40"/>
      <c r="M266" s="40"/>
      <c r="N266" s="40"/>
      <c r="O266" s="40"/>
      <c r="P266" s="40"/>
      <c r="Q266" s="40"/>
      <c r="R266" s="39"/>
      <c r="S266" s="40"/>
      <c r="T266" s="40" t="s">
        <v>97</v>
      </c>
      <c r="U266" s="40" t="s">
        <v>97</v>
      </c>
      <c r="V266" s="40"/>
      <c r="W266" s="40"/>
      <c r="X266" s="40"/>
      <c r="Y266" s="40"/>
      <c r="Z266" s="40"/>
      <c r="AA266" s="40"/>
      <c r="AB266" s="40"/>
      <c r="AC266" s="40"/>
      <c r="AD266" s="40"/>
      <c r="AE266" s="40"/>
      <c r="AF266" s="40"/>
      <c r="AG266" s="40"/>
      <c r="AH266" s="40"/>
      <c r="AI266" s="40"/>
      <c r="AJ266" s="40"/>
      <c r="AK266" s="40"/>
      <c r="AL266" s="40"/>
      <c r="AM266" s="40"/>
      <c r="AN266" s="40"/>
      <c r="AO266" s="40"/>
      <c r="AP266" s="40"/>
      <c r="AQ266" s="40"/>
      <c r="AR266" s="40"/>
      <c r="AS266" s="40"/>
      <c r="AT266" s="40"/>
      <c r="AU266" s="40"/>
      <c r="AV266" s="40"/>
      <c r="AW266" s="40"/>
      <c r="AX266" s="40"/>
      <c r="AY266" s="40"/>
      <c r="AZ266" s="40"/>
    </row>
    <row r="267" spans="1:52" s="71" customFormat="1" ht="12" thickBot="1" x14ac:dyDescent="0.2">
      <c r="A267" s="37" t="s">
        <v>53</v>
      </c>
      <c r="B267" s="38" t="s">
        <v>295</v>
      </c>
      <c r="C267" s="109" t="str">
        <f>HYPERLINK(Hoofddocument!$H$267,Hoofddocument!$G$267)</f>
        <v>PRINCE2® Foundation</v>
      </c>
      <c r="D267" s="38" t="s">
        <v>166</v>
      </c>
      <c r="E267" s="38" t="s">
        <v>12</v>
      </c>
      <c r="F267" s="38" t="s">
        <v>296</v>
      </c>
      <c r="G267" s="38" t="s">
        <v>295</v>
      </c>
      <c r="H267" s="64" t="s">
        <v>562</v>
      </c>
      <c r="I267" s="41"/>
      <c r="J267" s="39"/>
      <c r="K267" s="39"/>
      <c r="L267" s="40" t="s">
        <v>97</v>
      </c>
      <c r="M267" s="40"/>
      <c r="N267" s="40"/>
      <c r="O267" s="40"/>
      <c r="P267" s="40"/>
      <c r="Q267" s="40"/>
      <c r="R267" s="39"/>
      <c r="S267" s="40"/>
      <c r="T267" s="40" t="s">
        <v>97</v>
      </c>
      <c r="U267" s="40" t="s">
        <v>97</v>
      </c>
      <c r="V267" s="40" t="s">
        <v>97</v>
      </c>
      <c r="W267" s="40" t="s">
        <v>97</v>
      </c>
      <c r="X267" s="40" t="s">
        <v>97</v>
      </c>
      <c r="Y267" s="40"/>
      <c r="Z267" s="40"/>
      <c r="AA267" s="40" t="s">
        <v>97</v>
      </c>
      <c r="AB267" s="40" t="s">
        <v>97</v>
      </c>
      <c r="AC267" s="40" t="s">
        <v>634</v>
      </c>
      <c r="AD267" s="40" t="s">
        <v>97</v>
      </c>
      <c r="AE267" s="40" t="s">
        <v>97</v>
      </c>
      <c r="AF267" s="40" t="s">
        <v>97</v>
      </c>
      <c r="AG267" s="40" t="s">
        <v>97</v>
      </c>
      <c r="AH267" s="40" t="s">
        <v>97</v>
      </c>
      <c r="AI267" s="40" t="s">
        <v>97</v>
      </c>
      <c r="AJ267" s="40"/>
      <c r="AK267" s="40" t="s">
        <v>97</v>
      </c>
      <c r="AL267" s="40"/>
      <c r="AM267" s="40"/>
      <c r="AN267" s="40" t="s">
        <v>97</v>
      </c>
      <c r="AO267" s="40"/>
      <c r="AP267" s="40"/>
      <c r="AQ267" s="40"/>
      <c r="AR267" s="40"/>
      <c r="AS267" s="40"/>
      <c r="AT267" s="40"/>
      <c r="AU267" s="40"/>
      <c r="AV267" s="40"/>
      <c r="AW267" s="40" t="s">
        <v>97</v>
      </c>
      <c r="AX267" s="40"/>
      <c r="AY267" s="40"/>
      <c r="AZ267" s="40"/>
    </row>
    <row r="268" spans="1:52" s="71" customFormat="1" ht="12" thickBot="1" x14ac:dyDescent="0.2">
      <c r="A268" s="37" t="s">
        <v>53</v>
      </c>
      <c r="B268" s="38" t="s">
        <v>439</v>
      </c>
      <c r="C268" s="109" t="str">
        <f>HYPERLINK(Hoofddocument!$H$268,Hoofddocument!$G$268)</f>
        <v>PRINCE2® Practitioner</v>
      </c>
      <c r="D268" s="38" t="s">
        <v>166</v>
      </c>
      <c r="E268" s="38" t="s">
        <v>12</v>
      </c>
      <c r="F268" s="38" t="s">
        <v>440</v>
      </c>
      <c r="G268" s="38" t="s">
        <v>439</v>
      </c>
      <c r="H268" s="64" t="s">
        <v>586</v>
      </c>
      <c r="I268" s="41"/>
      <c r="J268" s="39"/>
      <c r="K268" s="39"/>
      <c r="L268" s="40"/>
      <c r="M268" s="40"/>
      <c r="N268" s="40"/>
      <c r="O268" s="40"/>
      <c r="P268" s="40"/>
      <c r="Q268" s="40" t="s">
        <v>634</v>
      </c>
      <c r="R268" s="39"/>
      <c r="S268" s="40"/>
      <c r="T268" s="40" t="s">
        <v>97</v>
      </c>
      <c r="U268" s="40" t="s">
        <v>97</v>
      </c>
      <c r="V268" s="40"/>
      <c r="W268" s="40" t="s">
        <v>97</v>
      </c>
      <c r="X268" s="40"/>
      <c r="Y268" s="40"/>
      <c r="Z268" s="40"/>
      <c r="AA268" s="40" t="s">
        <v>634</v>
      </c>
      <c r="AB268" s="40" t="s">
        <v>634</v>
      </c>
      <c r="AC268" s="40" t="s">
        <v>97</v>
      </c>
      <c r="AD268" s="40"/>
      <c r="AE268" s="40"/>
      <c r="AF268" s="40" t="s">
        <v>634</v>
      </c>
      <c r="AG268" s="40"/>
      <c r="AH268" s="40" t="s">
        <v>634</v>
      </c>
      <c r="AI268" s="40" t="s">
        <v>634</v>
      </c>
      <c r="AJ268" s="40"/>
      <c r="AK268" s="40"/>
      <c r="AL268" s="40" t="s">
        <v>97</v>
      </c>
      <c r="AM268" s="40"/>
      <c r="AN268" s="40"/>
      <c r="AO268" s="40"/>
      <c r="AP268" s="40" t="s">
        <v>97</v>
      </c>
      <c r="AQ268" s="40" t="s">
        <v>97</v>
      </c>
      <c r="AR268" s="40" t="s">
        <v>97</v>
      </c>
      <c r="AS268" s="40" t="s">
        <v>97</v>
      </c>
      <c r="AT268" s="40" t="s">
        <v>97</v>
      </c>
      <c r="AU268" s="40" t="s">
        <v>97</v>
      </c>
      <c r="AV268" s="40" t="s">
        <v>97</v>
      </c>
      <c r="AW268" s="40"/>
      <c r="AX268" s="40"/>
      <c r="AY268" s="40"/>
      <c r="AZ268" s="40"/>
    </row>
    <row r="269" spans="1:52" s="71" customFormat="1" ht="12" thickBot="1" x14ac:dyDescent="0.2">
      <c r="A269" s="37" t="s">
        <v>53</v>
      </c>
      <c r="B269" s="38" t="s">
        <v>498</v>
      </c>
      <c r="C269" s="109" t="str">
        <f>HYPERLINK(Hoofddocument!$H$269,Hoofddocument!$G$269)</f>
        <v>Persoonlijke Effectiviteit - Kort en intensief</v>
      </c>
      <c r="D269" s="38" t="s">
        <v>166</v>
      </c>
      <c r="E269" s="38" t="s">
        <v>12</v>
      </c>
      <c r="F269" s="38" t="s">
        <v>688</v>
      </c>
      <c r="G269" s="38" t="s">
        <v>482</v>
      </c>
      <c r="H269" s="55" t="s">
        <v>620</v>
      </c>
      <c r="I269" s="41"/>
      <c r="J269" s="39"/>
      <c r="K269" s="39"/>
      <c r="L269" s="40"/>
      <c r="M269" s="40"/>
      <c r="N269" s="40"/>
      <c r="O269" s="40"/>
      <c r="P269" s="40"/>
      <c r="Q269" s="40"/>
      <c r="R269" s="39"/>
      <c r="S269" s="40"/>
      <c r="T269" s="40"/>
      <c r="U269" s="40"/>
      <c r="V269" s="40" t="s">
        <v>97</v>
      </c>
      <c r="W269" s="40"/>
      <c r="X269" s="40"/>
      <c r="Y269" s="40"/>
      <c r="Z269" s="40"/>
      <c r="AA269" s="40" t="s">
        <v>97</v>
      </c>
      <c r="AB269" s="40"/>
      <c r="AC269" s="40"/>
      <c r="AD269" s="40"/>
      <c r="AE269" s="40"/>
      <c r="AF269" s="40"/>
      <c r="AG269" s="40"/>
      <c r="AH269" s="40"/>
      <c r="AI269" s="40"/>
      <c r="AJ269" s="40"/>
      <c r="AK269" s="40" t="s">
        <v>97</v>
      </c>
      <c r="AL269" s="40"/>
      <c r="AM269" s="40"/>
      <c r="AN269" s="40"/>
      <c r="AO269" s="40"/>
      <c r="AP269" s="40"/>
      <c r="AQ269" s="40"/>
      <c r="AR269" s="40"/>
      <c r="AS269" s="40"/>
      <c r="AT269" s="40"/>
      <c r="AU269" s="40"/>
      <c r="AV269" s="40"/>
      <c r="AW269" s="40"/>
      <c r="AX269" s="40"/>
      <c r="AY269" s="40"/>
      <c r="AZ269" s="40"/>
    </row>
    <row r="270" spans="1:52" s="71" customFormat="1" ht="12" thickBot="1" x14ac:dyDescent="0.2">
      <c r="A270" s="37" t="s">
        <v>53</v>
      </c>
      <c r="B270" s="38" t="s">
        <v>498</v>
      </c>
      <c r="C270" s="109" t="str">
        <f>HYPERLINK(Hoofddocument!$H$270,Hoofddocument!$G$270)</f>
        <v>Persoonlijke effectiviteit</v>
      </c>
      <c r="D270" s="38" t="s">
        <v>166</v>
      </c>
      <c r="E270" s="38" t="s">
        <v>12</v>
      </c>
      <c r="F270" s="38" t="s">
        <v>479</v>
      </c>
      <c r="G270" s="38" t="s">
        <v>499</v>
      </c>
      <c r="H270" s="64" t="s">
        <v>618</v>
      </c>
      <c r="I270" s="41"/>
      <c r="J270" s="39"/>
      <c r="K270" s="39"/>
      <c r="L270" s="40"/>
      <c r="M270" s="40"/>
      <c r="N270" s="40"/>
      <c r="O270" s="40"/>
      <c r="P270" s="40"/>
      <c r="Q270" s="40"/>
      <c r="R270" s="39"/>
      <c r="S270" s="40"/>
      <c r="T270" s="40"/>
      <c r="U270" s="40"/>
      <c r="V270" s="40" t="s">
        <v>634</v>
      </c>
      <c r="W270" s="40"/>
      <c r="X270" s="40"/>
      <c r="Y270" s="40"/>
      <c r="Z270" s="40"/>
      <c r="AA270" s="40"/>
      <c r="AB270" s="40"/>
      <c r="AC270" s="40"/>
      <c r="AD270" s="40"/>
      <c r="AE270" s="40"/>
      <c r="AF270" s="40"/>
      <c r="AG270" s="40"/>
      <c r="AH270" s="40"/>
      <c r="AI270" s="40"/>
      <c r="AJ270" s="40"/>
      <c r="AK270" s="40"/>
      <c r="AL270" s="40"/>
      <c r="AM270" s="40"/>
      <c r="AN270" s="40"/>
      <c r="AO270" s="40"/>
      <c r="AP270" s="40"/>
      <c r="AQ270" s="40"/>
      <c r="AR270" s="40"/>
      <c r="AS270" s="40"/>
      <c r="AT270" s="40"/>
      <c r="AU270" s="40"/>
      <c r="AV270" s="40"/>
      <c r="AW270" s="40"/>
      <c r="AX270" s="40"/>
      <c r="AY270" s="40"/>
      <c r="AZ270" s="40"/>
    </row>
    <row r="271" spans="1:52" s="71" customFormat="1" ht="12" thickBot="1" x14ac:dyDescent="0.2">
      <c r="A271" s="37" t="s">
        <v>53</v>
      </c>
      <c r="B271" s="38" t="s">
        <v>498</v>
      </c>
      <c r="C271" s="109" t="str">
        <f>HYPERLINK(Hoofddocument!$H$271,Hoofddocument!$G$271)</f>
        <v>Projectmatig Werken binnen de Overheid</v>
      </c>
      <c r="D271" s="38" t="s">
        <v>166</v>
      </c>
      <c r="E271" s="38" t="s">
        <v>12</v>
      </c>
      <c r="F271" s="38" t="s">
        <v>485</v>
      </c>
      <c r="G271" s="38" t="s">
        <v>486</v>
      </c>
      <c r="H271" s="64" t="s">
        <v>621</v>
      </c>
      <c r="I271" s="41"/>
      <c r="J271" s="39"/>
      <c r="K271" s="39"/>
      <c r="L271" s="40"/>
      <c r="M271" s="40"/>
      <c r="N271" s="40"/>
      <c r="O271" s="40"/>
      <c r="P271" s="40"/>
      <c r="Q271" s="40"/>
      <c r="R271" s="39"/>
      <c r="S271" s="40"/>
      <c r="T271" s="40"/>
      <c r="U271" s="40"/>
      <c r="V271" s="40"/>
      <c r="W271" s="40"/>
      <c r="X271" s="40"/>
      <c r="Y271" s="40"/>
      <c r="Z271" s="40"/>
      <c r="AA271" s="40"/>
      <c r="AB271" s="40" t="s">
        <v>634</v>
      </c>
      <c r="AC271" s="40"/>
      <c r="AD271" s="40"/>
      <c r="AE271" s="40"/>
      <c r="AF271" s="40"/>
      <c r="AG271" s="40"/>
      <c r="AH271" s="40"/>
      <c r="AI271" s="40"/>
      <c r="AJ271" s="40"/>
      <c r="AK271" s="40"/>
      <c r="AL271" s="40"/>
      <c r="AM271" s="40"/>
      <c r="AN271" s="40"/>
      <c r="AO271" s="40"/>
      <c r="AP271" s="40"/>
      <c r="AQ271" s="40"/>
      <c r="AR271" s="40"/>
      <c r="AS271" s="40"/>
      <c r="AT271" s="40"/>
      <c r="AU271" s="40"/>
      <c r="AV271" s="40"/>
      <c r="AW271" s="40"/>
      <c r="AX271" s="40"/>
      <c r="AY271" s="40"/>
      <c r="AZ271" s="40"/>
    </row>
    <row r="272" spans="1:52" s="71" customFormat="1" ht="12" thickBot="1" x14ac:dyDescent="0.2">
      <c r="A272" s="37" t="s">
        <v>53</v>
      </c>
      <c r="B272" s="38" t="s">
        <v>437</v>
      </c>
      <c r="C272" s="109" t="str">
        <f>HYPERLINK(Hoofddocument!$H$272,Hoofddocument!$G$272)</f>
        <v>Managing Successful Programmes (MSP®) Foundation</v>
      </c>
      <c r="D272" s="38" t="s">
        <v>166</v>
      </c>
      <c r="E272" s="38" t="s">
        <v>12</v>
      </c>
      <c r="F272" s="38" t="s">
        <v>693</v>
      </c>
      <c r="G272" s="38" t="s">
        <v>692</v>
      </c>
      <c r="H272" s="64" t="s">
        <v>587</v>
      </c>
      <c r="I272" s="41"/>
      <c r="J272" s="39"/>
      <c r="K272" s="39"/>
      <c r="L272" s="40"/>
      <c r="M272" s="40"/>
      <c r="N272" s="40"/>
      <c r="O272" s="40"/>
      <c r="P272" s="40"/>
      <c r="Q272" s="40"/>
      <c r="R272" s="39"/>
      <c r="S272" s="40"/>
      <c r="T272" s="40" t="s">
        <v>97</v>
      </c>
      <c r="U272" s="40"/>
      <c r="V272" s="40"/>
      <c r="W272" s="40"/>
      <c r="X272" s="40"/>
      <c r="Y272" s="40"/>
      <c r="Z272" s="40"/>
      <c r="AA272" s="40"/>
      <c r="AB272" s="40"/>
      <c r="AC272" s="40"/>
      <c r="AD272" s="40"/>
      <c r="AE272" s="40"/>
      <c r="AF272" s="40" t="s">
        <v>97</v>
      </c>
      <c r="AG272" s="40" t="s">
        <v>97</v>
      </c>
      <c r="AH272" s="40"/>
      <c r="AI272" s="40"/>
      <c r="AJ272" s="40"/>
      <c r="AK272" s="40"/>
      <c r="AL272" s="40"/>
      <c r="AM272" s="40"/>
      <c r="AN272" s="40"/>
      <c r="AO272" s="40" t="s">
        <v>97</v>
      </c>
      <c r="AP272" s="40"/>
      <c r="AQ272" s="40"/>
      <c r="AR272" s="40"/>
      <c r="AS272" s="40"/>
      <c r="AT272" s="40"/>
      <c r="AU272" s="40"/>
      <c r="AV272" s="40"/>
      <c r="AW272" s="40"/>
      <c r="AX272" s="40"/>
      <c r="AY272" s="40"/>
      <c r="AZ272" s="40"/>
    </row>
    <row r="273" spans="1:52" s="71" customFormat="1" ht="12" thickBot="1" x14ac:dyDescent="0.2">
      <c r="A273" s="37" t="s">
        <v>53</v>
      </c>
      <c r="B273" s="38" t="s">
        <v>437</v>
      </c>
      <c r="C273" s="109" t="str">
        <f>HYPERLINK(Hoofddocument!$H$273,Hoofddocument!$G$273)</f>
        <v>Managing Successful Programmes (MSP®) Practitioner</v>
      </c>
      <c r="D273" s="38"/>
      <c r="E273" s="38" t="s">
        <v>658</v>
      </c>
      <c r="F273" s="38"/>
      <c r="G273" s="38" t="s">
        <v>844</v>
      </c>
      <c r="H273" s="64" t="s">
        <v>914</v>
      </c>
      <c r="I273" s="41"/>
      <c r="J273" s="39"/>
      <c r="K273" s="39"/>
      <c r="L273" s="40"/>
      <c r="M273" s="40"/>
      <c r="N273" s="40"/>
      <c r="O273" s="40"/>
      <c r="P273" s="40"/>
      <c r="Q273" s="40"/>
      <c r="R273" s="39"/>
      <c r="S273" s="40"/>
      <c r="T273" s="40"/>
      <c r="U273" s="40"/>
      <c r="V273" s="40"/>
      <c r="W273" s="40"/>
      <c r="X273" s="40"/>
      <c r="Y273" s="40"/>
      <c r="Z273" s="40"/>
      <c r="AA273" s="40"/>
      <c r="AB273" s="40"/>
      <c r="AC273" s="40"/>
      <c r="AD273" s="40"/>
      <c r="AE273" s="40"/>
      <c r="AF273" s="40" t="s">
        <v>97</v>
      </c>
      <c r="AG273" s="40"/>
      <c r="AH273" s="40"/>
      <c r="AI273" s="40"/>
      <c r="AJ273" s="40"/>
      <c r="AK273" s="40"/>
      <c r="AL273" s="40"/>
      <c r="AM273" s="40"/>
      <c r="AN273" s="40"/>
      <c r="AO273" s="40"/>
      <c r="AP273" s="40"/>
      <c r="AQ273" s="40"/>
      <c r="AR273" s="40"/>
      <c r="AS273" s="40"/>
      <c r="AT273" s="40"/>
      <c r="AU273" s="40"/>
      <c r="AV273" s="40"/>
      <c r="AW273" s="40"/>
      <c r="AX273" s="40"/>
      <c r="AY273" s="40"/>
      <c r="AZ273" s="40"/>
    </row>
    <row r="274" spans="1:52" s="71" customFormat="1" ht="12" thickBot="1" x14ac:dyDescent="0.2">
      <c r="A274" s="37" t="s">
        <v>53</v>
      </c>
      <c r="B274" s="38" t="s">
        <v>53</v>
      </c>
      <c r="C274" s="109" t="str">
        <f>HYPERLINK(Hoofddocument!$H$274,Hoofddocument!$G$274)</f>
        <v xml:space="preserve">Werken met Business Case </v>
      </c>
      <c r="D274" s="38"/>
      <c r="E274" s="38" t="s">
        <v>658</v>
      </c>
      <c r="F274" s="38"/>
      <c r="G274" s="38" t="s">
        <v>978</v>
      </c>
      <c r="H274" s="64" t="s">
        <v>128</v>
      </c>
      <c r="I274" s="41"/>
      <c r="J274" s="39"/>
      <c r="K274" s="39"/>
      <c r="L274" s="40"/>
      <c r="M274" s="40" t="s">
        <v>97</v>
      </c>
      <c r="N274" s="40" t="s">
        <v>634</v>
      </c>
      <c r="O274" s="40" t="s">
        <v>634</v>
      </c>
      <c r="P274" s="40" t="s">
        <v>97</v>
      </c>
      <c r="Q274" s="40"/>
      <c r="R274" s="39"/>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row>
    <row r="275" spans="1:52" s="71" customFormat="1" ht="12.75" customHeight="1" thickBot="1" x14ac:dyDescent="0.2">
      <c r="A275" s="37" t="s">
        <v>53</v>
      </c>
      <c r="B275" s="38" t="s">
        <v>471</v>
      </c>
      <c r="C275" s="38" t="s">
        <v>979</v>
      </c>
      <c r="D275" s="38"/>
      <c r="E275" s="38" t="s">
        <v>664</v>
      </c>
      <c r="F275" s="38"/>
      <c r="G275" s="38" t="s">
        <v>979</v>
      </c>
      <c r="H275" s="64"/>
      <c r="I275" s="41"/>
      <c r="J275" s="39"/>
      <c r="K275" s="39"/>
      <c r="L275" s="40"/>
      <c r="M275" s="40"/>
      <c r="N275" s="40"/>
      <c r="O275" s="40"/>
      <c r="P275" s="40"/>
      <c r="Q275" s="40"/>
      <c r="R275" s="39"/>
      <c r="S275" s="40"/>
      <c r="T275" s="40"/>
      <c r="U275" s="40" t="s">
        <v>634</v>
      </c>
      <c r="V275" s="40" t="s">
        <v>97</v>
      </c>
      <c r="W275" s="40"/>
      <c r="X275" s="40" t="s">
        <v>97</v>
      </c>
      <c r="Y275" s="40"/>
      <c r="Z275" s="40"/>
      <c r="AA275" s="40"/>
      <c r="AB275" s="40" t="s">
        <v>634</v>
      </c>
      <c r="AC275" s="40"/>
      <c r="AD275" s="40"/>
      <c r="AE275" s="40"/>
      <c r="AF275" s="40" t="s">
        <v>97</v>
      </c>
      <c r="AG275" s="40" t="s">
        <v>97</v>
      </c>
      <c r="AH275" s="40"/>
      <c r="AI275" s="40"/>
      <c r="AJ275" s="40"/>
      <c r="AK275" s="40"/>
      <c r="AL275" s="40"/>
      <c r="AM275" s="40"/>
      <c r="AN275" s="40"/>
      <c r="AO275" s="40" t="s">
        <v>634</v>
      </c>
      <c r="AP275" s="40"/>
      <c r="AQ275" s="40"/>
      <c r="AR275" s="40"/>
      <c r="AS275" s="40"/>
      <c r="AT275" s="40"/>
      <c r="AU275" s="40"/>
      <c r="AV275" s="40"/>
      <c r="AW275" s="40"/>
      <c r="AX275" s="40"/>
      <c r="AY275" s="40"/>
      <c r="AZ275" s="40"/>
    </row>
    <row r="276" spans="1:52" s="71" customFormat="1" ht="12" thickBot="1" x14ac:dyDescent="0.2">
      <c r="A276" s="37" t="s">
        <v>53</v>
      </c>
      <c r="B276" s="38" t="s">
        <v>224</v>
      </c>
      <c r="C276" s="109" t="str">
        <f>HYPERLINK(Hoofddocument!$H$276,Hoofddocument!$G$276)</f>
        <v>ITIL® 4 Specialist: Drive Stakeholder Value</v>
      </c>
      <c r="D276" s="38" t="s">
        <v>166</v>
      </c>
      <c r="E276" s="38" t="s">
        <v>12</v>
      </c>
      <c r="F276" s="38" t="s">
        <v>377</v>
      </c>
      <c r="G276" s="38" t="s">
        <v>378</v>
      </c>
      <c r="H276" s="64" t="s">
        <v>584</v>
      </c>
      <c r="I276" s="41"/>
      <c r="J276" s="39"/>
      <c r="K276" s="39"/>
      <c r="L276" s="40"/>
      <c r="M276" s="40"/>
      <c r="N276" s="40"/>
      <c r="O276" s="40"/>
      <c r="P276" s="40"/>
      <c r="Q276" s="40"/>
      <c r="R276" s="39"/>
      <c r="S276" s="40"/>
      <c r="T276" s="40" t="s">
        <v>634</v>
      </c>
      <c r="U276" s="40" t="s">
        <v>634</v>
      </c>
      <c r="V276" s="40"/>
      <c r="W276" s="40" t="s">
        <v>97</v>
      </c>
      <c r="X276" s="40"/>
      <c r="Y276" s="40"/>
      <c r="Z276" s="40"/>
      <c r="AA276" s="40"/>
      <c r="AB276" s="40"/>
      <c r="AC276" s="40"/>
      <c r="AD276" s="40"/>
      <c r="AE276" s="40"/>
      <c r="AF276" s="40"/>
      <c r="AG276" s="40"/>
      <c r="AH276" s="40"/>
      <c r="AI276" s="40"/>
      <c r="AJ276" s="40"/>
      <c r="AK276" s="40"/>
      <c r="AL276" s="40"/>
      <c r="AM276" s="40"/>
      <c r="AN276" s="40"/>
      <c r="AO276" s="40" t="s">
        <v>634</v>
      </c>
      <c r="AP276" s="40" t="s">
        <v>97</v>
      </c>
      <c r="AQ276" s="40" t="s">
        <v>97</v>
      </c>
      <c r="AR276" s="40" t="s">
        <v>97</v>
      </c>
      <c r="AS276" s="40" t="s">
        <v>97</v>
      </c>
      <c r="AT276" s="40" t="s">
        <v>97</v>
      </c>
      <c r="AU276" s="40" t="s">
        <v>97</v>
      </c>
      <c r="AV276" s="40" t="s">
        <v>97</v>
      </c>
      <c r="AW276" s="40"/>
      <c r="AX276" s="40"/>
      <c r="AY276" s="40"/>
      <c r="AZ276" s="40"/>
    </row>
    <row r="277" spans="1:52" s="71" customFormat="1" ht="12" thickBot="1" x14ac:dyDescent="0.2">
      <c r="A277" s="37" t="s">
        <v>53</v>
      </c>
      <c r="B277" s="38" t="s">
        <v>224</v>
      </c>
      <c r="C277" s="109" t="str">
        <f>HYPERLINK(Hoofddocument!$H$277,Hoofddocument!$G$277)</f>
        <v>Stakeholdermanagement</v>
      </c>
      <c r="D277" s="38" t="s">
        <v>166</v>
      </c>
      <c r="E277" s="38" t="s">
        <v>12</v>
      </c>
      <c r="F277" s="38" t="s">
        <v>696</v>
      </c>
      <c r="G277" s="38" t="s">
        <v>224</v>
      </c>
      <c r="H277" s="64" t="s">
        <v>497</v>
      </c>
      <c r="I277" s="41" t="s">
        <v>97</v>
      </c>
      <c r="J277" s="39" t="s">
        <v>97</v>
      </c>
      <c r="K277" s="39"/>
      <c r="L277" s="40"/>
      <c r="M277" s="40"/>
      <c r="N277" s="40"/>
      <c r="O277" s="40"/>
      <c r="P277" s="40"/>
      <c r="Q277" s="40"/>
      <c r="R277" s="39"/>
      <c r="S277" s="40"/>
      <c r="T277" s="40" t="s">
        <v>97</v>
      </c>
      <c r="U277" s="40"/>
      <c r="V277" s="40"/>
      <c r="W277" s="40"/>
      <c r="X277" s="40" t="s">
        <v>97</v>
      </c>
      <c r="Y277" s="40" t="s">
        <v>634</v>
      </c>
      <c r="Z277" s="40" t="s">
        <v>634</v>
      </c>
      <c r="AA277" s="40" t="s">
        <v>634</v>
      </c>
      <c r="AB277" s="40"/>
      <c r="AC277" s="40"/>
      <c r="AD277" s="40" t="s">
        <v>97</v>
      </c>
      <c r="AE277" s="40" t="s">
        <v>97</v>
      </c>
      <c r="AF277" s="40" t="s">
        <v>97</v>
      </c>
      <c r="AG277" s="40" t="s">
        <v>97</v>
      </c>
      <c r="AH277" s="40" t="s">
        <v>97</v>
      </c>
      <c r="AI277" s="40" t="s">
        <v>97</v>
      </c>
      <c r="AJ277" s="40"/>
      <c r="AK277" s="40"/>
      <c r="AL277" s="40" t="s">
        <v>97</v>
      </c>
      <c r="AM277" s="40"/>
      <c r="AN277" s="40"/>
      <c r="AO277" s="40"/>
      <c r="AP277" s="40"/>
      <c r="AQ277" s="40"/>
      <c r="AR277" s="40"/>
      <c r="AS277" s="40"/>
      <c r="AT277" s="40"/>
      <c r="AU277" s="40"/>
      <c r="AV277" s="40"/>
      <c r="AW277" s="40"/>
      <c r="AX277" s="40"/>
      <c r="AY277" s="40"/>
      <c r="AZ277" s="40"/>
    </row>
    <row r="278" spans="1:52" s="71" customFormat="1" ht="12" thickBot="1" x14ac:dyDescent="0.2">
      <c r="A278" s="37" t="s">
        <v>53</v>
      </c>
      <c r="B278" s="38" t="s">
        <v>224</v>
      </c>
      <c r="C278" s="109" t="str">
        <f>HYPERLINK(Hoofddocument!$H$278,Hoofddocument!$G$278)</f>
        <v>Effectief Regie Voeren</v>
      </c>
      <c r="D278" s="38" t="s">
        <v>166</v>
      </c>
      <c r="E278" s="38" t="s">
        <v>12</v>
      </c>
      <c r="F278" s="38" t="s">
        <v>778</v>
      </c>
      <c r="G278" s="38" t="s">
        <v>168</v>
      </c>
      <c r="H278" s="64" t="s">
        <v>520</v>
      </c>
      <c r="I278" s="41"/>
      <c r="J278" s="39"/>
      <c r="K278" s="39"/>
      <c r="L278" s="40"/>
      <c r="M278" s="40"/>
      <c r="N278" s="40"/>
      <c r="O278" s="40"/>
      <c r="P278" s="40"/>
      <c r="Q278" s="40"/>
      <c r="R278" s="39"/>
      <c r="S278" s="40"/>
      <c r="T278" s="40"/>
      <c r="U278" s="40"/>
      <c r="V278" s="40"/>
      <c r="W278" s="40"/>
      <c r="X278" s="40"/>
      <c r="Y278" s="40"/>
      <c r="Z278" s="40"/>
      <c r="AA278" s="40"/>
      <c r="AB278" s="40"/>
      <c r="AC278" s="40"/>
      <c r="AD278" s="40"/>
      <c r="AE278" s="40"/>
      <c r="AF278" s="40"/>
      <c r="AG278" s="40"/>
      <c r="AH278" s="40" t="s">
        <v>634</v>
      </c>
      <c r="AI278" s="40" t="s">
        <v>634</v>
      </c>
      <c r="AJ278" s="40"/>
      <c r="AK278" s="40"/>
      <c r="AL278" s="40"/>
      <c r="AM278" s="40"/>
      <c r="AN278" s="40"/>
      <c r="AO278" s="40"/>
      <c r="AP278" s="40"/>
      <c r="AQ278" s="40"/>
      <c r="AR278" s="40"/>
      <c r="AS278" s="40"/>
      <c r="AT278" s="40"/>
      <c r="AU278" s="40"/>
      <c r="AV278" s="40"/>
      <c r="AW278" s="40"/>
      <c r="AX278" s="40"/>
      <c r="AY278" s="40"/>
      <c r="AZ278" s="40"/>
    </row>
    <row r="279" spans="1:52" s="71" customFormat="1" ht="12" thickBot="1" x14ac:dyDescent="0.2">
      <c r="A279" s="37" t="s">
        <v>53</v>
      </c>
      <c r="B279" s="38" t="s">
        <v>241</v>
      </c>
      <c r="C279" s="109" t="str">
        <f>HYPERLINK(Hoofddocument!$H$279,Hoofddocument!$G$279)</f>
        <v>Timemanagement Training</v>
      </c>
      <c r="D279" s="38" t="s">
        <v>166</v>
      </c>
      <c r="E279" s="38" t="s">
        <v>12</v>
      </c>
      <c r="F279" s="38" t="s">
        <v>182</v>
      </c>
      <c r="G279" s="38" t="s">
        <v>183</v>
      </c>
      <c r="H279" s="64" t="s">
        <v>523</v>
      </c>
      <c r="I279" s="41" t="s">
        <v>97</v>
      </c>
      <c r="J279" s="39"/>
      <c r="K279" s="39"/>
      <c r="L279" s="40"/>
      <c r="M279" s="40"/>
      <c r="N279" s="40"/>
      <c r="O279" s="40"/>
      <c r="P279" s="40"/>
      <c r="Q279" s="40"/>
      <c r="R279" s="39"/>
      <c r="S279" s="40"/>
      <c r="T279" s="40"/>
      <c r="U279" s="40"/>
      <c r="V279" s="40"/>
      <c r="W279" s="40"/>
      <c r="X279" s="40"/>
      <c r="Y279" s="40"/>
      <c r="Z279" s="40"/>
      <c r="AA279" s="40"/>
      <c r="AB279" s="40" t="s">
        <v>634</v>
      </c>
      <c r="AC279" s="40"/>
      <c r="AD279" s="40"/>
      <c r="AE279" s="40"/>
      <c r="AF279" s="40" t="s">
        <v>97</v>
      </c>
      <c r="AG279" s="40"/>
      <c r="AH279" s="40"/>
      <c r="AI279" s="40"/>
      <c r="AJ279" s="40"/>
      <c r="AK279" s="40"/>
      <c r="AL279" s="40"/>
      <c r="AM279" s="40"/>
      <c r="AN279" s="40"/>
      <c r="AO279" s="40"/>
      <c r="AP279" s="40"/>
      <c r="AQ279" s="40"/>
      <c r="AR279" s="40"/>
      <c r="AS279" s="40"/>
      <c r="AT279" s="40"/>
      <c r="AU279" s="40"/>
      <c r="AV279" s="40"/>
      <c r="AW279" s="40"/>
      <c r="AX279" s="40"/>
      <c r="AY279" s="40"/>
      <c r="AZ279" s="40"/>
    </row>
    <row r="280" spans="1:52" s="71" customFormat="1" ht="12" thickBot="1" x14ac:dyDescent="0.2">
      <c r="A280" s="37" t="s">
        <v>60</v>
      </c>
      <c r="B280" s="38" t="s">
        <v>495</v>
      </c>
      <c r="C280" s="109" t="str">
        <f>HYPERLINK(Hoofddocument!$H$280,Hoofddocument!$G$280)</f>
        <v>Cursus Change management Foundation</v>
      </c>
      <c r="D280" s="38"/>
      <c r="E280" s="38" t="s">
        <v>207</v>
      </c>
      <c r="F280" s="38"/>
      <c r="G280" s="38" t="s">
        <v>496</v>
      </c>
      <c r="H280" s="64" t="s">
        <v>608</v>
      </c>
      <c r="I280" s="41"/>
      <c r="J280" s="39"/>
      <c r="K280" s="39"/>
      <c r="L280" s="40"/>
      <c r="M280" s="40"/>
      <c r="N280" s="40"/>
      <c r="O280" s="40"/>
      <c r="P280" s="40"/>
      <c r="Q280" s="40"/>
      <c r="R280" s="39"/>
      <c r="S280" s="40"/>
      <c r="T280" s="40"/>
      <c r="U280" s="40"/>
      <c r="V280" s="40" t="s">
        <v>97</v>
      </c>
      <c r="W280" s="40"/>
      <c r="X280" s="40"/>
      <c r="Y280" s="40"/>
      <c r="Z280" s="40"/>
      <c r="AA280" s="40"/>
      <c r="AB280" s="40"/>
      <c r="AC280" s="40"/>
      <c r="AD280" s="40"/>
      <c r="AE280" s="40"/>
      <c r="AF280" s="40"/>
      <c r="AG280" s="40"/>
      <c r="AH280" s="40"/>
      <c r="AI280" s="40"/>
      <c r="AJ280" s="40"/>
      <c r="AK280" s="40"/>
      <c r="AL280" s="40"/>
      <c r="AM280" s="40"/>
      <c r="AN280" s="40"/>
      <c r="AO280" s="40"/>
      <c r="AP280" s="40"/>
      <c r="AQ280" s="40"/>
      <c r="AR280" s="40"/>
      <c r="AS280" s="40"/>
      <c r="AT280" s="40"/>
      <c r="AU280" s="40"/>
      <c r="AV280" s="40"/>
      <c r="AW280" s="40"/>
      <c r="AX280" s="40"/>
      <c r="AY280" s="40"/>
      <c r="AZ280" s="40"/>
    </row>
    <row r="281" spans="1:52" s="71" customFormat="1" ht="12" thickBot="1" x14ac:dyDescent="0.2">
      <c r="A281" s="37" t="s">
        <v>736</v>
      </c>
      <c r="B281" s="44" t="s">
        <v>737</v>
      </c>
      <c r="C281" s="38" t="s">
        <v>737</v>
      </c>
      <c r="D281" s="38"/>
      <c r="E281" s="38" t="s">
        <v>779</v>
      </c>
      <c r="F281" s="44"/>
      <c r="G281" s="38" t="s">
        <v>737</v>
      </c>
      <c r="H281" s="64"/>
      <c r="I281" s="41"/>
      <c r="J281" s="39"/>
      <c r="K281" s="39"/>
      <c r="L281" s="40"/>
      <c r="M281" s="40"/>
      <c r="N281" s="40"/>
      <c r="O281" s="40"/>
      <c r="P281" s="40"/>
      <c r="Q281" s="40"/>
      <c r="R281" s="39"/>
      <c r="S281" s="40"/>
      <c r="T281" s="40"/>
      <c r="U281" s="40"/>
      <c r="V281" s="40"/>
      <c r="W281" s="40"/>
      <c r="X281" s="40"/>
      <c r="Y281" s="40"/>
      <c r="Z281" s="40"/>
      <c r="AA281" s="40"/>
      <c r="AB281" s="40"/>
      <c r="AC281" s="40"/>
      <c r="AD281" s="40"/>
      <c r="AE281" s="40"/>
      <c r="AF281" s="40"/>
      <c r="AG281" s="40"/>
      <c r="AH281" s="40"/>
      <c r="AI281" s="40"/>
      <c r="AJ281" s="40" t="s">
        <v>97</v>
      </c>
      <c r="AK281" s="40"/>
      <c r="AL281" s="40"/>
      <c r="AM281" s="40"/>
      <c r="AN281" s="40"/>
      <c r="AO281" s="40"/>
      <c r="AP281" s="40"/>
      <c r="AQ281" s="40"/>
      <c r="AR281" s="40"/>
      <c r="AS281" s="40"/>
      <c r="AT281" s="40"/>
      <c r="AU281" s="40"/>
      <c r="AV281" s="40"/>
      <c r="AW281" s="40"/>
      <c r="AX281" s="40"/>
      <c r="AY281" s="40"/>
      <c r="AZ281" s="40"/>
    </row>
    <row r="282" spans="1:52" s="71" customFormat="1" ht="12" thickBot="1" x14ac:dyDescent="0.2">
      <c r="A282" s="37" t="s">
        <v>736</v>
      </c>
      <c r="B282" s="44" t="s">
        <v>738</v>
      </c>
      <c r="C282" s="38" t="s">
        <v>845</v>
      </c>
      <c r="D282" s="38"/>
      <c r="E282" s="38" t="s">
        <v>780</v>
      </c>
      <c r="F282" s="44"/>
      <c r="G282" s="38" t="s">
        <v>845</v>
      </c>
      <c r="H282" s="64"/>
      <c r="I282" s="41"/>
      <c r="J282" s="39"/>
      <c r="K282" s="39"/>
      <c r="L282" s="40"/>
      <c r="M282" s="40"/>
      <c r="N282" s="40"/>
      <c r="O282" s="40"/>
      <c r="P282" s="40"/>
      <c r="Q282" s="40"/>
      <c r="R282" s="39"/>
      <c r="S282" s="40"/>
      <c r="T282" s="40"/>
      <c r="U282" s="40"/>
      <c r="V282" s="40"/>
      <c r="W282" s="40"/>
      <c r="X282" s="40"/>
      <c r="Y282" s="40"/>
      <c r="Z282" s="40"/>
      <c r="AA282" s="40"/>
      <c r="AB282" s="40"/>
      <c r="AC282" s="40"/>
      <c r="AD282" s="40"/>
      <c r="AE282" s="40"/>
      <c r="AF282" s="40"/>
      <c r="AG282" s="40"/>
      <c r="AH282" s="40"/>
      <c r="AI282" s="40"/>
      <c r="AJ282" s="40" t="s">
        <v>97</v>
      </c>
      <c r="AK282" s="40" t="s">
        <v>97</v>
      </c>
      <c r="AL282" s="40"/>
      <c r="AM282" s="40"/>
      <c r="AN282" s="40"/>
      <c r="AO282" s="40"/>
      <c r="AP282" s="40"/>
      <c r="AQ282" s="40"/>
      <c r="AR282" s="40"/>
      <c r="AS282" s="40"/>
      <c r="AT282" s="40"/>
      <c r="AU282" s="40"/>
      <c r="AV282" s="40" t="s">
        <v>634</v>
      </c>
      <c r="AW282" s="40"/>
      <c r="AX282" s="40"/>
      <c r="AY282" s="40"/>
      <c r="AZ282" s="40"/>
    </row>
    <row r="283" spans="1:52" s="71" customFormat="1" ht="12" thickBot="1" x14ac:dyDescent="0.2">
      <c r="A283" s="37" t="s">
        <v>736</v>
      </c>
      <c r="B283" s="38" t="s">
        <v>739</v>
      </c>
      <c r="C283" s="38" t="s">
        <v>846</v>
      </c>
      <c r="D283" s="38"/>
      <c r="E283" s="38" t="s">
        <v>781</v>
      </c>
      <c r="F283" s="38"/>
      <c r="G283" s="38" t="s">
        <v>846</v>
      </c>
      <c r="H283" s="64"/>
      <c r="I283" s="41"/>
      <c r="J283" s="39"/>
      <c r="K283" s="39"/>
      <c r="L283" s="40"/>
      <c r="M283" s="40"/>
      <c r="N283" s="40"/>
      <c r="O283" s="40"/>
      <c r="P283" s="40"/>
      <c r="Q283" s="40"/>
      <c r="R283" s="39"/>
      <c r="S283" s="40"/>
      <c r="T283" s="40"/>
      <c r="U283" s="40"/>
      <c r="V283" s="40"/>
      <c r="W283" s="40"/>
      <c r="X283" s="40"/>
      <c r="Y283" s="40"/>
      <c r="Z283" s="40"/>
      <c r="AA283" s="40"/>
      <c r="AB283" s="40"/>
      <c r="AC283" s="40"/>
      <c r="AD283" s="40"/>
      <c r="AE283" s="40"/>
      <c r="AF283" s="40"/>
      <c r="AG283" s="40"/>
      <c r="AH283" s="40"/>
      <c r="AI283" s="40"/>
      <c r="AJ283" s="40" t="s">
        <v>97</v>
      </c>
      <c r="AK283" s="40"/>
      <c r="AL283" s="40"/>
      <c r="AM283" s="40"/>
      <c r="AN283" s="40"/>
      <c r="AO283" s="40"/>
      <c r="AP283" s="40"/>
      <c r="AQ283" s="40"/>
      <c r="AR283" s="40"/>
      <c r="AS283" s="40"/>
      <c r="AT283" s="40"/>
      <c r="AU283" s="40"/>
      <c r="AV283" s="40"/>
      <c r="AW283" s="40"/>
      <c r="AX283" s="40"/>
      <c r="AY283" s="40"/>
      <c r="AZ283" s="40"/>
    </row>
    <row r="284" spans="1:52" s="71" customFormat="1" ht="12" thickBot="1" x14ac:dyDescent="0.2">
      <c r="A284" s="37" t="s">
        <v>736</v>
      </c>
      <c r="B284" s="38" t="s">
        <v>740</v>
      </c>
      <c r="C284" s="38" t="s">
        <v>847</v>
      </c>
      <c r="D284" s="38"/>
      <c r="E284" s="38" t="s">
        <v>782</v>
      </c>
      <c r="F284" s="38"/>
      <c r="G284" s="38" t="s">
        <v>847</v>
      </c>
      <c r="H284" s="65"/>
      <c r="I284" s="41"/>
      <c r="J284" s="39"/>
      <c r="K284" s="39"/>
      <c r="L284" s="40"/>
      <c r="M284" s="40"/>
      <c r="N284" s="40"/>
      <c r="O284" s="40"/>
      <c r="P284" s="40"/>
      <c r="Q284" s="40"/>
      <c r="R284" s="39"/>
      <c r="S284" s="40"/>
      <c r="T284" s="40"/>
      <c r="U284" s="40"/>
      <c r="V284" s="40"/>
      <c r="W284" s="40"/>
      <c r="X284" s="40"/>
      <c r="Y284" s="40"/>
      <c r="Z284" s="40"/>
      <c r="AA284" s="40"/>
      <c r="AB284" s="40"/>
      <c r="AC284" s="40"/>
      <c r="AD284" s="40"/>
      <c r="AE284" s="40"/>
      <c r="AF284" s="40"/>
      <c r="AG284" s="40"/>
      <c r="AH284" s="40"/>
      <c r="AI284" s="40"/>
      <c r="AJ284" s="40" t="s">
        <v>97</v>
      </c>
      <c r="AK284" s="40"/>
      <c r="AL284" s="40"/>
      <c r="AM284" s="40"/>
      <c r="AN284" s="40"/>
      <c r="AO284" s="40"/>
      <c r="AP284" s="40"/>
      <c r="AQ284" s="40"/>
      <c r="AR284" s="40"/>
      <c r="AS284" s="40"/>
      <c r="AT284" s="40"/>
      <c r="AU284" s="40"/>
      <c r="AV284" s="40"/>
      <c r="AW284" s="40"/>
      <c r="AX284" s="40"/>
      <c r="AY284" s="40"/>
      <c r="AZ284" s="40"/>
    </row>
    <row r="285" spans="1:52" s="71" customFormat="1" ht="12" thickBot="1" x14ac:dyDescent="0.2">
      <c r="A285" s="37" t="s">
        <v>736</v>
      </c>
      <c r="B285" s="38" t="s">
        <v>741</v>
      </c>
      <c r="C285" s="38" t="s">
        <v>741</v>
      </c>
      <c r="D285" s="38"/>
      <c r="E285" s="38" t="s">
        <v>779</v>
      </c>
      <c r="F285" s="38"/>
      <c r="G285" s="38" t="s">
        <v>741</v>
      </c>
      <c r="H285" s="64"/>
      <c r="I285" s="41"/>
      <c r="J285" s="39"/>
      <c r="K285" s="39"/>
      <c r="L285" s="40"/>
      <c r="M285" s="40"/>
      <c r="N285" s="40"/>
      <c r="O285" s="40"/>
      <c r="P285" s="40"/>
      <c r="Q285" s="40"/>
      <c r="R285" s="39"/>
      <c r="S285" s="40"/>
      <c r="T285" s="40"/>
      <c r="U285" s="40"/>
      <c r="V285" s="40"/>
      <c r="W285" s="40"/>
      <c r="X285" s="40"/>
      <c r="Y285" s="40"/>
      <c r="Z285" s="40"/>
      <c r="AA285" s="40"/>
      <c r="AB285" s="40"/>
      <c r="AC285" s="40"/>
      <c r="AD285" s="40"/>
      <c r="AE285" s="40"/>
      <c r="AF285" s="40"/>
      <c r="AG285" s="40"/>
      <c r="AH285" s="40"/>
      <c r="AI285" s="40"/>
      <c r="AJ285" s="40" t="s">
        <v>97</v>
      </c>
      <c r="AK285" s="40"/>
      <c r="AL285" s="40"/>
      <c r="AM285" s="40"/>
      <c r="AN285" s="40"/>
      <c r="AO285" s="40"/>
      <c r="AP285" s="40"/>
      <c r="AQ285" s="40"/>
      <c r="AR285" s="40"/>
      <c r="AS285" s="40"/>
      <c r="AT285" s="40"/>
      <c r="AU285" s="40"/>
      <c r="AV285" s="40"/>
      <c r="AW285" s="40"/>
      <c r="AX285" s="40"/>
      <c r="AY285" s="40"/>
      <c r="AZ285" s="40"/>
    </row>
    <row r="286" spans="1:52" s="71" customFormat="1" ht="12" thickBot="1" x14ac:dyDescent="0.2">
      <c r="A286" s="37" t="s">
        <v>61</v>
      </c>
      <c r="B286" s="38" t="s">
        <v>742</v>
      </c>
      <c r="C286" s="38" t="s">
        <v>742</v>
      </c>
      <c r="D286" s="38"/>
      <c r="E286" s="38" t="s">
        <v>759</v>
      </c>
      <c r="F286" s="38"/>
      <c r="G286" s="38" t="s">
        <v>742</v>
      </c>
      <c r="H286" s="55"/>
      <c r="I286" s="41"/>
      <c r="J286" s="39"/>
      <c r="K286" s="39"/>
      <c r="L286" s="40"/>
      <c r="M286" s="40"/>
      <c r="N286" s="40"/>
      <c r="O286" s="40"/>
      <c r="P286" s="40"/>
      <c r="Q286" s="40"/>
      <c r="R286" s="39"/>
      <c r="S286" s="40"/>
      <c r="T286" s="40"/>
      <c r="U286" s="40"/>
      <c r="V286" s="40"/>
      <c r="W286" s="40"/>
      <c r="X286" s="40"/>
      <c r="Y286" s="40"/>
      <c r="Z286" s="40"/>
      <c r="AA286" s="40"/>
      <c r="AB286" s="40"/>
      <c r="AC286" s="40"/>
      <c r="AD286" s="40"/>
      <c r="AE286" s="40"/>
      <c r="AF286" s="40"/>
      <c r="AG286" s="40"/>
      <c r="AH286" s="40"/>
      <c r="AI286" s="40"/>
      <c r="AJ286" s="40"/>
      <c r="AK286" s="40"/>
      <c r="AL286" s="40"/>
      <c r="AM286" s="40" t="s">
        <v>97</v>
      </c>
      <c r="AN286" s="40"/>
      <c r="AO286" s="40"/>
      <c r="AP286" s="40"/>
      <c r="AQ286" s="40"/>
      <c r="AR286" s="40"/>
      <c r="AS286" s="40"/>
      <c r="AT286" s="40"/>
      <c r="AU286" s="40"/>
      <c r="AV286" s="40"/>
      <c r="AW286" s="40"/>
      <c r="AX286" s="40"/>
      <c r="AY286" s="40"/>
      <c r="AZ286" s="40"/>
    </row>
    <row r="287" spans="1:52" s="71" customFormat="1" ht="12" thickBot="1" x14ac:dyDescent="0.2">
      <c r="A287" s="37" t="s">
        <v>61</v>
      </c>
      <c r="B287" s="38" t="s">
        <v>285</v>
      </c>
      <c r="C287" s="109" t="str">
        <f>HYPERLINK(Hoofddocument!$H$287,Hoofddocument!$G$287)</f>
        <v>ITIL® 4 Specialist: High-Velocity IT Training</v>
      </c>
      <c r="D287" s="38"/>
      <c r="E287" s="38" t="s">
        <v>207</v>
      </c>
      <c r="F287" s="38"/>
      <c r="G287" s="38" t="s">
        <v>507</v>
      </c>
      <c r="H287" s="64" t="s">
        <v>630</v>
      </c>
      <c r="I287" s="41"/>
      <c r="J287" s="39"/>
      <c r="K287" s="39"/>
      <c r="L287" s="40"/>
      <c r="M287" s="40"/>
      <c r="N287" s="40"/>
      <c r="O287" s="40"/>
      <c r="P287" s="40"/>
      <c r="Q287" s="40"/>
      <c r="R287" s="39"/>
      <c r="S287" s="40"/>
      <c r="T287" s="40"/>
      <c r="U287" s="40"/>
      <c r="V287" s="40"/>
      <c r="W287" s="40" t="s">
        <v>97</v>
      </c>
      <c r="X287" s="40"/>
      <c r="Y287" s="40"/>
      <c r="Z287" s="40"/>
      <c r="AA287" s="40"/>
      <c r="AB287" s="40"/>
      <c r="AC287" s="40"/>
      <c r="AD287" s="40"/>
      <c r="AE287" s="40"/>
      <c r="AF287" s="40"/>
      <c r="AG287" s="40"/>
      <c r="AH287" s="40"/>
      <c r="AI287" s="40"/>
      <c r="AJ287" s="40"/>
      <c r="AK287" s="40"/>
      <c r="AL287" s="40"/>
      <c r="AM287" s="40"/>
      <c r="AN287" s="40"/>
      <c r="AO287" s="40"/>
      <c r="AP287" s="40" t="s">
        <v>97</v>
      </c>
      <c r="AQ287" s="40" t="s">
        <v>97</v>
      </c>
      <c r="AR287" s="40" t="s">
        <v>97</v>
      </c>
      <c r="AS287" s="40" t="s">
        <v>97</v>
      </c>
      <c r="AT287" s="40" t="s">
        <v>97</v>
      </c>
      <c r="AU287" s="40" t="s">
        <v>97</v>
      </c>
      <c r="AV287" s="40" t="s">
        <v>97</v>
      </c>
      <c r="AW287" s="40"/>
      <c r="AX287" s="40"/>
      <c r="AY287" s="40"/>
      <c r="AZ287" s="40"/>
    </row>
    <row r="288" spans="1:52" s="71" customFormat="1" ht="12" thickBot="1" x14ac:dyDescent="0.2">
      <c r="A288" s="37" t="s">
        <v>61</v>
      </c>
      <c r="B288" s="38" t="s">
        <v>285</v>
      </c>
      <c r="C288" s="109" t="str">
        <f>HYPERLINK(Hoofddocument!$H$288,Hoofddocument!$G$288)</f>
        <v>ITIL® 4 Specialist: Create, Deliver, and Support CDS Course</v>
      </c>
      <c r="D288" s="38"/>
      <c r="E288" s="38" t="s">
        <v>207</v>
      </c>
      <c r="F288" s="38"/>
      <c r="G288" s="38" t="s">
        <v>508</v>
      </c>
      <c r="H288" s="55" t="s">
        <v>631</v>
      </c>
      <c r="I288" s="41"/>
      <c r="J288" s="39"/>
      <c r="K288" s="39"/>
      <c r="L288" s="40"/>
      <c r="M288" s="40"/>
      <c r="N288" s="40"/>
      <c r="O288" s="40"/>
      <c r="P288" s="40"/>
      <c r="Q288" s="40"/>
      <c r="R288" s="39"/>
      <c r="S288" s="40"/>
      <c r="T288" s="40"/>
      <c r="U288" s="40"/>
      <c r="V288" s="40"/>
      <c r="W288" s="40" t="s">
        <v>97</v>
      </c>
      <c r="X288" s="40"/>
      <c r="Y288" s="40"/>
      <c r="Z288" s="40"/>
      <c r="AA288" s="40"/>
      <c r="AB288" s="40"/>
      <c r="AC288" s="40"/>
      <c r="AD288" s="40"/>
      <c r="AE288" s="40"/>
      <c r="AF288" s="40"/>
      <c r="AG288" s="40"/>
      <c r="AH288" s="40"/>
      <c r="AI288" s="40"/>
      <c r="AJ288" s="40"/>
      <c r="AK288" s="40"/>
      <c r="AL288" s="40"/>
      <c r="AM288" s="40"/>
      <c r="AN288" s="40"/>
      <c r="AO288" s="40"/>
      <c r="AP288" s="40" t="s">
        <v>634</v>
      </c>
      <c r="AQ288" s="40" t="s">
        <v>634</v>
      </c>
      <c r="AR288" s="40" t="s">
        <v>634</v>
      </c>
      <c r="AS288" s="40" t="s">
        <v>634</v>
      </c>
      <c r="AT288" s="40" t="s">
        <v>634</v>
      </c>
      <c r="AU288" s="40" t="s">
        <v>634</v>
      </c>
      <c r="AV288" s="40" t="s">
        <v>634</v>
      </c>
      <c r="AW288" s="40"/>
      <c r="AX288" s="40"/>
      <c r="AY288" s="40"/>
      <c r="AZ288" s="40"/>
    </row>
    <row r="289" spans="1:52" s="71" customFormat="1" ht="12" thickBot="1" x14ac:dyDescent="0.2">
      <c r="A289" s="37" t="s">
        <v>61</v>
      </c>
      <c r="B289" s="38" t="s">
        <v>285</v>
      </c>
      <c r="C289" s="109" t="str">
        <f>HYPERLINK(Hoofddocument!$H$289,Hoofddocument!$G$289)</f>
        <v>HBO Module Procesmanagement</v>
      </c>
      <c r="D289" s="38" t="s">
        <v>166</v>
      </c>
      <c r="E289" s="38" t="s">
        <v>12</v>
      </c>
      <c r="F289" s="38" t="s">
        <v>783</v>
      </c>
      <c r="G289" s="38" t="s">
        <v>848</v>
      </c>
      <c r="H289" s="49" t="s">
        <v>916</v>
      </c>
      <c r="I289" s="41"/>
      <c r="J289" s="39"/>
      <c r="K289" s="39"/>
      <c r="L289" s="40"/>
      <c r="M289" s="40"/>
      <c r="N289" s="40"/>
      <c r="O289" s="40"/>
      <c r="P289" s="40"/>
      <c r="Q289" s="40"/>
      <c r="R289" s="39"/>
      <c r="S289" s="40"/>
      <c r="T289" s="40"/>
      <c r="U289" s="40"/>
      <c r="V289" s="40"/>
      <c r="W289" s="40"/>
      <c r="X289" s="40"/>
      <c r="Y289" s="40"/>
      <c r="Z289" s="40"/>
      <c r="AA289" s="40"/>
      <c r="AB289" s="40"/>
      <c r="AC289" s="40" t="s">
        <v>97</v>
      </c>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row>
    <row r="290" spans="1:52" s="71" customFormat="1" ht="12" thickBot="1" x14ac:dyDescent="0.2">
      <c r="A290" s="37" t="s">
        <v>61</v>
      </c>
      <c r="B290" s="38" t="s">
        <v>743</v>
      </c>
      <c r="C290" s="38" t="s">
        <v>849</v>
      </c>
      <c r="D290" s="38"/>
      <c r="E290" s="38" t="s">
        <v>782</v>
      </c>
      <c r="F290" s="38"/>
      <c r="G290" s="38" t="s">
        <v>849</v>
      </c>
      <c r="H290" s="55"/>
      <c r="I290" s="41"/>
      <c r="J290" s="39"/>
      <c r="K290" s="39"/>
      <c r="L290" s="40"/>
      <c r="M290" s="40"/>
      <c r="N290" s="40"/>
      <c r="O290" s="40"/>
      <c r="P290" s="40"/>
      <c r="Q290" s="40"/>
      <c r="R290" s="39"/>
      <c r="S290" s="40"/>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c r="AQ290" s="40"/>
      <c r="AR290" s="40"/>
      <c r="AS290" s="40" t="s">
        <v>634</v>
      </c>
      <c r="AT290" s="40"/>
      <c r="AU290" s="40"/>
      <c r="AV290" s="40"/>
      <c r="AW290" s="40"/>
      <c r="AX290" s="40"/>
      <c r="AY290" s="40"/>
      <c r="AZ290" s="40"/>
    </row>
    <row r="291" spans="1:52" s="71" customFormat="1" ht="12" thickBot="1" x14ac:dyDescent="0.2">
      <c r="A291" s="37" t="s">
        <v>61</v>
      </c>
      <c r="B291" s="38" t="s">
        <v>143</v>
      </c>
      <c r="C291" s="109" t="str">
        <f>HYPERLINK(Hoofddocument!$H$291,Hoofddocument!$G$291)</f>
        <v>COBIT 2019 Foundation</v>
      </c>
      <c r="D291" s="38"/>
      <c r="E291" s="38" t="s">
        <v>207</v>
      </c>
      <c r="F291" s="38"/>
      <c r="G291" s="38" t="s">
        <v>509</v>
      </c>
      <c r="H291" s="64" t="s">
        <v>571</v>
      </c>
      <c r="I291" s="41"/>
      <c r="J291" s="39"/>
      <c r="K291" s="39"/>
      <c r="L291" s="40"/>
      <c r="M291" s="40"/>
      <c r="N291" s="40"/>
      <c r="O291" s="40"/>
      <c r="P291" s="40"/>
      <c r="Q291" s="40"/>
      <c r="R291" s="39"/>
      <c r="S291" s="40"/>
      <c r="T291" s="40"/>
      <c r="U291" s="40"/>
      <c r="V291" s="40"/>
      <c r="W291" s="40" t="s">
        <v>97</v>
      </c>
      <c r="X291" s="40"/>
      <c r="Y291" s="40"/>
      <c r="Z291" s="40"/>
      <c r="AA291" s="40"/>
      <c r="AB291" s="40"/>
      <c r="AC291" s="40"/>
      <c r="AD291" s="40"/>
      <c r="AE291" s="40"/>
      <c r="AF291" s="40"/>
      <c r="AG291" s="40"/>
      <c r="AH291" s="40"/>
      <c r="AI291" s="40"/>
      <c r="AJ291" s="40"/>
      <c r="AK291" s="40"/>
      <c r="AL291" s="40"/>
      <c r="AM291" s="40"/>
      <c r="AN291" s="40"/>
      <c r="AO291" s="40"/>
      <c r="AP291" s="40" t="s">
        <v>97</v>
      </c>
      <c r="AQ291" s="40" t="s">
        <v>97</v>
      </c>
      <c r="AR291" s="40" t="s">
        <v>97</v>
      </c>
      <c r="AS291" s="40" t="s">
        <v>97</v>
      </c>
      <c r="AT291" s="40" t="s">
        <v>97</v>
      </c>
      <c r="AU291" s="40" t="s">
        <v>97</v>
      </c>
      <c r="AV291" s="40" t="s">
        <v>97</v>
      </c>
      <c r="AW291" s="40"/>
      <c r="AX291" s="40"/>
      <c r="AY291" s="40"/>
      <c r="AZ291" s="40"/>
    </row>
    <row r="292" spans="1:52" s="71" customFormat="1" ht="12" thickBot="1" x14ac:dyDescent="0.2">
      <c r="A292" s="37" t="s">
        <v>61</v>
      </c>
      <c r="B292" s="38" t="s">
        <v>62</v>
      </c>
      <c r="C292" s="109" t="str">
        <f>HYPERLINK(Hoofddocument!$H$292,Hoofddocument!$G$292)</f>
        <v>DevOps Fundamentals</v>
      </c>
      <c r="D292" s="38" t="s">
        <v>166</v>
      </c>
      <c r="E292" s="38" t="s">
        <v>12</v>
      </c>
      <c r="F292" s="38" t="s">
        <v>64</v>
      </c>
      <c r="G292" s="38" t="s">
        <v>63</v>
      </c>
      <c r="H292" s="64" t="s">
        <v>546</v>
      </c>
      <c r="I292" s="41" t="s">
        <v>97</v>
      </c>
      <c r="J292" s="39" t="s">
        <v>97</v>
      </c>
      <c r="K292" s="39"/>
      <c r="L292" s="40" t="s">
        <v>97</v>
      </c>
      <c r="M292" s="40"/>
      <c r="N292" s="40"/>
      <c r="O292" s="40"/>
      <c r="P292" s="40"/>
      <c r="Q292" s="40"/>
      <c r="R292" s="39" t="s">
        <v>97</v>
      </c>
      <c r="S292" s="40"/>
      <c r="T292" s="40"/>
      <c r="U292" s="40"/>
      <c r="V292" s="40" t="s">
        <v>97</v>
      </c>
      <c r="W292" s="40" t="s">
        <v>97</v>
      </c>
      <c r="X292" s="40" t="s">
        <v>97</v>
      </c>
      <c r="Y292" s="40"/>
      <c r="Z292" s="40"/>
      <c r="AA292" s="40"/>
      <c r="AB292" s="40" t="s">
        <v>97</v>
      </c>
      <c r="AC292" s="40"/>
      <c r="AD292" s="40"/>
      <c r="AE292" s="40"/>
      <c r="AF292" s="40"/>
      <c r="AG292" s="40"/>
      <c r="AH292" s="40"/>
      <c r="AI292" s="40"/>
      <c r="AJ292" s="40"/>
      <c r="AK292" s="40"/>
      <c r="AL292" s="40"/>
      <c r="AM292" s="40" t="s">
        <v>634</v>
      </c>
      <c r="AN292" s="40"/>
      <c r="AO292" s="40"/>
      <c r="AP292" s="40" t="s">
        <v>97</v>
      </c>
      <c r="AQ292" s="40" t="s">
        <v>97</v>
      </c>
      <c r="AR292" s="40" t="s">
        <v>97</v>
      </c>
      <c r="AS292" s="40" t="s">
        <v>634</v>
      </c>
      <c r="AT292" s="40" t="s">
        <v>97</v>
      </c>
      <c r="AU292" s="40" t="s">
        <v>97</v>
      </c>
      <c r="AV292" s="40" t="s">
        <v>97</v>
      </c>
      <c r="AW292" s="40"/>
      <c r="AX292" s="40"/>
      <c r="AY292" s="40"/>
      <c r="AZ292" s="40"/>
    </row>
    <row r="293" spans="1:52" s="71" customFormat="1" ht="12" thickBot="1" x14ac:dyDescent="0.2">
      <c r="A293" s="37" t="s">
        <v>61</v>
      </c>
      <c r="B293" s="38" t="s">
        <v>62</v>
      </c>
      <c r="C293" s="109" t="str">
        <f>HYPERLINK(Hoofddocument!$H$293,Hoofddocument!$G$293)</f>
        <v>DevOps Practioner Enable en Scale</v>
      </c>
      <c r="D293" s="38"/>
      <c r="E293" s="38" t="s">
        <v>207</v>
      </c>
      <c r="F293" s="38"/>
      <c r="G293" s="38" t="s">
        <v>240</v>
      </c>
      <c r="H293" s="64" t="s">
        <v>547</v>
      </c>
      <c r="I293" s="41" t="s">
        <v>97</v>
      </c>
      <c r="J293" s="39" t="s">
        <v>97</v>
      </c>
      <c r="K293" s="39"/>
      <c r="L293" s="40"/>
      <c r="M293" s="40"/>
      <c r="N293" s="40"/>
      <c r="O293" s="40"/>
      <c r="P293" s="40"/>
      <c r="Q293" s="40"/>
      <c r="R293" s="39"/>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row>
    <row r="294" spans="1:52" s="71" customFormat="1" ht="12" thickBot="1" x14ac:dyDescent="0.2">
      <c r="A294" s="37" t="s">
        <v>61</v>
      </c>
      <c r="B294" s="44" t="s">
        <v>237</v>
      </c>
      <c r="C294" s="109" t="str">
        <f>HYPERLINK(Hoofddocument!$H$294,Hoofddocument!$G$294)</f>
        <v>Devops Coaching</v>
      </c>
      <c r="D294" s="38"/>
      <c r="E294" s="38" t="s">
        <v>238</v>
      </c>
      <c r="F294" s="38"/>
      <c r="G294" s="38" t="s">
        <v>239</v>
      </c>
      <c r="H294" s="64" t="s">
        <v>980</v>
      </c>
      <c r="I294" s="41" t="s">
        <v>634</v>
      </c>
      <c r="J294" s="39"/>
      <c r="K294" s="39"/>
      <c r="L294" s="40"/>
      <c r="M294" s="40"/>
      <c r="N294" s="40"/>
      <c r="O294" s="40"/>
      <c r="P294" s="40"/>
      <c r="Q294" s="40"/>
      <c r="R294" s="39"/>
      <c r="S294" s="40"/>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row>
    <row r="295" spans="1:52" s="71" customFormat="1" ht="12" thickBot="1" x14ac:dyDescent="0.2">
      <c r="A295" s="37" t="s">
        <v>61</v>
      </c>
      <c r="B295" s="38" t="s">
        <v>744</v>
      </c>
      <c r="C295" s="38" t="s">
        <v>850</v>
      </c>
      <c r="D295" s="38"/>
      <c r="E295" s="38" t="s">
        <v>782</v>
      </c>
      <c r="F295" s="38"/>
      <c r="G295" s="38" t="s">
        <v>850</v>
      </c>
      <c r="H295" s="49"/>
      <c r="I295" s="41"/>
      <c r="J295" s="39"/>
      <c r="K295" s="39"/>
      <c r="L295" s="40"/>
      <c r="M295" s="40"/>
      <c r="N295" s="40"/>
      <c r="O295" s="40"/>
      <c r="P295" s="40"/>
      <c r="Q295" s="40"/>
      <c r="R295" s="39"/>
      <c r="S295" s="40"/>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c r="AQ295" s="40"/>
      <c r="AR295" s="40"/>
      <c r="AS295" s="40" t="s">
        <v>634</v>
      </c>
      <c r="AT295" s="40"/>
      <c r="AU295" s="40"/>
      <c r="AV295" s="40"/>
      <c r="AW295" s="40"/>
      <c r="AX295" s="40"/>
      <c r="AY295" s="40"/>
      <c r="AZ295" s="40"/>
    </row>
    <row r="296" spans="1:52" s="71" customFormat="1" ht="12" thickBot="1" x14ac:dyDescent="0.2">
      <c r="A296" s="37" t="s">
        <v>61</v>
      </c>
      <c r="B296" s="38" t="s">
        <v>44</v>
      </c>
      <c r="C296" s="109" t="str">
        <f>HYPERLINK(Hoofddocument!$H$296,Hoofddocument!$G$296)</f>
        <v>ITIL® 4 Foundation Bridge Training</v>
      </c>
      <c r="D296" s="38"/>
      <c r="E296" s="38" t="s">
        <v>981</v>
      </c>
      <c r="F296" s="38"/>
      <c r="G296" s="38" t="s">
        <v>505</v>
      </c>
      <c r="H296" s="64" t="s">
        <v>982</v>
      </c>
      <c r="I296" s="41"/>
      <c r="J296" s="39"/>
      <c r="K296" s="39"/>
      <c r="L296" s="40"/>
      <c r="M296" s="40"/>
      <c r="N296" s="40"/>
      <c r="O296" s="40"/>
      <c r="P296" s="40"/>
      <c r="Q296" s="40"/>
      <c r="R296" s="39"/>
      <c r="S296" s="40"/>
      <c r="T296" s="40"/>
      <c r="U296" s="40"/>
      <c r="V296" s="40"/>
      <c r="W296" s="40" t="s">
        <v>97</v>
      </c>
      <c r="X296" s="40"/>
      <c r="Y296" s="40"/>
      <c r="Z296" s="40"/>
      <c r="AA296" s="40"/>
      <c r="AB296" s="40"/>
      <c r="AC296" s="40"/>
      <c r="AD296" s="40"/>
      <c r="AE296" s="40"/>
      <c r="AF296" s="40"/>
      <c r="AG296" s="40"/>
      <c r="AH296" s="40"/>
      <c r="AI296" s="40"/>
      <c r="AJ296" s="40"/>
      <c r="AK296" s="40"/>
      <c r="AL296" s="40"/>
      <c r="AM296" s="40"/>
      <c r="AN296" s="40"/>
      <c r="AO296" s="40"/>
      <c r="AP296" s="40" t="s">
        <v>97</v>
      </c>
      <c r="AQ296" s="40" t="s">
        <v>97</v>
      </c>
      <c r="AR296" s="40" t="s">
        <v>97</v>
      </c>
      <c r="AS296" s="40" t="s">
        <v>97</v>
      </c>
      <c r="AT296" s="40" t="s">
        <v>97</v>
      </c>
      <c r="AU296" s="40" t="s">
        <v>97</v>
      </c>
      <c r="AV296" s="40" t="s">
        <v>97</v>
      </c>
      <c r="AW296" s="40"/>
      <c r="AX296" s="40"/>
      <c r="AY296" s="40"/>
      <c r="AZ296" s="40"/>
    </row>
    <row r="297" spans="1:52" s="71" customFormat="1" ht="12" thickBot="1" x14ac:dyDescent="0.2">
      <c r="A297" s="37" t="s">
        <v>61</v>
      </c>
      <c r="B297" s="38" t="s">
        <v>44</v>
      </c>
      <c r="C297" s="109" t="str">
        <f>HYPERLINK(Hoofddocument!$H$297,Hoofddocument!$G$297)</f>
        <v>ITIL® 4 Leader: Digital and IT Strategy DITS</v>
      </c>
      <c r="D297" s="38"/>
      <c r="E297" s="38" t="s">
        <v>981</v>
      </c>
      <c r="F297" s="44"/>
      <c r="G297" s="38" t="s">
        <v>506</v>
      </c>
      <c r="H297" s="49" t="s">
        <v>983</v>
      </c>
      <c r="I297" s="41"/>
      <c r="J297" s="39"/>
      <c r="K297" s="39"/>
      <c r="L297" s="40"/>
      <c r="M297" s="40"/>
      <c r="N297" s="40"/>
      <c r="O297" s="40"/>
      <c r="P297" s="40"/>
      <c r="Q297" s="40"/>
      <c r="R297" s="39"/>
      <c r="S297" s="40"/>
      <c r="T297" s="40"/>
      <c r="U297" s="40"/>
      <c r="V297" s="40"/>
      <c r="W297" s="40" t="s">
        <v>97</v>
      </c>
      <c r="X297" s="40"/>
      <c r="Y297" s="40"/>
      <c r="Z297" s="40"/>
      <c r="AA297" s="40"/>
      <c r="AB297" s="40"/>
      <c r="AC297" s="40"/>
      <c r="AD297" s="40"/>
      <c r="AE297" s="40"/>
      <c r="AF297" s="40"/>
      <c r="AG297" s="40"/>
      <c r="AH297" s="40"/>
      <c r="AI297" s="40"/>
      <c r="AJ297" s="40"/>
      <c r="AK297" s="40"/>
      <c r="AL297" s="40"/>
      <c r="AM297" s="40"/>
      <c r="AN297" s="40"/>
      <c r="AO297" s="40"/>
      <c r="AP297" s="40" t="s">
        <v>97</v>
      </c>
      <c r="AQ297" s="40" t="s">
        <v>97</v>
      </c>
      <c r="AR297" s="40" t="s">
        <v>97</v>
      </c>
      <c r="AS297" s="40" t="s">
        <v>97</v>
      </c>
      <c r="AT297" s="40" t="s">
        <v>97</v>
      </c>
      <c r="AU297" s="40" t="s">
        <v>97</v>
      </c>
      <c r="AV297" s="40" t="s">
        <v>97</v>
      </c>
      <c r="AW297" s="40"/>
      <c r="AX297" s="40"/>
      <c r="AY297" s="40"/>
      <c r="AZ297" s="40"/>
    </row>
    <row r="298" spans="1:52" s="71" customFormat="1" ht="12" thickBot="1" x14ac:dyDescent="0.2">
      <c r="A298" s="37" t="s">
        <v>61</v>
      </c>
      <c r="B298" s="38" t="s">
        <v>745</v>
      </c>
      <c r="C298" s="38" t="s">
        <v>745</v>
      </c>
      <c r="D298" s="38"/>
      <c r="E298" s="38" t="s">
        <v>782</v>
      </c>
      <c r="F298" s="38"/>
      <c r="G298" s="38"/>
      <c r="H298" s="55"/>
      <c r="I298" s="41"/>
      <c r="J298" s="39"/>
      <c r="K298" s="39"/>
      <c r="L298" s="40"/>
      <c r="M298" s="40"/>
      <c r="N298" s="40"/>
      <c r="O298" s="40"/>
      <c r="P298" s="40"/>
      <c r="Q298" s="40"/>
      <c r="R298" s="39"/>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t="s">
        <v>634</v>
      </c>
      <c r="AT298" s="40"/>
      <c r="AU298" s="40"/>
      <c r="AV298" s="40"/>
      <c r="AW298" s="40"/>
      <c r="AX298" s="40"/>
      <c r="AY298" s="40"/>
      <c r="AZ298" s="40"/>
    </row>
    <row r="299" spans="1:52" s="71" customFormat="1" ht="12" thickBot="1" x14ac:dyDescent="0.2">
      <c r="A299" s="37" t="s">
        <v>61</v>
      </c>
      <c r="B299" s="38" t="s">
        <v>510</v>
      </c>
      <c r="C299" s="109" t="str">
        <f>HYPERLINK(Hoofddocument!$H$299,Hoofddocument!$G$299)</f>
        <v>Masterclass IT Services</v>
      </c>
      <c r="D299" s="38"/>
      <c r="E299" s="38" t="s">
        <v>207</v>
      </c>
      <c r="F299" s="38"/>
      <c r="G299" s="38" t="s">
        <v>511</v>
      </c>
      <c r="H299" s="64" t="s">
        <v>632</v>
      </c>
      <c r="I299" s="41"/>
      <c r="J299" s="39"/>
      <c r="K299" s="39"/>
      <c r="L299" s="40"/>
      <c r="M299" s="40"/>
      <c r="N299" s="40"/>
      <c r="O299" s="40"/>
      <c r="P299" s="40"/>
      <c r="Q299" s="40"/>
      <c r="R299" s="39"/>
      <c r="S299" s="40"/>
      <c r="T299" s="40"/>
      <c r="U299" s="40"/>
      <c r="V299" s="40"/>
      <c r="W299" s="40" t="s">
        <v>97</v>
      </c>
      <c r="X299" s="40"/>
      <c r="Y299" s="40"/>
      <c r="Z299" s="40"/>
      <c r="AA299" s="40"/>
      <c r="AB299" s="40"/>
      <c r="AC299" s="40"/>
      <c r="AD299" s="40"/>
      <c r="AE299" s="40"/>
      <c r="AF299" s="40"/>
      <c r="AG299" s="40"/>
      <c r="AH299" s="40"/>
      <c r="AI299" s="40"/>
      <c r="AJ299" s="40"/>
      <c r="AK299" s="40"/>
      <c r="AL299" s="40"/>
      <c r="AM299" s="40"/>
      <c r="AN299" s="40"/>
      <c r="AO299" s="40"/>
      <c r="AP299" s="40" t="s">
        <v>97</v>
      </c>
      <c r="AQ299" s="40" t="s">
        <v>97</v>
      </c>
      <c r="AR299" s="40" t="s">
        <v>97</v>
      </c>
      <c r="AS299" s="40" t="s">
        <v>97</v>
      </c>
      <c r="AT299" s="40" t="s">
        <v>97</v>
      </c>
      <c r="AU299" s="40" t="s">
        <v>97</v>
      </c>
      <c r="AV299" s="40" t="s">
        <v>97</v>
      </c>
      <c r="AW299" s="40"/>
      <c r="AX299" s="40"/>
      <c r="AY299" s="40"/>
      <c r="AZ299" s="40"/>
    </row>
    <row r="300" spans="1:52" s="71" customFormat="1" ht="12" thickBot="1" x14ac:dyDescent="0.2">
      <c r="A300" s="37" t="s">
        <v>61</v>
      </c>
      <c r="B300" s="38" t="s">
        <v>61</v>
      </c>
      <c r="C300" s="109" t="str">
        <f>HYPERLINK(Hoofddocument!$H$300,Hoofddocument!$G$300)</f>
        <v>HBO Module Kwaliteits- en Servicemanagement</v>
      </c>
      <c r="D300" s="38" t="s">
        <v>166</v>
      </c>
      <c r="E300" s="38" t="s">
        <v>12</v>
      </c>
      <c r="F300" s="38" t="s">
        <v>697</v>
      </c>
      <c r="G300" s="38" t="s">
        <v>456</v>
      </c>
      <c r="H300" s="64" t="s">
        <v>457</v>
      </c>
      <c r="I300" s="41"/>
      <c r="J300" s="39"/>
      <c r="K300" s="39"/>
      <c r="L300" s="40"/>
      <c r="M300" s="40"/>
      <c r="N300" s="40"/>
      <c r="O300" s="40"/>
      <c r="P300" s="40"/>
      <c r="Q300" s="40"/>
      <c r="R300" s="39"/>
      <c r="S300" s="40"/>
      <c r="T300" s="40"/>
      <c r="U300" s="40" t="s">
        <v>97</v>
      </c>
      <c r="V300" s="40"/>
      <c r="W300" s="40"/>
      <c r="X300" s="40"/>
      <c r="Y300" s="40"/>
      <c r="Z300" s="40"/>
      <c r="AA300" s="40"/>
      <c r="AB300" s="40"/>
      <c r="AC300" s="40"/>
      <c r="AD300" s="40"/>
      <c r="AE300" s="40"/>
      <c r="AF300" s="40"/>
      <c r="AG300" s="40"/>
      <c r="AH300" s="40"/>
      <c r="AI300" s="40"/>
      <c r="AJ300" s="40"/>
      <c r="AK300" s="40" t="s">
        <v>634</v>
      </c>
      <c r="AL300" s="40"/>
      <c r="AM300" s="40"/>
      <c r="AN300" s="40"/>
      <c r="AO300" s="40"/>
      <c r="AP300" s="40"/>
      <c r="AQ300" s="40"/>
      <c r="AR300" s="40"/>
      <c r="AS300" s="40" t="s">
        <v>634</v>
      </c>
      <c r="AT300" s="40"/>
      <c r="AU300" s="40"/>
      <c r="AV300" s="40"/>
      <c r="AW300" s="40"/>
      <c r="AX300" s="40"/>
      <c r="AY300" s="40"/>
      <c r="AZ300" s="40"/>
    </row>
    <row r="301" spans="1:52" s="71" customFormat="1" ht="12" thickBot="1" x14ac:dyDescent="0.2">
      <c r="A301" s="37" t="s">
        <v>61</v>
      </c>
      <c r="B301" s="38" t="s">
        <v>61</v>
      </c>
      <c r="C301" s="38" t="s">
        <v>851</v>
      </c>
      <c r="D301" s="38"/>
      <c r="E301" s="38" t="s">
        <v>782</v>
      </c>
      <c r="F301" s="38"/>
      <c r="G301" s="38" t="s">
        <v>851</v>
      </c>
      <c r="H301" s="64"/>
      <c r="I301" s="41"/>
      <c r="J301" s="39"/>
      <c r="K301" s="39"/>
      <c r="L301" s="40"/>
      <c r="M301" s="40"/>
      <c r="N301" s="40"/>
      <c r="O301" s="40"/>
      <c r="P301" s="40"/>
      <c r="Q301" s="40"/>
      <c r="R301" s="39"/>
      <c r="S301" s="40"/>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c r="AQ301" s="40"/>
      <c r="AR301" s="40"/>
      <c r="AS301" s="40" t="s">
        <v>634</v>
      </c>
      <c r="AT301" s="40"/>
      <c r="AU301" s="40"/>
      <c r="AV301" s="40"/>
      <c r="AW301" s="40"/>
      <c r="AX301" s="40"/>
      <c r="AY301" s="40"/>
      <c r="AZ301" s="40"/>
    </row>
    <row r="302" spans="1:52" s="71" customFormat="1" ht="12" thickBot="1" x14ac:dyDescent="0.2">
      <c r="A302" s="37" t="s">
        <v>61</v>
      </c>
      <c r="B302" s="38" t="s">
        <v>61</v>
      </c>
      <c r="C302" s="38" t="s">
        <v>852</v>
      </c>
      <c r="D302" s="38"/>
      <c r="E302" s="38" t="s">
        <v>782</v>
      </c>
      <c r="F302" s="38"/>
      <c r="G302" s="38" t="s">
        <v>852</v>
      </c>
      <c r="H302" s="64"/>
      <c r="I302" s="41"/>
      <c r="J302" s="39"/>
      <c r="K302" s="39"/>
      <c r="L302" s="40"/>
      <c r="M302" s="40"/>
      <c r="N302" s="40"/>
      <c r="O302" s="40"/>
      <c r="P302" s="40"/>
      <c r="Q302" s="40"/>
      <c r="R302" s="39"/>
      <c r="S302" s="40"/>
      <c r="T302" s="40"/>
      <c r="U302" s="40"/>
      <c r="V302" s="40"/>
      <c r="W302" s="40"/>
      <c r="X302" s="40"/>
      <c r="Y302" s="40"/>
      <c r="Z302" s="40"/>
      <c r="AA302" s="40"/>
      <c r="AB302" s="40"/>
      <c r="AC302" s="40"/>
      <c r="AD302" s="40"/>
      <c r="AE302" s="40"/>
      <c r="AF302" s="40"/>
      <c r="AG302" s="40"/>
      <c r="AH302" s="40"/>
      <c r="AI302" s="40"/>
      <c r="AJ302" s="40"/>
      <c r="AK302" s="40"/>
      <c r="AL302" s="40"/>
      <c r="AM302" s="40"/>
      <c r="AN302" s="40"/>
      <c r="AO302" s="40"/>
      <c r="AP302" s="40"/>
      <c r="AQ302" s="40"/>
      <c r="AR302" s="40"/>
      <c r="AS302" s="40" t="s">
        <v>634</v>
      </c>
      <c r="AT302" s="40"/>
      <c r="AU302" s="40"/>
      <c r="AV302" s="40"/>
      <c r="AW302" s="40"/>
      <c r="AX302" s="40"/>
      <c r="AY302" s="40"/>
      <c r="AZ302" s="40"/>
    </row>
    <row r="303" spans="1:52" s="71" customFormat="1" ht="12" thickBot="1" x14ac:dyDescent="0.2">
      <c r="A303" s="37" t="s">
        <v>61</v>
      </c>
      <c r="B303" s="38" t="s">
        <v>512</v>
      </c>
      <c r="C303" s="109" t="str">
        <f>HYPERLINK(Hoofddocument!$H$303,Hoofddocument!$G$303)</f>
        <v>Masterclass SLA ITMG (IT Management Group)</v>
      </c>
      <c r="D303" s="38"/>
      <c r="E303" s="38" t="s">
        <v>289</v>
      </c>
      <c r="F303" s="38"/>
      <c r="G303" s="38" t="s">
        <v>513</v>
      </c>
      <c r="H303" s="64" t="s">
        <v>984</v>
      </c>
      <c r="I303" s="41"/>
      <c r="J303" s="39"/>
      <c r="K303" s="39"/>
      <c r="L303" s="40"/>
      <c r="M303" s="40"/>
      <c r="N303" s="40"/>
      <c r="O303" s="40"/>
      <c r="P303" s="40"/>
      <c r="Q303" s="40"/>
      <c r="R303" s="39"/>
      <c r="S303" s="40"/>
      <c r="T303" s="40"/>
      <c r="U303" s="40"/>
      <c r="V303" s="40"/>
      <c r="W303" s="40" t="s">
        <v>97</v>
      </c>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row>
    <row r="304" spans="1:52" s="71" customFormat="1" ht="12" thickBot="1" x14ac:dyDescent="0.2">
      <c r="A304" s="37" t="s">
        <v>746</v>
      </c>
      <c r="B304" s="38" t="s">
        <v>300</v>
      </c>
      <c r="C304" s="109" t="str">
        <f>HYPERLINK(Hoofddocument!$H$304,Hoofddocument!$G$304)</f>
        <v>C# Funfamentals</v>
      </c>
      <c r="D304" s="38"/>
      <c r="E304" s="38" t="s">
        <v>207</v>
      </c>
      <c r="F304" s="38"/>
      <c r="G304" s="38" t="s">
        <v>300</v>
      </c>
      <c r="H304" s="64" t="s">
        <v>564</v>
      </c>
      <c r="I304" s="41"/>
      <c r="J304" s="39"/>
      <c r="K304" s="39" t="s">
        <v>97</v>
      </c>
      <c r="L304" s="40"/>
      <c r="M304" s="40"/>
      <c r="N304" s="40"/>
      <c r="O304" s="40"/>
      <c r="P304" s="40"/>
      <c r="Q304" s="40"/>
      <c r="R304" s="39"/>
      <c r="S304" s="40"/>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row>
    <row r="305" spans="1:52" s="71" customFormat="1" ht="12" thickBot="1" x14ac:dyDescent="0.2">
      <c r="A305" s="37" t="s">
        <v>746</v>
      </c>
      <c r="B305" s="38" t="s">
        <v>297</v>
      </c>
      <c r="C305" s="109" t="str">
        <f>HYPERLINK(Hoofddocument!$H$305,Hoofddocument!$G$305)</f>
        <v>Data Warehousing</v>
      </c>
      <c r="D305" s="38" t="s">
        <v>166</v>
      </c>
      <c r="E305" s="38" t="s">
        <v>12</v>
      </c>
      <c r="F305" s="38" t="s">
        <v>298</v>
      </c>
      <c r="G305" s="38" t="s">
        <v>297</v>
      </c>
      <c r="H305" s="64" t="s">
        <v>563</v>
      </c>
      <c r="I305" s="41"/>
      <c r="J305" s="39"/>
      <c r="K305" s="39" t="s">
        <v>97</v>
      </c>
      <c r="L305" s="40"/>
      <c r="M305" s="40" t="s">
        <v>634</v>
      </c>
      <c r="N305" s="40" t="s">
        <v>634</v>
      </c>
      <c r="O305" s="40" t="s">
        <v>634</v>
      </c>
      <c r="P305" s="40" t="s">
        <v>634</v>
      </c>
      <c r="Q305" s="40"/>
      <c r="R305" s="39"/>
      <c r="S305" s="40"/>
      <c r="T305" s="40"/>
      <c r="U305" s="40"/>
      <c r="V305" s="40"/>
      <c r="W305" s="40"/>
      <c r="X305" s="40"/>
      <c r="Y305" s="40"/>
      <c r="Z305" s="40"/>
      <c r="AA305" s="40"/>
      <c r="AB305" s="40"/>
      <c r="AC305" s="40"/>
      <c r="AD305" s="40"/>
      <c r="AE305" s="40"/>
      <c r="AF305" s="40"/>
      <c r="AG305" s="40"/>
      <c r="AH305" s="40"/>
      <c r="AI305" s="40"/>
      <c r="AJ305" s="40"/>
      <c r="AK305" s="40"/>
      <c r="AL305" s="40"/>
      <c r="AM305" s="40"/>
      <c r="AN305" s="40"/>
      <c r="AO305" s="40"/>
      <c r="AP305" s="40"/>
      <c r="AQ305" s="40"/>
      <c r="AR305" s="40"/>
      <c r="AS305" s="40"/>
      <c r="AT305" s="40"/>
      <c r="AU305" s="40"/>
      <c r="AV305" s="40"/>
      <c r="AW305" s="40"/>
      <c r="AX305" s="40"/>
      <c r="AY305" s="40"/>
      <c r="AZ305" s="40"/>
    </row>
    <row r="306" spans="1:52" s="71" customFormat="1" ht="12" thickBot="1" x14ac:dyDescent="0.2">
      <c r="A306" s="46" t="s">
        <v>746</v>
      </c>
      <c r="B306" s="45" t="s">
        <v>459</v>
      </c>
      <c r="C306" s="109" t="str">
        <f>HYPERLINK(Hoofddocument!$H$306,Hoofddocument!$G$306)</f>
        <v>HBO Module Ontwikkelen van Databases</v>
      </c>
      <c r="D306" s="45" t="s">
        <v>166</v>
      </c>
      <c r="E306" s="45" t="s">
        <v>12</v>
      </c>
      <c r="F306" s="45" t="s">
        <v>460</v>
      </c>
      <c r="G306" s="38" t="s">
        <v>461</v>
      </c>
      <c r="H306" s="49" t="s">
        <v>462</v>
      </c>
      <c r="I306" s="41"/>
      <c r="J306" s="47"/>
      <c r="K306" s="47"/>
      <c r="L306" s="47"/>
      <c r="M306" s="47"/>
      <c r="N306" s="47"/>
      <c r="O306" s="47"/>
      <c r="P306" s="47"/>
      <c r="Q306" s="47"/>
      <c r="R306" s="47"/>
      <c r="S306" s="47"/>
      <c r="T306" s="47"/>
      <c r="U306" s="47" t="s">
        <v>97</v>
      </c>
      <c r="V306" s="47"/>
      <c r="W306" s="47"/>
      <c r="X306" s="47"/>
      <c r="Y306" s="47"/>
      <c r="Z306" s="47"/>
      <c r="AA306" s="47" t="s">
        <v>634</v>
      </c>
      <c r="AB306" s="47"/>
      <c r="AC306" s="47"/>
      <c r="AD306" s="47"/>
      <c r="AE306" s="47"/>
      <c r="AF306" s="47"/>
      <c r="AG306" s="47"/>
      <c r="AH306" s="40"/>
      <c r="AI306" s="40"/>
      <c r="AJ306" s="40"/>
      <c r="AK306" s="40"/>
      <c r="AL306" s="40"/>
      <c r="AM306" s="40"/>
      <c r="AN306" s="40"/>
      <c r="AO306" s="40"/>
      <c r="AP306" s="40"/>
      <c r="AQ306" s="40"/>
      <c r="AR306" s="40"/>
      <c r="AS306" s="40"/>
      <c r="AT306" s="40"/>
      <c r="AU306" s="40"/>
      <c r="AV306" s="40"/>
      <c r="AW306" s="40"/>
      <c r="AX306" s="40"/>
      <c r="AY306" s="40"/>
      <c r="AZ306" s="40"/>
    </row>
    <row r="307" spans="1:52" s="71" customFormat="1" ht="12" thickBot="1" x14ac:dyDescent="0.2">
      <c r="A307" s="37" t="s">
        <v>746</v>
      </c>
      <c r="B307" s="38" t="s">
        <v>299</v>
      </c>
      <c r="C307" s="109" t="str">
        <f>HYPERLINK(Hoofddocument!$H$307,Hoofddocument!$G$307)</f>
        <v>Designing Applications for Microsoft SharePoint 2010</v>
      </c>
      <c r="D307" s="38"/>
      <c r="E307" s="38" t="s">
        <v>289</v>
      </c>
      <c r="F307" s="38"/>
      <c r="G307" s="38" t="s">
        <v>299</v>
      </c>
      <c r="H307" s="64" t="s">
        <v>985</v>
      </c>
      <c r="I307" s="41"/>
      <c r="J307" s="39"/>
      <c r="K307" s="39" t="s">
        <v>97</v>
      </c>
      <c r="L307" s="40"/>
      <c r="M307" s="40"/>
      <c r="N307" s="40"/>
      <c r="O307" s="40"/>
      <c r="P307" s="40"/>
      <c r="Q307" s="40"/>
      <c r="R307" s="39"/>
      <c r="S307" s="40"/>
      <c r="T307" s="40"/>
      <c r="U307" s="40"/>
      <c r="V307" s="40"/>
      <c r="W307" s="40"/>
      <c r="X307" s="40"/>
      <c r="Y307" s="40"/>
      <c r="Z307" s="40"/>
      <c r="AA307" s="40"/>
      <c r="AB307" s="40"/>
      <c r="AC307" s="40"/>
      <c r="AD307" s="40"/>
      <c r="AE307" s="40"/>
      <c r="AF307" s="40"/>
      <c r="AG307" s="40"/>
      <c r="AH307" s="40"/>
      <c r="AI307" s="40"/>
      <c r="AJ307" s="40"/>
      <c r="AK307" s="40"/>
      <c r="AL307" s="40"/>
      <c r="AM307" s="40"/>
      <c r="AN307" s="40"/>
      <c r="AO307" s="40"/>
      <c r="AP307" s="40"/>
      <c r="AQ307" s="40"/>
      <c r="AR307" s="40"/>
      <c r="AS307" s="40"/>
      <c r="AT307" s="40"/>
      <c r="AU307" s="40"/>
      <c r="AV307" s="40"/>
      <c r="AW307" s="40"/>
      <c r="AX307" s="40"/>
      <c r="AY307" s="40"/>
      <c r="AZ307" s="40"/>
    </row>
    <row r="308" spans="1:52" s="71" customFormat="1" ht="12" thickBot="1" x14ac:dyDescent="0.2">
      <c r="A308" s="37" t="s">
        <v>746</v>
      </c>
      <c r="B308" s="38" t="s">
        <v>304</v>
      </c>
      <c r="C308" s="109" t="str">
        <f>HYPERLINK(Hoofddocument!$H$308,Hoofddocument!$G$308)</f>
        <v>Red Hat Liunix administrtaion</v>
      </c>
      <c r="D308" s="38"/>
      <c r="E308" s="38" t="s">
        <v>207</v>
      </c>
      <c r="F308" s="38"/>
      <c r="G308" s="38" t="s">
        <v>304</v>
      </c>
      <c r="H308" s="49" t="s">
        <v>566</v>
      </c>
      <c r="I308" s="41"/>
      <c r="J308" s="39"/>
      <c r="K308" s="39" t="s">
        <v>634</v>
      </c>
      <c r="L308" s="40" t="s">
        <v>97</v>
      </c>
      <c r="M308" s="40"/>
      <c r="N308" s="40"/>
      <c r="O308" s="40"/>
      <c r="P308" s="40"/>
      <c r="Q308" s="40"/>
      <c r="R308" s="39"/>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row>
    <row r="309" spans="1:52" s="71" customFormat="1" ht="12" thickBot="1" x14ac:dyDescent="0.2">
      <c r="A309" s="37" t="s">
        <v>746</v>
      </c>
      <c r="B309" s="38" t="s">
        <v>301</v>
      </c>
      <c r="C309" s="109" t="str">
        <f>HYPERLINK(Hoofddocument!$H$309,Hoofddocument!$G$309)</f>
        <v>SharePoint Content management fundamentals</v>
      </c>
      <c r="D309" s="38" t="s">
        <v>166</v>
      </c>
      <c r="E309" s="38" t="s">
        <v>12</v>
      </c>
      <c r="F309" s="38" t="s">
        <v>302</v>
      </c>
      <c r="G309" s="38" t="s">
        <v>301</v>
      </c>
      <c r="H309" s="64" t="s">
        <v>565</v>
      </c>
      <c r="I309" s="41"/>
      <c r="J309" s="39"/>
      <c r="K309" s="39" t="s">
        <v>97</v>
      </c>
      <c r="L309" s="40"/>
      <c r="M309" s="40"/>
      <c r="N309" s="40"/>
      <c r="O309" s="40"/>
      <c r="P309" s="40"/>
      <c r="Q309" s="40"/>
      <c r="R309" s="39"/>
      <c r="S309" s="40"/>
      <c r="T309" s="40"/>
      <c r="U309" s="40"/>
      <c r="V309" s="40"/>
      <c r="W309" s="40"/>
      <c r="X309" s="40"/>
      <c r="Y309" s="40"/>
      <c r="Z309" s="40"/>
      <c r="AA309" s="40"/>
      <c r="AB309" s="40"/>
      <c r="AC309" s="40"/>
      <c r="AD309" s="40"/>
      <c r="AE309" s="40"/>
      <c r="AF309" s="40"/>
      <c r="AG309" s="40"/>
      <c r="AH309" s="40"/>
      <c r="AI309" s="40"/>
      <c r="AJ309" s="40"/>
      <c r="AK309" s="40"/>
      <c r="AL309" s="40"/>
      <c r="AM309" s="40"/>
      <c r="AN309" s="40"/>
      <c r="AO309" s="40" t="s">
        <v>634</v>
      </c>
      <c r="AP309" s="40"/>
      <c r="AQ309" s="40"/>
      <c r="AR309" s="40"/>
      <c r="AS309" s="40"/>
      <c r="AT309" s="40"/>
      <c r="AU309" s="40"/>
      <c r="AV309" s="40"/>
      <c r="AW309" s="40"/>
      <c r="AX309" s="40"/>
      <c r="AY309" s="40"/>
      <c r="AZ309" s="40"/>
    </row>
    <row r="310" spans="1:52" s="71" customFormat="1" ht="12" thickBot="1" x14ac:dyDescent="0.2">
      <c r="A310" s="37" t="s">
        <v>746</v>
      </c>
      <c r="B310" s="38" t="s">
        <v>303</v>
      </c>
      <c r="C310" s="109" t="str">
        <f>HYPERLINK(Hoofddocument!$H$310,Hoofddocument!$G$310)</f>
        <v>Visual C# Fundamentals (VCF)</v>
      </c>
      <c r="D310" s="38"/>
      <c r="E310" s="38" t="s">
        <v>207</v>
      </c>
      <c r="F310" s="38"/>
      <c r="G310" s="38" t="s">
        <v>303</v>
      </c>
      <c r="H310" s="49" t="s">
        <v>564</v>
      </c>
      <c r="I310" s="41"/>
      <c r="J310" s="39"/>
      <c r="K310" s="39" t="s">
        <v>97</v>
      </c>
      <c r="L310" s="40"/>
      <c r="M310" s="40"/>
      <c r="N310" s="40"/>
      <c r="O310" s="40"/>
      <c r="P310" s="40"/>
      <c r="Q310" s="40"/>
      <c r="R310" s="39"/>
      <c r="S310" s="40"/>
      <c r="T310" s="40"/>
      <c r="U310" s="40"/>
      <c r="V310" s="40"/>
      <c r="W310" s="40"/>
      <c r="X310" s="40"/>
      <c r="Y310" s="40"/>
      <c r="Z310" s="40"/>
      <c r="AA310" s="40"/>
      <c r="AB310" s="40"/>
      <c r="AC310" s="40"/>
      <c r="AD310" s="40"/>
      <c r="AE310" s="40"/>
      <c r="AF310" s="40"/>
      <c r="AG310" s="40"/>
      <c r="AH310" s="40"/>
      <c r="AI310" s="40"/>
      <c r="AJ310" s="40"/>
      <c r="AK310" s="40"/>
      <c r="AL310" s="40"/>
      <c r="AM310" s="40"/>
      <c r="AN310" s="40"/>
      <c r="AO310" s="40"/>
      <c r="AP310" s="40"/>
      <c r="AQ310" s="40"/>
      <c r="AR310" s="40"/>
      <c r="AS310" s="40"/>
      <c r="AT310" s="40"/>
      <c r="AU310" s="40"/>
      <c r="AV310" s="40"/>
      <c r="AW310" s="40"/>
      <c r="AX310" s="40"/>
      <c r="AY310" s="40"/>
      <c r="AZ310" s="40"/>
    </row>
    <row r="311" spans="1:52" s="71" customFormat="1" ht="12" thickBot="1" x14ac:dyDescent="0.2">
      <c r="A311" s="37" t="s">
        <v>47</v>
      </c>
      <c r="B311" s="38" t="s">
        <v>47</v>
      </c>
      <c r="C311" s="38" t="s">
        <v>698</v>
      </c>
      <c r="D311" s="38" t="s">
        <v>648</v>
      </c>
      <c r="E311" s="38"/>
      <c r="F311" s="38"/>
      <c r="G311" s="38" t="s">
        <v>698</v>
      </c>
      <c r="H311" s="49"/>
      <c r="I311" s="41"/>
      <c r="J311" s="39"/>
      <c r="K311" s="39" t="s">
        <v>97</v>
      </c>
      <c r="L311" s="40"/>
      <c r="M311" s="40"/>
      <c r="N311" s="40"/>
      <c r="O311" s="40"/>
      <c r="P311" s="40"/>
      <c r="Q311" s="40"/>
      <c r="R311" s="39"/>
      <c r="S311" s="40"/>
      <c r="T311" s="40"/>
      <c r="U311" s="40"/>
      <c r="V311" s="40"/>
      <c r="W311" s="40"/>
      <c r="X311" s="40"/>
      <c r="Y311" s="40"/>
      <c r="Z311" s="40"/>
      <c r="AA311" s="40"/>
      <c r="AB311" s="40"/>
      <c r="AC311" s="40"/>
      <c r="AD311" s="40"/>
      <c r="AE311" s="40"/>
      <c r="AF311" s="40"/>
      <c r="AG311" s="40"/>
      <c r="AH311" s="40"/>
      <c r="AI311" s="40"/>
      <c r="AJ311" s="40"/>
      <c r="AK311" s="40"/>
      <c r="AL311" s="40"/>
      <c r="AM311" s="40"/>
      <c r="AN311" s="40"/>
      <c r="AO311" s="40"/>
      <c r="AP311" s="40"/>
      <c r="AQ311" s="40"/>
      <c r="AR311" s="40"/>
      <c r="AS311" s="40"/>
      <c r="AT311" s="40"/>
      <c r="AU311" s="40"/>
      <c r="AV311" s="40"/>
      <c r="AW311" s="40"/>
      <c r="AX311" s="40"/>
      <c r="AY311" s="40"/>
      <c r="AZ311" s="40"/>
    </row>
    <row r="312" spans="1:52" s="71" customFormat="1" ht="12" thickBot="1" x14ac:dyDescent="0.2">
      <c r="A312" s="37" t="s">
        <v>47</v>
      </c>
      <c r="B312" s="38" t="s">
        <v>47</v>
      </c>
      <c r="C312" s="109" t="str">
        <f>HYPERLINK(Hoofddocument!$H$312,Hoofddocument!$G$312)</f>
        <v>Testautomatiosering fundamentals</v>
      </c>
      <c r="D312" s="38"/>
      <c r="E312" s="38" t="s">
        <v>207</v>
      </c>
      <c r="F312" s="38"/>
      <c r="G312" s="38" t="s">
        <v>853</v>
      </c>
      <c r="H312" s="49" t="s">
        <v>917</v>
      </c>
      <c r="I312" s="41" t="s">
        <v>97</v>
      </c>
      <c r="J312" s="39"/>
      <c r="K312" s="39"/>
      <c r="L312" s="40"/>
      <c r="M312" s="40"/>
      <c r="N312" s="40"/>
      <c r="O312" s="40"/>
      <c r="P312" s="40"/>
      <c r="Q312" s="40"/>
      <c r="R312" s="39"/>
      <c r="S312" s="40"/>
      <c r="T312" s="40"/>
      <c r="U312" s="40"/>
      <c r="V312" s="40"/>
      <c r="W312" s="40"/>
      <c r="X312" s="40"/>
      <c r="Y312" s="40"/>
      <c r="Z312" s="40"/>
      <c r="AA312" s="40" t="s">
        <v>97</v>
      </c>
      <c r="AB312" s="40"/>
      <c r="AC312" s="40"/>
      <c r="AD312" s="40"/>
      <c r="AE312" s="40"/>
      <c r="AF312" s="40"/>
      <c r="AG312" s="40"/>
      <c r="AH312" s="40"/>
      <c r="AI312" s="40"/>
      <c r="AJ312" s="40"/>
      <c r="AK312" s="40"/>
      <c r="AL312" s="40"/>
      <c r="AM312" s="40"/>
      <c r="AN312" s="40"/>
      <c r="AO312" s="40"/>
      <c r="AP312" s="40"/>
      <c r="AQ312" s="40"/>
      <c r="AR312" s="40"/>
      <c r="AS312" s="40"/>
      <c r="AT312" s="40"/>
      <c r="AU312" s="40"/>
      <c r="AV312" s="40"/>
      <c r="AW312" s="40"/>
      <c r="AX312" s="40"/>
      <c r="AY312" s="40"/>
      <c r="AZ312" s="40"/>
    </row>
    <row r="313" spans="1:52" s="71" customFormat="1" ht="12" thickBot="1" x14ac:dyDescent="0.2">
      <c r="A313" s="37" t="s">
        <v>47</v>
      </c>
      <c r="B313" s="38" t="s">
        <v>48</v>
      </c>
      <c r="C313" s="109" t="str">
        <f>HYPERLINK(Hoofddocument!$H$313,Hoofddocument!$G$313)</f>
        <v>Tmap Suite Test Engineer</v>
      </c>
      <c r="D313" s="38" t="s">
        <v>166</v>
      </c>
      <c r="E313" s="38" t="s">
        <v>12</v>
      </c>
      <c r="F313" s="38" t="s">
        <v>305</v>
      </c>
      <c r="G313" s="38" t="s">
        <v>49</v>
      </c>
      <c r="H313" s="49" t="s">
        <v>567</v>
      </c>
      <c r="I313" s="41"/>
      <c r="J313" s="39"/>
      <c r="K313" s="39"/>
      <c r="L313" s="40" t="s">
        <v>634</v>
      </c>
      <c r="M313" s="40"/>
      <c r="N313" s="40"/>
      <c r="O313" s="40"/>
      <c r="P313" s="40"/>
      <c r="Q313" s="40"/>
      <c r="R313" s="39" t="s">
        <v>97</v>
      </c>
      <c r="S313" s="40"/>
      <c r="T313" s="40"/>
      <c r="U313" s="40" t="s">
        <v>97</v>
      </c>
      <c r="V313" s="40"/>
      <c r="W313" s="40"/>
      <c r="X313" s="40"/>
      <c r="Y313" s="40"/>
      <c r="Z313" s="40"/>
      <c r="AA313" s="40"/>
      <c r="AB313" s="40"/>
      <c r="AC313" s="40"/>
      <c r="AD313" s="40"/>
      <c r="AE313" s="40"/>
      <c r="AF313" s="40"/>
      <c r="AG313" s="40"/>
      <c r="AH313" s="40"/>
      <c r="AI313" s="40"/>
      <c r="AJ313" s="40"/>
      <c r="AK313" s="40"/>
      <c r="AL313" s="40"/>
      <c r="AM313" s="40"/>
      <c r="AN313" s="40"/>
      <c r="AO313" s="40"/>
      <c r="AP313" s="40" t="s">
        <v>634</v>
      </c>
      <c r="AQ313" s="40" t="s">
        <v>634</v>
      </c>
      <c r="AR313" s="40" t="s">
        <v>634</v>
      </c>
      <c r="AS313" s="40" t="s">
        <v>634</v>
      </c>
      <c r="AT313" s="40" t="s">
        <v>634</v>
      </c>
      <c r="AU313" s="40" t="s">
        <v>634</v>
      </c>
      <c r="AV313" s="40" t="s">
        <v>634</v>
      </c>
      <c r="AW313" s="40"/>
      <c r="AX313" s="40"/>
      <c r="AY313" s="40"/>
      <c r="AZ313" s="40"/>
    </row>
    <row r="314" spans="1:52" s="71" customFormat="1" ht="12" thickBot="1" x14ac:dyDescent="0.2">
      <c r="A314" s="37" t="s">
        <v>47</v>
      </c>
      <c r="B314" s="38" t="s">
        <v>48</v>
      </c>
      <c r="C314" s="109" t="str">
        <f>HYPERLINK(Hoofddocument!$H$314,Hoofddocument!$G$314)</f>
        <v>HBO Module Testmanagement</v>
      </c>
      <c r="D314" s="38" t="s">
        <v>166</v>
      </c>
      <c r="E314" s="38" t="s">
        <v>12</v>
      </c>
      <c r="F314" s="38" t="s">
        <v>306</v>
      </c>
      <c r="G314" s="38" t="s">
        <v>307</v>
      </c>
      <c r="H314" s="64" t="s">
        <v>308</v>
      </c>
      <c r="I314" s="41"/>
      <c r="J314" s="39"/>
      <c r="K314" s="39" t="s">
        <v>97</v>
      </c>
      <c r="L314" s="40"/>
      <c r="M314" s="40"/>
      <c r="N314" s="40"/>
      <c r="O314" s="40"/>
      <c r="P314" s="40"/>
      <c r="Q314" s="40"/>
      <c r="R314" s="39"/>
      <c r="S314" s="40"/>
      <c r="T314" s="40"/>
      <c r="U314" s="40"/>
      <c r="V314" s="40"/>
      <c r="W314" s="40"/>
      <c r="X314" s="40"/>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row>
    <row r="315" spans="1:52" s="71" customFormat="1" ht="12" thickBot="1" x14ac:dyDescent="0.2">
      <c r="A315" s="37" t="s">
        <v>114</v>
      </c>
      <c r="B315" s="38" t="s">
        <v>163</v>
      </c>
      <c r="C315" s="109" t="str">
        <f>HYPERLINK(Hoofddocument!$H$315,Hoofddocument!$G$315)</f>
        <v>Professioneel Adviseren</v>
      </c>
      <c r="D315" s="38" t="s">
        <v>166</v>
      </c>
      <c r="E315" s="38" t="s">
        <v>12</v>
      </c>
      <c r="F315" s="38" t="s">
        <v>279</v>
      </c>
      <c r="G315" s="38" t="s">
        <v>280</v>
      </c>
      <c r="H315" s="64" t="s">
        <v>421</v>
      </c>
      <c r="I315" s="41"/>
      <c r="J315" s="39"/>
      <c r="K315" s="39"/>
      <c r="L315" s="40"/>
      <c r="M315" s="40"/>
      <c r="N315" s="40"/>
      <c r="O315" s="40"/>
      <c r="P315" s="40"/>
      <c r="Q315" s="40"/>
      <c r="R315" s="40"/>
      <c r="S315" s="39"/>
      <c r="T315" s="39"/>
      <c r="U315" s="40"/>
      <c r="V315" s="40" t="s">
        <v>97</v>
      </c>
      <c r="W315" s="40"/>
      <c r="X315" s="40"/>
      <c r="Y315" s="40"/>
      <c r="Z315" s="40"/>
      <c r="AA315" s="40"/>
      <c r="AB315" s="40"/>
      <c r="AC315" s="40"/>
      <c r="AD315" s="40"/>
      <c r="AE315" s="40"/>
      <c r="AF315" s="40"/>
      <c r="AG315" s="40"/>
      <c r="AH315" s="40"/>
      <c r="AI315" s="40"/>
      <c r="AJ315" s="40"/>
      <c r="AK315" s="40"/>
      <c r="AL315" s="40"/>
      <c r="AM315" s="40"/>
      <c r="AN315" s="40"/>
      <c r="AO315" s="40"/>
      <c r="AP315" s="40"/>
      <c r="AQ315" s="40"/>
      <c r="AR315" s="40"/>
      <c r="AS315" s="40"/>
      <c r="AT315" s="40"/>
      <c r="AU315" s="40"/>
      <c r="AV315" s="40"/>
      <c r="AW315" s="40"/>
      <c r="AX315" s="40"/>
      <c r="AY315" s="40"/>
      <c r="AZ315" s="40"/>
    </row>
    <row r="316" spans="1:52" s="71" customFormat="1" ht="12" thickBot="1" x14ac:dyDescent="0.2">
      <c r="A316" s="37" t="s">
        <v>114</v>
      </c>
      <c r="B316" s="38" t="s">
        <v>163</v>
      </c>
      <c r="C316" s="109" t="str">
        <f>HYPERLINK(Hoofddocument!$H$316,Hoofddocument!$G$316)</f>
        <v>Klantgerichte Adviesrapporten Schrijven</v>
      </c>
      <c r="D316" s="38" t="s">
        <v>166</v>
      </c>
      <c r="E316" s="38" t="s">
        <v>12</v>
      </c>
      <c r="F316" s="38" t="s">
        <v>350</v>
      </c>
      <c r="G316" s="38" t="s">
        <v>351</v>
      </c>
      <c r="H316" s="64" t="s">
        <v>576</v>
      </c>
      <c r="I316" s="41"/>
      <c r="J316" s="39"/>
      <c r="K316" s="39"/>
      <c r="L316" s="40"/>
      <c r="M316" s="40"/>
      <c r="N316" s="40"/>
      <c r="O316" s="40"/>
      <c r="P316" s="40"/>
      <c r="Q316" s="40"/>
      <c r="R316" s="40"/>
      <c r="S316" s="39"/>
      <c r="T316" s="39"/>
      <c r="U316" s="40"/>
      <c r="V316" s="40" t="s">
        <v>97</v>
      </c>
      <c r="W316" s="40"/>
      <c r="X316" s="40"/>
      <c r="Y316" s="40"/>
      <c r="Z316" s="40"/>
      <c r="AA316" s="40" t="s">
        <v>97</v>
      </c>
      <c r="AB316" s="40"/>
      <c r="AC316" s="40"/>
      <c r="AD316" s="40"/>
      <c r="AE316" s="40"/>
      <c r="AF316" s="40"/>
      <c r="AG316" s="40"/>
      <c r="AH316" s="40"/>
      <c r="AI316" s="40"/>
      <c r="AJ316" s="40"/>
      <c r="AK316" s="40"/>
      <c r="AL316" s="40" t="s">
        <v>97</v>
      </c>
      <c r="AM316" s="40"/>
      <c r="AN316" s="40" t="s">
        <v>97</v>
      </c>
      <c r="AO316" s="40" t="s">
        <v>97</v>
      </c>
      <c r="AP316" s="40" t="s">
        <v>97</v>
      </c>
      <c r="AQ316" s="40" t="s">
        <v>97</v>
      </c>
      <c r="AR316" s="40" t="s">
        <v>97</v>
      </c>
      <c r="AS316" s="40" t="s">
        <v>97</v>
      </c>
      <c r="AT316" s="40" t="s">
        <v>97</v>
      </c>
      <c r="AU316" s="40" t="s">
        <v>97</v>
      </c>
      <c r="AV316" s="40" t="s">
        <v>97</v>
      </c>
      <c r="AW316" s="40"/>
      <c r="AX316" s="40"/>
      <c r="AY316" s="40"/>
      <c r="AZ316" s="40"/>
    </row>
    <row r="317" spans="1:52" s="71" customFormat="1" ht="12" thickBot="1" x14ac:dyDescent="0.2">
      <c r="A317" s="37" t="s">
        <v>114</v>
      </c>
      <c r="B317" s="38" t="s">
        <v>163</v>
      </c>
      <c r="C317" s="109" t="str">
        <f>HYPERLINK(Hoofddocument!$H$317,Hoofddocument!$G$317)</f>
        <v>Klantgericht Denken en Handelen</v>
      </c>
      <c r="D317" s="38" t="s">
        <v>166</v>
      </c>
      <c r="E317" s="38" t="s">
        <v>12</v>
      </c>
      <c r="F317" s="38" t="s">
        <v>164</v>
      </c>
      <c r="G317" s="38" t="s">
        <v>165</v>
      </c>
      <c r="H317" s="64" t="s">
        <v>519</v>
      </c>
      <c r="I317" s="41" t="s">
        <v>97</v>
      </c>
      <c r="J317" s="39" t="s">
        <v>97</v>
      </c>
      <c r="K317" s="39"/>
      <c r="L317" s="40"/>
      <c r="M317" s="40" t="s">
        <v>97</v>
      </c>
      <c r="N317" s="40" t="s">
        <v>97</v>
      </c>
      <c r="O317" s="40" t="s">
        <v>97</v>
      </c>
      <c r="P317" s="40" t="s">
        <v>97</v>
      </c>
      <c r="Q317" s="40" t="s">
        <v>97</v>
      </c>
      <c r="R317" s="40" t="s">
        <v>97</v>
      </c>
      <c r="S317" s="39" t="s">
        <v>97</v>
      </c>
      <c r="T317" s="39"/>
      <c r="U317" s="40"/>
      <c r="V317" s="40"/>
      <c r="W317" s="40" t="s">
        <v>97</v>
      </c>
      <c r="X317" s="40"/>
      <c r="Y317" s="40" t="s">
        <v>97</v>
      </c>
      <c r="Z317" s="40" t="s">
        <v>97</v>
      </c>
      <c r="AA317" s="40"/>
      <c r="AB317" s="40"/>
      <c r="AC317" s="40" t="s">
        <v>634</v>
      </c>
      <c r="AD317" s="40"/>
      <c r="AE317" s="40"/>
      <c r="AF317" s="40" t="s">
        <v>97</v>
      </c>
      <c r="AG317" s="40" t="s">
        <v>634</v>
      </c>
      <c r="AH317" s="40" t="s">
        <v>97</v>
      </c>
      <c r="AI317" s="40" t="s">
        <v>97</v>
      </c>
      <c r="AJ317" s="40" t="s">
        <v>97</v>
      </c>
      <c r="AK317" s="40"/>
      <c r="AL317" s="40"/>
      <c r="AM317" s="40"/>
      <c r="AN317" s="40"/>
      <c r="AO317" s="40"/>
      <c r="AP317" s="40" t="s">
        <v>97</v>
      </c>
      <c r="AQ317" s="40" t="s">
        <v>97</v>
      </c>
      <c r="AR317" s="40" t="s">
        <v>97</v>
      </c>
      <c r="AS317" s="40" t="s">
        <v>97</v>
      </c>
      <c r="AT317" s="40" t="s">
        <v>97</v>
      </c>
      <c r="AU317" s="40" t="s">
        <v>97</v>
      </c>
      <c r="AV317" s="40" t="s">
        <v>97</v>
      </c>
      <c r="AW317" s="40" t="s">
        <v>634</v>
      </c>
      <c r="AX317" s="40" t="s">
        <v>634</v>
      </c>
      <c r="AY317" s="40"/>
      <c r="AZ317" s="40"/>
    </row>
    <row r="318" spans="1:52" s="71" customFormat="1" ht="12" thickBot="1" x14ac:dyDescent="0.2">
      <c r="A318" s="37" t="s">
        <v>114</v>
      </c>
      <c r="B318" s="38" t="s">
        <v>163</v>
      </c>
      <c r="C318" s="109" t="str">
        <f>HYPERLINK(Hoofddocument!$H$318,Hoofddocument!$G$318)</f>
        <v>Skills Lab Sales en Klantgerichtheid</v>
      </c>
      <c r="D318" s="38" t="s">
        <v>166</v>
      </c>
      <c r="E318" s="38" t="s">
        <v>12</v>
      </c>
      <c r="F318" s="38" t="s">
        <v>449</v>
      </c>
      <c r="G318" s="38" t="s">
        <v>450</v>
      </c>
      <c r="H318" s="64" t="s">
        <v>451</v>
      </c>
      <c r="I318" s="41"/>
      <c r="J318" s="39"/>
      <c r="K318" s="39"/>
      <c r="L318" s="40"/>
      <c r="M318" s="40"/>
      <c r="N318" s="40"/>
      <c r="O318" s="40"/>
      <c r="P318" s="40"/>
      <c r="Q318" s="40"/>
      <c r="R318" s="40"/>
      <c r="S318" s="39"/>
      <c r="T318" s="39"/>
      <c r="U318" s="40" t="s">
        <v>97</v>
      </c>
      <c r="V318" s="40"/>
      <c r="W318" s="40"/>
      <c r="X318" s="40"/>
      <c r="Y318" s="40"/>
      <c r="Z318" s="40"/>
      <c r="AA318" s="40"/>
      <c r="AB318" s="40"/>
      <c r="AC318" s="40" t="s">
        <v>97</v>
      </c>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row>
    <row r="319" spans="1:52" s="71" customFormat="1" ht="12" thickBot="1" x14ac:dyDescent="0.2">
      <c r="A319" s="37" t="s">
        <v>114</v>
      </c>
      <c r="B319" s="38" t="s">
        <v>163</v>
      </c>
      <c r="C319" s="109" t="str">
        <f>HYPERLINK(Hoofddocument!$H$319,Hoofddocument!$G$319)</f>
        <v>Commercieel Onderhandelen en beïnvloeden</v>
      </c>
      <c r="D319" s="38"/>
      <c r="E319" s="38" t="s">
        <v>225</v>
      </c>
      <c r="F319" s="38"/>
      <c r="G319" s="38" t="s">
        <v>699</v>
      </c>
      <c r="H319" s="64" t="s">
        <v>628</v>
      </c>
      <c r="I319" s="41"/>
      <c r="J319" s="39"/>
      <c r="K319" s="39"/>
      <c r="L319" s="40"/>
      <c r="M319" s="40"/>
      <c r="N319" s="40"/>
      <c r="O319" s="40"/>
      <c r="P319" s="40"/>
      <c r="Q319" s="40"/>
      <c r="R319" s="40"/>
      <c r="S319" s="39"/>
      <c r="T319" s="39"/>
      <c r="U319" s="40"/>
      <c r="V319" s="40"/>
      <c r="W319" s="40" t="s">
        <v>634</v>
      </c>
      <c r="X319" s="40"/>
      <c r="Y319" s="40"/>
      <c r="Z319" s="40"/>
      <c r="AA319" s="40"/>
      <c r="AB319" s="40"/>
      <c r="AC319" s="40"/>
      <c r="AD319" s="40"/>
      <c r="AE319" s="40"/>
      <c r="AF319" s="40"/>
      <c r="AG319" s="40"/>
      <c r="AH319" s="40"/>
      <c r="AI319" s="40"/>
      <c r="AJ319" s="40"/>
      <c r="AK319" s="40"/>
      <c r="AL319" s="40"/>
      <c r="AM319" s="40"/>
      <c r="AN319" s="40"/>
      <c r="AO319" s="40"/>
      <c r="AP319" s="40" t="s">
        <v>634</v>
      </c>
      <c r="AQ319" s="40" t="s">
        <v>634</v>
      </c>
      <c r="AR319" s="40" t="s">
        <v>634</v>
      </c>
      <c r="AS319" s="40" t="s">
        <v>634</v>
      </c>
      <c r="AT319" s="40" t="s">
        <v>634</v>
      </c>
      <c r="AU319" s="40" t="s">
        <v>634</v>
      </c>
      <c r="AV319" s="40" t="s">
        <v>634</v>
      </c>
      <c r="AW319" s="40"/>
      <c r="AX319" s="40"/>
      <c r="AY319" s="40"/>
      <c r="AZ319" s="40"/>
    </row>
    <row r="320" spans="1:52" s="71" customFormat="1" ht="12" thickBot="1" x14ac:dyDescent="0.2">
      <c r="A320" s="37" t="s">
        <v>114</v>
      </c>
      <c r="B320" s="38" t="s">
        <v>163</v>
      </c>
      <c r="C320" s="109" t="str">
        <f>HYPERLINK(Hoofddocument!$H$320,Hoofddocument!$G$320)</f>
        <v>Zakelijk Schrijven voor Managers en Hogeropgeleiden</v>
      </c>
      <c r="D320" s="38"/>
      <c r="E320" s="38" t="s">
        <v>225</v>
      </c>
      <c r="F320" s="44"/>
      <c r="G320" s="38" t="s">
        <v>504</v>
      </c>
      <c r="H320" s="64" t="s">
        <v>629</v>
      </c>
      <c r="I320" s="41"/>
      <c r="J320" s="39"/>
      <c r="K320" s="39"/>
      <c r="L320" s="40"/>
      <c r="M320" s="40"/>
      <c r="N320" s="40"/>
      <c r="O320" s="40"/>
      <c r="P320" s="40"/>
      <c r="Q320" s="40"/>
      <c r="R320" s="40"/>
      <c r="S320" s="39"/>
      <c r="T320" s="39"/>
      <c r="U320" s="40"/>
      <c r="V320" s="40"/>
      <c r="W320" s="40" t="s">
        <v>634</v>
      </c>
      <c r="X320" s="40" t="s">
        <v>97</v>
      </c>
      <c r="Y320" s="40"/>
      <c r="Z320" s="40"/>
      <c r="AA320" s="40"/>
      <c r="AB320" s="40" t="s">
        <v>97</v>
      </c>
      <c r="AC320" s="40"/>
      <c r="AD320" s="40"/>
      <c r="AE320" s="40"/>
      <c r="AF320" s="40"/>
      <c r="AG320" s="40"/>
      <c r="AH320" s="40"/>
      <c r="AI320" s="40"/>
      <c r="AJ320" s="40"/>
      <c r="AK320" s="40"/>
      <c r="AL320" s="40"/>
      <c r="AM320" s="40"/>
      <c r="AN320" s="40"/>
      <c r="AO320" s="40"/>
      <c r="AP320" s="40" t="s">
        <v>634</v>
      </c>
      <c r="AQ320" s="40" t="s">
        <v>634</v>
      </c>
      <c r="AR320" s="40" t="s">
        <v>634</v>
      </c>
      <c r="AS320" s="40" t="s">
        <v>634</v>
      </c>
      <c r="AT320" s="40" t="s">
        <v>634</v>
      </c>
      <c r="AU320" s="40" t="s">
        <v>634</v>
      </c>
      <c r="AV320" s="40" t="s">
        <v>634</v>
      </c>
      <c r="AW320" s="40"/>
      <c r="AX320" s="40"/>
      <c r="AY320" s="40"/>
      <c r="AZ320" s="40"/>
    </row>
    <row r="321" spans="1:52" s="71" customFormat="1" ht="12" thickBot="1" x14ac:dyDescent="0.2">
      <c r="A321" s="37" t="s">
        <v>114</v>
      </c>
      <c r="B321" s="38" t="s">
        <v>163</v>
      </c>
      <c r="C321" s="109" t="str">
        <f>HYPERLINK(Hoofddocument!$H$321,Hoofddocument!$G$321)</f>
        <v>Klantgericht Telefoneren</v>
      </c>
      <c r="D321" s="38" t="s">
        <v>166</v>
      </c>
      <c r="E321" s="38" t="s">
        <v>12</v>
      </c>
      <c r="F321" s="38" t="s">
        <v>784</v>
      </c>
      <c r="G321" s="38" t="s">
        <v>854</v>
      </c>
      <c r="H321" s="64" t="s">
        <v>918</v>
      </c>
      <c r="I321" s="41"/>
      <c r="J321" s="39"/>
      <c r="K321" s="39"/>
      <c r="L321" s="40"/>
      <c r="M321" s="40"/>
      <c r="N321" s="40"/>
      <c r="O321" s="40"/>
      <c r="P321" s="40"/>
      <c r="Q321" s="40"/>
      <c r="R321" s="40"/>
      <c r="S321" s="39"/>
      <c r="T321" s="39"/>
      <c r="U321" s="40"/>
      <c r="V321" s="40"/>
      <c r="W321" s="40"/>
      <c r="X321" s="40"/>
      <c r="Y321" s="40"/>
      <c r="Z321" s="40"/>
      <c r="AA321" s="40"/>
      <c r="AB321" s="40"/>
      <c r="AC321" s="40"/>
      <c r="AD321" s="40"/>
      <c r="AE321" s="40"/>
      <c r="AF321" s="40"/>
      <c r="AG321" s="40"/>
      <c r="AH321" s="40"/>
      <c r="AI321" s="40"/>
      <c r="AJ321" s="40" t="s">
        <v>97</v>
      </c>
      <c r="AK321" s="40"/>
      <c r="AL321" s="40"/>
      <c r="AM321" s="40"/>
      <c r="AN321" s="40"/>
      <c r="AO321" s="40"/>
      <c r="AP321" s="40"/>
      <c r="AQ321" s="40"/>
      <c r="AR321" s="40"/>
      <c r="AS321" s="40"/>
      <c r="AT321" s="40"/>
      <c r="AU321" s="40"/>
      <c r="AV321" s="40"/>
      <c r="AW321" s="40"/>
      <c r="AX321" s="40"/>
      <c r="AY321" s="40"/>
      <c r="AZ321" s="40"/>
    </row>
    <row r="322" spans="1:52" s="71" customFormat="1" ht="12" thickBot="1" x14ac:dyDescent="0.2">
      <c r="A322" s="37" t="s">
        <v>114</v>
      </c>
      <c r="B322" s="38" t="s">
        <v>26</v>
      </c>
      <c r="C322" s="109" t="str">
        <f>HYPERLINK(Hoofddocument!$H$322,Hoofddocument!$G$322)</f>
        <v>Resultaten Bereiken met je Team</v>
      </c>
      <c r="D322" s="38" t="s">
        <v>166</v>
      </c>
      <c r="E322" s="38" t="s">
        <v>12</v>
      </c>
      <c r="F322" s="38" t="s">
        <v>169</v>
      </c>
      <c r="G322" s="38" t="s">
        <v>170</v>
      </c>
      <c r="H322" s="64" t="s">
        <v>242</v>
      </c>
      <c r="I322" s="41" t="s">
        <v>97</v>
      </c>
      <c r="J322" s="39" t="s">
        <v>97</v>
      </c>
      <c r="K322" s="39"/>
      <c r="L322" s="40"/>
      <c r="M322" s="40" t="s">
        <v>97</v>
      </c>
      <c r="N322" s="40" t="s">
        <v>97</v>
      </c>
      <c r="O322" s="40" t="s">
        <v>97</v>
      </c>
      <c r="P322" s="40" t="s">
        <v>97</v>
      </c>
      <c r="Q322" s="40" t="s">
        <v>97</v>
      </c>
      <c r="R322" s="40" t="s">
        <v>97</v>
      </c>
      <c r="S322" s="39" t="s">
        <v>97</v>
      </c>
      <c r="T322" s="39"/>
      <c r="U322" s="40" t="s">
        <v>97</v>
      </c>
      <c r="V322" s="40"/>
      <c r="W322" s="40"/>
      <c r="X322" s="40"/>
      <c r="Y322" s="40"/>
      <c r="Z322" s="40"/>
      <c r="AA322" s="40" t="s">
        <v>97</v>
      </c>
      <c r="AB322" s="40"/>
      <c r="AC322" s="40" t="s">
        <v>634</v>
      </c>
      <c r="AD322" s="40"/>
      <c r="AE322" s="40"/>
      <c r="AF322" s="40" t="s">
        <v>634</v>
      </c>
      <c r="AG322" s="40"/>
      <c r="AH322" s="40" t="s">
        <v>97</v>
      </c>
      <c r="AI322" s="40" t="s">
        <v>97</v>
      </c>
      <c r="AJ322" s="40"/>
      <c r="AK322" s="40"/>
      <c r="AL322" s="40" t="s">
        <v>634</v>
      </c>
      <c r="AM322" s="40"/>
      <c r="AN322" s="40" t="s">
        <v>97</v>
      </c>
      <c r="AO322" s="40" t="s">
        <v>97</v>
      </c>
      <c r="AP322" s="40"/>
      <c r="AQ322" s="40"/>
      <c r="AR322" s="40"/>
      <c r="AS322" s="40"/>
      <c r="AT322" s="40"/>
      <c r="AU322" s="40"/>
      <c r="AV322" s="40"/>
      <c r="AW322" s="40" t="s">
        <v>97</v>
      </c>
      <c r="AX322" s="40" t="s">
        <v>97</v>
      </c>
      <c r="AY322" s="40"/>
      <c r="AZ322" s="40"/>
    </row>
    <row r="323" spans="1:52" s="71" customFormat="1" ht="12" thickBot="1" x14ac:dyDescent="0.2">
      <c r="A323" s="37" t="s">
        <v>114</v>
      </c>
      <c r="B323" s="38" t="s">
        <v>26</v>
      </c>
      <c r="C323" s="109" t="str">
        <f>HYPERLINK(Hoofddocument!$H$323,Hoofddocument!$G$323)</f>
        <v>Effectief Regie Voeren</v>
      </c>
      <c r="D323" s="38" t="s">
        <v>166</v>
      </c>
      <c r="E323" s="38" t="s">
        <v>12</v>
      </c>
      <c r="F323" s="38" t="s">
        <v>167</v>
      </c>
      <c r="G323" s="38" t="s">
        <v>168</v>
      </c>
      <c r="H323" s="64" t="s">
        <v>520</v>
      </c>
      <c r="I323" s="41"/>
      <c r="J323" s="39" t="s">
        <v>97</v>
      </c>
      <c r="K323" s="39"/>
      <c r="L323" s="40"/>
      <c r="M323" s="40"/>
      <c r="N323" s="40"/>
      <c r="O323" s="40"/>
      <c r="P323" s="40"/>
      <c r="Q323" s="40"/>
      <c r="R323" s="40"/>
      <c r="S323" s="39"/>
      <c r="T323" s="39"/>
      <c r="U323" s="40"/>
      <c r="V323" s="40" t="s">
        <v>634</v>
      </c>
      <c r="W323" s="40" t="s">
        <v>634</v>
      </c>
      <c r="X323" s="40" t="s">
        <v>97</v>
      </c>
      <c r="Y323" s="40"/>
      <c r="Z323" s="40"/>
      <c r="AA323" s="40"/>
      <c r="AB323" s="40" t="s">
        <v>97</v>
      </c>
      <c r="AC323" s="40"/>
      <c r="AD323" s="40"/>
      <c r="AE323" s="40"/>
      <c r="AF323" s="40"/>
      <c r="AG323" s="40" t="s">
        <v>949</v>
      </c>
      <c r="AH323" s="40"/>
      <c r="AI323" s="40"/>
      <c r="AJ323" s="40"/>
      <c r="AK323" s="40" t="s">
        <v>97</v>
      </c>
      <c r="AL323" s="40"/>
      <c r="AM323" s="40"/>
      <c r="AN323" s="40"/>
      <c r="AO323" s="40"/>
      <c r="AP323" s="40" t="s">
        <v>634</v>
      </c>
      <c r="AQ323" s="40" t="s">
        <v>634</v>
      </c>
      <c r="AR323" s="40" t="s">
        <v>634</v>
      </c>
      <c r="AS323" s="40" t="s">
        <v>634</v>
      </c>
      <c r="AT323" s="40" t="s">
        <v>634</v>
      </c>
      <c r="AU323" s="40" t="s">
        <v>634</v>
      </c>
      <c r="AV323" s="40" t="s">
        <v>634</v>
      </c>
      <c r="AW323" s="40"/>
      <c r="AX323" s="40"/>
      <c r="AY323" s="40"/>
      <c r="AZ323" s="40"/>
    </row>
    <row r="324" spans="1:52" s="71" customFormat="1" ht="12" thickBot="1" x14ac:dyDescent="0.2">
      <c r="A324" s="37" t="s">
        <v>114</v>
      </c>
      <c r="B324" s="38" t="s">
        <v>26</v>
      </c>
      <c r="C324" s="109" t="str">
        <f>HYPERLINK(Hoofddocument!$H$324,Hoofddocument!$G$324)</f>
        <v>Training Creativiteit en Resultaat</v>
      </c>
      <c r="D324" s="38"/>
      <c r="E324" s="38" t="s">
        <v>225</v>
      </c>
      <c r="F324" s="38"/>
      <c r="G324" s="38" t="s">
        <v>226</v>
      </c>
      <c r="H324" s="64" t="s">
        <v>227</v>
      </c>
      <c r="I324" s="41"/>
      <c r="J324" s="39"/>
      <c r="K324" s="39"/>
      <c r="L324" s="40"/>
      <c r="M324" s="40"/>
      <c r="N324" s="40"/>
      <c r="O324" s="40"/>
      <c r="P324" s="40"/>
      <c r="Q324" s="40"/>
      <c r="R324" s="40"/>
      <c r="S324" s="39"/>
      <c r="T324" s="39"/>
      <c r="U324" s="40"/>
      <c r="V324" s="40"/>
      <c r="W324" s="40" t="s">
        <v>634</v>
      </c>
      <c r="X324" s="40"/>
      <c r="Y324" s="40"/>
      <c r="Z324" s="40"/>
      <c r="AA324" s="40"/>
      <c r="AB324" s="40"/>
      <c r="AC324" s="40"/>
      <c r="AD324" s="40"/>
      <c r="AE324" s="40"/>
      <c r="AF324" s="40"/>
      <c r="AG324" s="40"/>
      <c r="AH324" s="40"/>
      <c r="AI324" s="40"/>
      <c r="AJ324" s="40"/>
      <c r="AK324" s="40"/>
      <c r="AL324" s="40"/>
      <c r="AM324" s="40" t="s">
        <v>634</v>
      </c>
      <c r="AN324" s="40"/>
      <c r="AO324" s="40"/>
      <c r="AP324" s="40" t="s">
        <v>634</v>
      </c>
      <c r="AQ324" s="40" t="s">
        <v>634</v>
      </c>
      <c r="AR324" s="40" t="s">
        <v>634</v>
      </c>
      <c r="AS324" s="40" t="s">
        <v>634</v>
      </c>
      <c r="AT324" s="40" t="s">
        <v>634</v>
      </c>
      <c r="AU324" s="40" t="s">
        <v>634</v>
      </c>
      <c r="AV324" s="40" t="s">
        <v>634</v>
      </c>
      <c r="AW324" s="40"/>
      <c r="AX324" s="40"/>
      <c r="AY324" s="40"/>
      <c r="AZ324" s="40"/>
    </row>
    <row r="325" spans="1:52" s="71" customFormat="1" ht="12" thickBot="1" x14ac:dyDescent="0.2">
      <c r="A325" s="37" t="s">
        <v>114</v>
      </c>
      <c r="B325" s="38" t="s">
        <v>26</v>
      </c>
      <c r="C325" s="109" t="str">
        <f>HYPERLINK(Hoofddocument!$H$325,Hoofddocument!$G$325)</f>
        <v>Creatief Denken en Doen</v>
      </c>
      <c r="D325" s="38" t="s">
        <v>166</v>
      </c>
      <c r="E325" s="38" t="s">
        <v>12</v>
      </c>
      <c r="F325" s="38" t="s">
        <v>228</v>
      </c>
      <c r="G325" s="38" t="s">
        <v>229</v>
      </c>
      <c r="H325" s="64" t="s">
        <v>542</v>
      </c>
      <c r="I325" s="41"/>
      <c r="J325" s="39"/>
      <c r="K325" s="39"/>
      <c r="L325" s="40"/>
      <c r="M325" s="40"/>
      <c r="N325" s="40"/>
      <c r="O325" s="40"/>
      <c r="P325" s="40"/>
      <c r="Q325" s="40"/>
      <c r="R325" s="40"/>
      <c r="S325" s="39"/>
      <c r="T325" s="39"/>
      <c r="U325" s="40"/>
      <c r="V325" s="40"/>
      <c r="W325" s="40"/>
      <c r="X325" s="40"/>
      <c r="Y325" s="40" t="s">
        <v>97</v>
      </c>
      <c r="Z325" s="40" t="s">
        <v>97</v>
      </c>
      <c r="AA325" s="40"/>
      <c r="AB325" s="40"/>
      <c r="AC325" s="40"/>
      <c r="AD325" s="40"/>
      <c r="AE325" s="40"/>
      <c r="AF325" s="40"/>
      <c r="AG325" s="40"/>
      <c r="AH325" s="40"/>
      <c r="AI325" s="40"/>
      <c r="AJ325" s="40"/>
      <c r="AK325" s="40"/>
      <c r="AL325" s="40"/>
      <c r="AM325" s="40"/>
      <c r="AN325" s="40"/>
      <c r="AO325" s="40"/>
      <c r="AP325" s="40"/>
      <c r="AQ325" s="40"/>
      <c r="AR325" s="40"/>
      <c r="AS325" s="40"/>
      <c r="AT325" s="40"/>
      <c r="AU325" s="40"/>
      <c r="AV325" s="40"/>
      <c r="AW325" s="40"/>
      <c r="AX325" s="40"/>
      <c r="AY325" s="40"/>
      <c r="AZ325" s="40"/>
    </row>
    <row r="326" spans="1:52" s="71" customFormat="1" ht="12" thickBot="1" x14ac:dyDescent="0.2">
      <c r="A326" s="37" t="s">
        <v>114</v>
      </c>
      <c r="B326" s="38" t="s">
        <v>26</v>
      </c>
      <c r="C326" s="109" t="str">
        <f>HYPERLINK(Hoofddocument!$H$326,Hoofddocument!$G$326)</f>
        <v>Masterclass Performancemanagement</v>
      </c>
      <c r="D326" s="38"/>
      <c r="E326" s="38" t="s">
        <v>785</v>
      </c>
      <c r="F326" s="38"/>
      <c r="G326" s="38" t="s">
        <v>855</v>
      </c>
      <c r="H326" s="64" t="s">
        <v>919</v>
      </c>
      <c r="I326" s="41"/>
      <c r="J326" s="39"/>
      <c r="K326" s="39"/>
      <c r="L326" s="40"/>
      <c r="M326" s="40"/>
      <c r="N326" s="40"/>
      <c r="O326" s="40"/>
      <c r="P326" s="40"/>
      <c r="Q326" s="40"/>
      <c r="R326" s="40"/>
      <c r="S326" s="39"/>
      <c r="T326" s="39"/>
      <c r="U326" s="40"/>
      <c r="V326" s="40"/>
      <c r="W326" s="40"/>
      <c r="X326" s="40"/>
      <c r="Y326" s="40"/>
      <c r="Z326" s="40"/>
      <c r="AA326" s="40"/>
      <c r="AB326" s="40"/>
      <c r="AC326" s="40" t="s">
        <v>97</v>
      </c>
      <c r="AD326" s="40"/>
      <c r="AE326" s="40"/>
      <c r="AF326" s="40"/>
      <c r="AG326" s="40"/>
      <c r="AH326" s="40"/>
      <c r="AI326" s="40"/>
      <c r="AJ326" s="40"/>
      <c r="AK326" s="40"/>
      <c r="AL326" s="40"/>
      <c r="AM326" s="40"/>
      <c r="AN326" s="40"/>
      <c r="AO326" s="40"/>
      <c r="AP326" s="40"/>
      <c r="AQ326" s="40"/>
      <c r="AR326" s="40"/>
      <c r="AS326" s="40"/>
      <c r="AT326" s="40"/>
      <c r="AU326" s="40"/>
      <c r="AV326" s="40"/>
      <c r="AW326" s="40"/>
      <c r="AX326" s="40"/>
      <c r="AY326" s="40"/>
      <c r="AZ326" s="40"/>
    </row>
    <row r="327" spans="1:52" s="71" customFormat="1" ht="12" thickBot="1" x14ac:dyDescent="0.2">
      <c r="A327" s="37" t="s">
        <v>114</v>
      </c>
      <c r="B327" s="38" t="s">
        <v>26</v>
      </c>
      <c r="C327" s="109" t="str">
        <f>HYPERLINK(Hoofddocument!$H$327,Hoofddocument!$G$327)</f>
        <v>Persoonlijke Effectiviteit</v>
      </c>
      <c r="D327" s="38" t="s">
        <v>166</v>
      </c>
      <c r="E327" s="38" t="s">
        <v>12</v>
      </c>
      <c r="F327" s="38" t="s">
        <v>479</v>
      </c>
      <c r="G327" s="38" t="s">
        <v>856</v>
      </c>
      <c r="H327" s="55" t="s">
        <v>618</v>
      </c>
      <c r="I327" s="41"/>
      <c r="J327" s="39"/>
      <c r="K327" s="39"/>
      <c r="L327" s="40"/>
      <c r="M327" s="40"/>
      <c r="N327" s="40"/>
      <c r="O327" s="40"/>
      <c r="P327" s="40"/>
      <c r="Q327" s="40"/>
      <c r="R327" s="40"/>
      <c r="S327" s="39"/>
      <c r="T327" s="39"/>
      <c r="U327" s="40"/>
      <c r="V327" s="40"/>
      <c r="W327" s="40"/>
      <c r="X327" s="40"/>
      <c r="Y327" s="40"/>
      <c r="Z327" s="40"/>
      <c r="AA327" s="40"/>
      <c r="AB327" s="40"/>
      <c r="AC327" s="40"/>
      <c r="AD327" s="40"/>
      <c r="AE327" s="40"/>
      <c r="AF327" s="40"/>
      <c r="AG327" s="40"/>
      <c r="AH327" s="40"/>
      <c r="AI327" s="40"/>
      <c r="AJ327" s="40" t="s">
        <v>97</v>
      </c>
      <c r="AK327" s="40"/>
      <c r="AL327" s="40"/>
      <c r="AM327" s="40"/>
      <c r="AN327" s="40"/>
      <c r="AO327" s="40"/>
      <c r="AP327" s="40"/>
      <c r="AQ327" s="40"/>
      <c r="AR327" s="40"/>
      <c r="AS327" s="40"/>
      <c r="AT327" s="40"/>
      <c r="AU327" s="40"/>
      <c r="AV327" s="40"/>
      <c r="AW327" s="40"/>
      <c r="AX327" s="40"/>
      <c r="AY327" s="40"/>
      <c r="AZ327" s="40"/>
    </row>
    <row r="328" spans="1:52" s="71" customFormat="1" ht="12" thickBot="1" x14ac:dyDescent="0.2">
      <c r="A328" s="37" t="s">
        <v>114</v>
      </c>
      <c r="B328" s="38" t="s">
        <v>27</v>
      </c>
      <c r="C328" s="109" t="str">
        <f>HYPERLINK(Hoofddocument!$H$328,Hoofddocument!$G$328)</f>
        <v>Effectieve gespreksvaardigheden</v>
      </c>
      <c r="D328" s="38" t="s">
        <v>166</v>
      </c>
      <c r="E328" s="38" t="s">
        <v>12</v>
      </c>
      <c r="F328" s="38" t="s">
        <v>198</v>
      </c>
      <c r="G328" s="38" t="s">
        <v>422</v>
      </c>
      <c r="H328" s="64" t="s">
        <v>528</v>
      </c>
      <c r="I328" s="41"/>
      <c r="J328" s="39"/>
      <c r="K328" s="39"/>
      <c r="L328" s="40"/>
      <c r="M328" s="40"/>
      <c r="N328" s="40"/>
      <c r="O328" s="40"/>
      <c r="P328" s="40"/>
      <c r="Q328" s="40"/>
      <c r="R328" s="40"/>
      <c r="S328" s="39"/>
      <c r="T328" s="39" t="s">
        <v>97</v>
      </c>
      <c r="U328" s="40"/>
      <c r="V328" s="40"/>
      <c r="W328" s="40"/>
      <c r="X328" s="40"/>
      <c r="Y328" s="40"/>
      <c r="Z328" s="40"/>
      <c r="AA328" s="40"/>
      <c r="AB328" s="40"/>
      <c r="AC328" s="40" t="s">
        <v>97</v>
      </c>
      <c r="AD328" s="40"/>
      <c r="AE328" s="40"/>
      <c r="AF328" s="40" t="s">
        <v>97</v>
      </c>
      <c r="AG328" s="40"/>
      <c r="AH328" s="40"/>
      <c r="AI328" s="40"/>
      <c r="AJ328" s="40"/>
      <c r="AK328" s="40"/>
      <c r="AL328" s="40"/>
      <c r="AM328" s="40"/>
      <c r="AN328" s="40"/>
      <c r="AO328" s="40"/>
      <c r="AP328" s="40"/>
      <c r="AQ328" s="40"/>
      <c r="AR328" s="40"/>
      <c r="AS328" s="40"/>
      <c r="AT328" s="40"/>
      <c r="AU328" s="40"/>
      <c r="AV328" s="40"/>
      <c r="AW328" s="40"/>
      <c r="AX328" s="40"/>
      <c r="AY328" s="40"/>
      <c r="AZ328" s="40"/>
    </row>
    <row r="329" spans="1:52" s="71" customFormat="1" ht="12" thickBot="1" x14ac:dyDescent="0.2">
      <c r="A329" s="37" t="s">
        <v>114</v>
      </c>
      <c r="B329" s="38" t="s">
        <v>27</v>
      </c>
      <c r="C329" s="109" t="str">
        <f>HYPERLINK(Hoofddocument!$H$329,Hoofddocument!$G$329)</f>
        <v>Verbindende Communicatie</v>
      </c>
      <c r="D329" s="38" t="s">
        <v>166</v>
      </c>
      <c r="E329" s="38" t="s">
        <v>12</v>
      </c>
      <c r="F329" s="44" t="s">
        <v>477</v>
      </c>
      <c r="G329" s="38" t="s">
        <v>478</v>
      </c>
      <c r="H329" s="64" t="s">
        <v>603</v>
      </c>
      <c r="I329" s="41"/>
      <c r="J329" s="39"/>
      <c r="K329" s="39"/>
      <c r="L329" s="40"/>
      <c r="M329" s="40"/>
      <c r="N329" s="40"/>
      <c r="O329" s="40"/>
      <c r="P329" s="40"/>
      <c r="Q329" s="40"/>
      <c r="R329" s="40"/>
      <c r="S329" s="39"/>
      <c r="T329" s="39" t="s">
        <v>97</v>
      </c>
      <c r="U329" s="40"/>
      <c r="V329" s="40"/>
      <c r="W329" s="40"/>
      <c r="X329" s="40"/>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row>
    <row r="330" spans="1:52" s="71" customFormat="1" ht="12" thickBot="1" x14ac:dyDescent="0.2">
      <c r="A330" s="37" t="s">
        <v>114</v>
      </c>
      <c r="B330" s="38" t="s">
        <v>27</v>
      </c>
      <c r="C330" s="109" t="str">
        <f>HYPERLINK(Hoofddocument!$H$330,Hoofddocument!$G$330)</f>
        <v>Interne Communicatie en Samenwerking</v>
      </c>
      <c r="D330" s="38" t="s">
        <v>166</v>
      </c>
      <c r="E330" s="38" t="s">
        <v>12</v>
      </c>
      <c r="F330" s="38" t="s">
        <v>175</v>
      </c>
      <c r="G330" s="38" t="s">
        <v>176</v>
      </c>
      <c r="H330" s="64" t="s">
        <v>348</v>
      </c>
      <c r="I330" s="41"/>
      <c r="J330" s="39"/>
      <c r="K330" s="39"/>
      <c r="L330" s="40"/>
      <c r="M330" s="40"/>
      <c r="N330" s="40"/>
      <c r="O330" s="40"/>
      <c r="P330" s="40"/>
      <c r="Q330" s="40"/>
      <c r="R330" s="40"/>
      <c r="S330" s="39"/>
      <c r="T330" s="39" t="s">
        <v>97</v>
      </c>
      <c r="U330" s="40"/>
      <c r="V330" s="40"/>
      <c r="W330" s="40" t="s">
        <v>97</v>
      </c>
      <c r="X330" s="40"/>
      <c r="Y330" s="40" t="s">
        <v>97</v>
      </c>
      <c r="Z330" s="40" t="s">
        <v>97</v>
      </c>
      <c r="AA330" s="40"/>
      <c r="AB330" s="40"/>
      <c r="AC330" s="40"/>
      <c r="AD330" s="40" t="s">
        <v>634</v>
      </c>
      <c r="AE330" s="40" t="s">
        <v>634</v>
      </c>
      <c r="AF330" s="40"/>
      <c r="AG330" s="40"/>
      <c r="AH330" s="40"/>
      <c r="AI330" s="40"/>
      <c r="AJ330" s="40" t="s">
        <v>97</v>
      </c>
      <c r="AK330" s="40"/>
      <c r="AL330" s="40"/>
      <c r="AM330" s="40"/>
      <c r="AN330" s="40" t="s">
        <v>634</v>
      </c>
      <c r="AO330" s="40" t="s">
        <v>634</v>
      </c>
      <c r="AP330" s="40"/>
      <c r="AQ330" s="40"/>
      <c r="AR330" s="40"/>
      <c r="AS330" s="40"/>
      <c r="AT330" s="40"/>
      <c r="AU330" s="40"/>
      <c r="AV330" s="40"/>
      <c r="AW330" s="40"/>
      <c r="AX330" s="40"/>
      <c r="AY330" s="40"/>
      <c r="AZ330" s="40"/>
    </row>
    <row r="331" spans="1:52" s="71" customFormat="1" ht="12" thickBot="1" x14ac:dyDescent="0.2">
      <c r="A331" s="37" t="s">
        <v>114</v>
      </c>
      <c r="B331" s="38" t="s">
        <v>27</v>
      </c>
      <c r="C331" s="109" t="str">
        <f>HYPERLINK(Hoofddocument!$H$331,Hoofddocument!$G$331)</f>
        <v>Effectief Communiceren met NLP</v>
      </c>
      <c r="D331" s="38" t="s">
        <v>166</v>
      </c>
      <c r="E331" s="38" t="s">
        <v>12</v>
      </c>
      <c r="F331" s="38" t="s">
        <v>196</v>
      </c>
      <c r="G331" s="38" t="s">
        <v>197</v>
      </c>
      <c r="H331" s="64" t="s">
        <v>251</v>
      </c>
      <c r="I331" s="41"/>
      <c r="J331" s="39"/>
      <c r="K331" s="39"/>
      <c r="L331" s="40"/>
      <c r="M331" s="40"/>
      <c r="N331" s="40"/>
      <c r="O331" s="40"/>
      <c r="P331" s="40"/>
      <c r="Q331" s="40" t="s">
        <v>634</v>
      </c>
      <c r="R331" s="40" t="s">
        <v>97</v>
      </c>
      <c r="S331" s="39" t="s">
        <v>97</v>
      </c>
      <c r="T331" s="39" t="s">
        <v>634</v>
      </c>
      <c r="U331" s="40" t="s">
        <v>634</v>
      </c>
      <c r="V331" s="40"/>
      <c r="W331" s="40"/>
      <c r="X331" s="40"/>
      <c r="Y331" s="40"/>
      <c r="Z331" s="40"/>
      <c r="AA331" s="40"/>
      <c r="AB331" s="40"/>
      <c r="AC331" s="40"/>
      <c r="AD331" s="40"/>
      <c r="AE331" s="40"/>
      <c r="AF331" s="40"/>
      <c r="AG331" s="40"/>
      <c r="AH331" s="40"/>
      <c r="AI331" s="40"/>
      <c r="AJ331" s="40"/>
      <c r="AK331" s="40"/>
      <c r="AL331" s="40" t="s">
        <v>634</v>
      </c>
      <c r="AM331" s="40"/>
      <c r="AN331" s="40"/>
      <c r="AO331" s="40"/>
      <c r="AP331" s="40"/>
      <c r="AQ331" s="40"/>
      <c r="AR331" s="40"/>
      <c r="AS331" s="40"/>
      <c r="AT331" s="40"/>
      <c r="AU331" s="40"/>
      <c r="AV331" s="40"/>
      <c r="AW331" s="40"/>
      <c r="AX331" s="40"/>
      <c r="AY331" s="40"/>
      <c r="AZ331" s="40"/>
    </row>
    <row r="332" spans="1:52" s="71" customFormat="1" ht="12" thickBot="1" x14ac:dyDescent="0.2">
      <c r="A332" s="37" t="s">
        <v>114</v>
      </c>
      <c r="B332" s="38" t="s">
        <v>27</v>
      </c>
      <c r="C332" s="109" t="str">
        <f>HYPERLINK(Hoofddocument!$H$332,Hoofddocument!$G$332)</f>
        <v>Effectief Samenwerken in Teams</v>
      </c>
      <c r="D332" s="38" t="s">
        <v>166</v>
      </c>
      <c r="E332" s="38" t="s">
        <v>12</v>
      </c>
      <c r="F332" s="38" t="s">
        <v>267</v>
      </c>
      <c r="G332" s="38" t="s">
        <v>268</v>
      </c>
      <c r="H332" s="64" t="s">
        <v>269</v>
      </c>
      <c r="I332" s="41"/>
      <c r="J332" s="39"/>
      <c r="K332" s="39"/>
      <c r="L332" s="40" t="s">
        <v>634</v>
      </c>
      <c r="M332" s="40"/>
      <c r="N332" s="40"/>
      <c r="O332" s="40"/>
      <c r="P332" s="40"/>
      <c r="Q332" s="40"/>
      <c r="R332" s="40"/>
      <c r="S332" s="40"/>
      <c r="T332" s="40" t="s">
        <v>97</v>
      </c>
      <c r="U332" s="40"/>
      <c r="V332" s="40"/>
      <c r="W332" s="40"/>
      <c r="X332" s="40"/>
      <c r="Y332" s="40"/>
      <c r="Z332" s="40"/>
      <c r="AA332" s="40"/>
      <c r="AB332" s="40"/>
      <c r="AC332" s="40"/>
      <c r="AD332" s="40" t="s">
        <v>634</v>
      </c>
      <c r="AE332" s="40" t="s">
        <v>634</v>
      </c>
      <c r="AF332" s="40"/>
      <c r="AG332" s="40"/>
      <c r="AH332" s="40"/>
      <c r="AI332" s="40"/>
      <c r="AJ332" s="40"/>
      <c r="AK332" s="40"/>
      <c r="AL332" s="40"/>
      <c r="AM332" s="40"/>
      <c r="AN332" s="40"/>
      <c r="AO332" s="40"/>
      <c r="AP332" s="40"/>
      <c r="AQ332" s="40"/>
      <c r="AR332" s="40"/>
      <c r="AS332" s="40"/>
      <c r="AT332" s="40"/>
      <c r="AU332" s="40"/>
      <c r="AV332" s="40"/>
      <c r="AW332" s="40"/>
      <c r="AX332" s="40"/>
      <c r="AY332" s="40"/>
      <c r="AZ332" s="40"/>
    </row>
    <row r="333" spans="1:52" s="71" customFormat="1" ht="12" thickBot="1" x14ac:dyDescent="0.2">
      <c r="A333" s="37" t="s">
        <v>114</v>
      </c>
      <c r="B333" s="38" t="s">
        <v>27</v>
      </c>
      <c r="C333" s="109" t="str">
        <f>HYPERLINK(Hoofddocument!$H$333,Hoofddocument!$G$333)</f>
        <v>Basisopleiding coaching</v>
      </c>
      <c r="D333" s="38" t="s">
        <v>166</v>
      </c>
      <c r="E333" s="38" t="s">
        <v>12</v>
      </c>
      <c r="F333" s="38" t="s">
        <v>425</v>
      </c>
      <c r="G333" s="38" t="s">
        <v>426</v>
      </c>
      <c r="H333" s="64" t="s">
        <v>604</v>
      </c>
      <c r="I333" s="41"/>
      <c r="J333" s="39"/>
      <c r="K333" s="39"/>
      <c r="L333" s="40"/>
      <c r="M333" s="40"/>
      <c r="N333" s="40"/>
      <c r="O333" s="40"/>
      <c r="P333" s="40"/>
      <c r="Q333" s="40"/>
      <c r="R333" s="40"/>
      <c r="S333" s="40"/>
      <c r="T333" s="40" t="s">
        <v>634</v>
      </c>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row>
    <row r="334" spans="1:52" s="71" customFormat="1" ht="12" thickBot="1" x14ac:dyDescent="0.2">
      <c r="A334" s="37" t="s">
        <v>114</v>
      </c>
      <c r="B334" s="38" t="s">
        <v>27</v>
      </c>
      <c r="C334" s="109" t="str">
        <f>HYPERLINK(Hoofddocument!$H$334,Hoofddocument!$G$334)</f>
        <v>Feedback Geven en Ontvangen</v>
      </c>
      <c r="D334" s="38" t="s">
        <v>166</v>
      </c>
      <c r="E334" s="38" t="s">
        <v>12</v>
      </c>
      <c r="F334" s="38" t="s">
        <v>13</v>
      </c>
      <c r="G334" s="38" t="s">
        <v>233</v>
      </c>
      <c r="H334" s="64" t="s">
        <v>502</v>
      </c>
      <c r="I334" s="41"/>
      <c r="J334" s="39"/>
      <c r="K334" s="39"/>
      <c r="L334" s="40" t="s">
        <v>97</v>
      </c>
      <c r="M334" s="40"/>
      <c r="N334" s="40"/>
      <c r="O334" s="40"/>
      <c r="P334" s="40"/>
      <c r="Q334" s="40" t="s">
        <v>634</v>
      </c>
      <c r="R334" s="40"/>
      <c r="S334" s="40"/>
      <c r="T334" s="40" t="s">
        <v>97</v>
      </c>
      <c r="U334" s="40"/>
      <c r="V334" s="40"/>
      <c r="W334" s="40" t="s">
        <v>634</v>
      </c>
      <c r="X334" s="40"/>
      <c r="Y334" s="40"/>
      <c r="Z334" s="40"/>
      <c r="AA334" s="40" t="s">
        <v>97</v>
      </c>
      <c r="AB334" s="40"/>
      <c r="AC334" s="40"/>
      <c r="AD334" s="40" t="s">
        <v>97</v>
      </c>
      <c r="AE334" s="40" t="s">
        <v>97</v>
      </c>
      <c r="AF334" s="40"/>
      <c r="AG334" s="40"/>
      <c r="AH334" s="40"/>
      <c r="AI334" s="40"/>
      <c r="AJ334" s="40" t="s">
        <v>97</v>
      </c>
      <c r="AK334" s="40"/>
      <c r="AL334" s="40"/>
      <c r="AM334" s="40"/>
      <c r="AN334" s="40"/>
      <c r="AO334" s="40"/>
      <c r="AP334" s="40" t="s">
        <v>634</v>
      </c>
      <c r="AQ334" s="40" t="s">
        <v>634</v>
      </c>
      <c r="AR334" s="40" t="s">
        <v>634</v>
      </c>
      <c r="AS334" s="40" t="s">
        <v>634</v>
      </c>
      <c r="AT334" s="40" t="s">
        <v>634</v>
      </c>
      <c r="AU334" s="40" t="s">
        <v>634</v>
      </c>
      <c r="AV334" s="40" t="s">
        <v>634</v>
      </c>
      <c r="AW334" s="40"/>
      <c r="AX334" s="40"/>
      <c r="AY334" s="40"/>
      <c r="AZ334" s="40"/>
    </row>
    <row r="335" spans="1:52" s="71" customFormat="1" ht="12" thickBot="1" x14ac:dyDescent="0.2">
      <c r="A335" s="37" t="s">
        <v>114</v>
      </c>
      <c r="B335" s="38" t="s">
        <v>27</v>
      </c>
      <c r="C335" s="109" t="str">
        <f>HYPERLINK(Hoofddocument!$H$335,Hoofddocument!$G$335)</f>
        <v>Masterclass Effectief Beïnvloeden en Overtuigen</v>
      </c>
      <c r="D335" s="38" t="s">
        <v>166</v>
      </c>
      <c r="E335" s="38" t="s">
        <v>12</v>
      </c>
      <c r="F335" s="38" t="s">
        <v>330</v>
      </c>
      <c r="G335" s="38" t="s">
        <v>331</v>
      </c>
      <c r="H335" s="49" t="s">
        <v>115</v>
      </c>
      <c r="I335" s="41"/>
      <c r="J335" s="39"/>
      <c r="K335" s="39"/>
      <c r="L335" s="40"/>
      <c r="M335" s="40" t="s">
        <v>97</v>
      </c>
      <c r="N335" s="40" t="s">
        <v>97</v>
      </c>
      <c r="O335" s="40" t="s">
        <v>97</v>
      </c>
      <c r="P335" s="40" t="s">
        <v>97</v>
      </c>
      <c r="Q335" s="40"/>
      <c r="R335" s="40"/>
      <c r="S335" s="40"/>
      <c r="T335" s="40"/>
      <c r="U335" s="40"/>
      <c r="V335" s="40"/>
      <c r="W335" s="40"/>
      <c r="X335" s="40"/>
      <c r="Y335" s="40"/>
      <c r="Z335" s="40"/>
      <c r="AA335" s="40"/>
      <c r="AB335" s="40"/>
      <c r="AC335" s="40"/>
      <c r="AD335" s="40"/>
      <c r="AE335" s="40"/>
      <c r="AF335" s="40"/>
      <c r="AG335" s="40"/>
      <c r="AH335" s="40"/>
      <c r="AI335" s="40"/>
      <c r="AJ335" s="40"/>
      <c r="AK335" s="40"/>
      <c r="AL335" s="40"/>
      <c r="AM335" s="40"/>
      <c r="AN335" s="40"/>
      <c r="AO335" s="40"/>
      <c r="AP335" s="40"/>
      <c r="AQ335" s="40"/>
      <c r="AR335" s="40"/>
      <c r="AS335" s="40"/>
      <c r="AT335" s="40"/>
      <c r="AU335" s="40"/>
      <c r="AV335" s="40"/>
      <c r="AW335" s="40"/>
      <c r="AX335" s="40"/>
      <c r="AY335" s="40"/>
      <c r="AZ335" s="40"/>
    </row>
    <row r="336" spans="1:52" s="71" customFormat="1" ht="12" thickBot="1" x14ac:dyDescent="0.2">
      <c r="A336" s="37" t="s">
        <v>114</v>
      </c>
      <c r="B336" s="38" t="s">
        <v>27</v>
      </c>
      <c r="C336" s="109" t="str">
        <f>HYPERLINK(Hoofddocument!$H$336,Hoofddocument!$G$336)</f>
        <v>Draagvlak Creëren</v>
      </c>
      <c r="D336" s="38" t="s">
        <v>166</v>
      </c>
      <c r="E336" s="38" t="s">
        <v>12</v>
      </c>
      <c r="F336" s="38" t="s">
        <v>349</v>
      </c>
      <c r="G336" s="38" t="s">
        <v>105</v>
      </c>
      <c r="H336" s="49" t="s">
        <v>264</v>
      </c>
      <c r="I336" s="41"/>
      <c r="J336" s="39"/>
      <c r="K336" s="39"/>
      <c r="L336" s="40"/>
      <c r="M336" s="40"/>
      <c r="N336" s="40"/>
      <c r="O336" s="40"/>
      <c r="P336" s="40"/>
      <c r="Q336" s="40" t="s">
        <v>97</v>
      </c>
      <c r="R336" s="40"/>
      <c r="S336" s="40"/>
      <c r="T336" s="40"/>
      <c r="U336" s="40"/>
      <c r="V336" s="40"/>
      <c r="W336" s="40"/>
      <c r="X336" s="40"/>
      <c r="Y336" s="40"/>
      <c r="Z336" s="40"/>
      <c r="AA336" s="40"/>
      <c r="AB336" s="40"/>
      <c r="AC336" s="40"/>
      <c r="AD336" s="40"/>
      <c r="AE336" s="40"/>
      <c r="AF336" s="40"/>
      <c r="AG336" s="40"/>
      <c r="AH336" s="40"/>
      <c r="AI336" s="40"/>
      <c r="AJ336" s="40"/>
      <c r="AK336" s="40"/>
      <c r="AL336" s="40"/>
      <c r="AM336" s="40"/>
      <c r="AN336" s="40"/>
      <c r="AO336" s="40"/>
      <c r="AP336" s="40"/>
      <c r="AQ336" s="40"/>
      <c r="AR336" s="40"/>
      <c r="AS336" s="40"/>
      <c r="AT336" s="40"/>
      <c r="AU336" s="40"/>
      <c r="AV336" s="40"/>
      <c r="AW336" s="40"/>
      <c r="AX336" s="40"/>
      <c r="AY336" s="40"/>
      <c r="AZ336" s="40"/>
    </row>
    <row r="337" spans="1:52" s="71" customFormat="1" ht="12" thickBot="1" x14ac:dyDescent="0.2">
      <c r="A337" s="46" t="s">
        <v>114</v>
      </c>
      <c r="B337" s="45" t="s">
        <v>27</v>
      </c>
      <c r="C337" s="109" t="str">
        <f>HYPERLINK(Hoofddocument!$H$337,Hoofddocument!$G$337)</f>
        <v>Effectief Samenwerken in Zelfsturende Teams</v>
      </c>
      <c r="D337" s="45" t="s">
        <v>166</v>
      </c>
      <c r="E337" s="45" t="s">
        <v>12</v>
      </c>
      <c r="F337" s="45" t="s">
        <v>173</v>
      </c>
      <c r="G337" s="38" t="s">
        <v>174</v>
      </c>
      <c r="H337" s="66" t="s">
        <v>270</v>
      </c>
      <c r="I337" s="41" t="s">
        <v>97</v>
      </c>
      <c r="J337" s="47" t="s">
        <v>97</v>
      </c>
      <c r="K337" s="47" t="s">
        <v>634</v>
      </c>
      <c r="L337" s="47"/>
      <c r="M337" s="47"/>
      <c r="N337" s="47"/>
      <c r="O337" s="47"/>
      <c r="P337" s="47"/>
      <c r="Q337" s="47"/>
      <c r="R337" s="47"/>
      <c r="S337" s="47"/>
      <c r="T337" s="47"/>
      <c r="U337" s="47" t="s">
        <v>97</v>
      </c>
      <c r="V337" s="47" t="s">
        <v>634</v>
      </c>
      <c r="W337" s="47"/>
      <c r="X337" s="47" t="s">
        <v>634</v>
      </c>
      <c r="Y337" s="47"/>
      <c r="Z337" s="47"/>
      <c r="AA337" s="47"/>
      <c r="AB337" s="47" t="s">
        <v>634</v>
      </c>
      <c r="AC337" s="47"/>
      <c r="AD337" s="47"/>
      <c r="AE337" s="47"/>
      <c r="AF337" s="47"/>
      <c r="AG337" s="47"/>
      <c r="AH337" s="40"/>
      <c r="AI337" s="40"/>
      <c r="AJ337" s="40"/>
      <c r="AK337" s="40" t="s">
        <v>634</v>
      </c>
      <c r="AL337" s="40"/>
      <c r="AM337" s="40"/>
      <c r="AN337" s="40"/>
      <c r="AO337" s="40"/>
      <c r="AP337" s="40"/>
      <c r="AQ337" s="40"/>
      <c r="AR337" s="40"/>
      <c r="AS337" s="40"/>
      <c r="AT337" s="40"/>
      <c r="AU337" s="40"/>
      <c r="AV337" s="40"/>
      <c r="AW337" s="40"/>
      <c r="AX337" s="40"/>
      <c r="AY337" s="40"/>
      <c r="AZ337" s="40"/>
    </row>
    <row r="338" spans="1:52" s="71" customFormat="1" ht="12" thickBot="1" x14ac:dyDescent="0.2">
      <c r="A338" s="37" t="s">
        <v>114</v>
      </c>
      <c r="B338" s="38" t="s">
        <v>27</v>
      </c>
      <c r="C338" s="109" t="str">
        <f>HYPERLINK(Hoofddocument!$H$338,Hoofddocument!$G$338)</f>
        <v>Netwerken</v>
      </c>
      <c r="D338" s="38" t="s">
        <v>166</v>
      </c>
      <c r="E338" s="38" t="s">
        <v>12</v>
      </c>
      <c r="F338" s="38" t="s">
        <v>310</v>
      </c>
      <c r="G338" s="38" t="s">
        <v>17</v>
      </c>
      <c r="H338" s="49" t="s">
        <v>337</v>
      </c>
      <c r="I338" s="41"/>
      <c r="J338" s="39"/>
      <c r="K338" s="39"/>
      <c r="L338" s="40"/>
      <c r="M338" s="40"/>
      <c r="N338" s="40"/>
      <c r="O338" s="40"/>
      <c r="P338" s="40"/>
      <c r="Q338" s="40"/>
      <c r="R338" s="40"/>
      <c r="S338" s="40"/>
      <c r="T338" s="40" t="s">
        <v>97</v>
      </c>
      <c r="U338" s="40"/>
      <c r="V338" s="40"/>
      <c r="W338" s="40"/>
      <c r="X338" s="40" t="s">
        <v>634</v>
      </c>
      <c r="Y338" s="40" t="s">
        <v>634</v>
      </c>
      <c r="Z338" s="40" t="s">
        <v>634</v>
      </c>
      <c r="AA338" s="40"/>
      <c r="AB338" s="40"/>
      <c r="AC338" s="40"/>
      <c r="AD338" s="40"/>
      <c r="AE338" s="40"/>
      <c r="AF338" s="40"/>
      <c r="AG338" s="40" t="s">
        <v>97</v>
      </c>
      <c r="AH338" s="40" t="s">
        <v>97</v>
      </c>
      <c r="AI338" s="40" t="s">
        <v>97</v>
      </c>
      <c r="AJ338" s="40"/>
      <c r="AK338" s="40"/>
      <c r="AL338" s="40"/>
      <c r="AM338" s="40"/>
      <c r="AN338" s="40"/>
      <c r="AO338" s="40"/>
      <c r="AP338" s="40"/>
      <c r="AQ338" s="40"/>
      <c r="AR338" s="40"/>
      <c r="AS338" s="40"/>
      <c r="AT338" s="40"/>
      <c r="AU338" s="40"/>
      <c r="AV338" s="40"/>
      <c r="AW338" s="40"/>
      <c r="AX338" s="40"/>
      <c r="AY338" s="40"/>
      <c r="AZ338" s="40"/>
    </row>
    <row r="339" spans="1:52" s="71" customFormat="1" ht="12" thickBot="1" x14ac:dyDescent="0.2">
      <c r="A339" s="37" t="s">
        <v>114</v>
      </c>
      <c r="B339" s="38" t="s">
        <v>27</v>
      </c>
      <c r="C339" s="109" t="str">
        <f>HYPERLINK(Hoofddocument!$H$339,Hoofddocument!$G$339)</f>
        <v>Powerboost Presentatievaardigheden</v>
      </c>
      <c r="D339" s="38" t="s">
        <v>166</v>
      </c>
      <c r="E339" s="38" t="s">
        <v>12</v>
      </c>
      <c r="F339" s="38" t="s">
        <v>397</v>
      </c>
      <c r="G339" s="38" t="s">
        <v>398</v>
      </c>
      <c r="H339" s="64" t="s">
        <v>592</v>
      </c>
      <c r="I339" s="41"/>
      <c r="J339" s="39"/>
      <c r="K339" s="39"/>
      <c r="L339" s="40"/>
      <c r="M339" s="40"/>
      <c r="N339" s="40"/>
      <c r="O339" s="40"/>
      <c r="P339" s="40"/>
      <c r="Q339" s="40"/>
      <c r="R339" s="40" t="s">
        <v>97</v>
      </c>
      <c r="S339" s="40" t="s">
        <v>634</v>
      </c>
      <c r="T339" s="40"/>
      <c r="U339" s="40"/>
      <c r="V339" s="40"/>
      <c r="W339" s="40"/>
      <c r="X339" s="40"/>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row>
    <row r="340" spans="1:52" s="71" customFormat="1" ht="12" thickBot="1" x14ac:dyDescent="0.2">
      <c r="A340" s="37" t="s">
        <v>114</v>
      </c>
      <c r="B340" s="38" t="s">
        <v>27</v>
      </c>
      <c r="C340" s="109" t="str">
        <f>HYPERLINK(Hoofddocument!$H$340,Hoofddocument!$G$340)</f>
        <v>Powerboost Communicatie en Samenwerking</v>
      </c>
      <c r="D340" s="38" t="s">
        <v>166</v>
      </c>
      <c r="E340" s="38" t="s">
        <v>12</v>
      </c>
      <c r="F340" s="38" t="s">
        <v>171</v>
      </c>
      <c r="G340" s="38" t="s">
        <v>172</v>
      </c>
      <c r="H340" s="64" t="s">
        <v>347</v>
      </c>
      <c r="I340" s="41" t="s">
        <v>634</v>
      </c>
      <c r="J340" s="39" t="s">
        <v>634</v>
      </c>
      <c r="K340" s="39"/>
      <c r="L340" s="40"/>
      <c r="M340" s="40"/>
      <c r="N340" s="40"/>
      <c r="O340" s="40"/>
      <c r="P340" s="40"/>
      <c r="Q340" s="40"/>
      <c r="R340" s="40"/>
      <c r="S340" s="40"/>
      <c r="T340" s="40" t="s">
        <v>97</v>
      </c>
      <c r="U340" s="40" t="s">
        <v>634</v>
      </c>
      <c r="V340" s="40"/>
      <c r="W340" s="40" t="s">
        <v>634</v>
      </c>
      <c r="X340" s="40"/>
      <c r="Y340" s="40" t="s">
        <v>634</v>
      </c>
      <c r="Z340" s="40" t="s">
        <v>634</v>
      </c>
      <c r="AA340" s="40"/>
      <c r="AB340" s="40"/>
      <c r="AC340" s="40"/>
      <c r="AD340" s="40"/>
      <c r="AE340" s="40"/>
      <c r="AF340" s="40"/>
      <c r="AG340" s="40"/>
      <c r="AH340" s="40"/>
      <c r="AI340" s="40"/>
      <c r="AJ340" s="40"/>
      <c r="AK340" s="40"/>
      <c r="AL340" s="40"/>
      <c r="AM340" s="40"/>
      <c r="AN340" s="40"/>
      <c r="AO340" s="40"/>
      <c r="AP340" s="40" t="s">
        <v>634</v>
      </c>
      <c r="AQ340" s="40" t="s">
        <v>634</v>
      </c>
      <c r="AR340" s="40" t="s">
        <v>634</v>
      </c>
      <c r="AS340" s="40" t="s">
        <v>634</v>
      </c>
      <c r="AT340" s="40" t="s">
        <v>634</v>
      </c>
      <c r="AU340" s="40" t="s">
        <v>634</v>
      </c>
      <c r="AV340" s="40" t="s">
        <v>634</v>
      </c>
      <c r="AW340" s="40"/>
      <c r="AX340" s="40"/>
      <c r="AY340" s="40"/>
      <c r="AZ340" s="40"/>
    </row>
    <row r="341" spans="1:52" s="71" customFormat="1" ht="12" thickBot="1" x14ac:dyDescent="0.2">
      <c r="A341" s="37" t="s">
        <v>114</v>
      </c>
      <c r="B341" s="38" t="s">
        <v>27</v>
      </c>
      <c r="C341" s="109" t="str">
        <f>HYPERLINK(Hoofddocument!$H$341,Hoofddocument!$G$341)</f>
        <v>Introductie op Teamontwikkeling</v>
      </c>
      <c r="D341" s="38" t="s">
        <v>166</v>
      </c>
      <c r="E341" s="38" t="s">
        <v>12</v>
      </c>
      <c r="F341" s="38" t="s">
        <v>265</v>
      </c>
      <c r="G341" s="38" t="s">
        <v>266</v>
      </c>
      <c r="H341" s="49" t="s">
        <v>550</v>
      </c>
      <c r="I341" s="41"/>
      <c r="J341" s="39"/>
      <c r="K341" s="39" t="s">
        <v>97</v>
      </c>
      <c r="L341" s="40" t="s">
        <v>97</v>
      </c>
      <c r="M341" s="40"/>
      <c r="N341" s="40"/>
      <c r="O341" s="40"/>
      <c r="P341" s="40"/>
      <c r="Q341" s="40"/>
      <c r="R341" s="40"/>
      <c r="S341" s="40"/>
      <c r="T341" s="40"/>
      <c r="U341" s="40"/>
      <c r="V341" s="40"/>
      <c r="W341" s="40"/>
      <c r="X341" s="40" t="s">
        <v>97</v>
      </c>
      <c r="Y341" s="40"/>
      <c r="Z341" s="40"/>
      <c r="AA341" s="40"/>
      <c r="AB341" s="40"/>
      <c r="AC341" s="40"/>
      <c r="AD341" s="40"/>
      <c r="AE341" s="40"/>
      <c r="AF341" s="40"/>
      <c r="AG341" s="40"/>
      <c r="AH341" s="40"/>
      <c r="AI341" s="40"/>
      <c r="AJ341" s="40"/>
      <c r="AK341" s="40" t="s">
        <v>97</v>
      </c>
      <c r="AL341" s="40"/>
      <c r="AM341" s="40"/>
      <c r="AN341" s="40"/>
      <c r="AO341" s="40"/>
      <c r="AP341" s="40"/>
      <c r="AQ341" s="40"/>
      <c r="AR341" s="40"/>
      <c r="AS341" s="40"/>
      <c r="AT341" s="40"/>
      <c r="AU341" s="40"/>
      <c r="AV341" s="40"/>
      <c r="AW341" s="40"/>
      <c r="AX341" s="40"/>
      <c r="AY341" s="40"/>
      <c r="AZ341" s="40"/>
    </row>
    <row r="342" spans="1:52" s="71" customFormat="1" ht="12" thickBot="1" x14ac:dyDescent="0.2">
      <c r="A342" s="37" t="s">
        <v>114</v>
      </c>
      <c r="B342" s="38" t="s">
        <v>27</v>
      </c>
      <c r="C342" s="109" t="str">
        <f>HYPERLINK(Hoofddocument!$H$342,Hoofddocument!$G$342)</f>
        <v>Conflicthantering</v>
      </c>
      <c r="D342" s="38" t="s">
        <v>166</v>
      </c>
      <c r="E342" s="38" t="s">
        <v>12</v>
      </c>
      <c r="F342" s="38" t="s">
        <v>423</v>
      </c>
      <c r="G342" s="38" t="s">
        <v>424</v>
      </c>
      <c r="H342" s="64" t="s">
        <v>602</v>
      </c>
      <c r="I342" s="41"/>
      <c r="J342" s="39"/>
      <c r="K342" s="39"/>
      <c r="L342" s="40"/>
      <c r="M342" s="40"/>
      <c r="N342" s="40"/>
      <c r="O342" s="40"/>
      <c r="P342" s="40"/>
      <c r="Q342" s="40"/>
      <c r="R342" s="40"/>
      <c r="S342" s="40"/>
      <c r="T342" s="40" t="s">
        <v>97</v>
      </c>
      <c r="U342" s="40"/>
      <c r="V342" s="40" t="s">
        <v>634</v>
      </c>
      <c r="W342" s="40"/>
      <c r="X342" s="40"/>
      <c r="Y342" s="40"/>
      <c r="Z342" s="40"/>
      <c r="AA342" s="40"/>
      <c r="AB342" s="40"/>
      <c r="AC342" s="40"/>
      <c r="AD342" s="40"/>
      <c r="AE342" s="40"/>
      <c r="AF342" s="40"/>
      <c r="AG342" s="40"/>
      <c r="AH342" s="40"/>
      <c r="AI342" s="40"/>
      <c r="AJ342" s="40"/>
      <c r="AK342" s="40"/>
      <c r="AL342" s="40"/>
      <c r="AM342" s="40"/>
      <c r="AN342" s="40"/>
      <c r="AO342" s="40"/>
      <c r="AP342" s="40"/>
      <c r="AQ342" s="40" t="s">
        <v>634</v>
      </c>
      <c r="AR342" s="40"/>
      <c r="AS342" s="40"/>
      <c r="AT342" s="40"/>
      <c r="AU342" s="40"/>
      <c r="AV342" s="40"/>
      <c r="AW342" s="40"/>
      <c r="AX342" s="40"/>
      <c r="AY342" s="40"/>
      <c r="AZ342" s="40"/>
    </row>
    <row r="343" spans="1:52" s="71" customFormat="1" ht="12" thickBot="1" x14ac:dyDescent="0.2">
      <c r="A343" s="37" t="s">
        <v>114</v>
      </c>
      <c r="B343" s="38" t="s">
        <v>27</v>
      </c>
      <c r="C343" s="109" t="str">
        <f>HYPERLINK(Hoofddocument!$H$343,Hoofddocument!$G$343)</f>
        <v>Doelgericht Communiceren en Beinvloeden</v>
      </c>
      <c r="D343" s="38"/>
      <c r="E343" s="38" t="s">
        <v>225</v>
      </c>
      <c r="F343" s="38"/>
      <c r="G343" s="121" t="s">
        <v>503</v>
      </c>
      <c r="H343" s="64" t="s">
        <v>627</v>
      </c>
      <c r="I343" s="41"/>
      <c r="J343" s="39"/>
      <c r="K343" s="39"/>
      <c r="L343" s="40"/>
      <c r="M343" s="40"/>
      <c r="N343" s="40"/>
      <c r="O343" s="40"/>
      <c r="P343" s="40"/>
      <c r="Q343" s="40"/>
      <c r="R343" s="40"/>
      <c r="S343" s="40"/>
      <c r="T343" s="40"/>
      <c r="U343" s="40"/>
      <c r="V343" s="40"/>
      <c r="W343" s="40" t="s">
        <v>97</v>
      </c>
      <c r="X343" s="40"/>
      <c r="Y343" s="40"/>
      <c r="Z343" s="40"/>
      <c r="AA343" s="40"/>
      <c r="AB343" s="40"/>
      <c r="AC343" s="40"/>
      <c r="AD343" s="40"/>
      <c r="AE343" s="40"/>
      <c r="AF343" s="40"/>
      <c r="AG343" s="40"/>
      <c r="AH343" s="40"/>
      <c r="AI343" s="40"/>
      <c r="AJ343" s="40"/>
      <c r="AK343" s="40"/>
      <c r="AL343" s="40"/>
      <c r="AM343" s="40"/>
      <c r="AN343" s="40"/>
      <c r="AO343" s="40"/>
      <c r="AP343" s="40" t="s">
        <v>634</v>
      </c>
      <c r="AQ343" s="40" t="s">
        <v>634</v>
      </c>
      <c r="AR343" s="40" t="s">
        <v>634</v>
      </c>
      <c r="AS343" s="40" t="s">
        <v>634</v>
      </c>
      <c r="AT343" s="40" t="s">
        <v>634</v>
      </c>
      <c r="AU343" s="40" t="s">
        <v>634</v>
      </c>
      <c r="AV343" s="40" t="s">
        <v>634</v>
      </c>
      <c r="AW343" s="40"/>
      <c r="AX343" s="40"/>
      <c r="AY343" s="40"/>
      <c r="AZ343" s="40"/>
    </row>
    <row r="344" spans="1:52" s="71" customFormat="1" ht="12" thickBot="1" x14ac:dyDescent="0.2">
      <c r="A344" s="37" t="s">
        <v>114</v>
      </c>
      <c r="B344" s="38" t="s">
        <v>27</v>
      </c>
      <c r="C344" s="109" t="str">
        <f>HYPERLINK(Hoofddocument!$H$344,Hoofddocument!$G$344)</f>
        <v>Stakeholdermanagement</v>
      </c>
      <c r="D344" s="38" t="s">
        <v>166</v>
      </c>
      <c r="E344" s="38" t="s">
        <v>12</v>
      </c>
      <c r="F344" s="38" t="s">
        <v>696</v>
      </c>
      <c r="G344" s="121" t="s">
        <v>224</v>
      </c>
      <c r="H344" s="64" t="s">
        <v>497</v>
      </c>
      <c r="I344" s="41"/>
      <c r="J344" s="39"/>
      <c r="K344" s="39"/>
      <c r="L344" s="40"/>
      <c r="M344" s="40"/>
      <c r="N344" s="40"/>
      <c r="O344" s="40"/>
      <c r="P344" s="40"/>
      <c r="Q344" s="40"/>
      <c r="R344" s="40"/>
      <c r="S344" s="40"/>
      <c r="T344" s="40"/>
      <c r="U344" s="40"/>
      <c r="V344" s="40"/>
      <c r="W344" s="40"/>
      <c r="X344" s="40"/>
      <c r="Y344" s="40"/>
      <c r="Z344" s="40"/>
      <c r="AA344" s="40"/>
      <c r="AB344" s="40"/>
      <c r="AC344" s="40"/>
      <c r="AD344" s="40"/>
      <c r="AE344" s="40"/>
      <c r="AF344" s="40"/>
      <c r="AG344" s="40"/>
      <c r="AH344" s="40"/>
      <c r="AI344" s="40"/>
      <c r="AJ344" s="40"/>
      <c r="AK344" s="40"/>
      <c r="AL344" s="40"/>
      <c r="AM344" s="40" t="s">
        <v>634</v>
      </c>
      <c r="AN344" s="40"/>
      <c r="AO344" s="40"/>
      <c r="AP344" s="40"/>
      <c r="AQ344" s="40"/>
      <c r="AR344" s="40"/>
      <c r="AS344" s="40"/>
      <c r="AT344" s="40"/>
      <c r="AU344" s="40"/>
      <c r="AV344" s="40"/>
      <c r="AW344" s="40"/>
      <c r="AX344" s="40"/>
      <c r="AY344" s="40"/>
      <c r="AZ344" s="40"/>
    </row>
    <row r="345" spans="1:52" s="71" customFormat="1" ht="12" thickBot="1" x14ac:dyDescent="0.2">
      <c r="A345" s="37" t="s">
        <v>94</v>
      </c>
      <c r="B345" s="38" t="s">
        <v>2</v>
      </c>
      <c r="C345" s="109" t="str">
        <f>HYPERLINK(Hoofddocument!$H$345,Hoofddocument!$G$345)</f>
        <v>Interne Communicatie en Samenwerking</v>
      </c>
      <c r="D345" s="38" t="s">
        <v>166</v>
      </c>
      <c r="E345" s="38" t="s">
        <v>12</v>
      </c>
      <c r="F345" s="38" t="s">
        <v>175</v>
      </c>
      <c r="G345" s="121" t="s">
        <v>176</v>
      </c>
      <c r="H345" s="64" t="s">
        <v>348</v>
      </c>
      <c r="I345" s="41" t="s">
        <v>634</v>
      </c>
      <c r="J345" s="39"/>
      <c r="K345" s="39"/>
      <c r="L345" s="40"/>
      <c r="M345" s="40"/>
      <c r="N345" s="40"/>
      <c r="O345" s="40"/>
      <c r="P345" s="40"/>
      <c r="Q345" s="40"/>
      <c r="R345" s="40"/>
      <c r="S345" s="40"/>
      <c r="T345" s="40"/>
      <c r="U345" s="40"/>
      <c r="V345" s="40"/>
      <c r="W345" s="40"/>
      <c r="X345" s="40"/>
      <c r="Y345" s="40"/>
      <c r="Z345" s="40"/>
      <c r="AA345" s="40"/>
      <c r="AB345" s="40"/>
      <c r="AC345" s="40"/>
      <c r="AD345" s="40"/>
      <c r="AE345" s="40"/>
      <c r="AF345" s="40"/>
      <c r="AG345" s="40"/>
      <c r="AH345" s="40"/>
      <c r="AI345" s="40"/>
      <c r="AJ345" s="40"/>
      <c r="AK345" s="40"/>
      <c r="AL345" s="40"/>
      <c r="AM345" s="40"/>
      <c r="AN345" s="40"/>
      <c r="AO345" s="40"/>
      <c r="AP345" s="40"/>
      <c r="AQ345" s="40"/>
      <c r="AR345" s="40"/>
      <c r="AS345" s="40"/>
      <c r="AT345" s="40"/>
      <c r="AU345" s="40"/>
      <c r="AV345" s="40"/>
      <c r="AW345" s="40"/>
      <c r="AX345" s="40"/>
      <c r="AY345" s="40"/>
      <c r="AZ345" s="40"/>
    </row>
    <row r="346" spans="1:52" s="71" customFormat="1" ht="12" thickBot="1" x14ac:dyDescent="0.2">
      <c r="A346" s="37" t="s">
        <v>94</v>
      </c>
      <c r="B346" s="38" t="s">
        <v>2</v>
      </c>
      <c r="C346" s="109" t="str">
        <f>HYPERLINK(Hoofddocument!$H$346,Hoofddocument!$G$346)</f>
        <v>Effectief Communiceren met NLP</v>
      </c>
      <c r="D346" s="38" t="s">
        <v>166</v>
      </c>
      <c r="E346" s="38" t="s">
        <v>12</v>
      </c>
      <c r="F346" s="38" t="s">
        <v>196</v>
      </c>
      <c r="G346" s="121" t="s">
        <v>197</v>
      </c>
      <c r="H346" s="49" t="s">
        <v>251</v>
      </c>
      <c r="I346" s="41"/>
      <c r="J346" s="39"/>
      <c r="K346" s="39"/>
      <c r="L346" s="40" t="s">
        <v>634</v>
      </c>
      <c r="M346" s="40"/>
      <c r="N346" s="40"/>
      <c r="O346" s="40"/>
      <c r="P346" s="40"/>
      <c r="Q346" s="40"/>
      <c r="R346" s="40"/>
      <c r="S346" s="40"/>
      <c r="T346" s="40"/>
      <c r="U346" s="40"/>
      <c r="V346" s="40"/>
      <c r="W346" s="40"/>
      <c r="X346" s="40"/>
      <c r="Y346" s="40"/>
      <c r="Z346" s="40"/>
      <c r="AA346" s="40"/>
      <c r="AB346" s="40"/>
      <c r="AC346" s="40"/>
      <c r="AD346" s="40"/>
      <c r="AE346" s="40"/>
      <c r="AF346" s="40"/>
      <c r="AG346" s="40"/>
      <c r="AH346" s="40"/>
      <c r="AI346" s="40"/>
      <c r="AJ346" s="40"/>
      <c r="AK346" s="40"/>
      <c r="AL346" s="40"/>
      <c r="AM346" s="40"/>
      <c r="AN346" s="40"/>
      <c r="AO346" s="40"/>
      <c r="AP346" s="40"/>
      <c r="AQ346" s="40"/>
      <c r="AR346" s="40"/>
      <c r="AS346" s="40"/>
      <c r="AT346" s="40"/>
      <c r="AU346" s="40"/>
      <c r="AV346" s="40"/>
      <c r="AW346" s="40"/>
      <c r="AX346" s="40"/>
      <c r="AY346" s="40"/>
      <c r="AZ346" s="40"/>
    </row>
    <row r="347" spans="1:52" s="71" customFormat="1" ht="12" thickBot="1" x14ac:dyDescent="0.2">
      <c r="A347" s="37" t="s">
        <v>94</v>
      </c>
      <c r="B347" s="38" t="s">
        <v>2</v>
      </c>
      <c r="C347" s="109" t="str">
        <f>HYPERLINK(Hoofddocument!$H$347,Hoofddocument!$G$347)</f>
        <v>Overtuigingskracht</v>
      </c>
      <c r="D347" s="38" t="s">
        <v>166</v>
      </c>
      <c r="E347" s="38" t="s">
        <v>12</v>
      </c>
      <c r="F347" s="38" t="s">
        <v>179</v>
      </c>
      <c r="G347" s="121" t="s">
        <v>23</v>
      </c>
      <c r="H347" s="64" t="s">
        <v>329</v>
      </c>
      <c r="I347" s="41"/>
      <c r="J347" s="39"/>
      <c r="K347" s="39"/>
      <c r="L347" s="40"/>
      <c r="M347" s="40"/>
      <c r="N347" s="40"/>
      <c r="O347" s="40"/>
      <c r="P347" s="40"/>
      <c r="Q347" s="40"/>
      <c r="R347" s="40"/>
      <c r="S347" s="40"/>
      <c r="T347" s="40"/>
      <c r="U347" s="40"/>
      <c r="V347" s="40" t="s">
        <v>634</v>
      </c>
      <c r="W347" s="40"/>
      <c r="X347" s="40"/>
      <c r="Y347" s="40"/>
      <c r="Z347" s="40"/>
      <c r="AA347" s="40"/>
      <c r="AB347" s="40"/>
      <c r="AC347" s="40"/>
      <c r="AD347" s="40"/>
      <c r="AE347" s="40"/>
      <c r="AF347" s="40"/>
      <c r="AG347" s="40"/>
      <c r="AH347" s="40"/>
      <c r="AI347" s="40"/>
      <c r="AJ347" s="40"/>
      <c r="AK347" s="40"/>
      <c r="AL347" s="40"/>
      <c r="AM347" s="40"/>
      <c r="AN347" s="40"/>
      <c r="AO347" s="40"/>
      <c r="AP347" s="40"/>
      <c r="AQ347" s="40"/>
      <c r="AR347" s="40"/>
      <c r="AS347" s="40"/>
      <c r="AT347" s="40"/>
      <c r="AU347" s="40"/>
      <c r="AV347" s="40"/>
      <c r="AW347" s="40"/>
      <c r="AX347" s="40"/>
      <c r="AY347" s="40"/>
      <c r="AZ347" s="40"/>
    </row>
    <row r="348" spans="1:52" s="71" customFormat="1" ht="12" thickBot="1" x14ac:dyDescent="0.2">
      <c r="A348" s="37" t="s">
        <v>94</v>
      </c>
      <c r="B348" s="38" t="s">
        <v>2</v>
      </c>
      <c r="C348" s="109" t="str">
        <f>HYPERLINK(Hoofddocument!$H$348,Hoofddocument!$G$348)</f>
        <v>Politiek-bestuurlijke Sensitiviteit en Beïnvloeding</v>
      </c>
      <c r="D348" s="38" t="s">
        <v>166</v>
      </c>
      <c r="E348" s="38" t="s">
        <v>12</v>
      </c>
      <c r="F348" s="38" t="s">
        <v>676</v>
      </c>
      <c r="G348" s="121" t="s">
        <v>104</v>
      </c>
      <c r="H348" s="55" t="s">
        <v>250</v>
      </c>
      <c r="I348" s="41"/>
      <c r="J348" s="39"/>
      <c r="K348" s="39" t="s">
        <v>634</v>
      </c>
      <c r="L348" s="40" t="s">
        <v>634</v>
      </c>
      <c r="M348" s="40"/>
      <c r="N348" s="40"/>
      <c r="O348" s="40"/>
      <c r="P348" s="40"/>
      <c r="Q348" s="40"/>
      <c r="R348" s="40"/>
      <c r="S348" s="40"/>
      <c r="T348" s="40"/>
      <c r="U348" s="40"/>
      <c r="V348" s="40"/>
      <c r="W348" s="40"/>
      <c r="X348" s="40"/>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row>
    <row r="349" spans="1:52" s="71" customFormat="1" ht="12" thickBot="1" x14ac:dyDescent="0.2">
      <c r="A349" s="37" t="s">
        <v>94</v>
      </c>
      <c r="B349" s="38" t="s">
        <v>2</v>
      </c>
      <c r="C349" s="109" t="str">
        <f>HYPERLINK(Hoofddocument!$H$349,Hoofddocument!$G$349)</f>
        <v>Slim Leren op de Werkplek</v>
      </c>
      <c r="D349" s="38" t="s">
        <v>166</v>
      </c>
      <c r="E349" s="38" t="s">
        <v>12</v>
      </c>
      <c r="F349" s="38" t="s">
        <v>246</v>
      </c>
      <c r="G349" s="121" t="s">
        <v>392</v>
      </c>
      <c r="H349" s="49" t="s">
        <v>247</v>
      </c>
      <c r="I349" s="41"/>
      <c r="J349" s="39"/>
      <c r="K349" s="39"/>
      <c r="L349" s="40"/>
      <c r="M349" s="40"/>
      <c r="N349" s="40"/>
      <c r="O349" s="40"/>
      <c r="P349" s="40"/>
      <c r="Q349" s="40"/>
      <c r="R349" s="40"/>
      <c r="S349" s="40"/>
      <c r="T349" s="40"/>
      <c r="U349" s="40"/>
      <c r="V349" s="40"/>
      <c r="W349" s="40"/>
      <c r="X349" s="40"/>
      <c r="Y349" s="40" t="s">
        <v>97</v>
      </c>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row>
    <row r="350" spans="1:52" s="71" customFormat="1" ht="12" thickBot="1" x14ac:dyDescent="0.2">
      <c r="A350" s="37" t="s">
        <v>94</v>
      </c>
      <c r="B350" s="38" t="s">
        <v>2</v>
      </c>
      <c r="C350" s="109" t="str">
        <f>HYPERLINK(Hoofddocument!$H$350,Hoofddocument!$G$350)</f>
        <v>Wendbaarheid in een Veranderende Wereld</v>
      </c>
      <c r="D350" s="38" t="s">
        <v>166</v>
      </c>
      <c r="E350" s="38" t="s">
        <v>12</v>
      </c>
      <c r="F350" s="38" t="s">
        <v>333</v>
      </c>
      <c r="G350" s="121" t="s">
        <v>334</v>
      </c>
      <c r="H350" s="49" t="s">
        <v>368</v>
      </c>
      <c r="I350" s="41"/>
      <c r="J350" s="39"/>
      <c r="K350" s="39"/>
      <c r="L350" s="40"/>
      <c r="M350" s="40"/>
      <c r="N350" s="40"/>
      <c r="O350" s="40"/>
      <c r="P350" s="40"/>
      <c r="Q350" s="40"/>
      <c r="R350" s="40"/>
      <c r="S350" s="40"/>
      <c r="T350" s="40"/>
      <c r="U350" s="40"/>
      <c r="V350" s="40"/>
      <c r="W350" s="40"/>
      <c r="X350" s="40"/>
      <c r="Y350" s="40" t="s">
        <v>634</v>
      </c>
      <c r="Z350" s="40"/>
      <c r="AA350" s="40"/>
      <c r="AB350" s="40"/>
      <c r="AC350" s="40"/>
      <c r="AD350" s="40"/>
      <c r="AE350" s="40"/>
      <c r="AF350" s="40"/>
      <c r="AG350" s="40"/>
      <c r="AH350" s="40"/>
      <c r="AI350" s="40"/>
      <c r="AJ350" s="40"/>
      <c r="AK350" s="40"/>
      <c r="AL350" s="40"/>
      <c r="AM350" s="40"/>
      <c r="AN350" s="40"/>
      <c r="AO350" s="40"/>
      <c r="AP350" s="40"/>
      <c r="AQ350" s="40"/>
      <c r="AR350" s="40"/>
      <c r="AS350" s="40"/>
      <c r="AT350" s="40"/>
      <c r="AU350" s="40"/>
      <c r="AV350" s="40"/>
      <c r="AW350" s="40"/>
      <c r="AX350" s="40"/>
      <c r="AY350" s="40"/>
      <c r="AZ350" s="40"/>
    </row>
    <row r="351" spans="1:52" s="71" customFormat="1" ht="12" thickBot="1" x14ac:dyDescent="0.2">
      <c r="A351" s="37" t="s">
        <v>94</v>
      </c>
      <c r="B351" s="38" t="s">
        <v>332</v>
      </c>
      <c r="C351" s="109" t="str">
        <f>HYPERLINK(Hoofddocument!$H$351,Hoofddocument!$G$351)</f>
        <v>Natuurlijk Assertief Gedrag</v>
      </c>
      <c r="D351" s="38" t="s">
        <v>166</v>
      </c>
      <c r="E351" s="38" t="s">
        <v>12</v>
      </c>
      <c r="F351" s="38" t="s">
        <v>335</v>
      </c>
      <c r="G351" s="121" t="s">
        <v>336</v>
      </c>
      <c r="H351" s="55" t="s">
        <v>575</v>
      </c>
      <c r="I351" s="41"/>
      <c r="J351" s="39"/>
      <c r="K351" s="39"/>
      <c r="L351" s="40"/>
      <c r="M351" s="40"/>
      <c r="N351" s="40"/>
      <c r="O351" s="40"/>
      <c r="P351" s="40"/>
      <c r="Q351" s="40" t="s">
        <v>634</v>
      </c>
      <c r="R351" s="40"/>
      <c r="S351" s="40"/>
      <c r="T351" s="40"/>
      <c r="U351" s="40"/>
      <c r="V351" s="40"/>
      <c r="W351" s="40"/>
      <c r="X351" s="40"/>
      <c r="Y351" s="40"/>
      <c r="Z351" s="40"/>
      <c r="AA351" s="40"/>
      <c r="AB351" s="40"/>
      <c r="AC351" s="40"/>
      <c r="AD351" s="40"/>
      <c r="AE351" s="40"/>
      <c r="AF351" s="40"/>
      <c r="AG351" s="40"/>
      <c r="AH351" s="40"/>
      <c r="AI351" s="40"/>
      <c r="AJ351" s="40"/>
      <c r="AK351" s="40"/>
      <c r="AL351" s="40"/>
      <c r="AM351" s="40"/>
      <c r="AN351" s="40"/>
      <c r="AO351" s="40"/>
      <c r="AP351" s="40"/>
      <c r="AQ351" s="40"/>
      <c r="AR351" s="40"/>
      <c r="AS351" s="40"/>
      <c r="AT351" s="40"/>
      <c r="AU351" s="40"/>
      <c r="AV351" s="40"/>
      <c r="AW351" s="40"/>
      <c r="AX351" s="40"/>
      <c r="AY351" s="40"/>
      <c r="AZ351" s="40"/>
    </row>
    <row r="352" spans="1:52" s="71" customFormat="1" ht="12" thickBot="1" x14ac:dyDescent="0.2">
      <c r="A352" s="37" t="s">
        <v>94</v>
      </c>
      <c r="B352" s="38" t="s">
        <v>3</v>
      </c>
      <c r="C352" s="109" t="str">
        <f>HYPERLINK(Hoofddocument!$H$352,Hoofddocument!$G$352)</f>
        <v>Executive Masterclass Persoonlijk Leiderschap</v>
      </c>
      <c r="D352" s="38" t="s">
        <v>166</v>
      </c>
      <c r="E352" s="38" t="s">
        <v>12</v>
      </c>
      <c r="F352" s="38" t="s">
        <v>480</v>
      </c>
      <c r="G352" s="121" t="s">
        <v>481</v>
      </c>
      <c r="H352" s="64" t="s">
        <v>619</v>
      </c>
      <c r="I352" s="41"/>
      <c r="J352" s="39"/>
      <c r="K352" s="39"/>
      <c r="L352" s="40"/>
      <c r="M352" s="40"/>
      <c r="N352" s="40"/>
      <c r="O352" s="40"/>
      <c r="P352" s="40"/>
      <c r="Q352" s="40"/>
      <c r="R352" s="40"/>
      <c r="S352" s="40"/>
      <c r="T352" s="40"/>
      <c r="U352" s="40"/>
      <c r="V352" s="40" t="s">
        <v>634</v>
      </c>
      <c r="W352" s="40"/>
      <c r="X352" s="40"/>
      <c r="Y352" s="40"/>
      <c r="Z352" s="40"/>
      <c r="AA352" s="40"/>
      <c r="AB352" s="40"/>
      <c r="AC352" s="40"/>
      <c r="AD352" s="40"/>
      <c r="AE352" s="40"/>
      <c r="AF352" s="40" t="s">
        <v>634</v>
      </c>
      <c r="AG352" s="40"/>
      <c r="AH352" s="40"/>
      <c r="AI352" s="40"/>
      <c r="AJ352" s="40"/>
      <c r="AK352" s="40"/>
      <c r="AL352" s="40"/>
      <c r="AM352" s="40"/>
      <c r="AN352" s="40"/>
      <c r="AO352" s="40"/>
      <c r="AP352" s="40"/>
      <c r="AQ352" s="40"/>
      <c r="AR352" s="40"/>
      <c r="AS352" s="40"/>
      <c r="AT352" s="40"/>
      <c r="AU352" s="40"/>
      <c r="AV352" s="40"/>
      <c r="AW352" s="40"/>
      <c r="AX352" s="40"/>
      <c r="AY352" s="40"/>
      <c r="AZ352" s="40"/>
    </row>
    <row r="353" spans="1:52" s="71" customFormat="1" ht="12" thickBot="1" x14ac:dyDescent="0.2">
      <c r="A353" s="37" t="s">
        <v>94</v>
      </c>
      <c r="B353" s="38" t="s">
        <v>3</v>
      </c>
      <c r="C353" s="109" t="str">
        <f>HYPERLINK(Hoofddocument!$H$353,Hoofddocument!$G$353)</f>
        <v>Persoonlijke Effectiviteit - Kort en intensief</v>
      </c>
      <c r="D353" s="38" t="s">
        <v>166</v>
      </c>
      <c r="E353" s="38" t="s">
        <v>12</v>
      </c>
      <c r="F353" s="38" t="s">
        <v>688</v>
      </c>
      <c r="G353" s="121" t="s">
        <v>482</v>
      </c>
      <c r="H353" s="64" t="s">
        <v>620</v>
      </c>
      <c r="I353" s="41"/>
      <c r="J353" s="39"/>
      <c r="K353" s="39"/>
      <c r="L353" s="40"/>
      <c r="M353" s="40"/>
      <c r="N353" s="40"/>
      <c r="O353" s="40"/>
      <c r="P353" s="40"/>
      <c r="Q353" s="40"/>
      <c r="R353" s="40"/>
      <c r="S353" s="40"/>
      <c r="T353" s="40"/>
      <c r="U353" s="40"/>
      <c r="V353" s="40" t="s">
        <v>97</v>
      </c>
      <c r="W353" s="40"/>
      <c r="X353" s="40" t="s">
        <v>634</v>
      </c>
      <c r="Y353" s="40"/>
      <c r="Z353" s="40"/>
      <c r="AA353" s="40"/>
      <c r="AB353" s="40"/>
      <c r="AC353" s="40"/>
      <c r="AD353" s="40"/>
      <c r="AE353" s="40"/>
      <c r="AF353" s="40" t="s">
        <v>97</v>
      </c>
      <c r="AG353" s="40" t="s">
        <v>97</v>
      </c>
      <c r="AH353" s="40"/>
      <c r="AI353" s="40"/>
      <c r="AJ353" s="40"/>
      <c r="AK353" s="40"/>
      <c r="AL353" s="40"/>
      <c r="AM353" s="40"/>
      <c r="AN353" s="40"/>
      <c r="AO353" s="40"/>
      <c r="AP353" s="40"/>
      <c r="AQ353" s="40"/>
      <c r="AR353" s="40"/>
      <c r="AS353" s="40"/>
      <c r="AT353" s="40"/>
      <c r="AU353" s="40"/>
      <c r="AV353" s="40"/>
      <c r="AW353" s="40"/>
      <c r="AX353" s="40"/>
      <c r="AY353" s="40"/>
      <c r="AZ353" s="40"/>
    </row>
    <row r="354" spans="1:52" s="71" customFormat="1" ht="12" thickBot="1" x14ac:dyDescent="0.2">
      <c r="A354" s="37" t="s">
        <v>94</v>
      </c>
      <c r="B354" s="38" t="s">
        <v>3</v>
      </c>
      <c r="C354" s="109" t="str">
        <f>HYPERLINK(Hoofddocument!$H$354,Hoofddocument!$G$354)</f>
        <v>Effectief Beïnvloeden</v>
      </c>
      <c r="D354" s="38" t="s">
        <v>166</v>
      </c>
      <c r="E354" s="38" t="s">
        <v>12</v>
      </c>
      <c r="F354" s="44" t="s">
        <v>243</v>
      </c>
      <c r="G354" s="121" t="s">
        <v>244</v>
      </c>
      <c r="H354" s="49" t="s">
        <v>548</v>
      </c>
      <c r="I354" s="41"/>
      <c r="J354" s="39"/>
      <c r="K354" s="39"/>
      <c r="L354" s="40"/>
      <c r="M354" s="40"/>
      <c r="N354" s="40"/>
      <c r="O354" s="40"/>
      <c r="P354" s="40"/>
      <c r="Q354" s="40"/>
      <c r="R354" s="40"/>
      <c r="S354" s="40"/>
      <c r="T354" s="50"/>
      <c r="U354" s="40" t="s">
        <v>634</v>
      </c>
      <c r="V354" s="40"/>
      <c r="W354" s="40"/>
      <c r="X354" s="40"/>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row>
    <row r="355" spans="1:52" s="71" customFormat="1" ht="12" thickBot="1" x14ac:dyDescent="0.2">
      <c r="A355" s="37" t="s">
        <v>94</v>
      </c>
      <c r="B355" s="38" t="s">
        <v>3</v>
      </c>
      <c r="C355" s="109" t="str">
        <f>HYPERLINK(Hoofddocument!$H$355,Hoofddocument!$G$355)</f>
        <v>Personal Power voor Managers</v>
      </c>
      <c r="D355" s="38" t="s">
        <v>166</v>
      </c>
      <c r="E355" s="38" t="s">
        <v>12</v>
      </c>
      <c r="F355" s="44" t="s">
        <v>786</v>
      </c>
      <c r="G355" s="121" t="s">
        <v>857</v>
      </c>
      <c r="H355" s="49" t="s">
        <v>920</v>
      </c>
      <c r="I355" s="41"/>
      <c r="J355" s="39"/>
      <c r="K355" s="39"/>
      <c r="L355" s="40"/>
      <c r="M355" s="40"/>
      <c r="N355" s="40"/>
      <c r="O355" s="40"/>
      <c r="P355" s="40"/>
      <c r="Q355" s="40"/>
      <c r="R355" s="40"/>
      <c r="S355" s="40"/>
      <c r="T355" s="40"/>
      <c r="U355" s="40"/>
      <c r="V355" s="40"/>
      <c r="W355" s="40"/>
      <c r="X355" s="40" t="s">
        <v>634</v>
      </c>
      <c r="Y355" s="40"/>
      <c r="Z355" s="40"/>
      <c r="AA355" s="40"/>
      <c r="AB355" s="40"/>
      <c r="AC355" s="40"/>
      <c r="AD355" s="40"/>
      <c r="AE355" s="40"/>
      <c r="AF355" s="40"/>
      <c r="AG355" s="40"/>
      <c r="AH355" s="40"/>
      <c r="AI355" s="40"/>
      <c r="AJ355" s="40"/>
      <c r="AK355" s="40"/>
      <c r="AL355" s="40"/>
      <c r="AM355" s="40"/>
      <c r="AN355" s="40"/>
      <c r="AO355" s="40"/>
      <c r="AP355" s="40"/>
      <c r="AQ355" s="40"/>
      <c r="AR355" s="40"/>
      <c r="AS355" s="40"/>
      <c r="AT355" s="40"/>
      <c r="AU355" s="40"/>
      <c r="AV355" s="40"/>
      <c r="AW355" s="40"/>
      <c r="AX355" s="40"/>
      <c r="AY355" s="40"/>
      <c r="AZ355" s="40"/>
    </row>
    <row r="356" spans="1:52" s="71" customFormat="1" ht="12" thickBot="1" x14ac:dyDescent="0.2">
      <c r="A356" s="37" t="s">
        <v>94</v>
      </c>
      <c r="B356" s="38" t="s">
        <v>3</v>
      </c>
      <c r="C356" s="109" t="str">
        <f>HYPERLINK(Hoofddocument!$H$356,Hoofddocument!$G$356)</f>
        <v>Persoonlijk inzicht en beinvloedingsvaardigheden</v>
      </c>
      <c r="D356" s="38"/>
      <c r="E356" s="38" t="s">
        <v>225</v>
      </c>
      <c r="F356" s="38"/>
      <c r="G356" s="121" t="s">
        <v>858</v>
      </c>
      <c r="H356" s="64" t="s">
        <v>921</v>
      </c>
      <c r="I356" s="41"/>
      <c r="J356" s="39"/>
      <c r="K356" s="39"/>
      <c r="L356" s="40"/>
      <c r="M356" s="40"/>
      <c r="N356" s="40"/>
      <c r="O356" s="40"/>
      <c r="P356" s="40"/>
      <c r="Q356" s="40"/>
      <c r="R356" s="40"/>
      <c r="S356" s="40"/>
      <c r="T356" s="40"/>
      <c r="U356" s="40"/>
      <c r="V356" s="40"/>
      <c r="W356" s="40"/>
      <c r="X356" s="40"/>
      <c r="Y356" s="40"/>
      <c r="Z356" s="40"/>
      <c r="AA356" s="40"/>
      <c r="AB356" s="40" t="s">
        <v>97</v>
      </c>
      <c r="AC356" s="40"/>
      <c r="AD356" s="40"/>
      <c r="AE356" s="40"/>
      <c r="AF356" s="40"/>
      <c r="AG356" s="40"/>
      <c r="AH356" s="40"/>
      <c r="AI356" s="40"/>
      <c r="AJ356" s="40"/>
      <c r="AK356" s="40"/>
      <c r="AL356" s="40"/>
      <c r="AM356" s="40"/>
      <c r="AN356" s="40"/>
      <c r="AO356" s="40"/>
      <c r="AP356" s="40"/>
      <c r="AQ356" s="40"/>
      <c r="AR356" s="40"/>
      <c r="AS356" s="40"/>
      <c r="AT356" s="40"/>
      <c r="AU356" s="40"/>
      <c r="AV356" s="40"/>
      <c r="AW356" s="40"/>
      <c r="AX356" s="40"/>
      <c r="AY356" s="40"/>
      <c r="AZ356" s="40"/>
    </row>
    <row r="357" spans="1:52" s="71" customFormat="1" ht="12" thickBot="1" x14ac:dyDescent="0.2">
      <c r="A357" s="37" t="s">
        <v>94</v>
      </c>
      <c r="B357" s="38" t="s">
        <v>4</v>
      </c>
      <c r="C357" s="109" t="str">
        <f>HYPERLINK(Hoofddocument!$H$357,Hoofddocument!$G$357)</f>
        <v>Coachingsvaardigheden</v>
      </c>
      <c r="D357" s="38" t="s">
        <v>166</v>
      </c>
      <c r="E357" s="38" t="s">
        <v>12</v>
      </c>
      <c r="F357" s="41" t="s">
        <v>184</v>
      </c>
      <c r="G357" s="121" t="s">
        <v>185</v>
      </c>
      <c r="H357" s="55" t="s">
        <v>259</v>
      </c>
      <c r="I357" s="41" t="s">
        <v>97</v>
      </c>
      <c r="J357" s="39"/>
      <c r="K357" s="39"/>
      <c r="L357" s="40" t="s">
        <v>634</v>
      </c>
      <c r="M357" s="40"/>
      <c r="N357" s="40"/>
      <c r="O357" s="40"/>
      <c r="P357" s="40"/>
      <c r="Q357" s="40"/>
      <c r="R357" s="40"/>
      <c r="S357" s="40"/>
      <c r="T357" s="40"/>
      <c r="U357" s="40"/>
      <c r="V357" s="40"/>
      <c r="W357" s="40"/>
      <c r="X357" s="40"/>
      <c r="Y357" s="40"/>
      <c r="Z357" s="40"/>
      <c r="AA357" s="40"/>
      <c r="AB357" s="40"/>
      <c r="AC357" s="40"/>
      <c r="AD357" s="40"/>
      <c r="AE357" s="40"/>
      <c r="AF357" s="40"/>
      <c r="AG357" s="40"/>
      <c r="AH357" s="40"/>
      <c r="AI357" s="40"/>
      <c r="AJ357" s="40" t="s">
        <v>634</v>
      </c>
      <c r="AK357" s="40"/>
      <c r="AL357" s="40"/>
      <c r="AM357" s="40" t="s">
        <v>634</v>
      </c>
      <c r="AN357" s="40"/>
      <c r="AO357" s="40" t="s">
        <v>97</v>
      </c>
      <c r="AP357" s="40"/>
      <c r="AQ357" s="40"/>
      <c r="AR357" s="40"/>
      <c r="AS357" s="40"/>
      <c r="AT357" s="40"/>
      <c r="AU357" s="40"/>
      <c r="AV357" s="40"/>
      <c r="AW357" s="40"/>
      <c r="AX357" s="40"/>
      <c r="AY357" s="40"/>
      <c r="AZ357" s="40"/>
    </row>
    <row r="358" spans="1:52" s="71" customFormat="1" ht="12" thickBot="1" x14ac:dyDescent="0.2">
      <c r="A358" s="37" t="s">
        <v>94</v>
      </c>
      <c r="B358" s="45" t="s">
        <v>4</v>
      </c>
      <c r="C358" s="109" t="str">
        <f>HYPERLINK(Hoofddocument!$H$358,Hoofddocument!$G$358)</f>
        <v>Powerboost Coachingsvaardigheden</v>
      </c>
      <c r="D358" s="41" t="s">
        <v>166</v>
      </c>
      <c r="E358" s="41" t="s">
        <v>12</v>
      </c>
      <c r="F358" s="126" t="s">
        <v>188</v>
      </c>
      <c r="G358" s="121" t="s">
        <v>189</v>
      </c>
      <c r="H358" s="64" t="s">
        <v>524</v>
      </c>
      <c r="I358" s="41" t="s">
        <v>634</v>
      </c>
      <c r="J358" s="39"/>
      <c r="K358" s="39"/>
      <c r="L358" s="40"/>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t="s">
        <v>634</v>
      </c>
      <c r="AN358" s="40"/>
      <c r="AO358" s="40"/>
      <c r="AP358" s="40"/>
      <c r="AQ358" s="40"/>
      <c r="AR358" s="40"/>
      <c r="AS358" s="40"/>
      <c r="AT358" s="40"/>
      <c r="AU358" s="40"/>
      <c r="AV358" s="40"/>
      <c r="AW358" s="40"/>
      <c r="AX358" s="40"/>
      <c r="AY358" s="40"/>
      <c r="AZ358" s="40"/>
    </row>
    <row r="359" spans="1:52" s="71" customFormat="1" ht="12" thickBot="1" x14ac:dyDescent="0.2">
      <c r="A359" s="37" t="s">
        <v>94</v>
      </c>
      <c r="B359" s="45" t="s">
        <v>4</v>
      </c>
      <c r="C359" s="109" t="str">
        <f>HYPERLINK(Hoofddocument!$H$359,Hoofddocument!$G$359)</f>
        <v>Eigenaarschap in je Team</v>
      </c>
      <c r="D359" s="38" t="s">
        <v>166</v>
      </c>
      <c r="E359" s="38" t="s">
        <v>12</v>
      </c>
      <c r="F359" s="38" t="s">
        <v>190</v>
      </c>
      <c r="G359" s="121" t="s">
        <v>191</v>
      </c>
      <c r="H359" s="64" t="s">
        <v>525</v>
      </c>
      <c r="I359" s="41" t="s">
        <v>97</v>
      </c>
      <c r="J359" s="39"/>
      <c r="K359" s="39"/>
      <c r="L359" s="40"/>
      <c r="M359" s="40"/>
      <c r="N359" s="40"/>
      <c r="O359" s="40"/>
      <c r="P359" s="40"/>
      <c r="Q359" s="40"/>
      <c r="R359" s="40"/>
      <c r="S359" s="40"/>
      <c r="T359" s="40"/>
      <c r="U359" s="40"/>
      <c r="V359" s="40"/>
      <c r="W359" s="40"/>
      <c r="X359" s="40"/>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row>
    <row r="360" spans="1:52" s="71" customFormat="1" ht="12" thickBot="1" x14ac:dyDescent="0.2">
      <c r="A360" s="37" t="s">
        <v>94</v>
      </c>
      <c r="B360" s="38" t="s">
        <v>4</v>
      </c>
      <c r="C360" s="109" t="str">
        <f>HYPERLINK(Hoofddocument!$H$360,Hoofddocument!$G$360)</f>
        <v>Agile coaching</v>
      </c>
      <c r="D360" s="38"/>
      <c r="E360" s="38" t="s">
        <v>186</v>
      </c>
      <c r="F360" s="38"/>
      <c r="G360" s="121" t="s">
        <v>187</v>
      </c>
      <c r="H360" s="64" t="s">
        <v>986</v>
      </c>
      <c r="I360" s="41" t="s">
        <v>97</v>
      </c>
      <c r="J360" s="39" t="s">
        <v>97</v>
      </c>
      <c r="K360" s="39"/>
      <c r="L360" s="40"/>
      <c r="M360" s="40"/>
      <c r="N360" s="40"/>
      <c r="O360" s="40"/>
      <c r="P360" s="40"/>
      <c r="Q360" s="40"/>
      <c r="R360" s="40"/>
      <c r="S360" s="39"/>
      <c r="T360" s="39"/>
      <c r="U360" s="40"/>
      <c r="V360" s="40"/>
      <c r="W360" s="40"/>
      <c r="X360" s="40"/>
      <c r="Y360" s="40"/>
      <c r="Z360" s="40"/>
      <c r="AA360" s="40"/>
      <c r="AB360" s="40"/>
      <c r="AC360" s="40"/>
      <c r="AD360" s="40"/>
      <c r="AE360" s="40"/>
      <c r="AF360" s="40"/>
      <c r="AG360" s="40"/>
      <c r="AH360" s="40"/>
      <c r="AI360" s="40"/>
      <c r="AJ360" s="40"/>
      <c r="AK360" s="40"/>
      <c r="AL360" s="40"/>
      <c r="AM360" s="40"/>
      <c r="AN360" s="40"/>
      <c r="AO360" s="40" t="s">
        <v>634</v>
      </c>
      <c r="AP360" s="40"/>
      <c r="AQ360" s="40"/>
      <c r="AR360" s="40"/>
      <c r="AS360" s="40"/>
      <c r="AT360" s="40"/>
      <c r="AU360" s="40"/>
      <c r="AV360" s="40"/>
      <c r="AW360" s="40"/>
      <c r="AX360" s="40"/>
      <c r="AY360" s="40"/>
      <c r="AZ360" s="40"/>
    </row>
    <row r="361" spans="1:52" s="71" customFormat="1" ht="12" thickBot="1" x14ac:dyDescent="0.2">
      <c r="A361" s="37" t="s">
        <v>94</v>
      </c>
      <c r="B361" s="38" t="s">
        <v>4</v>
      </c>
      <c r="C361" s="109" t="str">
        <f>HYPERLINK(Hoofddocument!$H$361,Hoofddocument!$G$361)</f>
        <v>Training Introductie op Coaching (1 dag)</v>
      </c>
      <c r="D361" s="38"/>
      <c r="E361" s="38" t="s">
        <v>225</v>
      </c>
      <c r="F361" s="51"/>
      <c r="G361" s="121" t="s">
        <v>859</v>
      </c>
      <c r="H361" s="64" t="s">
        <v>922</v>
      </c>
      <c r="I361" s="41"/>
      <c r="J361" s="39"/>
      <c r="K361" s="39"/>
      <c r="L361" s="40"/>
      <c r="M361" s="40"/>
      <c r="N361" s="40"/>
      <c r="O361" s="40"/>
      <c r="P361" s="40"/>
      <c r="Q361" s="40"/>
      <c r="R361" s="40"/>
      <c r="S361" s="40"/>
      <c r="T361" s="40"/>
      <c r="U361" s="39"/>
      <c r="V361" s="40"/>
      <c r="W361" s="40"/>
      <c r="X361" s="40"/>
      <c r="Y361" s="40"/>
      <c r="Z361" s="40"/>
      <c r="AA361" s="40"/>
      <c r="AB361" s="40"/>
      <c r="AC361" s="40"/>
      <c r="AD361" s="40"/>
      <c r="AE361" s="40"/>
      <c r="AF361" s="40"/>
      <c r="AG361" s="40"/>
      <c r="AH361" s="40"/>
      <c r="AI361" s="40"/>
      <c r="AJ361" s="40"/>
      <c r="AK361" s="40"/>
      <c r="AL361" s="40"/>
      <c r="AM361" s="40" t="s">
        <v>634</v>
      </c>
      <c r="AN361" s="40"/>
      <c r="AO361" s="40"/>
      <c r="AP361" s="40"/>
      <c r="AQ361" s="40"/>
      <c r="AR361" s="40"/>
      <c r="AS361" s="40"/>
      <c r="AT361" s="40"/>
      <c r="AU361" s="40"/>
      <c r="AV361" s="40"/>
      <c r="AW361" s="40"/>
      <c r="AX361" s="40"/>
      <c r="AY361" s="40"/>
      <c r="AZ361" s="40"/>
    </row>
    <row r="362" spans="1:52" s="71" customFormat="1" ht="12" thickBot="1" x14ac:dyDescent="0.2">
      <c r="A362" s="37" t="s">
        <v>94</v>
      </c>
      <c r="B362" s="38" t="s">
        <v>252</v>
      </c>
      <c r="C362" s="109" t="str">
        <f>HYPERLINK(Hoofddocument!$H$362,Hoofddocument!$G$362)</f>
        <v>Coachend Leidinggeven</v>
      </c>
      <c r="D362" s="38" t="s">
        <v>166</v>
      </c>
      <c r="E362" s="38" t="s">
        <v>12</v>
      </c>
      <c r="F362" s="51" t="s">
        <v>256</v>
      </c>
      <c r="G362" s="121" t="s">
        <v>257</v>
      </c>
      <c r="H362" s="64" t="s">
        <v>258</v>
      </c>
      <c r="I362" s="41"/>
      <c r="J362" s="39"/>
      <c r="K362" s="39"/>
      <c r="L362" s="40" t="s">
        <v>634</v>
      </c>
      <c r="M362" s="40"/>
      <c r="N362" s="40"/>
      <c r="O362" s="40"/>
      <c r="P362" s="40"/>
      <c r="Q362" s="40"/>
      <c r="R362" s="40"/>
      <c r="S362" s="40"/>
      <c r="T362" s="40"/>
      <c r="U362" s="39"/>
      <c r="V362" s="40"/>
      <c r="W362" s="40"/>
      <c r="X362" s="40"/>
      <c r="Y362" s="40"/>
      <c r="Z362" s="40"/>
      <c r="AA362" s="40"/>
      <c r="AB362" s="40"/>
      <c r="AC362" s="40"/>
      <c r="AD362" s="40"/>
      <c r="AE362" s="40"/>
      <c r="AF362" s="40"/>
      <c r="AG362" s="40"/>
      <c r="AH362" s="40"/>
      <c r="AI362" s="40"/>
      <c r="AJ362" s="40"/>
      <c r="AK362" s="40"/>
      <c r="AL362" s="40"/>
      <c r="AM362" s="40"/>
      <c r="AN362" s="40"/>
      <c r="AO362" s="40"/>
      <c r="AP362" s="40"/>
      <c r="AQ362" s="40"/>
      <c r="AR362" s="40"/>
      <c r="AS362" s="40"/>
      <c r="AT362" s="40"/>
      <c r="AU362" s="40"/>
      <c r="AV362" s="40"/>
      <c r="AW362" s="40"/>
      <c r="AX362" s="40"/>
      <c r="AY362" s="40"/>
      <c r="AZ362" s="40"/>
    </row>
    <row r="363" spans="1:52" s="71" customFormat="1" ht="12" thickBot="1" x14ac:dyDescent="0.2">
      <c r="A363" s="37" t="s">
        <v>94</v>
      </c>
      <c r="B363" s="38" t="s">
        <v>252</v>
      </c>
      <c r="C363" s="109" t="str">
        <f>HYPERLINK(Hoofddocument!$H$363,Hoofddocument!$G$363)</f>
        <v>Leergang Operationeel Management voor Coördinatoren en Teamleiders</v>
      </c>
      <c r="D363" s="38" t="s">
        <v>166</v>
      </c>
      <c r="E363" s="38" t="s">
        <v>12</v>
      </c>
      <c r="F363" s="38" t="s">
        <v>253</v>
      </c>
      <c r="G363" s="121" t="s">
        <v>254</v>
      </c>
      <c r="H363" s="64" t="s">
        <v>255</v>
      </c>
      <c r="I363" s="41"/>
      <c r="J363" s="39"/>
      <c r="K363" s="39" t="s">
        <v>634</v>
      </c>
      <c r="L363" s="40" t="s">
        <v>634</v>
      </c>
      <c r="M363" s="40"/>
      <c r="N363" s="40"/>
      <c r="O363" s="40"/>
      <c r="P363" s="40"/>
      <c r="Q363" s="40"/>
      <c r="R363" s="40"/>
      <c r="S363" s="40"/>
      <c r="T363" s="40"/>
      <c r="U363" s="39"/>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row>
    <row r="364" spans="1:52" s="71" customFormat="1" ht="12" thickBot="1" x14ac:dyDescent="0.2">
      <c r="A364" s="37" t="s">
        <v>94</v>
      </c>
      <c r="B364" s="38" t="s">
        <v>7</v>
      </c>
      <c r="C364" s="109" t="str">
        <f>HYPERLINK(Hoofddocument!$H$364,Hoofddocument!$G$364)</f>
        <v>Omgaan met weerstand en tegengestelde belangen</v>
      </c>
      <c r="D364" s="38" t="s">
        <v>166</v>
      </c>
      <c r="E364" s="38" t="s">
        <v>12</v>
      </c>
      <c r="F364" s="38" t="s">
        <v>365</v>
      </c>
      <c r="G364" s="121" t="s">
        <v>366</v>
      </c>
      <c r="H364" s="64" t="s">
        <v>476</v>
      </c>
      <c r="I364" s="41"/>
      <c r="J364" s="39"/>
      <c r="K364" s="39"/>
      <c r="L364" s="40"/>
      <c r="M364" s="40"/>
      <c r="N364" s="40"/>
      <c r="O364" s="40"/>
      <c r="P364" s="40"/>
      <c r="Q364" s="40"/>
      <c r="R364" s="40"/>
      <c r="S364" s="40"/>
      <c r="T364" s="40"/>
      <c r="U364" s="39"/>
      <c r="V364" s="40"/>
      <c r="W364" s="40"/>
      <c r="X364" s="40"/>
      <c r="Y364" s="40"/>
      <c r="Z364" s="40"/>
      <c r="AA364" s="40"/>
      <c r="AB364" s="40"/>
      <c r="AC364" s="40"/>
      <c r="AD364" s="40"/>
      <c r="AE364" s="40"/>
      <c r="AF364" s="40"/>
      <c r="AG364" s="40"/>
      <c r="AH364" s="40"/>
      <c r="AI364" s="40"/>
      <c r="AJ364" s="40" t="s">
        <v>97</v>
      </c>
      <c r="AK364" s="40"/>
      <c r="AL364" s="40"/>
      <c r="AM364" s="40"/>
      <c r="AN364" s="40"/>
      <c r="AO364" s="40"/>
      <c r="AP364" s="40"/>
      <c r="AQ364" s="40"/>
      <c r="AR364" s="40"/>
      <c r="AS364" s="40"/>
      <c r="AT364" s="40"/>
      <c r="AU364" s="40"/>
      <c r="AV364" s="40"/>
      <c r="AW364" s="40"/>
      <c r="AX364" s="40"/>
      <c r="AY364" s="40"/>
      <c r="AZ364" s="40"/>
    </row>
    <row r="365" spans="1:52" s="71" customFormat="1" ht="12" thickBot="1" x14ac:dyDescent="0.2">
      <c r="A365" s="37" t="s">
        <v>94</v>
      </c>
      <c r="B365" s="38" t="s">
        <v>7</v>
      </c>
      <c r="C365" s="109" t="str">
        <f>HYPERLINK(Hoofddocument!$H$365,Hoofddocument!$G$365)</f>
        <v xml:space="preserve">Omgaan met agressie </v>
      </c>
      <c r="D365" s="38"/>
      <c r="E365" s="38" t="s">
        <v>787</v>
      </c>
      <c r="F365" s="51"/>
      <c r="G365" s="121" t="s">
        <v>860</v>
      </c>
      <c r="H365" s="64" t="s">
        <v>987</v>
      </c>
      <c r="I365" s="41"/>
      <c r="J365" s="39"/>
      <c r="K365" s="39"/>
      <c r="L365" s="40"/>
      <c r="M365" s="40"/>
      <c r="N365" s="40"/>
      <c r="O365" s="40"/>
      <c r="P365" s="40"/>
      <c r="Q365" s="40"/>
      <c r="R365" s="40"/>
      <c r="S365" s="40"/>
      <c r="T365" s="40"/>
      <c r="U365" s="39"/>
      <c r="V365" s="40"/>
      <c r="W365" s="40"/>
      <c r="X365" s="40"/>
      <c r="Y365" s="40"/>
      <c r="Z365" s="40"/>
      <c r="AA365" s="40"/>
      <c r="AB365" s="40"/>
      <c r="AC365" s="40"/>
      <c r="AD365" s="40"/>
      <c r="AE365" s="40"/>
      <c r="AF365" s="40"/>
      <c r="AG365" s="40"/>
      <c r="AH365" s="40"/>
      <c r="AI365" s="40"/>
      <c r="AJ365" s="40" t="s">
        <v>97</v>
      </c>
      <c r="AK365" s="40"/>
      <c r="AL365" s="40"/>
      <c r="AM365" s="40"/>
      <c r="AN365" s="40"/>
      <c r="AO365" s="40"/>
      <c r="AP365" s="40"/>
      <c r="AQ365" s="40"/>
      <c r="AR365" s="40"/>
      <c r="AS365" s="40"/>
      <c r="AT365" s="40"/>
      <c r="AU365" s="40"/>
      <c r="AV365" s="40"/>
      <c r="AW365" s="40"/>
      <c r="AX365" s="40"/>
      <c r="AY365" s="40"/>
      <c r="AZ365" s="40"/>
    </row>
    <row r="366" spans="1:52" s="71" customFormat="1" ht="12" thickBot="1" x14ac:dyDescent="0.2">
      <c r="A366" s="37" t="s">
        <v>94</v>
      </c>
      <c r="B366" s="38" t="s">
        <v>7</v>
      </c>
      <c r="C366" s="109" t="str">
        <f>HYPERLINK(Hoofddocument!$H$366,Hoofddocument!$G$366)</f>
        <v>Effectieve gespreksvaardigheden</v>
      </c>
      <c r="D366" s="38" t="s">
        <v>166</v>
      </c>
      <c r="E366" s="38" t="s">
        <v>12</v>
      </c>
      <c r="F366" s="51" t="s">
        <v>198</v>
      </c>
      <c r="G366" s="121" t="s">
        <v>422</v>
      </c>
      <c r="H366" s="64" t="s">
        <v>528</v>
      </c>
      <c r="I366" s="41"/>
      <c r="J366" s="39"/>
      <c r="K366" s="39"/>
      <c r="L366" s="40"/>
      <c r="M366" s="40"/>
      <c r="N366" s="40"/>
      <c r="O366" s="40"/>
      <c r="P366" s="40"/>
      <c r="Q366" s="40"/>
      <c r="R366" s="40"/>
      <c r="S366" s="40"/>
      <c r="T366" s="40"/>
      <c r="U366" s="39"/>
      <c r="V366" s="40"/>
      <c r="W366" s="40"/>
      <c r="X366" s="40"/>
      <c r="Y366" s="40"/>
      <c r="Z366" s="40"/>
      <c r="AA366" s="40"/>
      <c r="AB366" s="40"/>
      <c r="AC366" s="40"/>
      <c r="AD366" s="40"/>
      <c r="AE366" s="40"/>
      <c r="AF366" s="40"/>
      <c r="AG366" s="40"/>
      <c r="AH366" s="40"/>
      <c r="AI366" s="40"/>
      <c r="AJ366" s="40" t="s">
        <v>97</v>
      </c>
      <c r="AK366" s="40"/>
      <c r="AL366" s="40"/>
      <c r="AM366" s="40"/>
      <c r="AN366" s="40"/>
      <c r="AO366" s="40"/>
      <c r="AP366" s="40"/>
      <c r="AQ366" s="40"/>
      <c r="AR366" s="40"/>
      <c r="AS366" s="40"/>
      <c r="AT366" s="40"/>
      <c r="AU366" s="40"/>
      <c r="AV366" s="40"/>
      <c r="AW366" s="40"/>
      <c r="AX366" s="40"/>
      <c r="AY366" s="40"/>
      <c r="AZ366" s="40"/>
    </row>
    <row r="367" spans="1:52" s="71" customFormat="1" ht="12" thickBot="1" x14ac:dyDescent="0.2">
      <c r="A367" s="37" t="s">
        <v>94</v>
      </c>
      <c r="B367" s="38" t="s">
        <v>7</v>
      </c>
      <c r="C367" s="109" t="str">
        <f>HYPERLINK(Hoofddocument!$H$367,Hoofddocument!$G$367)</f>
        <v>Schrijven met het piramideprincipe</v>
      </c>
      <c r="D367" s="38" t="s">
        <v>166</v>
      </c>
      <c r="E367" s="38" t="s">
        <v>12</v>
      </c>
      <c r="F367" s="51" t="s">
        <v>311</v>
      </c>
      <c r="G367" s="121" t="s">
        <v>109</v>
      </c>
      <c r="H367" s="64" t="s">
        <v>110</v>
      </c>
      <c r="I367" s="41"/>
      <c r="J367" s="39"/>
      <c r="K367" s="39"/>
      <c r="L367" s="40"/>
      <c r="M367" s="40"/>
      <c r="N367" s="40"/>
      <c r="O367" s="40"/>
      <c r="P367" s="40"/>
      <c r="Q367" s="40"/>
      <c r="R367" s="40"/>
      <c r="S367" s="40"/>
      <c r="T367" s="40"/>
      <c r="U367" s="39"/>
      <c r="V367" s="40"/>
      <c r="W367" s="40"/>
      <c r="X367" s="40"/>
      <c r="Y367" s="40"/>
      <c r="Z367" s="40"/>
      <c r="AA367" s="40"/>
      <c r="AB367" s="40"/>
      <c r="AC367" s="40"/>
      <c r="AD367" s="40"/>
      <c r="AE367" s="40"/>
      <c r="AF367" s="40"/>
      <c r="AG367" s="40"/>
      <c r="AH367" s="40"/>
      <c r="AI367" s="40"/>
      <c r="AJ367" s="40"/>
      <c r="AK367" s="40"/>
      <c r="AL367" s="40"/>
      <c r="AM367" s="40" t="s">
        <v>634</v>
      </c>
      <c r="AN367" s="40"/>
      <c r="AO367" s="40"/>
      <c r="AP367" s="40"/>
      <c r="AQ367" s="40"/>
      <c r="AR367" s="40"/>
      <c r="AS367" s="40"/>
      <c r="AT367" s="40"/>
      <c r="AU367" s="40"/>
      <c r="AV367" s="40"/>
      <c r="AW367" s="40"/>
      <c r="AX367" s="40"/>
      <c r="AY367" s="40"/>
      <c r="AZ367" s="40"/>
    </row>
    <row r="368" spans="1:52" s="71" customFormat="1" ht="12" thickBot="1" x14ac:dyDescent="0.2">
      <c r="A368" s="37" t="s">
        <v>94</v>
      </c>
      <c r="B368" s="44" t="s">
        <v>95</v>
      </c>
      <c r="C368" s="109" t="str">
        <f>HYPERLINK(Hoofddocument!$H$368,Hoofddocument!$G$368)</f>
        <v>Creatief denken en doen</v>
      </c>
      <c r="D368" s="44" t="s">
        <v>166</v>
      </c>
      <c r="E368" s="44" t="s">
        <v>12</v>
      </c>
      <c r="F368" s="44" t="s">
        <v>228</v>
      </c>
      <c r="G368" s="121" t="s">
        <v>96</v>
      </c>
      <c r="H368" s="64" t="s">
        <v>542</v>
      </c>
      <c r="I368" s="41"/>
      <c r="J368" s="39"/>
      <c r="K368" s="39"/>
      <c r="L368" s="40"/>
      <c r="M368" s="40"/>
      <c r="N368" s="40" t="s">
        <v>634</v>
      </c>
      <c r="O368" s="40"/>
      <c r="P368" s="40"/>
      <c r="Q368" s="40"/>
      <c r="R368" s="40"/>
      <c r="S368" s="40"/>
      <c r="T368" s="40"/>
      <c r="U368" s="39"/>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row>
    <row r="369" spans="1:52" s="71" customFormat="1" ht="12" thickBot="1" x14ac:dyDescent="0.2">
      <c r="A369" s="37" t="s">
        <v>94</v>
      </c>
      <c r="B369" s="38" t="s">
        <v>5</v>
      </c>
      <c r="C369" s="109" t="str">
        <f>HYPERLINK(Hoofddocument!$H$369,Hoofddocument!$G$369)</f>
        <v>Creatief denken en doen</v>
      </c>
      <c r="D369" s="38" t="s">
        <v>166</v>
      </c>
      <c r="E369" s="38" t="s">
        <v>12</v>
      </c>
      <c r="F369" s="44" t="s">
        <v>228</v>
      </c>
      <c r="G369" s="121" t="s">
        <v>96</v>
      </c>
      <c r="H369" s="64" t="s">
        <v>542</v>
      </c>
      <c r="I369" s="41"/>
      <c r="J369" s="39"/>
      <c r="K369" s="39"/>
      <c r="L369" s="40"/>
      <c r="M369" s="40"/>
      <c r="N369" s="40"/>
      <c r="O369" s="40"/>
      <c r="P369" s="40"/>
      <c r="Q369" s="40"/>
      <c r="R369" s="40"/>
      <c r="S369" s="40"/>
      <c r="T369" s="40"/>
      <c r="U369" s="39"/>
      <c r="V369" s="40"/>
      <c r="W369" s="40"/>
      <c r="X369" s="40"/>
      <c r="Y369" s="40"/>
      <c r="Z369" s="40"/>
      <c r="AA369" s="40"/>
      <c r="AB369" s="40"/>
      <c r="AC369" s="40"/>
      <c r="AD369" s="40"/>
      <c r="AE369" s="40"/>
      <c r="AF369" s="40"/>
      <c r="AG369" s="40"/>
      <c r="AH369" s="40" t="s">
        <v>97</v>
      </c>
      <c r="AI369" s="40"/>
      <c r="AJ369" s="40"/>
      <c r="AK369" s="40"/>
      <c r="AL369" s="40"/>
      <c r="AM369" s="40"/>
      <c r="AN369" s="40"/>
      <c r="AO369" s="40"/>
      <c r="AP369" s="40"/>
      <c r="AQ369" s="40"/>
      <c r="AR369" s="40"/>
      <c r="AS369" s="40"/>
      <c r="AT369" s="40"/>
      <c r="AU369" s="40"/>
      <c r="AV369" s="40"/>
      <c r="AW369" s="40"/>
      <c r="AX369" s="40"/>
      <c r="AY369" s="40"/>
      <c r="AZ369" s="40"/>
    </row>
    <row r="370" spans="1:52" s="71" customFormat="1" ht="12" thickBot="1" x14ac:dyDescent="0.2">
      <c r="A370" s="37" t="s">
        <v>94</v>
      </c>
      <c r="B370" s="38" t="s">
        <v>5</v>
      </c>
      <c r="C370" s="109" t="str">
        <f>HYPERLINK(Hoofddocument!$H$370,Hoofddocument!$G$370)</f>
        <v>Masterclass Innovatiemanagement</v>
      </c>
      <c r="D370" s="38" t="s">
        <v>166</v>
      </c>
      <c r="E370" s="38" t="s">
        <v>12</v>
      </c>
      <c r="F370" s="44" t="s">
        <v>385</v>
      </c>
      <c r="G370" s="121" t="s">
        <v>386</v>
      </c>
      <c r="H370" s="64" t="s">
        <v>923</v>
      </c>
      <c r="I370" s="41"/>
      <c r="J370" s="39"/>
      <c r="K370" s="39"/>
      <c r="L370" s="40"/>
      <c r="M370" s="40"/>
      <c r="N370" s="40"/>
      <c r="O370" s="40"/>
      <c r="P370" s="40"/>
      <c r="Q370" s="40"/>
      <c r="R370" s="40"/>
      <c r="S370" s="40"/>
      <c r="T370" s="40"/>
      <c r="U370" s="39"/>
      <c r="V370" s="40"/>
      <c r="W370" s="40"/>
      <c r="X370" s="40"/>
      <c r="Y370" s="40"/>
      <c r="Z370" s="40"/>
      <c r="AA370" s="40"/>
      <c r="AB370" s="40"/>
      <c r="AC370" s="40"/>
      <c r="AD370" s="40"/>
      <c r="AE370" s="40"/>
      <c r="AF370" s="40"/>
      <c r="AG370" s="40"/>
      <c r="AH370" s="40" t="s">
        <v>97</v>
      </c>
      <c r="AI370" s="40"/>
      <c r="AJ370" s="40"/>
      <c r="AK370" s="40"/>
      <c r="AL370" s="40"/>
      <c r="AM370" s="40"/>
      <c r="AN370" s="40"/>
      <c r="AO370" s="40"/>
      <c r="AP370" s="40"/>
      <c r="AQ370" s="40"/>
      <c r="AR370" s="40"/>
      <c r="AS370" s="40"/>
      <c r="AT370" s="40"/>
      <c r="AU370" s="40"/>
      <c r="AV370" s="40"/>
      <c r="AW370" s="40"/>
      <c r="AX370" s="40"/>
      <c r="AY370" s="40"/>
      <c r="AZ370" s="40"/>
    </row>
    <row r="371" spans="1:52" s="71" customFormat="1" ht="12" thickBot="1" x14ac:dyDescent="0.2">
      <c r="A371" s="37" t="s">
        <v>94</v>
      </c>
      <c r="B371" s="38" t="s">
        <v>729</v>
      </c>
      <c r="C371" s="109" t="str">
        <f>HYPERLINK(Hoofddocument!$H$371,Hoofddocument!$G$371)</f>
        <v>Training Delegeren en Loslaten</v>
      </c>
      <c r="D371" s="38"/>
      <c r="E371" s="38" t="s">
        <v>225</v>
      </c>
      <c r="F371" s="38"/>
      <c r="G371" s="121" t="s">
        <v>826</v>
      </c>
      <c r="H371" s="64" t="s">
        <v>899</v>
      </c>
      <c r="I371" s="41"/>
      <c r="J371" s="39"/>
      <c r="K371" s="39"/>
      <c r="L371" s="40"/>
      <c r="M371" s="40"/>
      <c r="N371" s="40"/>
      <c r="O371" s="40"/>
      <c r="P371" s="40"/>
      <c r="Q371" s="40"/>
      <c r="R371" s="40"/>
      <c r="S371" s="40"/>
      <c r="T371" s="40"/>
      <c r="U371" s="39"/>
      <c r="V371" s="40"/>
      <c r="W371" s="40"/>
      <c r="X371" s="40"/>
      <c r="Y371" s="40"/>
      <c r="Z371" s="40"/>
      <c r="AA371" s="40"/>
      <c r="AB371" s="40" t="s">
        <v>97</v>
      </c>
      <c r="AC371" s="40"/>
      <c r="AD371" s="40"/>
      <c r="AE371" s="40"/>
      <c r="AF371" s="40"/>
      <c r="AG371" s="40"/>
      <c r="AH371" s="40"/>
      <c r="AI371" s="40"/>
      <c r="AJ371" s="40"/>
      <c r="AK371" s="40"/>
      <c r="AL371" s="40"/>
      <c r="AM371" s="40"/>
      <c r="AN371" s="40"/>
      <c r="AO371" s="40"/>
      <c r="AP371" s="40"/>
      <c r="AQ371" s="40"/>
      <c r="AR371" s="40"/>
      <c r="AS371" s="40"/>
      <c r="AT371" s="40"/>
      <c r="AU371" s="40"/>
      <c r="AV371" s="40"/>
      <c r="AW371" s="40"/>
      <c r="AX371" s="40"/>
      <c r="AY371" s="40"/>
      <c r="AZ371" s="40"/>
    </row>
    <row r="372" spans="1:52" s="71" customFormat="1" ht="12" thickBot="1" x14ac:dyDescent="0.2">
      <c r="A372" s="37" t="s">
        <v>94</v>
      </c>
      <c r="B372" s="38" t="s">
        <v>747</v>
      </c>
      <c r="C372" s="109" t="str">
        <f>HYPERLINK(Hoofddocument!$H$372,Hoofddocument!$G$372)</f>
        <v>Timemanagement Training</v>
      </c>
      <c r="D372" s="38" t="s">
        <v>166</v>
      </c>
      <c r="E372" s="38" t="s">
        <v>12</v>
      </c>
      <c r="F372" s="52" t="s">
        <v>182</v>
      </c>
      <c r="G372" s="121" t="s">
        <v>183</v>
      </c>
      <c r="H372" s="64" t="s">
        <v>523</v>
      </c>
      <c r="I372" s="41"/>
      <c r="J372" s="39"/>
      <c r="K372" s="39"/>
      <c r="L372" s="40"/>
      <c r="M372" s="40"/>
      <c r="N372" s="40"/>
      <c r="O372" s="40"/>
      <c r="P372" s="40"/>
      <c r="Q372" s="40"/>
      <c r="R372" s="40"/>
      <c r="S372" s="40"/>
      <c r="T372" s="40"/>
      <c r="U372" s="39"/>
      <c r="V372" s="40"/>
      <c r="W372" s="40"/>
      <c r="X372" s="40"/>
      <c r="Y372" s="40"/>
      <c r="Z372" s="40" t="s">
        <v>97</v>
      </c>
      <c r="AA372" s="40"/>
      <c r="AB372" s="40"/>
      <c r="AC372" s="40"/>
      <c r="AD372" s="40"/>
      <c r="AE372" s="40"/>
      <c r="AF372" s="40"/>
      <c r="AG372" s="40"/>
      <c r="AH372" s="40"/>
      <c r="AI372" s="40"/>
      <c r="AJ372" s="40"/>
      <c r="AK372" s="40"/>
      <c r="AL372" s="40"/>
      <c r="AM372" s="40"/>
      <c r="AN372" s="40"/>
      <c r="AO372" s="40"/>
      <c r="AP372" s="40"/>
      <c r="AQ372" s="40"/>
      <c r="AR372" s="40"/>
      <c r="AS372" s="40"/>
      <c r="AT372" s="40"/>
      <c r="AU372" s="40"/>
      <c r="AV372" s="40"/>
      <c r="AW372" s="40"/>
      <c r="AX372" s="40"/>
      <c r="AY372" s="40"/>
      <c r="AZ372" s="40"/>
    </row>
    <row r="373" spans="1:52" s="71" customFormat="1" ht="12" thickBot="1" x14ac:dyDescent="0.2">
      <c r="A373" s="37" t="s">
        <v>94</v>
      </c>
      <c r="B373" s="38" t="s">
        <v>747</v>
      </c>
      <c r="C373" s="121" t="s">
        <v>861</v>
      </c>
      <c r="D373" s="38"/>
      <c r="E373" s="38" t="s">
        <v>759</v>
      </c>
      <c r="F373" s="38"/>
      <c r="G373" s="121" t="s">
        <v>861</v>
      </c>
      <c r="H373" s="64"/>
      <c r="I373" s="41"/>
      <c r="J373" s="39"/>
      <c r="K373" s="39"/>
      <c r="L373" s="40"/>
      <c r="M373" s="40"/>
      <c r="N373" s="40"/>
      <c r="O373" s="40"/>
      <c r="P373" s="40"/>
      <c r="Q373" s="40"/>
      <c r="R373" s="40"/>
      <c r="S373" s="40"/>
      <c r="T373" s="40"/>
      <c r="U373" s="39"/>
      <c r="V373" s="40"/>
      <c r="W373" s="40"/>
      <c r="X373" s="40"/>
      <c r="Y373" s="40"/>
      <c r="Z373" s="40"/>
      <c r="AA373" s="40"/>
      <c r="AB373" s="40"/>
      <c r="AC373" s="40"/>
      <c r="AD373" s="40"/>
      <c r="AE373" s="40"/>
      <c r="AF373" s="40"/>
      <c r="AG373" s="40"/>
      <c r="AH373" s="40"/>
      <c r="AI373" s="40"/>
      <c r="AJ373" s="40" t="s">
        <v>97</v>
      </c>
      <c r="AK373" s="40"/>
      <c r="AL373" s="40"/>
      <c r="AM373" s="40"/>
      <c r="AN373" s="40"/>
      <c r="AO373" s="40"/>
      <c r="AP373" s="40"/>
      <c r="AQ373" s="40"/>
      <c r="AR373" s="40"/>
      <c r="AS373" s="40"/>
      <c r="AT373" s="40"/>
      <c r="AU373" s="40"/>
      <c r="AV373" s="40"/>
      <c r="AW373" s="40"/>
      <c r="AX373" s="40"/>
      <c r="AY373" s="40"/>
      <c r="AZ373" s="40"/>
    </row>
    <row r="374" spans="1:52" s="71" customFormat="1" ht="12" thickBot="1" x14ac:dyDescent="0.2">
      <c r="A374" s="37" t="s">
        <v>94</v>
      </c>
      <c r="B374" s="38" t="s">
        <v>6</v>
      </c>
      <c r="C374" s="109" t="str">
        <f>HYPERLINK(Hoofddocument!$H$374,Hoofddocument!$G$374)</f>
        <v>Leidinggeven zonder Macht</v>
      </c>
      <c r="D374" s="38" t="s">
        <v>166</v>
      </c>
      <c r="E374" s="38" t="s">
        <v>12</v>
      </c>
      <c r="F374" s="38" t="s">
        <v>445</v>
      </c>
      <c r="G374" s="121" t="s">
        <v>446</v>
      </c>
      <c r="H374" s="64" t="s">
        <v>447</v>
      </c>
      <c r="I374" s="41"/>
      <c r="J374" s="39"/>
      <c r="K374" s="39"/>
      <c r="L374" s="40"/>
      <c r="M374" s="40"/>
      <c r="N374" s="40"/>
      <c r="O374" s="40"/>
      <c r="P374" s="40"/>
      <c r="Q374" s="40"/>
      <c r="R374" s="40"/>
      <c r="S374" s="40"/>
      <c r="T374" s="40"/>
      <c r="U374" s="39" t="s">
        <v>97</v>
      </c>
      <c r="V374" s="40"/>
      <c r="W374" s="40"/>
      <c r="X374" s="40"/>
      <c r="Y374" s="40"/>
      <c r="Z374" s="40"/>
      <c r="AA374" s="40" t="s">
        <v>97</v>
      </c>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row>
    <row r="375" spans="1:52" s="71" customFormat="1" ht="12" thickBot="1" x14ac:dyDescent="0.2">
      <c r="A375" s="37" t="s">
        <v>94</v>
      </c>
      <c r="B375" s="38" t="s">
        <v>6</v>
      </c>
      <c r="C375" s="109" t="str">
        <f>HYPERLINK(Hoofddocument!$H$375,Hoofddocument!$G$375)</f>
        <v>Coachend Leidinggeven</v>
      </c>
      <c r="D375" s="38" t="s">
        <v>166</v>
      </c>
      <c r="E375" s="38" t="s">
        <v>12</v>
      </c>
      <c r="F375" s="38" t="s">
        <v>256</v>
      </c>
      <c r="G375" s="121" t="s">
        <v>257</v>
      </c>
      <c r="H375" s="64" t="s">
        <v>258</v>
      </c>
      <c r="I375" s="41"/>
      <c r="J375" s="39"/>
      <c r="K375" s="39"/>
      <c r="L375" s="40"/>
      <c r="M375" s="40"/>
      <c r="N375" s="40"/>
      <c r="O375" s="40"/>
      <c r="P375" s="40" t="s">
        <v>97</v>
      </c>
      <c r="Q375" s="40"/>
      <c r="R375" s="40"/>
      <c r="S375" s="40"/>
      <c r="T375" s="40"/>
      <c r="U375" s="39" t="s">
        <v>97</v>
      </c>
      <c r="V375" s="40"/>
      <c r="W375" s="40"/>
      <c r="X375" s="40"/>
      <c r="Y375" s="40"/>
      <c r="Z375" s="40"/>
      <c r="AA375" s="40"/>
      <c r="AB375" s="40"/>
      <c r="AC375" s="40"/>
      <c r="AD375" s="40"/>
      <c r="AE375" s="40"/>
      <c r="AF375" s="40"/>
      <c r="AG375" s="40"/>
      <c r="AH375" s="40"/>
      <c r="AI375" s="40"/>
      <c r="AJ375" s="40"/>
      <c r="AK375" s="40"/>
      <c r="AL375" s="40"/>
      <c r="AM375" s="40"/>
      <c r="AN375" s="40"/>
      <c r="AO375" s="40"/>
      <c r="AP375" s="40"/>
      <c r="AQ375" s="40"/>
      <c r="AR375" s="40"/>
      <c r="AS375" s="40"/>
      <c r="AT375" s="40"/>
      <c r="AU375" s="40"/>
      <c r="AV375" s="40"/>
      <c r="AW375" s="40"/>
      <c r="AX375" s="40"/>
      <c r="AY375" s="40"/>
      <c r="AZ375" s="40"/>
    </row>
    <row r="376" spans="1:52" s="71" customFormat="1" ht="12" thickBot="1" x14ac:dyDescent="0.2">
      <c r="A376" s="37" t="s">
        <v>94</v>
      </c>
      <c r="B376" s="38" t="s">
        <v>6</v>
      </c>
      <c r="C376" s="109" t="str">
        <f>HYPERLINK(Hoofddocument!$H$376,Hoofddocument!$G$376)</f>
        <v>Basistraining Leidinggeven</v>
      </c>
      <c r="D376" s="38" t="s">
        <v>166</v>
      </c>
      <c r="E376" s="38" t="s">
        <v>12</v>
      </c>
      <c r="F376" s="38" t="s">
        <v>702</v>
      </c>
      <c r="G376" s="121" t="s">
        <v>701</v>
      </c>
      <c r="H376" s="64" t="s">
        <v>444</v>
      </c>
      <c r="I376" s="41"/>
      <c r="J376" s="39"/>
      <c r="K376" s="39"/>
      <c r="L376" s="40"/>
      <c r="M376" s="40"/>
      <c r="N376" s="40"/>
      <c r="O376" s="40"/>
      <c r="P376" s="40"/>
      <c r="Q376" s="40"/>
      <c r="R376" s="40"/>
      <c r="S376" s="40"/>
      <c r="T376" s="40"/>
      <c r="U376" s="39" t="s">
        <v>97</v>
      </c>
      <c r="V376" s="40"/>
      <c r="W376" s="40"/>
      <c r="X376" s="40"/>
      <c r="Y376" s="40"/>
      <c r="Z376" s="40"/>
      <c r="AA376" s="40"/>
      <c r="AB376" s="40"/>
      <c r="AC376" s="40"/>
      <c r="AD376" s="40"/>
      <c r="AE376" s="40"/>
      <c r="AF376" s="40" t="s">
        <v>97</v>
      </c>
      <c r="AG376" s="40"/>
      <c r="AH376" s="40"/>
      <c r="AI376" s="40"/>
      <c r="AJ376" s="40"/>
      <c r="AK376" s="40"/>
      <c r="AL376" s="40"/>
      <c r="AM376" s="40"/>
      <c r="AN376" s="40"/>
      <c r="AO376" s="40"/>
      <c r="AP376" s="40"/>
      <c r="AQ376" s="40"/>
      <c r="AR376" s="40"/>
      <c r="AS376" s="40"/>
      <c r="AT376" s="40"/>
      <c r="AU376" s="40"/>
      <c r="AV376" s="40"/>
      <c r="AW376" s="40"/>
      <c r="AX376" s="40"/>
      <c r="AY376" s="40"/>
      <c r="AZ376" s="40"/>
    </row>
    <row r="377" spans="1:52" s="71" customFormat="1" ht="12" thickBot="1" x14ac:dyDescent="0.2">
      <c r="A377" s="37" t="s">
        <v>94</v>
      </c>
      <c r="B377" s="38" t="s">
        <v>6</v>
      </c>
      <c r="C377" s="109" t="str">
        <f>HYPERLINK(Hoofddocument!$H$377,Hoofddocument!$G$377)</f>
        <v>Powerboost Effectief Leidinggeven</v>
      </c>
      <c r="D377" s="38" t="s">
        <v>166</v>
      </c>
      <c r="E377" s="38" t="s">
        <v>12</v>
      </c>
      <c r="F377" s="38" t="s">
        <v>441</v>
      </c>
      <c r="G377" s="121" t="s">
        <v>442</v>
      </c>
      <c r="H377" s="64" t="s">
        <v>443</v>
      </c>
      <c r="I377" s="41"/>
      <c r="J377" s="39"/>
      <c r="K377" s="39"/>
      <c r="L377" s="40"/>
      <c r="M377" s="40"/>
      <c r="N377" s="40"/>
      <c r="O377" s="40"/>
      <c r="P377" s="40"/>
      <c r="Q377" s="40"/>
      <c r="R377" s="40"/>
      <c r="S377" s="40"/>
      <c r="T377" s="40"/>
      <c r="U377" s="39" t="s">
        <v>634</v>
      </c>
      <c r="V377" s="40"/>
      <c r="W377" s="40"/>
      <c r="X377" s="40"/>
      <c r="Y377" s="40"/>
      <c r="Z377" s="40"/>
      <c r="AA377" s="40"/>
      <c r="AB377" s="40"/>
      <c r="AC377" s="40"/>
      <c r="AD377" s="40"/>
      <c r="AE377" s="40"/>
      <c r="AF377" s="40" t="s">
        <v>634</v>
      </c>
      <c r="AG377" s="40"/>
      <c r="AH377" s="40"/>
      <c r="AI377" s="40"/>
      <c r="AJ377" s="40"/>
      <c r="AK377" s="40"/>
      <c r="AL377" s="40"/>
      <c r="AM377" s="40"/>
      <c r="AN377" s="40"/>
      <c r="AO377" s="40"/>
      <c r="AP377" s="40"/>
      <c r="AQ377" s="40"/>
      <c r="AR377" s="40"/>
      <c r="AS377" s="40"/>
      <c r="AT377" s="40"/>
      <c r="AU377" s="40"/>
      <c r="AV377" s="40"/>
      <c r="AW377" s="40"/>
      <c r="AX377" s="40"/>
      <c r="AY377" s="40"/>
      <c r="AZ377" s="40"/>
    </row>
    <row r="378" spans="1:52" s="71" customFormat="1" ht="12" thickBot="1" x14ac:dyDescent="0.2">
      <c r="A378" s="37" t="s">
        <v>94</v>
      </c>
      <c r="B378" s="38" t="s">
        <v>8</v>
      </c>
      <c r="C378" s="109" t="str">
        <f>HYPERLINK(Hoofddocument!$H$378,Hoofddocument!$G$378)</f>
        <v>Communicatie met  Impact!</v>
      </c>
      <c r="D378" s="38" t="s">
        <v>166</v>
      </c>
      <c r="E378" s="38" t="s">
        <v>12</v>
      </c>
      <c r="F378" s="38" t="s">
        <v>671</v>
      </c>
      <c r="G378" s="121" t="s">
        <v>670</v>
      </c>
      <c r="H378" s="64" t="s">
        <v>98</v>
      </c>
      <c r="I378" s="41"/>
      <c r="J378" s="39"/>
      <c r="K378" s="39"/>
      <c r="L378" s="40"/>
      <c r="M378" s="40" t="s">
        <v>634</v>
      </c>
      <c r="N378" s="40" t="s">
        <v>634</v>
      </c>
      <c r="O378" s="40" t="s">
        <v>634</v>
      </c>
      <c r="P378" s="40" t="s">
        <v>634</v>
      </c>
      <c r="Q378" s="40"/>
      <c r="R378" s="40"/>
      <c r="S378" s="40"/>
      <c r="T378" s="40"/>
      <c r="U378" s="39"/>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row>
    <row r="379" spans="1:52" s="71" customFormat="1" ht="12" thickBot="1" x14ac:dyDescent="0.2">
      <c r="A379" s="37" t="s">
        <v>94</v>
      </c>
      <c r="B379" s="38" t="s">
        <v>9</v>
      </c>
      <c r="C379" s="109" t="str">
        <f>HYPERLINK(Hoofddocument!$H$379,Hoofddocument!$G$379)</f>
        <v xml:space="preserve">Powerboost Beïnvloeden </v>
      </c>
      <c r="D379" s="38" t="s">
        <v>166</v>
      </c>
      <c r="E379" s="38" t="s">
        <v>12</v>
      </c>
      <c r="F379" s="38" t="s">
        <v>669</v>
      </c>
      <c r="G379" s="121" t="s">
        <v>357</v>
      </c>
      <c r="H379" s="64" t="s">
        <v>358</v>
      </c>
      <c r="I379" s="41"/>
      <c r="J379" s="39"/>
      <c r="K379" s="39"/>
      <c r="L379" s="40"/>
      <c r="M379" s="40"/>
      <c r="N379" s="40"/>
      <c r="O379" s="40"/>
      <c r="P379" s="40"/>
      <c r="Q379" s="40"/>
      <c r="R379" s="40"/>
      <c r="S379" s="40"/>
      <c r="T379" s="40"/>
      <c r="U379" s="39"/>
      <c r="V379" s="40"/>
      <c r="W379" s="40" t="s">
        <v>634</v>
      </c>
      <c r="X379" s="40"/>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row>
    <row r="380" spans="1:52" s="71" customFormat="1" ht="12" thickBot="1" x14ac:dyDescent="0.2">
      <c r="A380" s="37" t="s">
        <v>94</v>
      </c>
      <c r="B380" s="38" t="s">
        <v>9</v>
      </c>
      <c r="C380" s="109" t="str">
        <f>HYPERLINK(Hoofddocument!$H$380,Hoofddocument!$G$380)</f>
        <v>Het Moedige Gesprek</v>
      </c>
      <c r="D380" s="38" t="s">
        <v>166</v>
      </c>
      <c r="E380" s="38" t="s">
        <v>12</v>
      </c>
      <c r="F380" s="38" t="s">
        <v>194</v>
      </c>
      <c r="G380" s="121" t="s">
        <v>195</v>
      </c>
      <c r="H380" s="64" t="s">
        <v>527</v>
      </c>
      <c r="I380" s="41" t="s">
        <v>97</v>
      </c>
      <c r="J380" s="39"/>
      <c r="K380" s="39"/>
      <c r="L380" s="40"/>
      <c r="M380" s="40"/>
      <c r="N380" s="40"/>
      <c r="O380" s="40"/>
      <c r="P380" s="40"/>
      <c r="Q380" s="40"/>
      <c r="R380" s="40"/>
      <c r="S380" s="40"/>
      <c r="T380" s="40"/>
      <c r="U380" s="39"/>
      <c r="V380" s="40"/>
      <c r="W380" s="40"/>
      <c r="X380" s="40"/>
      <c r="Y380" s="40"/>
      <c r="Z380" s="40"/>
      <c r="AA380" s="40"/>
      <c r="AB380" s="40"/>
      <c r="AC380" s="40"/>
      <c r="AD380" s="40"/>
      <c r="AE380" s="40"/>
      <c r="AF380" s="40"/>
      <c r="AG380" s="40"/>
      <c r="AH380" s="40"/>
      <c r="AI380" s="40"/>
      <c r="AJ380" s="40"/>
      <c r="AK380" s="40"/>
      <c r="AL380" s="40"/>
      <c r="AM380" s="40"/>
      <c r="AN380" s="40"/>
      <c r="AO380" s="40"/>
      <c r="AP380" s="40" t="s">
        <v>97</v>
      </c>
      <c r="AQ380" s="40" t="s">
        <v>97</v>
      </c>
      <c r="AR380" s="40" t="s">
        <v>97</v>
      </c>
      <c r="AS380" s="40" t="s">
        <v>97</v>
      </c>
      <c r="AT380" s="40" t="s">
        <v>97</v>
      </c>
      <c r="AU380" s="40" t="s">
        <v>97</v>
      </c>
      <c r="AV380" s="40" t="s">
        <v>97</v>
      </c>
      <c r="AW380" s="40"/>
      <c r="AX380" s="40"/>
      <c r="AY380" s="40"/>
      <c r="AZ380" s="40"/>
    </row>
    <row r="381" spans="1:52" s="71" customFormat="1" ht="12" thickBot="1" x14ac:dyDescent="0.2">
      <c r="A381" s="37" t="s">
        <v>94</v>
      </c>
      <c r="B381" s="38" t="s">
        <v>748</v>
      </c>
      <c r="C381" s="109" t="str">
        <f>HYPERLINK(Hoofddocument!$H$381,Hoofddocument!$G$381)</f>
        <v>Governance en Integriteit</v>
      </c>
      <c r="D381" s="38"/>
      <c r="E381" s="38" t="s">
        <v>788</v>
      </c>
      <c r="F381" s="51"/>
      <c r="G381" s="121" t="s">
        <v>862</v>
      </c>
      <c r="H381" s="64" t="s">
        <v>924</v>
      </c>
      <c r="I381" s="41"/>
      <c r="J381" s="39"/>
      <c r="K381" s="39"/>
      <c r="L381" s="40"/>
      <c r="M381" s="40"/>
      <c r="N381" s="40"/>
      <c r="O381" s="40"/>
      <c r="P381" s="40"/>
      <c r="Q381" s="40"/>
      <c r="R381" s="40"/>
      <c r="S381" s="40"/>
      <c r="T381" s="40"/>
      <c r="U381" s="39"/>
      <c r="V381" s="40"/>
      <c r="W381" s="40"/>
      <c r="X381" s="40"/>
      <c r="Y381" s="40"/>
      <c r="Z381" s="40"/>
      <c r="AA381" s="40"/>
      <c r="AB381" s="40"/>
      <c r="AC381" s="40"/>
      <c r="AD381" s="40"/>
      <c r="AE381" s="40"/>
      <c r="AF381" s="40"/>
      <c r="AG381" s="40"/>
      <c r="AH381" s="40"/>
      <c r="AI381" s="40"/>
      <c r="AJ381" s="40"/>
      <c r="AK381" s="40"/>
      <c r="AL381" s="40"/>
      <c r="AM381" s="40"/>
      <c r="AN381" s="40" t="s">
        <v>97</v>
      </c>
      <c r="AO381" s="40"/>
      <c r="AP381" s="40"/>
      <c r="AQ381" s="40"/>
      <c r="AR381" s="40"/>
      <c r="AS381" s="40"/>
      <c r="AT381" s="40"/>
      <c r="AU381" s="40"/>
      <c r="AV381" s="40"/>
      <c r="AW381" s="40"/>
      <c r="AX381" s="40"/>
      <c r="AY381" s="40"/>
      <c r="AZ381" s="40"/>
    </row>
    <row r="382" spans="1:52" s="71" customFormat="1" ht="12" thickBot="1" x14ac:dyDescent="0.2">
      <c r="A382" s="37" t="s">
        <v>94</v>
      </c>
      <c r="B382" s="38" t="s">
        <v>748</v>
      </c>
      <c r="C382" s="109" t="str">
        <f>HYPERLINK(Hoofddocument!$H$382,Hoofddocument!$G$382)</f>
        <v>Omgaan met weerstand en tegengestelde belangen</v>
      </c>
      <c r="D382" s="38" t="s">
        <v>166</v>
      </c>
      <c r="E382" s="38" t="s">
        <v>12</v>
      </c>
      <c r="F382" s="44" t="s">
        <v>365</v>
      </c>
      <c r="G382" s="121" t="s">
        <v>366</v>
      </c>
      <c r="H382" s="64" t="s">
        <v>476</v>
      </c>
      <c r="I382" s="41"/>
      <c r="J382" s="39"/>
      <c r="K382" s="39"/>
      <c r="L382" s="40"/>
      <c r="M382" s="40"/>
      <c r="N382" s="40"/>
      <c r="O382" s="40"/>
      <c r="P382" s="40"/>
      <c r="Q382" s="40"/>
      <c r="R382" s="40"/>
      <c r="S382" s="40"/>
      <c r="T382" s="40"/>
      <c r="U382" s="40"/>
      <c r="V382" s="40"/>
      <c r="W382" s="39"/>
      <c r="X382" s="40"/>
      <c r="Y382" s="40"/>
      <c r="Z382" s="40"/>
      <c r="AA382" s="40"/>
      <c r="AB382" s="40"/>
      <c r="AC382" s="40"/>
      <c r="AD382" s="40"/>
      <c r="AE382" s="40"/>
      <c r="AF382" s="40"/>
      <c r="AG382" s="40"/>
      <c r="AH382" s="40"/>
      <c r="AI382" s="40"/>
      <c r="AJ382" s="40"/>
      <c r="AK382" s="40"/>
      <c r="AL382" s="40"/>
      <c r="AM382" s="40"/>
      <c r="AN382" s="40"/>
      <c r="AO382" s="40"/>
      <c r="AP382" s="40"/>
      <c r="AQ382" s="40"/>
      <c r="AR382" s="40"/>
      <c r="AS382" s="40"/>
      <c r="AT382" s="40"/>
      <c r="AU382" s="40"/>
      <c r="AV382" s="40"/>
      <c r="AW382" s="121"/>
      <c r="AX382" s="121" t="s">
        <v>634</v>
      </c>
      <c r="AY382" s="40"/>
      <c r="AZ382" s="40"/>
    </row>
    <row r="383" spans="1:52" s="71" customFormat="1" ht="12" thickBot="1" x14ac:dyDescent="0.2">
      <c r="A383" s="37" t="s">
        <v>94</v>
      </c>
      <c r="B383" s="38" t="s">
        <v>749</v>
      </c>
      <c r="C383" s="109" t="str">
        <f>HYPERLINK(Hoofddocument!$H$383,Hoofddocument!$G$383)</f>
        <v>Doelgericht Communiceren en Beinvloeden</v>
      </c>
      <c r="D383" s="38"/>
      <c r="E383" s="38" t="s">
        <v>225</v>
      </c>
      <c r="F383" s="51"/>
      <c r="G383" s="121" t="s">
        <v>503</v>
      </c>
      <c r="H383" s="64" t="s">
        <v>627</v>
      </c>
      <c r="I383" s="41"/>
      <c r="J383" s="39"/>
      <c r="K383" s="39"/>
      <c r="L383" s="40"/>
      <c r="M383" s="40"/>
      <c r="N383" s="40"/>
      <c r="O383" s="40"/>
      <c r="P383" s="40"/>
      <c r="Q383" s="40"/>
      <c r="R383" s="40"/>
      <c r="S383" s="40"/>
      <c r="T383" s="40"/>
      <c r="U383" s="39"/>
      <c r="V383" s="40"/>
      <c r="W383" s="40"/>
      <c r="X383" s="40"/>
      <c r="Y383" s="40"/>
      <c r="Z383" s="40" t="s">
        <v>97</v>
      </c>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row>
    <row r="384" spans="1:52" s="71" customFormat="1" ht="12" thickBot="1" x14ac:dyDescent="0.2">
      <c r="A384" s="37" t="s">
        <v>94</v>
      </c>
      <c r="B384" s="38" t="s">
        <v>749</v>
      </c>
      <c r="C384" s="109" t="str">
        <f>HYPERLINK(Hoofddocument!$H$384,Hoofddocument!$G$384)</f>
        <v>Training Creativiteit en Resultaat</v>
      </c>
      <c r="D384" s="38"/>
      <c r="E384" s="38" t="s">
        <v>225</v>
      </c>
      <c r="F384" s="51"/>
      <c r="G384" s="121" t="s">
        <v>226</v>
      </c>
      <c r="H384" s="64" t="s">
        <v>227</v>
      </c>
      <c r="I384" s="41"/>
      <c r="J384" s="39"/>
      <c r="K384" s="39"/>
      <c r="L384" s="40"/>
      <c r="M384" s="40"/>
      <c r="N384" s="40"/>
      <c r="O384" s="40"/>
      <c r="P384" s="40"/>
      <c r="Q384" s="40"/>
      <c r="R384" s="40"/>
      <c r="S384" s="40"/>
      <c r="T384" s="40"/>
      <c r="U384" s="39"/>
      <c r="V384" s="40"/>
      <c r="W384" s="40"/>
      <c r="X384" s="40"/>
      <c r="Y384" s="40"/>
      <c r="Z384" s="40"/>
      <c r="AA384" s="40"/>
      <c r="AB384" s="40"/>
      <c r="AC384" s="40" t="s">
        <v>97</v>
      </c>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row>
    <row r="385" spans="1:52" s="71" customFormat="1" ht="12" thickBot="1" x14ac:dyDescent="0.2">
      <c r="A385" s="37" t="s">
        <v>94</v>
      </c>
      <c r="B385" s="44" t="s">
        <v>749</v>
      </c>
      <c r="C385" s="109" t="str">
        <f>HYPERLINK(Hoofddocument!$H$385,Hoofddocument!$G$385)</f>
        <v>Persoonlijke Effectiviteit</v>
      </c>
      <c r="D385" s="38" t="s">
        <v>166</v>
      </c>
      <c r="E385" s="38" t="s">
        <v>12</v>
      </c>
      <c r="F385" s="44" t="s">
        <v>479</v>
      </c>
      <c r="G385" s="121" t="s">
        <v>856</v>
      </c>
      <c r="H385" s="55" t="s">
        <v>618</v>
      </c>
      <c r="I385" s="41"/>
      <c r="J385" s="39"/>
      <c r="K385" s="39"/>
      <c r="L385" s="40"/>
      <c r="M385" s="40"/>
      <c r="N385" s="40"/>
      <c r="O385" s="40"/>
      <c r="P385" s="40"/>
      <c r="Q385" s="40"/>
      <c r="R385" s="40"/>
      <c r="S385" s="40"/>
      <c r="T385" s="40"/>
      <c r="U385" s="39"/>
      <c r="V385" s="40"/>
      <c r="W385" s="40"/>
      <c r="X385" s="40"/>
      <c r="Y385" s="40"/>
      <c r="Z385" s="40"/>
      <c r="AA385" s="40"/>
      <c r="AB385" s="40"/>
      <c r="AC385" s="40"/>
      <c r="AD385" s="40"/>
      <c r="AE385" s="40"/>
      <c r="AF385" s="40"/>
      <c r="AG385" s="40"/>
      <c r="AH385" s="40"/>
      <c r="AI385" s="40"/>
      <c r="AJ385" s="40" t="s">
        <v>97</v>
      </c>
      <c r="AK385" s="40"/>
      <c r="AL385" s="40"/>
      <c r="AM385" s="40" t="s">
        <v>634</v>
      </c>
      <c r="AN385" s="40"/>
      <c r="AO385" s="40"/>
      <c r="AP385" s="40"/>
      <c r="AQ385" s="40"/>
      <c r="AR385" s="40"/>
      <c r="AS385" s="40"/>
      <c r="AT385" s="40"/>
      <c r="AU385" s="40"/>
      <c r="AV385" s="40"/>
      <c r="AW385" s="40"/>
      <c r="AX385" s="40"/>
      <c r="AY385" s="40"/>
      <c r="AZ385" s="40"/>
    </row>
    <row r="386" spans="1:52" s="71" customFormat="1" ht="12" thickBot="1" x14ac:dyDescent="0.2">
      <c r="A386" s="37" t="s">
        <v>94</v>
      </c>
      <c r="B386" s="44" t="s">
        <v>749</v>
      </c>
      <c r="C386" s="109" t="str">
        <f>HYPERLINK(Hoofddocument!$H$386,Hoofddocument!$G$386)</f>
        <v>Introductie in Handelen vanuit een Growth Mindset</v>
      </c>
      <c r="D386" s="44" t="s">
        <v>166</v>
      </c>
      <c r="E386" s="44" t="s">
        <v>12</v>
      </c>
      <c r="F386" s="44" t="s">
        <v>789</v>
      </c>
      <c r="G386" s="121" t="s">
        <v>863</v>
      </c>
      <c r="H386" s="55" t="s">
        <v>925</v>
      </c>
      <c r="I386" s="41"/>
      <c r="J386" s="39"/>
      <c r="K386" s="39"/>
      <c r="L386" s="40"/>
      <c r="M386" s="40"/>
      <c r="N386" s="40"/>
      <c r="O386" s="40"/>
      <c r="P386" s="40"/>
      <c r="Q386" s="40"/>
      <c r="R386" s="40"/>
      <c r="S386" s="40"/>
      <c r="T386" s="40"/>
      <c r="U386" s="39"/>
      <c r="V386" s="40"/>
      <c r="W386" s="40"/>
      <c r="X386" s="40"/>
      <c r="Y386" s="40"/>
      <c r="Z386" s="40"/>
      <c r="AA386" s="40"/>
      <c r="AB386" s="40"/>
      <c r="AC386" s="40"/>
      <c r="AD386" s="40"/>
      <c r="AE386" s="40"/>
      <c r="AF386" s="40"/>
      <c r="AG386" s="40"/>
      <c r="AH386" s="40"/>
      <c r="AI386" s="40"/>
      <c r="AJ386" s="40"/>
      <c r="AK386" s="40" t="s">
        <v>634</v>
      </c>
      <c r="AL386" s="40"/>
      <c r="AM386" s="40"/>
      <c r="AN386" s="40"/>
      <c r="AO386" s="40"/>
      <c r="AP386" s="40"/>
      <c r="AQ386" s="40"/>
      <c r="AR386" s="40"/>
      <c r="AS386" s="40"/>
      <c r="AT386" s="40"/>
      <c r="AU386" s="40"/>
      <c r="AV386" s="40"/>
      <c r="AW386" s="40"/>
      <c r="AX386" s="40"/>
      <c r="AY386" s="40"/>
      <c r="AZ386" s="40"/>
    </row>
    <row r="387" spans="1:52" s="71" customFormat="1" ht="12" thickBot="1" x14ac:dyDescent="0.2">
      <c r="A387" s="37" t="s">
        <v>94</v>
      </c>
      <c r="B387" s="44" t="s">
        <v>163</v>
      </c>
      <c r="C387" s="109" t="str">
        <f>HYPERLINK(Hoofddocument!$H$387,Hoofddocument!$G$387)</f>
        <v>Klantgerichte Adviesrapporten Schrijven</v>
      </c>
      <c r="D387" s="44" t="s">
        <v>166</v>
      </c>
      <c r="E387" s="44" t="s">
        <v>12</v>
      </c>
      <c r="F387" s="44" t="s">
        <v>350</v>
      </c>
      <c r="G387" s="121" t="s">
        <v>351</v>
      </c>
      <c r="H387" s="55" t="s">
        <v>576</v>
      </c>
      <c r="I387" s="41"/>
      <c r="J387" s="39"/>
      <c r="K387" s="39"/>
      <c r="L387" s="40"/>
      <c r="M387" s="40"/>
      <c r="N387" s="40"/>
      <c r="O387" s="40"/>
      <c r="P387" s="40"/>
      <c r="Q387" s="40"/>
      <c r="R387" s="40"/>
      <c r="S387" s="40"/>
      <c r="T387" s="40" t="s">
        <v>97</v>
      </c>
      <c r="U387" s="39"/>
      <c r="V387" s="40"/>
      <c r="W387" s="40"/>
      <c r="X387" s="40"/>
      <c r="Y387" s="40"/>
      <c r="Z387" s="40"/>
      <c r="AA387" s="40"/>
      <c r="AB387" s="40"/>
      <c r="AC387" s="40"/>
      <c r="AD387" s="40"/>
      <c r="AE387" s="40"/>
      <c r="AF387" s="40"/>
      <c r="AG387" s="40"/>
      <c r="AH387" s="40"/>
      <c r="AI387" s="40"/>
      <c r="AJ387" s="40"/>
      <c r="AK387" s="40"/>
      <c r="AL387" s="40"/>
      <c r="AM387" s="40"/>
      <c r="AN387" s="40"/>
      <c r="AO387" s="40"/>
      <c r="AP387" s="40"/>
      <c r="AQ387" s="40"/>
      <c r="AR387" s="40"/>
      <c r="AS387" s="40"/>
      <c r="AT387" s="40"/>
      <c r="AU387" s="40"/>
      <c r="AV387" s="40"/>
      <c r="AW387" s="40"/>
      <c r="AX387" s="40"/>
      <c r="AY387" s="40"/>
      <c r="AZ387" s="40"/>
    </row>
    <row r="388" spans="1:52" s="71" customFormat="1" ht="12" thickBot="1" x14ac:dyDescent="0.2">
      <c r="A388" s="43" t="s">
        <v>94</v>
      </c>
      <c r="B388" s="44" t="s">
        <v>163</v>
      </c>
      <c r="C388" s="109" t="str">
        <f>HYPERLINK(Hoofddocument!$H$388,Hoofddocument!$G$388)</f>
        <v>Klantgericht Denken en Handelen</v>
      </c>
      <c r="D388" s="44" t="s">
        <v>166</v>
      </c>
      <c r="E388" s="44" t="s">
        <v>12</v>
      </c>
      <c r="F388" s="44" t="s">
        <v>164</v>
      </c>
      <c r="G388" s="121" t="s">
        <v>165</v>
      </c>
      <c r="H388" s="49" t="s">
        <v>519</v>
      </c>
      <c r="I388" s="41"/>
      <c r="J388" s="39"/>
      <c r="K388" s="39"/>
      <c r="L388" s="40"/>
      <c r="M388" s="40"/>
      <c r="N388" s="40"/>
      <c r="O388" s="40"/>
      <c r="P388" s="40"/>
      <c r="Q388" s="40"/>
      <c r="R388" s="40"/>
      <c r="S388" s="40"/>
      <c r="T388" s="40" t="s">
        <v>97</v>
      </c>
      <c r="U388" s="39"/>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row>
    <row r="389" spans="1:52" s="71" customFormat="1" ht="12" thickBot="1" x14ac:dyDescent="0.2">
      <c r="A389" s="43" t="s">
        <v>94</v>
      </c>
      <c r="B389" s="44" t="s">
        <v>10</v>
      </c>
      <c r="C389" s="109" t="str">
        <f>HYPERLINK(Hoofddocument!$H$389,Hoofddocument!$G$389)</f>
        <v>Grip op processen</v>
      </c>
      <c r="D389" s="44" t="s">
        <v>166</v>
      </c>
      <c r="E389" s="44" t="s">
        <v>12</v>
      </c>
      <c r="F389" s="44" t="s">
        <v>180</v>
      </c>
      <c r="G389" s="121" t="s">
        <v>100</v>
      </c>
      <c r="H389" s="49" t="s">
        <v>522</v>
      </c>
      <c r="I389" s="41"/>
      <c r="J389" s="39"/>
      <c r="K389" s="39" t="s">
        <v>634</v>
      </c>
      <c r="L389" s="40" t="s">
        <v>97</v>
      </c>
      <c r="M389" s="40" t="s">
        <v>97</v>
      </c>
      <c r="N389" s="40" t="s">
        <v>97</v>
      </c>
      <c r="O389" s="40"/>
      <c r="P389" s="40"/>
      <c r="Q389" s="40"/>
      <c r="R389" s="40"/>
      <c r="S389" s="40"/>
      <c r="T389" s="40"/>
      <c r="U389" s="39"/>
      <c r="V389" s="40"/>
      <c r="W389" s="40"/>
      <c r="X389" s="40"/>
      <c r="Y389" s="40"/>
      <c r="Z389" s="40"/>
      <c r="AA389" s="40"/>
      <c r="AB389" s="40"/>
      <c r="AC389" s="40"/>
      <c r="AD389" s="40"/>
      <c r="AE389" s="40"/>
      <c r="AF389" s="40"/>
      <c r="AG389" s="40"/>
      <c r="AH389" s="40" t="s">
        <v>97</v>
      </c>
      <c r="AI389" s="40"/>
      <c r="AJ389" s="40"/>
      <c r="AK389" s="40"/>
      <c r="AL389" s="40"/>
      <c r="AM389" s="40"/>
      <c r="AN389" s="40"/>
      <c r="AO389" s="40" t="s">
        <v>97</v>
      </c>
      <c r="AP389" s="40"/>
      <c r="AQ389" s="40"/>
      <c r="AR389" s="40"/>
      <c r="AS389" s="40"/>
      <c r="AT389" s="40"/>
      <c r="AU389" s="40"/>
      <c r="AV389" s="40"/>
      <c r="AW389" s="40"/>
      <c r="AX389" s="40"/>
      <c r="AY389" s="40"/>
      <c r="AZ389" s="40"/>
    </row>
    <row r="390" spans="1:52" s="71" customFormat="1" ht="12" thickBot="1" x14ac:dyDescent="0.2">
      <c r="A390" s="43" t="s">
        <v>94</v>
      </c>
      <c r="B390" s="44" t="s">
        <v>10</v>
      </c>
      <c r="C390" s="121" t="s">
        <v>864</v>
      </c>
      <c r="D390" s="44"/>
      <c r="E390" s="44" t="s">
        <v>759</v>
      </c>
      <c r="F390" s="44"/>
      <c r="G390" s="121" t="s">
        <v>864</v>
      </c>
      <c r="H390" s="49"/>
      <c r="I390" s="41"/>
      <c r="J390" s="39"/>
      <c r="K390" s="39"/>
      <c r="L390" s="40"/>
      <c r="M390" s="40"/>
      <c r="N390" s="40"/>
      <c r="O390" s="40"/>
      <c r="P390" s="40"/>
      <c r="Q390" s="40"/>
      <c r="R390" s="40"/>
      <c r="S390" s="40"/>
      <c r="T390" s="40"/>
      <c r="U390" s="39"/>
      <c r="V390" s="40"/>
      <c r="W390" s="40"/>
      <c r="X390" s="40" t="s">
        <v>634</v>
      </c>
      <c r="Y390" s="40"/>
      <c r="Z390" s="40"/>
      <c r="AA390" s="40"/>
      <c r="AB390" s="40"/>
      <c r="AC390" s="40"/>
      <c r="AD390" s="40"/>
      <c r="AE390" s="40"/>
      <c r="AF390" s="40"/>
      <c r="AG390" s="40"/>
      <c r="AH390" s="40"/>
      <c r="AI390" s="40"/>
      <c r="AJ390" s="40"/>
      <c r="AK390" s="40"/>
      <c r="AL390" s="40"/>
      <c r="AM390" s="40"/>
      <c r="AN390" s="40"/>
      <c r="AO390" s="40"/>
      <c r="AP390" s="40"/>
      <c r="AQ390" s="40"/>
      <c r="AR390" s="40"/>
      <c r="AS390" s="40"/>
      <c r="AT390" s="40"/>
      <c r="AU390" s="40"/>
      <c r="AV390" s="40"/>
      <c r="AW390" s="40"/>
      <c r="AX390" s="40"/>
      <c r="AY390" s="40"/>
      <c r="AZ390" s="40"/>
    </row>
    <row r="391" spans="1:52" s="71" customFormat="1" ht="12" thickBot="1" x14ac:dyDescent="0.2">
      <c r="A391" s="43" t="s">
        <v>94</v>
      </c>
      <c r="B391" s="44" t="s">
        <v>10</v>
      </c>
      <c r="C391" s="109" t="str">
        <f>HYPERLINK(Hoofddocument!$H$391,Hoofddocument!$G$391)</f>
        <v>Prioriteiten en doelen stellen</v>
      </c>
      <c r="D391" s="44" t="s">
        <v>767</v>
      </c>
      <c r="E391" s="44" t="s">
        <v>12</v>
      </c>
      <c r="F391" s="44" t="s">
        <v>790</v>
      </c>
      <c r="G391" s="121" t="s">
        <v>865</v>
      </c>
      <c r="H391" s="49"/>
      <c r="I391" s="41"/>
      <c r="J391" s="39"/>
      <c r="K391" s="39"/>
      <c r="L391" s="40"/>
      <c r="M391" s="40"/>
      <c r="N391" s="40"/>
      <c r="O391" s="40"/>
      <c r="P391" s="40"/>
      <c r="Q391" s="40"/>
      <c r="R391" s="40"/>
      <c r="S391" s="40"/>
      <c r="T391" s="40"/>
      <c r="U391" s="39"/>
      <c r="V391" s="40"/>
      <c r="W391" s="40"/>
      <c r="X391" s="40"/>
      <c r="Y391" s="40" t="s">
        <v>97</v>
      </c>
      <c r="Z391" s="40" t="s">
        <v>97</v>
      </c>
      <c r="AA391" s="40"/>
      <c r="AB391" s="40"/>
      <c r="AC391" s="40"/>
      <c r="AD391" s="40"/>
      <c r="AE391" s="40"/>
      <c r="AF391" s="40"/>
      <c r="AG391" s="40"/>
      <c r="AH391" s="40"/>
      <c r="AI391" s="40"/>
      <c r="AJ391" s="40"/>
      <c r="AK391" s="40"/>
      <c r="AL391" s="40"/>
      <c r="AM391" s="40"/>
      <c r="AN391" s="40"/>
      <c r="AO391" s="40"/>
      <c r="AP391" s="40"/>
      <c r="AQ391" s="40"/>
      <c r="AR391" s="40"/>
      <c r="AS391" s="40"/>
      <c r="AT391" s="40"/>
      <c r="AU391" s="40"/>
      <c r="AV391" s="40"/>
      <c r="AW391" s="40"/>
      <c r="AX391" s="40"/>
      <c r="AY391" s="40"/>
      <c r="AZ391" s="40"/>
    </row>
    <row r="392" spans="1:52" s="71" customFormat="1" ht="12" thickBot="1" x14ac:dyDescent="0.2">
      <c r="A392" s="37" t="s">
        <v>94</v>
      </c>
      <c r="B392" s="38" t="s">
        <v>11</v>
      </c>
      <c r="C392" s="109" t="str">
        <f>HYPERLINK(Hoofddocument!$H$392,Hoofddocument!$G$392)</f>
        <v>Slim Leren op de Werkplek</v>
      </c>
      <c r="D392" s="38" t="s">
        <v>166</v>
      </c>
      <c r="E392" s="38" t="s">
        <v>12</v>
      </c>
      <c r="F392" s="44" t="s">
        <v>246</v>
      </c>
      <c r="G392" s="121" t="s">
        <v>392</v>
      </c>
      <c r="H392" s="64" t="s">
        <v>247</v>
      </c>
      <c r="I392" s="41"/>
      <c r="J392" s="39"/>
      <c r="K392" s="39" t="s">
        <v>97</v>
      </c>
      <c r="L392" s="40"/>
      <c r="M392" s="40"/>
      <c r="N392" s="40"/>
      <c r="O392" s="40"/>
      <c r="P392" s="40"/>
      <c r="Q392" s="40"/>
      <c r="R392" s="40" t="s">
        <v>97</v>
      </c>
      <c r="S392" s="40" t="s">
        <v>97</v>
      </c>
      <c r="T392" s="40"/>
      <c r="U392" s="39" t="s">
        <v>97</v>
      </c>
      <c r="V392" s="40"/>
      <c r="W392" s="40"/>
      <c r="X392" s="40"/>
      <c r="Y392" s="40"/>
      <c r="Z392" s="40"/>
      <c r="AA392" s="40"/>
      <c r="AB392" s="40"/>
      <c r="AC392" s="40"/>
      <c r="AD392" s="40"/>
      <c r="AE392" s="40"/>
      <c r="AF392" s="40" t="s">
        <v>97</v>
      </c>
      <c r="AG392" s="40"/>
      <c r="AH392" s="40"/>
      <c r="AI392" s="40"/>
      <c r="AJ392" s="40"/>
      <c r="AK392" s="40"/>
      <c r="AL392" s="40"/>
      <c r="AM392" s="40"/>
      <c r="AN392" s="40"/>
      <c r="AO392" s="40"/>
      <c r="AP392" s="40"/>
      <c r="AQ392" s="40"/>
      <c r="AR392" s="40"/>
      <c r="AS392" s="40"/>
      <c r="AT392" s="40"/>
      <c r="AU392" s="40"/>
      <c r="AV392" s="40"/>
      <c r="AW392" s="40"/>
      <c r="AX392" s="40"/>
      <c r="AY392" s="40"/>
      <c r="AZ392" s="40"/>
    </row>
    <row r="393" spans="1:52" s="71" customFormat="1" ht="12" thickBot="1" x14ac:dyDescent="0.2">
      <c r="A393" s="37" t="s">
        <v>94</v>
      </c>
      <c r="B393" s="38" t="s">
        <v>11</v>
      </c>
      <c r="C393" s="109" t="str">
        <f>HYPERLINK(Hoofddocument!$H$393,Hoofddocument!$G$393)</f>
        <v>Training Creativiteit en Resultaat</v>
      </c>
      <c r="D393" s="38"/>
      <c r="E393" s="38" t="s">
        <v>225</v>
      </c>
      <c r="F393" s="44"/>
      <c r="G393" s="121" t="s">
        <v>226</v>
      </c>
      <c r="H393" s="64" t="s">
        <v>227</v>
      </c>
      <c r="I393" s="41"/>
      <c r="J393" s="39"/>
      <c r="K393" s="39"/>
      <c r="L393" s="40"/>
      <c r="M393" s="40"/>
      <c r="N393" s="40"/>
      <c r="O393" s="40"/>
      <c r="P393" s="40"/>
      <c r="Q393" s="40"/>
      <c r="R393" s="40"/>
      <c r="S393" s="40"/>
      <c r="T393" s="40"/>
      <c r="U393" s="39"/>
      <c r="V393" s="40"/>
      <c r="W393" s="40"/>
      <c r="X393" s="40" t="s">
        <v>634</v>
      </c>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row>
    <row r="394" spans="1:52" s="71" customFormat="1" ht="12" thickBot="1" x14ac:dyDescent="0.2">
      <c r="A394" s="37" t="s">
        <v>94</v>
      </c>
      <c r="B394" s="38" t="s">
        <v>11</v>
      </c>
      <c r="C394" s="109" t="str">
        <f>HYPERLINK(Hoofddocument!$H$394,Hoofddocument!$G$394)</f>
        <v>Bouwen aan een Lerende Organisatie</v>
      </c>
      <c r="D394" s="38" t="s">
        <v>166</v>
      </c>
      <c r="E394" s="38" t="s">
        <v>12</v>
      </c>
      <c r="F394" s="38" t="s">
        <v>791</v>
      </c>
      <c r="G394" s="121" t="s">
        <v>866</v>
      </c>
      <c r="H394" s="64" t="s">
        <v>926</v>
      </c>
      <c r="I394" s="41"/>
      <c r="J394" s="39"/>
      <c r="K394" s="39"/>
      <c r="L394" s="40"/>
      <c r="M394" s="40"/>
      <c r="N394" s="40"/>
      <c r="O394" s="40"/>
      <c r="P394" s="40"/>
      <c r="Q394" s="40"/>
      <c r="R394" s="40"/>
      <c r="S394" s="40"/>
      <c r="T394" s="40"/>
      <c r="U394" s="39"/>
      <c r="V394" s="40"/>
      <c r="W394" s="40"/>
      <c r="X394" s="40"/>
      <c r="Y394" s="40"/>
      <c r="Z394" s="40"/>
      <c r="AA394" s="40"/>
      <c r="AB394" s="40"/>
      <c r="AC394" s="40"/>
      <c r="AD394" s="40"/>
      <c r="AE394" s="40"/>
      <c r="AF394" s="40"/>
      <c r="AG394" s="40"/>
      <c r="AH394" s="40"/>
      <c r="AI394" s="40" t="s">
        <v>97</v>
      </c>
      <c r="AJ394" s="40"/>
      <c r="AK394" s="40"/>
      <c r="AL394" s="40"/>
      <c r="AM394" s="40"/>
      <c r="AN394" s="40"/>
      <c r="AO394" s="40"/>
      <c r="AP394" s="40"/>
      <c r="AQ394" s="40"/>
      <c r="AR394" s="40"/>
      <c r="AS394" s="40"/>
      <c r="AT394" s="40"/>
      <c r="AU394" s="40"/>
      <c r="AV394" s="40"/>
      <c r="AW394" s="40"/>
      <c r="AX394" s="40"/>
      <c r="AY394" s="40"/>
      <c r="AZ394" s="40"/>
    </row>
    <row r="395" spans="1:52" s="71" customFormat="1" ht="12" thickBot="1" x14ac:dyDescent="0.2">
      <c r="A395" s="37" t="s">
        <v>94</v>
      </c>
      <c r="B395" s="44" t="s">
        <v>245</v>
      </c>
      <c r="C395" s="109" t="str">
        <f>HYPERLINK(Hoofddocument!$H$395,Hoofddocument!$G$395)</f>
        <v>Bewust Handelen vanuit een Growth Mindset</v>
      </c>
      <c r="D395" s="44" t="s">
        <v>166</v>
      </c>
      <c r="E395" s="44" t="s">
        <v>12</v>
      </c>
      <c r="F395" s="44" t="s">
        <v>705</v>
      </c>
      <c r="G395" s="121" t="s">
        <v>248</v>
      </c>
      <c r="H395" s="49" t="s">
        <v>517</v>
      </c>
      <c r="I395" s="41"/>
      <c r="J395" s="39"/>
      <c r="K395" s="39" t="s">
        <v>634</v>
      </c>
      <c r="L395" s="40" t="s">
        <v>634</v>
      </c>
      <c r="M395" s="40"/>
      <c r="N395" s="40"/>
      <c r="O395" s="40"/>
      <c r="P395" s="40"/>
      <c r="Q395" s="40" t="s">
        <v>97</v>
      </c>
      <c r="R395" s="40"/>
      <c r="S395" s="40"/>
      <c r="T395" s="40"/>
      <c r="U395" s="39"/>
      <c r="V395" s="40"/>
      <c r="W395" s="40"/>
      <c r="X395" s="40"/>
      <c r="Y395" s="40"/>
      <c r="Z395" s="40"/>
      <c r="AA395" s="40" t="s">
        <v>634</v>
      </c>
      <c r="AB395" s="40"/>
      <c r="AC395" s="40"/>
      <c r="AD395" s="40"/>
      <c r="AE395" s="40"/>
      <c r="AF395" s="40" t="s">
        <v>634</v>
      </c>
      <c r="AG395" s="40" t="s">
        <v>634</v>
      </c>
      <c r="AH395" s="40"/>
      <c r="AI395" s="40"/>
      <c r="AJ395" s="40"/>
      <c r="AK395" s="40"/>
      <c r="AL395" s="40"/>
      <c r="AM395" s="40"/>
      <c r="AN395" s="40"/>
      <c r="AO395" s="40"/>
      <c r="AP395" s="40"/>
      <c r="AQ395" s="40"/>
      <c r="AR395" s="40"/>
      <c r="AS395" s="40"/>
      <c r="AT395" s="40"/>
      <c r="AU395" s="40"/>
      <c r="AV395" s="40"/>
      <c r="AW395" s="40"/>
      <c r="AX395" s="40"/>
      <c r="AY395" s="40"/>
      <c r="AZ395" s="40"/>
    </row>
    <row r="396" spans="1:52" s="71" customFormat="1" ht="12" thickBot="1" x14ac:dyDescent="0.2">
      <c r="A396" s="37" t="s">
        <v>94</v>
      </c>
      <c r="B396" s="44" t="s">
        <v>731</v>
      </c>
      <c r="C396" s="109" t="str">
        <f>HYPERLINK(Hoofddocument!$H$396,Hoofddocument!$G$396)</f>
        <v>Situationeel Leidinggeven</v>
      </c>
      <c r="D396" s="38" t="s">
        <v>166</v>
      </c>
      <c r="E396" s="38" t="s">
        <v>12</v>
      </c>
      <c r="F396" s="44" t="s">
        <v>792</v>
      </c>
      <c r="G396" s="121" t="s">
        <v>867</v>
      </c>
      <c r="H396" s="55" t="s">
        <v>927</v>
      </c>
      <c r="I396" s="41"/>
      <c r="J396" s="39"/>
      <c r="K396" s="39"/>
      <c r="L396" s="40"/>
      <c r="M396" s="40"/>
      <c r="N396" s="40"/>
      <c r="O396" s="40"/>
      <c r="P396" s="40"/>
      <c r="Q396" s="40"/>
      <c r="R396" s="40"/>
      <c r="S396" s="40"/>
      <c r="T396" s="40"/>
      <c r="U396" s="39"/>
      <c r="V396" s="40"/>
      <c r="W396" s="40"/>
      <c r="X396" s="40" t="s">
        <v>97</v>
      </c>
      <c r="Y396" s="40"/>
      <c r="Z396" s="40"/>
      <c r="AA396" s="40"/>
      <c r="AB396" s="40"/>
      <c r="AC396" s="40"/>
      <c r="AD396" s="40"/>
      <c r="AE396" s="40"/>
      <c r="AF396" s="40"/>
      <c r="AG396" s="40"/>
      <c r="AH396" s="40"/>
      <c r="AI396" s="40"/>
      <c r="AJ396" s="40"/>
      <c r="AK396" s="40" t="s">
        <v>634</v>
      </c>
      <c r="AL396" s="40"/>
      <c r="AM396" s="40"/>
      <c r="AN396" s="40"/>
      <c r="AO396" s="40"/>
      <c r="AP396" s="40"/>
      <c r="AQ396" s="40"/>
      <c r="AR396" s="40"/>
      <c r="AS396" s="40"/>
      <c r="AT396" s="40"/>
      <c r="AU396" s="40"/>
      <c r="AV396" s="40"/>
      <c r="AW396" s="40"/>
      <c r="AX396" s="40"/>
      <c r="AY396" s="40"/>
      <c r="AZ396" s="40"/>
    </row>
    <row r="397" spans="1:52" s="71" customFormat="1" ht="12" thickBot="1" x14ac:dyDescent="0.2">
      <c r="A397" s="56" t="s">
        <v>94</v>
      </c>
      <c r="B397" s="38" t="s">
        <v>731</v>
      </c>
      <c r="C397" s="109" t="str">
        <f>HYPERLINK(Hoofddocument!$H$397,Hoofddocument!$G$397)</f>
        <v>Leidinggeven aan Professionals</v>
      </c>
      <c r="D397" s="38" t="s">
        <v>166</v>
      </c>
      <c r="E397" s="38" t="s">
        <v>12</v>
      </c>
      <c r="F397" s="44" t="s">
        <v>793</v>
      </c>
      <c r="G397" s="121" t="s">
        <v>868</v>
      </c>
      <c r="H397" s="49" t="s">
        <v>928</v>
      </c>
      <c r="I397" s="41"/>
      <c r="J397" s="39"/>
      <c r="K397" s="39"/>
      <c r="L397" s="40"/>
      <c r="M397" s="40"/>
      <c r="N397" s="40"/>
      <c r="O397" s="40"/>
      <c r="P397" s="40"/>
      <c r="Q397" s="40"/>
      <c r="R397" s="40"/>
      <c r="S397" s="40"/>
      <c r="T397" s="40"/>
      <c r="U397" s="39"/>
      <c r="V397" s="40"/>
      <c r="W397" s="40"/>
      <c r="X397" s="40" t="s">
        <v>97</v>
      </c>
      <c r="Y397" s="40"/>
      <c r="Z397" s="40"/>
      <c r="AA397" s="40"/>
      <c r="AB397" s="40"/>
      <c r="AC397" s="40"/>
      <c r="AD397" s="40"/>
      <c r="AE397" s="40"/>
      <c r="AF397" s="40"/>
      <c r="AG397" s="40"/>
      <c r="AH397" s="40"/>
      <c r="AI397" s="40"/>
      <c r="AJ397" s="40"/>
      <c r="AK397" s="40"/>
      <c r="AL397" s="40"/>
      <c r="AM397" s="40"/>
      <c r="AN397" s="40"/>
      <c r="AO397" s="40"/>
      <c r="AP397" s="40"/>
      <c r="AQ397" s="40"/>
      <c r="AR397" s="40"/>
      <c r="AS397" s="40"/>
      <c r="AT397" s="40"/>
      <c r="AU397" s="40"/>
      <c r="AV397" s="40"/>
      <c r="AW397" s="40"/>
      <c r="AX397" s="40"/>
      <c r="AY397" s="40"/>
      <c r="AZ397" s="40"/>
    </row>
    <row r="398" spans="1:52" s="71" customFormat="1" ht="12" thickBot="1" x14ac:dyDescent="0.2">
      <c r="A398" s="37" t="s">
        <v>94</v>
      </c>
      <c r="B398" s="44" t="s">
        <v>731</v>
      </c>
      <c r="C398" s="109" t="str">
        <f>HYPERLINK(Hoofddocument!$H$398,Hoofddocument!$G$398)</f>
        <v>Coachend Leidinggeven</v>
      </c>
      <c r="D398" s="44" t="s">
        <v>166</v>
      </c>
      <c r="E398" s="44" t="s">
        <v>12</v>
      </c>
      <c r="F398" s="44" t="s">
        <v>256</v>
      </c>
      <c r="G398" s="121" t="s">
        <v>257</v>
      </c>
      <c r="H398" s="55" t="s">
        <v>258</v>
      </c>
      <c r="I398" s="41"/>
      <c r="J398" s="39"/>
      <c r="K398" s="39"/>
      <c r="L398" s="40"/>
      <c r="M398" s="40"/>
      <c r="N398" s="40"/>
      <c r="O398" s="40"/>
      <c r="P398" s="40"/>
      <c r="Q398" s="40"/>
      <c r="R398" s="40"/>
      <c r="S398" s="40"/>
      <c r="T398" s="40"/>
      <c r="U398" s="39"/>
      <c r="V398" s="40"/>
      <c r="W398" s="40"/>
      <c r="X398" s="40"/>
      <c r="Y398" s="40"/>
      <c r="Z398" s="40"/>
      <c r="AA398" s="40"/>
      <c r="AB398" s="40" t="s">
        <v>97</v>
      </c>
      <c r="AC398" s="40"/>
      <c r="AD398" s="40"/>
      <c r="AE398" s="40"/>
      <c r="AF398" s="40"/>
      <c r="AG398" s="40"/>
      <c r="AH398" s="40"/>
      <c r="AI398" s="40"/>
      <c r="AJ398" s="40"/>
      <c r="AK398" s="40" t="s">
        <v>97</v>
      </c>
      <c r="AL398" s="40"/>
      <c r="AM398" s="40"/>
      <c r="AN398" s="40"/>
      <c r="AO398" s="40"/>
      <c r="AP398" s="40"/>
      <c r="AQ398" s="40"/>
      <c r="AR398" s="40"/>
      <c r="AS398" s="40"/>
      <c r="AT398" s="40"/>
      <c r="AU398" s="40"/>
      <c r="AV398" s="40"/>
      <c r="AW398" s="40"/>
      <c r="AX398" s="40"/>
      <c r="AY398" s="40"/>
      <c r="AZ398" s="40"/>
    </row>
    <row r="399" spans="1:52" s="71" customFormat="1" ht="12" thickBot="1" x14ac:dyDescent="0.2">
      <c r="A399" s="37" t="s">
        <v>94</v>
      </c>
      <c r="B399" s="44" t="s">
        <v>731</v>
      </c>
      <c r="C399" s="109" t="str">
        <f>HYPERLINK(Hoofddocument!$H$399,Hoofddocument!$G$399)</f>
        <v>Powerboost Effectief Leidinggeven</v>
      </c>
      <c r="D399" s="44" t="s">
        <v>166</v>
      </c>
      <c r="E399" s="44" t="s">
        <v>12</v>
      </c>
      <c r="F399" s="44" t="s">
        <v>441</v>
      </c>
      <c r="G399" s="121" t="s">
        <v>442</v>
      </c>
      <c r="H399" s="49" t="s">
        <v>443</v>
      </c>
      <c r="I399" s="41"/>
      <c r="J399" s="39"/>
      <c r="K399" s="39"/>
      <c r="L399" s="40"/>
      <c r="M399" s="40"/>
      <c r="N399" s="40"/>
      <c r="O399" s="40"/>
      <c r="P399" s="40"/>
      <c r="Q399" s="40"/>
      <c r="R399" s="40"/>
      <c r="S399" s="40"/>
      <c r="T399" s="40"/>
      <c r="U399" s="39"/>
      <c r="V399" s="40"/>
      <c r="W399" s="40"/>
      <c r="X399" s="40"/>
      <c r="Y399" s="40"/>
      <c r="Z399" s="40"/>
      <c r="AA399" s="40"/>
      <c r="AB399" s="40" t="s">
        <v>634</v>
      </c>
      <c r="AC399" s="40"/>
      <c r="AD399" s="40"/>
      <c r="AE399" s="40"/>
      <c r="AF399" s="40"/>
      <c r="AG399" s="40"/>
      <c r="AH399" s="40"/>
      <c r="AI399" s="40"/>
      <c r="AJ399" s="40"/>
      <c r="AK399" s="40" t="s">
        <v>634</v>
      </c>
      <c r="AL399" s="40"/>
      <c r="AM399" s="40"/>
      <c r="AN399" s="40"/>
      <c r="AO399" s="40"/>
      <c r="AP399" s="40"/>
      <c r="AQ399" s="40"/>
      <c r="AR399" s="40"/>
      <c r="AS399" s="40"/>
      <c r="AT399" s="40"/>
      <c r="AU399" s="40"/>
      <c r="AV399" s="40"/>
      <c r="AW399" s="40"/>
      <c r="AX399" s="40"/>
      <c r="AY399" s="40"/>
      <c r="AZ399" s="40"/>
    </row>
    <row r="400" spans="1:52" s="71" customFormat="1" ht="12" thickBot="1" x14ac:dyDescent="0.2">
      <c r="A400" s="43" t="s">
        <v>94</v>
      </c>
      <c r="B400" s="44" t="s">
        <v>14</v>
      </c>
      <c r="C400" s="109" t="str">
        <f>HYPERLINK(Hoofddocument!$H$400,Hoofddocument!$G$400)</f>
        <v>Effectieve Gespreksvaardigheden</v>
      </c>
      <c r="D400" s="44" t="s">
        <v>166</v>
      </c>
      <c r="E400" s="44" t="s">
        <v>12</v>
      </c>
      <c r="F400" s="44" t="s">
        <v>198</v>
      </c>
      <c r="G400" s="121" t="s">
        <v>199</v>
      </c>
      <c r="H400" s="64" t="s">
        <v>528</v>
      </c>
      <c r="I400" s="41"/>
      <c r="J400" s="39"/>
      <c r="K400" s="39"/>
      <c r="L400" s="40"/>
      <c r="M400" s="40"/>
      <c r="N400" s="40"/>
      <c r="O400" s="40"/>
      <c r="P400" s="40"/>
      <c r="Q400" s="40"/>
      <c r="R400" s="40" t="s">
        <v>97</v>
      </c>
      <c r="S400" s="40"/>
      <c r="T400" s="40"/>
      <c r="U400" s="39"/>
      <c r="V400" s="40"/>
      <c r="W400" s="40"/>
      <c r="X400" s="40"/>
      <c r="Y400" s="40"/>
      <c r="Z400" s="40"/>
      <c r="AA400" s="40"/>
      <c r="AB400" s="40"/>
      <c r="AC400" s="40"/>
      <c r="AD400" s="40"/>
      <c r="AE400" s="40"/>
      <c r="AF400" s="40"/>
      <c r="AG400" s="40"/>
      <c r="AH400" s="40"/>
      <c r="AI400" s="40"/>
      <c r="AJ400" s="40"/>
      <c r="AK400" s="40"/>
      <c r="AL400" s="40"/>
      <c r="AM400" s="40"/>
      <c r="AN400" s="40"/>
      <c r="AO400" s="40"/>
      <c r="AP400" s="40"/>
      <c r="AQ400" s="40"/>
      <c r="AR400" s="40"/>
      <c r="AS400" s="40"/>
      <c r="AT400" s="40"/>
      <c r="AU400" s="40"/>
      <c r="AV400" s="40"/>
      <c r="AW400" s="40"/>
      <c r="AX400" s="40"/>
      <c r="AY400" s="40"/>
      <c r="AZ400" s="40"/>
    </row>
    <row r="401" spans="1:52" s="71" customFormat="1" ht="12" thickBot="1" x14ac:dyDescent="0.2">
      <c r="A401" s="43" t="s">
        <v>94</v>
      </c>
      <c r="B401" s="44" t="s">
        <v>15</v>
      </c>
      <c r="C401" s="109" t="str">
        <f>HYPERLINK(Hoofddocument!$H$401,Hoofddocument!$G$401)</f>
        <v>Masterclass Toegepaste Organisatiekunde</v>
      </c>
      <c r="D401" s="44" t="s">
        <v>166</v>
      </c>
      <c r="E401" s="44" t="s">
        <v>12</v>
      </c>
      <c r="F401" s="44" t="s">
        <v>260</v>
      </c>
      <c r="G401" s="121" t="s">
        <v>261</v>
      </c>
      <c r="H401" s="49" t="s">
        <v>262</v>
      </c>
      <c r="I401" s="41"/>
      <c r="J401" s="39"/>
      <c r="K401" s="39" t="s">
        <v>97</v>
      </c>
      <c r="L401" s="40" t="s">
        <v>97</v>
      </c>
      <c r="M401" s="40"/>
      <c r="N401" s="40"/>
      <c r="O401" s="40"/>
      <c r="P401" s="40"/>
      <c r="Q401" s="40"/>
      <c r="R401" s="40"/>
      <c r="S401" s="40"/>
      <c r="T401" s="40"/>
      <c r="U401" s="39"/>
      <c r="V401" s="40"/>
      <c r="W401" s="40"/>
      <c r="X401" s="40"/>
      <c r="Y401" s="40"/>
      <c r="Z401" s="40"/>
      <c r="AA401" s="40"/>
      <c r="AB401" s="40"/>
      <c r="AC401" s="40"/>
      <c r="AD401" s="40"/>
      <c r="AE401" s="40"/>
      <c r="AF401" s="40"/>
      <c r="AG401" s="40"/>
      <c r="AH401" s="40"/>
      <c r="AI401" s="40"/>
      <c r="AJ401" s="40"/>
      <c r="AK401" s="40"/>
      <c r="AL401" s="40"/>
      <c r="AM401" s="40"/>
      <c r="AN401" s="40"/>
      <c r="AO401" s="40"/>
      <c r="AP401" s="40"/>
      <c r="AQ401" s="40"/>
      <c r="AR401" s="40"/>
      <c r="AS401" s="40"/>
      <c r="AT401" s="40"/>
      <c r="AU401" s="40"/>
      <c r="AV401" s="40"/>
      <c r="AW401" s="40"/>
      <c r="AX401" s="40"/>
      <c r="AY401" s="40"/>
      <c r="AZ401" s="40"/>
    </row>
    <row r="402" spans="1:52" s="71" customFormat="1" ht="12" thickBot="1" x14ac:dyDescent="0.2">
      <c r="A402" s="43" t="s">
        <v>94</v>
      </c>
      <c r="B402" s="44" t="s">
        <v>15</v>
      </c>
      <c r="C402" s="109" t="str">
        <f>HYPERLINK(Hoofddocument!$H$402,Hoofddocument!$G$402)</f>
        <v>Masterclass Strategie, visie en innovatie</v>
      </c>
      <c r="D402" s="38" t="s">
        <v>166</v>
      </c>
      <c r="E402" s="38" t="s">
        <v>12</v>
      </c>
      <c r="F402" s="38" t="s">
        <v>344</v>
      </c>
      <c r="G402" s="121" t="s">
        <v>704</v>
      </c>
      <c r="H402" s="49" t="s">
        <v>346</v>
      </c>
      <c r="I402" s="41"/>
      <c r="J402" s="39"/>
      <c r="K402" s="39"/>
      <c r="L402" s="40"/>
      <c r="M402" s="40" t="s">
        <v>634</v>
      </c>
      <c r="N402" s="40"/>
      <c r="O402" s="40" t="s">
        <v>634</v>
      </c>
      <c r="P402" s="40"/>
      <c r="Q402" s="40"/>
      <c r="R402" s="40"/>
      <c r="S402" s="40"/>
      <c r="T402" s="40"/>
      <c r="U402" s="39"/>
      <c r="V402" s="40"/>
      <c r="W402" s="40"/>
      <c r="X402" s="40"/>
      <c r="Y402" s="40"/>
      <c r="Z402" s="40"/>
      <c r="AA402" s="40"/>
      <c r="AB402" s="40"/>
      <c r="AC402" s="40"/>
      <c r="AD402" s="40"/>
      <c r="AE402" s="40"/>
      <c r="AF402" s="40"/>
      <c r="AG402" s="40"/>
      <c r="AH402" s="40"/>
      <c r="AI402" s="40"/>
      <c r="AJ402" s="40"/>
      <c r="AK402" s="40"/>
      <c r="AL402" s="40"/>
      <c r="AM402" s="40"/>
      <c r="AN402" s="40"/>
      <c r="AO402" s="40"/>
      <c r="AP402" s="40"/>
      <c r="AQ402" s="40"/>
      <c r="AR402" s="40"/>
      <c r="AS402" s="40"/>
      <c r="AT402" s="40"/>
      <c r="AU402" s="40"/>
      <c r="AV402" s="40"/>
      <c r="AW402" s="40"/>
      <c r="AX402" s="40"/>
      <c r="AY402" s="40"/>
      <c r="AZ402" s="40"/>
    </row>
    <row r="403" spans="1:52" s="71" customFormat="1" ht="12" thickBot="1" x14ac:dyDescent="0.2">
      <c r="A403" s="43" t="s">
        <v>94</v>
      </c>
      <c r="B403" s="44" t="s">
        <v>15</v>
      </c>
      <c r="C403" s="109" t="str">
        <f>HYPERLINK(Hoofddocument!$H$403,Hoofddocument!$G$403)</f>
        <v>Masterclass IT Developments</v>
      </c>
      <c r="D403" s="44"/>
      <c r="E403" s="44" t="s">
        <v>320</v>
      </c>
      <c r="F403" s="44"/>
      <c r="G403" s="121" t="s">
        <v>321</v>
      </c>
      <c r="H403" s="49" t="s">
        <v>322</v>
      </c>
      <c r="I403" s="41"/>
      <c r="J403" s="39"/>
      <c r="K403" s="39"/>
      <c r="L403" s="40"/>
      <c r="M403" s="40"/>
      <c r="N403" s="40"/>
      <c r="O403" s="40"/>
      <c r="P403" s="40"/>
      <c r="Q403" s="40"/>
      <c r="R403" s="40"/>
      <c r="S403" s="40"/>
      <c r="T403" s="40"/>
      <c r="U403" s="39"/>
      <c r="V403" s="40"/>
      <c r="W403" s="40"/>
      <c r="X403" s="40"/>
      <c r="Y403" s="40"/>
      <c r="Z403" s="40"/>
      <c r="AA403" s="40"/>
      <c r="AB403" s="40"/>
      <c r="AC403" s="40"/>
      <c r="AD403" s="40"/>
      <c r="AE403" s="40"/>
      <c r="AF403" s="40"/>
      <c r="AG403" s="40"/>
      <c r="AH403" s="40"/>
      <c r="AI403" s="40"/>
      <c r="AJ403" s="40"/>
      <c r="AK403" s="40"/>
      <c r="AL403" s="40"/>
      <c r="AM403" s="40"/>
      <c r="AN403" s="40" t="s">
        <v>634</v>
      </c>
      <c r="AO403" s="40"/>
      <c r="AP403" s="40"/>
      <c r="AQ403" s="40"/>
      <c r="AR403" s="40"/>
      <c r="AS403" s="40"/>
      <c r="AT403" s="40"/>
      <c r="AU403" s="40"/>
      <c r="AV403" s="40"/>
      <c r="AW403" s="40"/>
      <c r="AX403" s="40"/>
      <c r="AY403" s="40"/>
      <c r="AZ403" s="40"/>
    </row>
    <row r="404" spans="1:52" s="71" customFormat="1" ht="12" thickBot="1" x14ac:dyDescent="0.2">
      <c r="A404" s="43" t="s">
        <v>94</v>
      </c>
      <c r="B404" s="44" t="s">
        <v>15</v>
      </c>
      <c r="C404" s="109" t="str">
        <f>HYPERLINK(Hoofddocument!$H$404,Hoofddocument!$G$404)</f>
        <v>Kijk voor inspiratie bij IV Academy</v>
      </c>
      <c r="D404" s="53"/>
      <c r="E404" s="53"/>
      <c r="F404" s="49"/>
      <c r="G404" s="121" t="s">
        <v>869</v>
      </c>
      <c r="H404" s="67" t="s">
        <v>929</v>
      </c>
      <c r="I404" s="41"/>
      <c r="J404" s="39"/>
      <c r="K404" s="39"/>
      <c r="L404" s="40"/>
      <c r="M404" s="40"/>
      <c r="N404" s="40"/>
      <c r="O404" s="40"/>
      <c r="P404" s="40"/>
      <c r="Q404" s="40"/>
      <c r="R404" s="40"/>
      <c r="S404" s="40"/>
      <c r="T404" s="40"/>
      <c r="U404" s="39"/>
      <c r="V404" s="40"/>
      <c r="W404" s="40"/>
      <c r="X404" s="40"/>
      <c r="Y404" s="40"/>
      <c r="Z404" s="40"/>
      <c r="AA404" s="40"/>
      <c r="AB404" s="40"/>
      <c r="AC404" s="40"/>
      <c r="AD404" s="40"/>
      <c r="AE404" s="40"/>
      <c r="AF404" s="40"/>
      <c r="AG404" s="40"/>
      <c r="AH404" s="40"/>
      <c r="AI404" s="40"/>
      <c r="AJ404" s="40"/>
      <c r="AK404" s="40"/>
      <c r="AL404" s="40"/>
      <c r="AM404" s="40"/>
      <c r="AN404" s="40" t="s">
        <v>97</v>
      </c>
      <c r="AO404" s="40"/>
      <c r="AP404" s="40"/>
      <c r="AQ404" s="40"/>
      <c r="AR404" s="40"/>
      <c r="AS404" s="40"/>
      <c r="AT404" s="40"/>
      <c r="AU404" s="40"/>
      <c r="AV404" s="40"/>
      <c r="AW404" s="40"/>
      <c r="AX404" s="40"/>
      <c r="AY404" s="40"/>
      <c r="AZ404" s="40"/>
    </row>
    <row r="405" spans="1:52" s="71" customFormat="1" ht="12" thickBot="1" x14ac:dyDescent="0.2">
      <c r="A405" s="41" t="s">
        <v>94</v>
      </c>
      <c r="B405" s="38" t="s">
        <v>16</v>
      </c>
      <c r="C405" s="109" t="str">
        <f>HYPERLINK(Hoofddocument!$H$405,Hoofddocument!$G$405)</f>
        <v>Effectieve Gespreksvaardigheden</v>
      </c>
      <c r="D405" s="38" t="s">
        <v>166</v>
      </c>
      <c r="E405" s="38" t="s">
        <v>12</v>
      </c>
      <c r="F405" s="38" t="s">
        <v>198</v>
      </c>
      <c r="G405" s="121" t="s">
        <v>199</v>
      </c>
      <c r="H405" s="38" t="s">
        <v>528</v>
      </c>
      <c r="I405" s="41" t="s">
        <v>97</v>
      </c>
      <c r="J405" s="40" t="s">
        <v>97</v>
      </c>
      <c r="K405" s="40"/>
      <c r="L405" s="40"/>
      <c r="M405" s="40"/>
      <c r="N405" s="40"/>
      <c r="O405" s="40"/>
      <c r="P405" s="40"/>
      <c r="Q405" s="40"/>
      <c r="R405" s="40"/>
      <c r="S405" s="40"/>
      <c r="T405" s="40"/>
      <c r="U405" s="39"/>
      <c r="V405" s="40"/>
      <c r="W405" s="40"/>
      <c r="X405" s="40"/>
      <c r="Y405" s="40"/>
      <c r="Z405" s="40"/>
      <c r="AA405" s="40"/>
      <c r="AB405" s="40"/>
      <c r="AC405" s="40"/>
      <c r="AD405" s="40"/>
      <c r="AE405" s="40"/>
      <c r="AF405" s="40"/>
      <c r="AG405" s="40"/>
      <c r="AH405" s="40"/>
      <c r="AI405" s="40"/>
      <c r="AJ405" s="40"/>
      <c r="AK405" s="40"/>
      <c r="AL405" s="40"/>
      <c r="AM405" s="40"/>
      <c r="AN405" s="40"/>
      <c r="AO405" s="40" t="s">
        <v>97</v>
      </c>
      <c r="AP405" s="40"/>
      <c r="AQ405" s="40"/>
      <c r="AR405" s="40"/>
      <c r="AS405" s="40"/>
      <c r="AT405" s="40"/>
      <c r="AU405" s="40"/>
      <c r="AV405" s="40"/>
      <c r="AW405" s="40"/>
      <c r="AX405" s="40"/>
      <c r="AY405" s="40"/>
      <c r="AZ405" s="40"/>
    </row>
    <row r="406" spans="1:52" s="71" customFormat="1" ht="12" thickBot="1" x14ac:dyDescent="0.2">
      <c r="A406" s="37" t="s">
        <v>94</v>
      </c>
      <c r="B406" s="38" t="s">
        <v>16</v>
      </c>
      <c r="C406" s="109" t="str">
        <f>HYPERLINK(Hoofddocument!$H$406,Hoofddocument!$G$406)</f>
        <v>Effectief Communiceren met NLP</v>
      </c>
      <c r="D406" s="38" t="s">
        <v>166</v>
      </c>
      <c r="E406" s="38" t="s">
        <v>12</v>
      </c>
      <c r="F406" s="38" t="s">
        <v>196</v>
      </c>
      <c r="G406" s="121" t="s">
        <v>197</v>
      </c>
      <c r="H406" s="64" t="s">
        <v>251</v>
      </c>
      <c r="I406" s="41" t="s">
        <v>634</v>
      </c>
      <c r="J406" s="39" t="s">
        <v>634</v>
      </c>
      <c r="K406" s="39"/>
      <c r="L406" s="40"/>
      <c r="M406" s="40"/>
      <c r="N406" s="40"/>
      <c r="O406" s="40"/>
      <c r="P406" s="40"/>
      <c r="Q406" s="40"/>
      <c r="R406" s="40"/>
      <c r="S406" s="40"/>
      <c r="T406" s="40"/>
      <c r="U406" s="39"/>
      <c r="V406" s="40"/>
      <c r="W406" s="40"/>
      <c r="X406" s="40"/>
      <c r="Y406" s="40"/>
      <c r="Z406" s="40"/>
      <c r="AA406" s="40"/>
      <c r="AB406" s="40"/>
      <c r="AC406" s="40"/>
      <c r="AD406" s="40"/>
      <c r="AE406" s="40"/>
      <c r="AF406" s="40"/>
      <c r="AG406" s="40"/>
      <c r="AH406" s="40"/>
      <c r="AI406" s="40"/>
      <c r="AJ406" s="40"/>
      <c r="AK406" s="40"/>
      <c r="AL406" s="40"/>
      <c r="AM406" s="40"/>
      <c r="AN406" s="40"/>
      <c r="AO406" s="40" t="s">
        <v>634</v>
      </c>
      <c r="AP406" s="40"/>
      <c r="AQ406" s="40"/>
      <c r="AR406" s="40"/>
      <c r="AS406" s="40"/>
      <c r="AT406" s="40"/>
      <c r="AU406" s="40"/>
      <c r="AV406" s="40"/>
      <c r="AW406" s="40"/>
      <c r="AX406" s="40"/>
      <c r="AY406" s="40"/>
      <c r="AZ406" s="40"/>
    </row>
    <row r="407" spans="1:52" s="71" customFormat="1" ht="12" thickBot="1" x14ac:dyDescent="0.2">
      <c r="A407" s="37" t="s">
        <v>94</v>
      </c>
      <c r="B407" s="38" t="s">
        <v>101</v>
      </c>
      <c r="C407" s="109" t="str">
        <f>HYPERLINK(Hoofddocument!$H$407,Hoofddocument!$G$407)</f>
        <v>Overtuigend en inspirerend presenteren</v>
      </c>
      <c r="D407" s="38" t="s">
        <v>166</v>
      </c>
      <c r="E407" s="38" t="s">
        <v>12</v>
      </c>
      <c r="F407" s="38" t="s">
        <v>309</v>
      </c>
      <c r="G407" s="121" t="s">
        <v>102</v>
      </c>
      <c r="H407" s="64" t="s">
        <v>103</v>
      </c>
      <c r="I407" s="41"/>
      <c r="J407" s="39"/>
      <c r="K407" s="39"/>
      <c r="L407" s="40"/>
      <c r="M407" s="40" t="s">
        <v>634</v>
      </c>
      <c r="N407" s="40" t="s">
        <v>634</v>
      </c>
      <c r="O407" s="40" t="s">
        <v>634</v>
      </c>
      <c r="P407" s="40" t="s">
        <v>634</v>
      </c>
      <c r="Q407" s="40" t="s">
        <v>634</v>
      </c>
      <c r="R407" s="40"/>
      <c r="S407" s="40"/>
      <c r="T407" s="40"/>
      <c r="U407" s="39"/>
      <c r="V407" s="40"/>
      <c r="W407" s="40"/>
      <c r="X407" s="40"/>
      <c r="Y407" s="40"/>
      <c r="Z407" s="40"/>
      <c r="AA407" s="40"/>
      <c r="AB407" s="40"/>
      <c r="AC407" s="40"/>
      <c r="AD407" s="40"/>
      <c r="AE407" s="40"/>
      <c r="AF407" s="40"/>
      <c r="AG407" s="40"/>
      <c r="AH407" s="40"/>
      <c r="AI407" s="40"/>
      <c r="AJ407" s="40"/>
      <c r="AK407" s="40"/>
      <c r="AL407" s="40"/>
      <c r="AM407" s="40"/>
      <c r="AN407" s="40"/>
      <c r="AO407" s="40"/>
      <c r="AP407" s="40"/>
      <c r="AQ407" s="40"/>
      <c r="AR407" s="40"/>
      <c r="AS407" s="40"/>
      <c r="AT407" s="40"/>
      <c r="AU407" s="40"/>
      <c r="AV407" s="40"/>
      <c r="AW407" s="40"/>
      <c r="AX407" s="40"/>
      <c r="AY407" s="40"/>
      <c r="AZ407" s="40"/>
    </row>
    <row r="408" spans="1:52" s="71" customFormat="1" ht="12" thickBot="1" x14ac:dyDescent="0.2">
      <c r="A408" s="37" t="s">
        <v>94</v>
      </c>
      <c r="B408" s="38" t="s">
        <v>17</v>
      </c>
      <c r="C408" s="109" t="str">
        <f>HYPERLINK(Hoofddocument!$H$408,Hoofddocument!$G$408)</f>
        <v>Leergang Netwerk- en Ketenregie in de Publieke Sector</v>
      </c>
      <c r="D408" s="38" t="s">
        <v>166</v>
      </c>
      <c r="E408" s="38" t="s">
        <v>12</v>
      </c>
      <c r="F408" s="38" t="s">
        <v>689</v>
      </c>
      <c r="G408" s="121" t="s">
        <v>420</v>
      </c>
      <c r="H408" s="64" t="s">
        <v>601</v>
      </c>
      <c r="I408" s="41"/>
      <c r="J408" s="39"/>
      <c r="K408" s="39"/>
      <c r="L408" s="40"/>
      <c r="M408" s="40"/>
      <c r="N408" s="40"/>
      <c r="O408" s="40"/>
      <c r="P408" s="40"/>
      <c r="Q408" s="40"/>
      <c r="R408" s="40"/>
      <c r="S408" s="40"/>
      <c r="T408" s="40"/>
      <c r="U408" s="39"/>
      <c r="V408" s="40"/>
      <c r="W408" s="40" t="s">
        <v>634</v>
      </c>
      <c r="X408" s="40"/>
      <c r="Y408" s="40"/>
      <c r="Z408" s="40"/>
      <c r="AA408" s="40"/>
      <c r="AB408" s="40"/>
      <c r="AC408" s="40" t="s">
        <v>97</v>
      </c>
      <c r="AD408" s="40"/>
      <c r="AE408" s="40" t="s">
        <v>634</v>
      </c>
      <c r="AF408" s="40"/>
      <c r="AG408" s="40"/>
      <c r="AH408" s="40"/>
      <c r="AI408" s="40"/>
      <c r="AJ408" s="40"/>
      <c r="AK408" s="40"/>
      <c r="AL408" s="40"/>
      <c r="AM408" s="40"/>
      <c r="AN408" s="40"/>
      <c r="AO408" s="40"/>
      <c r="AP408" s="40"/>
      <c r="AQ408" s="40"/>
      <c r="AR408" s="40"/>
      <c r="AS408" s="40"/>
      <c r="AT408" s="40"/>
      <c r="AU408" s="40"/>
      <c r="AV408" s="40"/>
      <c r="AW408" s="40"/>
      <c r="AX408" s="40"/>
      <c r="AY408" s="40"/>
      <c r="AZ408" s="40"/>
    </row>
    <row r="409" spans="1:52" s="71" customFormat="1" ht="12" thickBot="1" x14ac:dyDescent="0.2">
      <c r="A409" s="37" t="s">
        <v>94</v>
      </c>
      <c r="B409" s="38" t="s">
        <v>17</v>
      </c>
      <c r="C409" s="109" t="str">
        <f>HYPERLINK(Hoofddocument!$H$409,Hoofddocument!$G$409)</f>
        <v>Netwerken</v>
      </c>
      <c r="D409" s="38" t="s">
        <v>166</v>
      </c>
      <c r="E409" s="38" t="s">
        <v>12</v>
      </c>
      <c r="F409" s="38" t="s">
        <v>310</v>
      </c>
      <c r="G409" s="121" t="s">
        <v>17</v>
      </c>
      <c r="H409" s="64" t="s">
        <v>337</v>
      </c>
      <c r="I409" s="41"/>
      <c r="J409" s="39"/>
      <c r="K409" s="39"/>
      <c r="L409" s="40"/>
      <c r="M409" s="40"/>
      <c r="N409" s="40"/>
      <c r="O409" s="40" t="s">
        <v>634</v>
      </c>
      <c r="P409" s="40" t="s">
        <v>634</v>
      </c>
      <c r="Q409" s="40" t="s">
        <v>97</v>
      </c>
      <c r="R409" s="40"/>
      <c r="S409" s="40"/>
      <c r="T409" s="40"/>
      <c r="U409" s="39"/>
      <c r="V409" s="40"/>
      <c r="W409" s="40" t="s">
        <v>97</v>
      </c>
      <c r="X409" s="40"/>
      <c r="Y409" s="40"/>
      <c r="Z409" s="40"/>
      <c r="AA409" s="40"/>
      <c r="AB409" s="40" t="s">
        <v>97</v>
      </c>
      <c r="AC409" s="40" t="s">
        <v>634</v>
      </c>
      <c r="AD409" s="40" t="s">
        <v>634</v>
      </c>
      <c r="AE409" s="40" t="s">
        <v>634</v>
      </c>
      <c r="AF409" s="40"/>
      <c r="AG409" s="40"/>
      <c r="AH409" s="40"/>
      <c r="AI409" s="40"/>
      <c r="AJ409" s="40"/>
      <c r="AK409" s="40"/>
      <c r="AL409" s="40"/>
      <c r="AM409" s="40"/>
      <c r="AN409" s="40"/>
      <c r="AO409" s="40"/>
      <c r="AP409" s="40" t="s">
        <v>97</v>
      </c>
      <c r="AQ409" s="40" t="s">
        <v>97</v>
      </c>
      <c r="AR409" s="40" t="s">
        <v>97</v>
      </c>
      <c r="AS409" s="40" t="s">
        <v>97</v>
      </c>
      <c r="AT409" s="40" t="s">
        <v>97</v>
      </c>
      <c r="AU409" s="40" t="s">
        <v>97</v>
      </c>
      <c r="AV409" s="40" t="s">
        <v>97</v>
      </c>
      <c r="AW409" s="40"/>
      <c r="AX409" s="40"/>
      <c r="AY409" s="40"/>
      <c r="AZ409" s="40"/>
    </row>
    <row r="410" spans="1:52" s="71" customFormat="1" ht="12" thickBot="1" x14ac:dyDescent="0.2">
      <c r="A410" s="37" t="s">
        <v>94</v>
      </c>
      <c r="B410" s="55" t="s">
        <v>17</v>
      </c>
      <c r="C410" s="109" t="str">
        <f>HYPERLINK(Hoofddocument!$H$410,Hoofddocument!$G$410)</f>
        <v>Stakeholdermanagement</v>
      </c>
      <c r="D410" s="55" t="s">
        <v>166</v>
      </c>
      <c r="E410" s="55" t="s">
        <v>12</v>
      </c>
      <c r="F410" s="55" t="s">
        <v>696</v>
      </c>
      <c r="G410" s="121" t="s">
        <v>224</v>
      </c>
      <c r="H410" s="55" t="s">
        <v>497</v>
      </c>
      <c r="I410" s="41"/>
      <c r="J410" s="39"/>
      <c r="K410" s="39"/>
      <c r="L410" s="40"/>
      <c r="M410" s="40"/>
      <c r="N410" s="40"/>
      <c r="O410" s="40"/>
      <c r="P410" s="40"/>
      <c r="Q410" s="40"/>
      <c r="R410" s="40"/>
      <c r="S410" s="40"/>
      <c r="T410" s="40"/>
      <c r="U410" s="40"/>
      <c r="V410" s="40"/>
      <c r="W410" s="40" t="s">
        <v>97</v>
      </c>
      <c r="X410" s="40"/>
      <c r="Y410" s="40"/>
      <c r="Z410" s="40"/>
      <c r="AA410" s="40"/>
      <c r="AB410" s="40"/>
      <c r="AC410" s="40" t="s">
        <v>97</v>
      </c>
      <c r="AD410" s="40"/>
      <c r="AE410" s="40"/>
      <c r="AF410" s="40"/>
      <c r="AG410" s="40"/>
      <c r="AH410" s="40"/>
      <c r="AI410" s="40"/>
      <c r="AJ410" s="40"/>
      <c r="AK410" s="40"/>
      <c r="AL410" s="40"/>
      <c r="AM410" s="40"/>
      <c r="AN410" s="40"/>
      <c r="AO410" s="40"/>
      <c r="AP410" s="40" t="s">
        <v>97</v>
      </c>
      <c r="AQ410" s="40" t="s">
        <v>634</v>
      </c>
      <c r="AR410" s="40" t="s">
        <v>97</v>
      </c>
      <c r="AS410" s="40" t="s">
        <v>97</v>
      </c>
      <c r="AT410" s="40" t="s">
        <v>97</v>
      </c>
      <c r="AU410" s="40" t="s">
        <v>97</v>
      </c>
      <c r="AV410" s="40" t="s">
        <v>97</v>
      </c>
      <c r="AW410" s="40"/>
      <c r="AX410" s="40"/>
      <c r="AY410" s="40"/>
      <c r="AZ410" s="40"/>
    </row>
    <row r="411" spans="1:52" s="71" customFormat="1" ht="12" thickBot="1" x14ac:dyDescent="0.2">
      <c r="A411" s="37" t="s">
        <v>94</v>
      </c>
      <c r="B411" s="55" t="s">
        <v>17</v>
      </c>
      <c r="C411" s="109" t="str">
        <f>HYPERLINK(Hoofddocument!$H$411,Hoofddocument!$G$411)</f>
        <v>Masterclass Publieke Sector als Netwerkorganisatie</v>
      </c>
      <c r="D411" s="55" t="s">
        <v>166</v>
      </c>
      <c r="E411" s="55" t="s">
        <v>12</v>
      </c>
      <c r="F411" s="55" t="s">
        <v>794</v>
      </c>
      <c r="G411" s="121" t="s">
        <v>870</v>
      </c>
      <c r="H411" s="55" t="s">
        <v>930</v>
      </c>
      <c r="I411" s="41"/>
      <c r="J411" s="39"/>
      <c r="K411" s="39"/>
      <c r="L411" s="40"/>
      <c r="M411" s="40"/>
      <c r="N411" s="40"/>
      <c r="O411" s="40"/>
      <c r="P411" s="40"/>
      <c r="Q411" s="40"/>
      <c r="R411" s="40"/>
      <c r="S411" s="40"/>
      <c r="T411" s="40"/>
      <c r="U411" s="40"/>
      <c r="V411" s="40"/>
      <c r="W411" s="40"/>
      <c r="X411" s="40"/>
      <c r="Y411" s="40"/>
      <c r="Z411" s="40"/>
      <c r="AA411" s="40"/>
      <c r="AB411" s="40" t="s">
        <v>634</v>
      </c>
      <c r="AC411" s="40"/>
      <c r="AD411" s="40"/>
      <c r="AE411" s="40"/>
      <c r="AF411" s="40"/>
      <c r="AG411" s="40"/>
      <c r="AH411" s="40"/>
      <c r="AI411" s="40"/>
      <c r="AJ411" s="40"/>
      <c r="AK411" s="40"/>
      <c r="AL411" s="40"/>
      <c r="AM411" s="40"/>
      <c r="AN411" s="40"/>
      <c r="AO411" s="40"/>
      <c r="AP411" s="40"/>
      <c r="AQ411" s="40"/>
      <c r="AR411" s="40"/>
      <c r="AS411" s="40"/>
      <c r="AT411" s="40"/>
      <c r="AU411" s="40"/>
      <c r="AV411" s="40"/>
      <c r="AW411" s="40"/>
      <c r="AX411" s="40"/>
      <c r="AY411" s="40"/>
      <c r="AZ411" s="40"/>
    </row>
    <row r="412" spans="1:52" s="71" customFormat="1" ht="12" thickBot="1" x14ac:dyDescent="0.2">
      <c r="A412" s="37" t="s">
        <v>94</v>
      </c>
      <c r="B412" s="55" t="s">
        <v>18</v>
      </c>
      <c r="C412" s="109" t="str">
        <f>HYPERLINK(Hoofddocument!$H$412,Hoofddocument!$G$412)</f>
        <v>Interne Communicatie en Samenwerking</v>
      </c>
      <c r="D412" s="55" t="s">
        <v>166</v>
      </c>
      <c r="E412" s="55" t="s">
        <v>12</v>
      </c>
      <c r="F412" s="55" t="s">
        <v>175</v>
      </c>
      <c r="G412" s="121" t="s">
        <v>176</v>
      </c>
      <c r="H412" s="55" t="s">
        <v>348</v>
      </c>
      <c r="I412" s="41"/>
      <c r="J412" s="39" t="s">
        <v>97</v>
      </c>
      <c r="K412" s="39"/>
      <c r="L412" s="40"/>
      <c r="M412" s="40"/>
      <c r="N412" s="40"/>
      <c r="O412" s="40"/>
      <c r="P412" s="40"/>
      <c r="Q412" s="40"/>
      <c r="R412" s="40"/>
      <c r="S412" s="40"/>
      <c r="T412" s="40"/>
      <c r="U412" s="40"/>
      <c r="V412" s="40"/>
      <c r="W412" s="40"/>
      <c r="X412" s="40"/>
      <c r="Y412" s="40"/>
      <c r="Z412" s="40"/>
      <c r="AA412" s="40"/>
      <c r="AB412" s="40"/>
      <c r="AC412" s="40"/>
      <c r="AD412" s="40"/>
      <c r="AE412" s="40"/>
      <c r="AF412" s="40"/>
      <c r="AG412" s="40"/>
      <c r="AH412" s="40"/>
      <c r="AI412" s="40"/>
      <c r="AJ412" s="40"/>
      <c r="AK412" s="40"/>
      <c r="AL412" s="40"/>
      <c r="AM412" s="40"/>
      <c r="AN412" s="40"/>
      <c r="AO412" s="40"/>
      <c r="AP412" s="40"/>
      <c r="AQ412" s="40"/>
      <c r="AR412" s="40"/>
      <c r="AS412" s="40"/>
      <c r="AT412" s="40"/>
      <c r="AU412" s="40"/>
      <c r="AV412" s="40"/>
      <c r="AW412" s="40"/>
      <c r="AX412" s="40"/>
      <c r="AY412" s="40"/>
      <c r="AZ412" s="40"/>
    </row>
    <row r="413" spans="1:52" s="71" customFormat="1" ht="12" thickBot="1" x14ac:dyDescent="0.2">
      <c r="A413" s="37" t="s">
        <v>94</v>
      </c>
      <c r="B413" s="55" t="s">
        <v>18</v>
      </c>
      <c r="C413" s="109" t="str">
        <f>HYPERLINK(Hoofddocument!$H$413,Hoofddocument!$G$413)</f>
        <v>Politiek-bestuurlijke Sensitiviteit en Beïnvloeding</v>
      </c>
      <c r="D413" s="55" t="s">
        <v>166</v>
      </c>
      <c r="E413" s="55" t="s">
        <v>12</v>
      </c>
      <c r="F413" s="55" t="s">
        <v>676</v>
      </c>
      <c r="G413" s="121" t="s">
        <v>104</v>
      </c>
      <c r="H413" s="55" t="s">
        <v>250</v>
      </c>
      <c r="I413" s="41"/>
      <c r="J413" s="39"/>
      <c r="K413" s="39"/>
      <c r="L413" s="40"/>
      <c r="M413" s="40"/>
      <c r="N413" s="40" t="s">
        <v>634</v>
      </c>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row>
    <row r="414" spans="1:52" s="71" customFormat="1" ht="12" thickBot="1" x14ac:dyDescent="0.2">
      <c r="A414" s="37" t="s">
        <v>94</v>
      </c>
      <c r="B414" s="55" t="s">
        <v>18</v>
      </c>
      <c r="C414" s="109" t="str">
        <f>HYPERLINK(Hoofddocument!$H$414,Hoofddocument!$G$414)</f>
        <v>Masterclass Strategie en Beleid in een Politieke Omgeving</v>
      </c>
      <c r="D414" s="55" t="s">
        <v>166</v>
      </c>
      <c r="E414" s="55" t="s">
        <v>12</v>
      </c>
      <c r="F414" s="55" t="s">
        <v>341</v>
      </c>
      <c r="G414" s="121" t="s">
        <v>342</v>
      </c>
      <c r="H414" s="49" t="s">
        <v>343</v>
      </c>
      <c r="I414" s="41"/>
      <c r="J414" s="39"/>
      <c r="K414" s="39"/>
      <c r="L414" s="40"/>
      <c r="M414" s="40"/>
      <c r="N414" s="40"/>
      <c r="O414" s="40"/>
      <c r="P414" s="40"/>
      <c r="Q414" s="40" t="s">
        <v>634</v>
      </c>
      <c r="R414" s="40"/>
      <c r="S414" s="40"/>
      <c r="T414" s="40"/>
      <c r="U414" s="40"/>
      <c r="V414" s="40"/>
      <c r="W414" s="40"/>
      <c r="X414" s="40"/>
      <c r="Y414" s="40"/>
      <c r="Z414" s="40"/>
      <c r="AA414" s="40"/>
      <c r="AB414" s="40"/>
      <c r="AC414" s="40"/>
      <c r="AD414" s="40"/>
      <c r="AE414" s="40"/>
      <c r="AF414" s="40"/>
      <c r="AG414" s="40"/>
      <c r="AH414" s="40"/>
      <c r="AI414" s="40"/>
      <c r="AJ414" s="40"/>
      <c r="AK414" s="40"/>
      <c r="AL414" s="40" t="s">
        <v>634</v>
      </c>
      <c r="AM414" s="40"/>
      <c r="AN414" s="40"/>
      <c r="AO414" s="40"/>
      <c r="AP414" s="40"/>
      <c r="AQ414" s="40"/>
      <c r="AR414" s="40"/>
      <c r="AS414" s="40"/>
      <c r="AT414" s="40"/>
      <c r="AU414" s="40"/>
      <c r="AV414" s="40"/>
      <c r="AW414" s="40"/>
      <c r="AX414" s="40"/>
      <c r="AY414" s="40"/>
      <c r="AZ414" s="40"/>
    </row>
    <row r="415" spans="1:52" s="71" customFormat="1" ht="12" thickBot="1" x14ac:dyDescent="0.2">
      <c r="A415" s="37" t="s">
        <v>94</v>
      </c>
      <c r="B415" s="55" t="s">
        <v>19</v>
      </c>
      <c r="C415" s="109" t="str">
        <f>HYPERLINK(Hoofddocument!$H$415,Hoofddocument!$G$415)</f>
        <v>Assertief en Zelfverzekerd communiceren</v>
      </c>
      <c r="D415" s="55" t="s">
        <v>166</v>
      </c>
      <c r="E415" s="55" t="s">
        <v>12</v>
      </c>
      <c r="F415" s="55" t="s">
        <v>202</v>
      </c>
      <c r="G415" s="121" t="s">
        <v>249</v>
      </c>
      <c r="H415" s="38" t="s">
        <v>530</v>
      </c>
      <c r="I415" s="41"/>
      <c r="J415" s="39"/>
      <c r="K415" s="39" t="s">
        <v>634</v>
      </c>
      <c r="L415" s="40"/>
      <c r="M415" s="40"/>
      <c r="N415" s="40"/>
      <c r="O415" s="40"/>
      <c r="P415" s="40"/>
      <c r="Q415" s="40"/>
      <c r="R415" s="40"/>
      <c r="S415" s="40"/>
      <c r="T415" s="40" t="s">
        <v>97</v>
      </c>
      <c r="U415" s="40"/>
      <c r="V415" s="40"/>
      <c r="W415" s="40"/>
      <c r="X415" s="40"/>
      <c r="Y415" s="40"/>
      <c r="Z415" s="40"/>
      <c r="AA415" s="40"/>
      <c r="AB415" s="40"/>
      <c r="AC415" s="40"/>
      <c r="AD415" s="40"/>
      <c r="AE415" s="40"/>
      <c r="AF415" s="40"/>
      <c r="AG415" s="40"/>
      <c r="AH415" s="40"/>
      <c r="AI415" s="40"/>
      <c r="AJ415" s="40"/>
      <c r="AK415" s="40"/>
      <c r="AL415" s="40"/>
      <c r="AM415" s="40"/>
      <c r="AN415" s="40"/>
      <c r="AO415" s="40"/>
      <c r="AP415" s="40"/>
      <c r="AQ415" s="40"/>
      <c r="AR415" s="40"/>
      <c r="AS415" s="40"/>
      <c r="AT415" s="40"/>
      <c r="AU415" s="40"/>
      <c r="AV415" s="40"/>
      <c r="AW415" s="40"/>
      <c r="AX415" s="40"/>
      <c r="AY415" s="40"/>
      <c r="AZ415" s="40"/>
    </row>
    <row r="416" spans="1:52" s="71" customFormat="1" ht="12" thickBot="1" x14ac:dyDescent="0.2">
      <c r="A416" s="37" t="s">
        <v>94</v>
      </c>
      <c r="B416" s="55" t="s">
        <v>723</v>
      </c>
      <c r="C416" s="109" t="str">
        <f>HYPERLINK(Hoofddocument!$H$416,Hoofddocument!$G$416)</f>
        <v>Effectief onderhandelen</v>
      </c>
      <c r="D416" s="55" t="s">
        <v>166</v>
      </c>
      <c r="E416" s="55" t="s">
        <v>12</v>
      </c>
      <c r="F416" s="55" t="s">
        <v>755</v>
      </c>
      <c r="G416" s="121" t="s">
        <v>871</v>
      </c>
      <c r="H416" s="49" t="s">
        <v>890</v>
      </c>
      <c r="I416" s="41"/>
      <c r="J416" s="39"/>
      <c r="K416" s="39"/>
      <c r="L416" s="40"/>
      <c r="M416" s="40"/>
      <c r="N416" s="40"/>
      <c r="O416" s="40"/>
      <c r="P416" s="40"/>
      <c r="Q416" s="40"/>
      <c r="R416" s="40"/>
      <c r="S416" s="40"/>
      <c r="T416" s="40"/>
      <c r="U416" s="40"/>
      <c r="V416" s="40"/>
      <c r="W416" s="40"/>
      <c r="X416" s="40"/>
      <c r="Y416" s="40" t="s">
        <v>97</v>
      </c>
      <c r="Z416" s="40"/>
      <c r="AA416" s="40"/>
      <c r="AB416" s="40"/>
      <c r="AC416" s="40"/>
      <c r="AD416" s="40"/>
      <c r="AE416" s="40"/>
      <c r="AF416" s="40"/>
      <c r="AG416" s="40"/>
      <c r="AH416" s="40"/>
      <c r="AI416" s="40"/>
      <c r="AJ416" s="40"/>
      <c r="AK416" s="40"/>
      <c r="AL416" s="40"/>
      <c r="AM416" s="40"/>
      <c r="AN416" s="40"/>
      <c r="AO416" s="40"/>
      <c r="AP416" s="40"/>
      <c r="AQ416" s="40"/>
      <c r="AR416" s="40"/>
      <c r="AS416" s="40"/>
      <c r="AT416" s="40"/>
      <c r="AU416" s="40"/>
      <c r="AV416" s="40"/>
      <c r="AW416" s="40"/>
      <c r="AX416" s="40"/>
      <c r="AY416" s="40"/>
      <c r="AZ416" s="40"/>
    </row>
    <row r="417" spans="1:52" s="71" customFormat="1" ht="12" thickBot="1" x14ac:dyDescent="0.2">
      <c r="A417" s="37" t="s">
        <v>94</v>
      </c>
      <c r="B417" s="55" t="s">
        <v>20</v>
      </c>
      <c r="C417" s="109" t="str">
        <f>HYPERLINK(Hoofddocument!$H$417,Hoofddocument!$G$417)</f>
        <v>HBO Module Projectmanagementvaardigheden</v>
      </c>
      <c r="D417" s="55" t="s">
        <v>166</v>
      </c>
      <c r="E417" s="55" t="s">
        <v>12</v>
      </c>
      <c r="F417" s="55" t="s">
        <v>795</v>
      </c>
      <c r="G417" s="121" t="s">
        <v>700</v>
      </c>
      <c r="H417" s="38" t="s">
        <v>99</v>
      </c>
      <c r="I417" s="41"/>
      <c r="J417" s="39"/>
      <c r="K417" s="39"/>
      <c r="L417" s="40"/>
      <c r="M417" s="40" t="s">
        <v>634</v>
      </c>
      <c r="N417" s="40"/>
      <c r="O417" s="40"/>
      <c r="P417" s="40" t="s">
        <v>97</v>
      </c>
      <c r="Q417" s="40"/>
      <c r="R417" s="40"/>
      <c r="S417" s="40"/>
      <c r="T417" s="40"/>
      <c r="U417" s="40"/>
      <c r="V417" s="39"/>
      <c r="W417" s="40"/>
      <c r="X417" s="40"/>
      <c r="Y417" s="40"/>
      <c r="Z417" s="40"/>
      <c r="AA417" s="40"/>
      <c r="AB417" s="40"/>
      <c r="AC417" s="40"/>
      <c r="AD417" s="40"/>
      <c r="AE417" s="40"/>
      <c r="AF417" s="40"/>
      <c r="AG417" s="40"/>
      <c r="AH417" s="40"/>
      <c r="AI417" s="40"/>
      <c r="AJ417" s="40"/>
      <c r="AK417" s="40"/>
      <c r="AL417" s="40"/>
      <c r="AM417" s="40"/>
      <c r="AN417" s="40"/>
      <c r="AO417" s="40"/>
      <c r="AP417" s="40"/>
      <c r="AQ417" s="40"/>
      <c r="AR417" s="40"/>
      <c r="AS417" s="40"/>
      <c r="AT417" s="40"/>
      <c r="AU417" s="40"/>
      <c r="AV417" s="40"/>
      <c r="AW417" s="40"/>
      <c r="AX417" s="40"/>
      <c r="AY417" s="40"/>
      <c r="AZ417" s="40"/>
    </row>
    <row r="418" spans="1:52" s="71" customFormat="1" ht="12" thickBot="1" x14ac:dyDescent="0.2">
      <c r="A418" s="37" t="s">
        <v>94</v>
      </c>
      <c r="B418" s="55" t="s">
        <v>20</v>
      </c>
      <c r="C418" s="109" t="str">
        <f>HYPERLINK(Hoofddocument!$H$418,Hoofddocument!$G$418)</f>
        <v>Effectief Beïnvloeden</v>
      </c>
      <c r="D418" s="55" t="s">
        <v>166</v>
      </c>
      <c r="E418" s="55" t="s">
        <v>12</v>
      </c>
      <c r="F418" s="55" t="s">
        <v>243</v>
      </c>
      <c r="G418" s="121" t="s">
        <v>244</v>
      </c>
      <c r="H418" s="38" t="s">
        <v>548</v>
      </c>
      <c r="I418" s="41"/>
      <c r="J418" s="39"/>
      <c r="K418" s="39" t="s">
        <v>97</v>
      </c>
      <c r="L418" s="40" t="s">
        <v>634</v>
      </c>
      <c r="M418" s="40"/>
      <c r="N418" s="40"/>
      <c r="O418" s="40"/>
      <c r="P418" s="40"/>
      <c r="Q418" s="40" t="s">
        <v>634</v>
      </c>
      <c r="R418" s="40" t="s">
        <v>97</v>
      </c>
      <c r="S418" s="40" t="s">
        <v>97</v>
      </c>
      <c r="T418" s="40" t="s">
        <v>97</v>
      </c>
      <c r="U418" s="40"/>
      <c r="V418" s="39"/>
      <c r="W418" s="40"/>
      <c r="X418" s="40"/>
      <c r="Y418" s="40"/>
      <c r="Z418" s="40"/>
      <c r="AA418" s="40"/>
      <c r="AB418" s="40"/>
      <c r="AC418" s="40"/>
      <c r="AD418" s="40" t="s">
        <v>97</v>
      </c>
      <c r="AE418" s="40" t="s">
        <v>97</v>
      </c>
      <c r="AF418" s="40"/>
      <c r="AG418" s="40"/>
      <c r="AH418" s="40"/>
      <c r="AI418" s="40"/>
      <c r="AJ418" s="40"/>
      <c r="AK418" s="40"/>
      <c r="AL418" s="40" t="s">
        <v>97</v>
      </c>
      <c r="AM418" s="40"/>
      <c r="AN418" s="40"/>
      <c r="AO418" s="40"/>
      <c r="AP418" s="40"/>
      <c r="AQ418" s="40"/>
      <c r="AR418" s="40"/>
      <c r="AS418" s="40"/>
      <c r="AT418" s="40"/>
      <c r="AU418" s="40"/>
      <c r="AV418" s="40"/>
      <c r="AW418" s="40"/>
      <c r="AX418" s="40"/>
      <c r="AY418" s="40"/>
      <c r="AZ418" s="40"/>
    </row>
    <row r="419" spans="1:52" s="71" customFormat="1" ht="12" thickBot="1" x14ac:dyDescent="0.2">
      <c r="A419" s="37" t="s">
        <v>94</v>
      </c>
      <c r="B419" s="55" t="s">
        <v>20</v>
      </c>
      <c r="C419" s="109" t="str">
        <f>HYPERLINK(Hoofddocument!$H$419,Hoofddocument!$G$419)</f>
        <v>Professioneel Adviseren</v>
      </c>
      <c r="D419" s="55" t="s">
        <v>166</v>
      </c>
      <c r="E419" s="55" t="s">
        <v>12</v>
      </c>
      <c r="F419" s="55" t="s">
        <v>279</v>
      </c>
      <c r="G419" s="121" t="s">
        <v>280</v>
      </c>
      <c r="H419" s="38" t="s">
        <v>421</v>
      </c>
      <c r="I419" s="41"/>
      <c r="J419" s="39"/>
      <c r="K419" s="39"/>
      <c r="L419" s="40"/>
      <c r="M419" s="40"/>
      <c r="N419" s="40"/>
      <c r="O419" s="40"/>
      <c r="P419" s="40"/>
      <c r="Q419" s="40"/>
      <c r="R419" s="40"/>
      <c r="S419" s="40"/>
      <c r="T419" s="40"/>
      <c r="U419" s="40"/>
      <c r="V419" s="39"/>
      <c r="W419" s="40"/>
      <c r="X419" s="40"/>
      <c r="Y419" s="40" t="s">
        <v>634</v>
      </c>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row>
    <row r="420" spans="1:52" s="71" customFormat="1" ht="12" thickBot="1" x14ac:dyDescent="0.2">
      <c r="A420" s="37" t="s">
        <v>94</v>
      </c>
      <c r="B420" s="55" t="s">
        <v>20</v>
      </c>
      <c r="C420" s="109" t="str">
        <f>HYPERLINK(Hoofddocument!$H$420,Hoofddocument!$G$420)</f>
        <v>Training Persoonlijk inzicht en beinvloedingsvaardigheden</v>
      </c>
      <c r="D420" s="55"/>
      <c r="E420" s="55" t="s">
        <v>225</v>
      </c>
      <c r="F420" s="55"/>
      <c r="G420" s="121" t="s">
        <v>872</v>
      </c>
      <c r="H420" s="38" t="s">
        <v>921</v>
      </c>
      <c r="I420" s="41"/>
      <c r="J420" s="39"/>
      <c r="K420" s="39"/>
      <c r="L420" s="40"/>
      <c r="M420" s="40"/>
      <c r="N420" s="40"/>
      <c r="O420" s="40"/>
      <c r="P420" s="40"/>
      <c r="Q420" s="40"/>
      <c r="R420" s="40"/>
      <c r="S420" s="40"/>
      <c r="T420" s="40"/>
      <c r="U420" s="40"/>
      <c r="V420" s="40"/>
      <c r="W420" s="40"/>
      <c r="X420" s="40"/>
      <c r="Y420" s="40"/>
      <c r="Z420" s="40"/>
      <c r="AA420" s="40"/>
      <c r="AB420" s="40"/>
      <c r="AC420" s="40" t="s">
        <v>97</v>
      </c>
      <c r="AD420" s="40"/>
      <c r="AE420" s="40"/>
      <c r="AF420" s="40"/>
      <c r="AG420" s="40"/>
      <c r="AH420" s="40"/>
      <c r="AI420" s="40"/>
      <c r="AJ420" s="40"/>
      <c r="AK420" s="40"/>
      <c r="AL420" s="40"/>
      <c r="AM420" s="40"/>
      <c r="AN420" s="40"/>
      <c r="AO420" s="40"/>
      <c r="AP420" s="40"/>
      <c r="AQ420" s="40"/>
      <c r="AR420" s="40"/>
      <c r="AS420" s="40"/>
      <c r="AT420" s="40"/>
      <c r="AU420" s="40"/>
      <c r="AV420" s="40"/>
      <c r="AW420" s="40"/>
      <c r="AX420" s="40"/>
      <c r="AY420" s="40"/>
      <c r="AZ420" s="40"/>
    </row>
    <row r="421" spans="1:52" s="71" customFormat="1" ht="12" thickBot="1" x14ac:dyDescent="0.2">
      <c r="A421" s="37" t="s">
        <v>94</v>
      </c>
      <c r="B421" s="55" t="s">
        <v>20</v>
      </c>
      <c r="C421" s="109" t="str">
        <f>HYPERLINK(Hoofddocument!$H$421,Hoofddocument!$G$421)</f>
        <v>Executive Masterclass Persoonlijk Leiderschap</v>
      </c>
      <c r="D421" s="55" t="s">
        <v>166</v>
      </c>
      <c r="E421" s="55" t="s">
        <v>12</v>
      </c>
      <c r="F421" s="55" t="s">
        <v>480</v>
      </c>
      <c r="G421" s="121" t="s">
        <v>481</v>
      </c>
      <c r="H421" s="55" t="s">
        <v>619</v>
      </c>
      <c r="I421" s="41"/>
      <c r="J421" s="39"/>
      <c r="K421" s="39"/>
      <c r="L421" s="40"/>
      <c r="M421" s="40"/>
      <c r="N421" s="40"/>
      <c r="O421" s="40"/>
      <c r="P421" s="40"/>
      <c r="Q421" s="40"/>
      <c r="R421" s="40"/>
      <c r="S421" s="40"/>
      <c r="T421" s="40"/>
      <c r="U421" s="40"/>
      <c r="V421" s="40"/>
      <c r="W421" s="40"/>
      <c r="X421" s="40"/>
      <c r="Y421" s="40"/>
      <c r="Z421" s="40"/>
      <c r="AA421" s="40"/>
      <c r="AB421" s="40"/>
      <c r="AC421" s="40"/>
      <c r="AD421" s="40"/>
      <c r="AE421" s="40"/>
      <c r="AF421" s="40"/>
      <c r="AG421" s="40"/>
      <c r="AH421" s="40" t="s">
        <v>97</v>
      </c>
      <c r="AI421" s="40" t="s">
        <v>97</v>
      </c>
      <c r="AJ421" s="40"/>
      <c r="AK421" s="40"/>
      <c r="AL421" s="40"/>
      <c r="AM421" s="40"/>
      <c r="AN421" s="40"/>
      <c r="AO421" s="40"/>
      <c r="AP421" s="40"/>
      <c r="AQ421" s="40"/>
      <c r="AR421" s="40"/>
      <c r="AS421" s="40"/>
      <c r="AT421" s="40"/>
      <c r="AU421" s="40"/>
      <c r="AV421" s="40"/>
      <c r="AW421" s="40"/>
      <c r="AX421" s="40"/>
      <c r="AY421" s="40"/>
      <c r="AZ421" s="40"/>
    </row>
    <row r="422" spans="1:52" s="71" customFormat="1" ht="12" thickBot="1" x14ac:dyDescent="0.2">
      <c r="A422" s="37" t="s">
        <v>94</v>
      </c>
      <c r="B422" s="55" t="s">
        <v>20</v>
      </c>
      <c r="C422" s="109" t="str">
        <f>HYPERLINK(Hoofddocument!$H$422,Hoofddocument!$G$422)</f>
        <v>Training Goed Waarnemen, Juist interpreteren en Effectief Communiceren</v>
      </c>
      <c r="D422" s="55"/>
      <c r="E422" s="55" t="s">
        <v>225</v>
      </c>
      <c r="F422" s="55"/>
      <c r="G422" s="121" t="s">
        <v>263</v>
      </c>
      <c r="H422" s="49" t="s">
        <v>549</v>
      </c>
      <c r="I422" s="41"/>
      <c r="J422" s="39"/>
      <c r="K422" s="39"/>
      <c r="L422" s="40"/>
      <c r="M422" s="40"/>
      <c r="N422" s="40"/>
      <c r="O422" s="40"/>
      <c r="P422" s="40"/>
      <c r="Q422" s="40"/>
      <c r="R422" s="40"/>
      <c r="S422" s="40"/>
      <c r="T422" s="40"/>
      <c r="U422" s="40"/>
      <c r="V422" s="39"/>
      <c r="W422" s="40"/>
      <c r="X422" s="40"/>
      <c r="Y422" s="40"/>
      <c r="Z422" s="40"/>
      <c r="AA422" s="40"/>
      <c r="AB422" s="40"/>
      <c r="AC422" s="40"/>
      <c r="AD422" s="40"/>
      <c r="AE422" s="40"/>
      <c r="AF422" s="40"/>
      <c r="AG422" s="40"/>
      <c r="AH422" s="40"/>
      <c r="AI422" s="40"/>
      <c r="AJ422" s="40"/>
      <c r="AK422" s="40"/>
      <c r="AL422" s="40"/>
      <c r="AM422" s="40"/>
      <c r="AN422" s="40" t="s">
        <v>97</v>
      </c>
      <c r="AO422" s="40"/>
      <c r="AP422" s="40"/>
      <c r="AQ422" s="40"/>
      <c r="AR422" s="40"/>
      <c r="AS422" s="40"/>
      <c r="AT422" s="40"/>
      <c r="AU422" s="40"/>
      <c r="AV422" s="40"/>
      <c r="AW422" s="40"/>
      <c r="AX422" s="40"/>
      <c r="AY422" s="40"/>
      <c r="AZ422" s="40"/>
    </row>
    <row r="423" spans="1:52" s="71" customFormat="1" ht="12" thickBot="1" x14ac:dyDescent="0.2">
      <c r="A423" s="37" t="s">
        <v>94</v>
      </c>
      <c r="B423" s="38" t="s">
        <v>20</v>
      </c>
      <c r="C423" s="109" t="str">
        <f>HYPERLINK(Hoofddocument!$H$423,Hoofddocument!$G$423)</f>
        <v>Basistraining Adviesvaardigheden</v>
      </c>
      <c r="D423" s="38" t="s">
        <v>166</v>
      </c>
      <c r="E423" s="38" t="s">
        <v>12</v>
      </c>
      <c r="F423" s="44" t="s">
        <v>668</v>
      </c>
      <c r="G423" s="121" t="s">
        <v>667</v>
      </c>
      <c r="H423" s="64" t="s">
        <v>474</v>
      </c>
      <c r="I423" s="41"/>
      <c r="J423" s="39"/>
      <c r="K423" s="39"/>
      <c r="L423" s="40"/>
      <c r="M423" s="40"/>
      <c r="N423" s="40"/>
      <c r="O423" s="40"/>
      <c r="P423" s="40"/>
      <c r="Q423" s="40"/>
      <c r="R423" s="40"/>
      <c r="S423" s="40"/>
      <c r="T423" s="40"/>
      <c r="U423" s="40"/>
      <c r="V423" s="40"/>
      <c r="W423" s="39"/>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121" t="s">
        <v>634</v>
      </c>
      <c r="AX423" s="121" t="s">
        <v>634</v>
      </c>
      <c r="AY423" s="40"/>
      <c r="AZ423" s="40"/>
    </row>
    <row r="424" spans="1:52" s="71" customFormat="1" ht="12" thickBot="1" x14ac:dyDescent="0.2">
      <c r="A424" s="37" t="s">
        <v>94</v>
      </c>
      <c r="B424" s="55" t="s">
        <v>21</v>
      </c>
      <c r="C424" s="109" t="str">
        <f>HYPERLINK(Hoofddocument!$H$424,Hoofddocument!$G$424)</f>
        <v>Bewust Handelen vanuit een Growth Mindset</v>
      </c>
      <c r="D424" s="55" t="s">
        <v>166</v>
      </c>
      <c r="E424" s="55" t="s">
        <v>12</v>
      </c>
      <c r="F424" s="55" t="s">
        <v>705</v>
      </c>
      <c r="G424" s="121" t="s">
        <v>248</v>
      </c>
      <c r="H424" s="49" t="s">
        <v>517</v>
      </c>
      <c r="I424" s="41"/>
      <c r="J424" s="39"/>
      <c r="K424" s="39"/>
      <c r="L424" s="40"/>
      <c r="M424" s="40"/>
      <c r="N424" s="40"/>
      <c r="O424" s="40"/>
      <c r="P424" s="40"/>
      <c r="Q424" s="40"/>
      <c r="R424" s="40" t="s">
        <v>97</v>
      </c>
      <c r="S424" s="40" t="s">
        <v>97</v>
      </c>
      <c r="T424" s="40"/>
      <c r="U424" s="40"/>
      <c r="V424" s="39"/>
      <c r="W424" s="40"/>
      <c r="X424" s="40"/>
      <c r="Y424" s="40"/>
      <c r="Z424" s="40" t="s">
        <v>634</v>
      </c>
      <c r="AA424" s="40"/>
      <c r="AB424" s="40"/>
      <c r="AC424" s="40" t="s">
        <v>97</v>
      </c>
      <c r="AD424" s="40" t="s">
        <v>97</v>
      </c>
      <c r="AE424" s="40" t="s">
        <v>97</v>
      </c>
      <c r="AF424" s="40"/>
      <c r="AG424" s="40"/>
      <c r="AH424" s="40"/>
      <c r="AI424" s="40"/>
      <c r="AJ424" s="40"/>
      <c r="AK424" s="40"/>
      <c r="AL424" s="40"/>
      <c r="AM424" s="40"/>
      <c r="AN424" s="40"/>
      <c r="AO424" s="40"/>
      <c r="AP424" s="40"/>
      <c r="AQ424" s="40"/>
      <c r="AR424" s="40"/>
      <c r="AS424" s="40"/>
      <c r="AT424" s="40"/>
      <c r="AU424" s="40"/>
      <c r="AV424" s="40"/>
      <c r="AW424" s="40"/>
      <c r="AX424" s="40"/>
      <c r="AY424" s="40"/>
      <c r="AZ424" s="40"/>
    </row>
    <row r="425" spans="1:52" s="71" customFormat="1" ht="12" thickBot="1" x14ac:dyDescent="0.2">
      <c r="A425" s="37" t="s">
        <v>94</v>
      </c>
      <c r="B425" s="55" t="s">
        <v>21</v>
      </c>
      <c r="C425" s="109" t="str">
        <f>HYPERLINK(Hoofddocument!$H$425,Hoofddocument!$G$425)</f>
        <v>Training Invloed en Macht in Organisaties</v>
      </c>
      <c r="D425" s="55"/>
      <c r="E425" s="55" t="s">
        <v>225</v>
      </c>
      <c r="F425" s="55"/>
      <c r="G425" s="121" t="s">
        <v>448</v>
      </c>
      <c r="H425" s="49" t="s">
        <v>581</v>
      </c>
      <c r="I425" s="41"/>
      <c r="J425" s="39"/>
      <c r="K425" s="39"/>
      <c r="L425" s="40"/>
      <c r="M425" s="40"/>
      <c r="N425" s="40"/>
      <c r="O425" s="40"/>
      <c r="P425" s="40"/>
      <c r="Q425" s="40"/>
      <c r="R425" s="40"/>
      <c r="S425" s="40"/>
      <c r="T425" s="40"/>
      <c r="U425" s="40" t="s">
        <v>97</v>
      </c>
      <c r="V425" s="40"/>
      <c r="W425" s="40"/>
      <c r="X425" s="40" t="s">
        <v>634</v>
      </c>
      <c r="Y425" s="40"/>
      <c r="Z425" s="40" t="s">
        <v>634</v>
      </c>
      <c r="AA425" s="40"/>
      <c r="AB425" s="40"/>
      <c r="AC425" s="40"/>
      <c r="AD425" s="40"/>
      <c r="AE425" s="40"/>
      <c r="AF425" s="40"/>
      <c r="AG425" s="40"/>
      <c r="AH425" s="40"/>
      <c r="AI425" s="40"/>
      <c r="AJ425" s="40"/>
      <c r="AK425" s="40"/>
      <c r="AL425" s="40"/>
      <c r="AM425" s="40"/>
      <c r="AN425" s="40" t="s">
        <v>634</v>
      </c>
      <c r="AO425" s="40"/>
      <c r="AP425" s="40"/>
      <c r="AQ425" s="40"/>
      <c r="AR425" s="40"/>
      <c r="AS425" s="40"/>
      <c r="AT425" s="40"/>
      <c r="AU425" s="40"/>
      <c r="AV425" s="40"/>
      <c r="AW425" s="40"/>
      <c r="AX425" s="40"/>
      <c r="AY425" s="40"/>
      <c r="AZ425" s="40"/>
    </row>
    <row r="426" spans="1:52" s="71" customFormat="1" ht="12" thickBot="1" x14ac:dyDescent="0.2">
      <c r="A426" s="37" t="s">
        <v>94</v>
      </c>
      <c r="B426" s="55" t="s">
        <v>21</v>
      </c>
      <c r="C426" s="121" t="s">
        <v>864</v>
      </c>
      <c r="D426" s="55"/>
      <c r="E426" s="55" t="s">
        <v>759</v>
      </c>
      <c r="F426" s="38"/>
      <c r="G426" s="121" t="s">
        <v>864</v>
      </c>
      <c r="H426" s="49"/>
      <c r="I426" s="41" t="s">
        <v>97</v>
      </c>
      <c r="J426" s="39"/>
      <c r="K426" s="39"/>
      <c r="L426" s="40"/>
      <c r="M426" s="40"/>
      <c r="N426" s="40"/>
      <c r="O426" s="40"/>
      <c r="P426" s="40"/>
      <c r="Q426" s="40"/>
      <c r="R426" s="40"/>
      <c r="S426" s="40"/>
      <c r="T426" s="40"/>
      <c r="U426" s="40"/>
      <c r="V426" s="40"/>
      <c r="W426" s="40"/>
      <c r="X426" s="40"/>
      <c r="Y426" s="40"/>
      <c r="Z426" s="40"/>
      <c r="AA426" s="40" t="s">
        <v>97</v>
      </c>
      <c r="AB426" s="40"/>
      <c r="AC426" s="40"/>
      <c r="AD426" s="40"/>
      <c r="AE426" s="40"/>
      <c r="AF426" s="40"/>
      <c r="AG426" s="40"/>
      <c r="AH426" s="40"/>
      <c r="AI426" s="40"/>
      <c r="AJ426" s="40"/>
      <c r="AK426" s="40"/>
      <c r="AL426" s="40"/>
      <c r="AM426" s="40"/>
      <c r="AN426" s="40"/>
      <c r="AO426" s="40"/>
      <c r="AP426" s="40"/>
      <c r="AQ426" s="40"/>
      <c r="AR426" s="40"/>
      <c r="AS426" s="40"/>
      <c r="AT426" s="40"/>
      <c r="AU426" s="40"/>
      <c r="AV426" s="40"/>
      <c r="AW426" s="40"/>
      <c r="AX426" s="40"/>
      <c r="AY426" s="40"/>
      <c r="AZ426" s="40"/>
    </row>
    <row r="427" spans="1:52" s="71" customFormat="1" ht="12" thickBot="1" x14ac:dyDescent="0.2">
      <c r="A427" s="37" t="s">
        <v>94</v>
      </c>
      <c r="B427" s="55" t="s">
        <v>21</v>
      </c>
      <c r="C427" s="121" t="s">
        <v>873</v>
      </c>
      <c r="D427" s="55"/>
      <c r="E427" s="55" t="s">
        <v>759</v>
      </c>
      <c r="F427" s="38"/>
      <c r="G427" s="121" t="s">
        <v>873</v>
      </c>
      <c r="H427" s="49"/>
      <c r="I427" s="41"/>
      <c r="J427" s="39"/>
      <c r="K427" s="39"/>
      <c r="L427" s="40"/>
      <c r="M427" s="40"/>
      <c r="N427" s="40"/>
      <c r="O427" s="40"/>
      <c r="P427" s="40"/>
      <c r="Q427" s="40"/>
      <c r="R427" s="40"/>
      <c r="S427" s="40"/>
      <c r="T427" s="40"/>
      <c r="U427" s="40"/>
      <c r="V427" s="40"/>
      <c r="W427" s="40"/>
      <c r="X427" s="40"/>
      <c r="Y427" s="40"/>
      <c r="Z427" s="40"/>
      <c r="AA427" s="40"/>
      <c r="AB427" s="40" t="s">
        <v>97</v>
      </c>
      <c r="AC427" s="40"/>
      <c r="AD427" s="40"/>
      <c r="AE427" s="40"/>
      <c r="AF427" s="40"/>
      <c r="AG427" s="40" t="s">
        <v>97</v>
      </c>
      <c r="AH427" s="40"/>
      <c r="AI427" s="40"/>
      <c r="AJ427" s="40" t="s">
        <v>97</v>
      </c>
      <c r="AK427" s="40" t="s">
        <v>97</v>
      </c>
      <c r="AL427" s="40"/>
      <c r="AM427" s="40"/>
      <c r="AN427" s="40"/>
      <c r="AO427" s="40"/>
      <c r="AP427" s="40"/>
      <c r="AQ427" s="40"/>
      <c r="AR427" s="40"/>
      <c r="AS427" s="40"/>
      <c r="AT427" s="40"/>
      <c r="AU427" s="40"/>
      <c r="AV427" s="40"/>
      <c r="AW427" s="40"/>
      <c r="AX427" s="40"/>
      <c r="AY427" s="40"/>
      <c r="AZ427" s="40"/>
    </row>
    <row r="428" spans="1:52" s="71" customFormat="1" ht="12" thickBot="1" x14ac:dyDescent="0.2">
      <c r="A428" s="37" t="s">
        <v>94</v>
      </c>
      <c r="B428" s="55" t="s">
        <v>21</v>
      </c>
      <c r="C428" s="109" t="str">
        <f>HYPERLINK(Hoofddocument!$H$428,Hoofddocument!$G$428)</f>
        <v>Powerboost Communicatie en Samenwerking</v>
      </c>
      <c r="D428" s="55" t="s">
        <v>166</v>
      </c>
      <c r="E428" s="55" t="s">
        <v>12</v>
      </c>
      <c r="F428" s="55" t="s">
        <v>171</v>
      </c>
      <c r="G428" s="121" t="s">
        <v>172</v>
      </c>
      <c r="H428" s="49" t="s">
        <v>347</v>
      </c>
      <c r="I428" s="41"/>
      <c r="J428" s="39"/>
      <c r="K428" s="39"/>
      <c r="L428" s="40"/>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t="s">
        <v>634</v>
      </c>
      <c r="AN428" s="40"/>
      <c r="AO428" s="40"/>
      <c r="AP428" s="40"/>
      <c r="AQ428" s="40" t="s">
        <v>634</v>
      </c>
      <c r="AR428" s="40"/>
      <c r="AS428" s="40"/>
      <c r="AT428" s="40"/>
      <c r="AU428" s="40"/>
      <c r="AV428" s="40"/>
      <c r="AW428" s="40"/>
      <c r="AX428" s="40"/>
      <c r="AY428" s="40"/>
      <c r="AZ428" s="40"/>
    </row>
    <row r="429" spans="1:52" s="71" customFormat="1" ht="12" thickBot="1" x14ac:dyDescent="0.2">
      <c r="A429" s="37" t="s">
        <v>94</v>
      </c>
      <c r="B429" s="55" t="s">
        <v>22</v>
      </c>
      <c r="C429" s="109" t="str">
        <f>HYPERLINK(Hoofddocument!$H$429,Hoofddocument!$G$429)</f>
        <v>Emotionele Intelligentie</v>
      </c>
      <c r="D429" s="55" t="s">
        <v>166</v>
      </c>
      <c r="E429" s="55" t="s">
        <v>12</v>
      </c>
      <c r="F429" s="55" t="s">
        <v>177</v>
      </c>
      <c r="G429" s="121" t="s">
        <v>178</v>
      </c>
      <c r="H429" s="49" t="s">
        <v>521</v>
      </c>
      <c r="I429" s="41"/>
      <c r="J429" s="39" t="s">
        <v>97</v>
      </c>
      <c r="K429" s="39"/>
      <c r="L429" s="40"/>
      <c r="M429" s="40"/>
      <c r="N429" s="40"/>
      <c r="O429" s="40"/>
      <c r="P429" s="40"/>
      <c r="Q429" s="40"/>
      <c r="R429" s="40"/>
      <c r="S429" s="40"/>
      <c r="T429" s="40"/>
      <c r="U429" s="40"/>
      <c r="V429" s="40"/>
      <c r="W429" s="40"/>
      <c r="X429" s="40"/>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row>
    <row r="430" spans="1:52" s="71" customFormat="1" ht="12" thickBot="1" x14ac:dyDescent="0.2">
      <c r="A430" s="37" t="s">
        <v>94</v>
      </c>
      <c r="B430" s="55" t="s">
        <v>22</v>
      </c>
      <c r="C430" s="109" t="str">
        <f>HYPERLINK(Hoofddocument!$H$430,Hoofddocument!$G$430)</f>
        <v>Draagvlak Creëren</v>
      </c>
      <c r="D430" s="55" t="s">
        <v>166</v>
      </c>
      <c r="E430" s="55" t="s">
        <v>12</v>
      </c>
      <c r="F430" s="55" t="s">
        <v>349</v>
      </c>
      <c r="G430" s="121" t="s">
        <v>105</v>
      </c>
      <c r="H430" s="49" t="s">
        <v>264</v>
      </c>
      <c r="I430" s="41"/>
      <c r="J430" s="39"/>
      <c r="K430" s="39" t="s">
        <v>634</v>
      </c>
      <c r="L430" s="40" t="s">
        <v>97</v>
      </c>
      <c r="M430" s="40"/>
      <c r="N430" s="40"/>
      <c r="O430" s="40"/>
      <c r="P430" s="40"/>
      <c r="Q430" s="40"/>
      <c r="R430" s="40"/>
      <c r="S430" s="40"/>
      <c r="T430" s="40" t="s">
        <v>634</v>
      </c>
      <c r="U430" s="40"/>
      <c r="V430" s="40"/>
      <c r="W430" s="40"/>
      <c r="X430" s="40"/>
      <c r="Y430" s="40"/>
      <c r="Z430" s="40"/>
      <c r="AA430" s="40" t="s">
        <v>97</v>
      </c>
      <c r="AB430" s="40"/>
      <c r="AC430" s="40"/>
      <c r="AD430" s="40"/>
      <c r="AE430" s="40"/>
      <c r="AF430" s="40"/>
      <c r="AG430" s="40"/>
      <c r="AH430" s="40"/>
      <c r="AI430" s="40"/>
      <c r="AJ430" s="40"/>
      <c r="AK430" s="40"/>
      <c r="AL430" s="40"/>
      <c r="AM430" s="40"/>
      <c r="AN430" s="40"/>
      <c r="AO430" s="40" t="s">
        <v>97</v>
      </c>
      <c r="AP430" s="40"/>
      <c r="AQ430" s="40"/>
      <c r="AR430" s="40"/>
      <c r="AS430" s="40"/>
      <c r="AT430" s="40"/>
      <c r="AU430" s="40"/>
      <c r="AV430" s="40"/>
      <c r="AW430" s="40"/>
      <c r="AX430" s="40"/>
      <c r="AY430" s="40"/>
      <c r="AZ430" s="40"/>
    </row>
    <row r="431" spans="1:52" s="71" customFormat="1" ht="12" thickBot="1" x14ac:dyDescent="0.2">
      <c r="A431" s="37" t="s">
        <v>94</v>
      </c>
      <c r="B431" s="55" t="s">
        <v>22</v>
      </c>
      <c r="C431" s="109" t="str">
        <f>HYPERLINK(Hoofddocument!$H$431,Hoofddocument!$G$431)</f>
        <v>Politieke Antenne</v>
      </c>
      <c r="D431" s="55" t="s">
        <v>166</v>
      </c>
      <c r="E431" s="55" t="s">
        <v>12</v>
      </c>
      <c r="F431" s="55" t="s">
        <v>338</v>
      </c>
      <c r="G431" s="121" t="s">
        <v>339</v>
      </c>
      <c r="H431" s="49" t="s">
        <v>340</v>
      </c>
      <c r="I431" s="41"/>
      <c r="J431" s="39"/>
      <c r="K431" s="39"/>
      <c r="L431" s="40"/>
      <c r="M431" s="40"/>
      <c r="N431" s="40"/>
      <c r="O431" s="40"/>
      <c r="P431" s="40"/>
      <c r="Q431" s="40"/>
      <c r="R431" s="40"/>
      <c r="S431" s="40"/>
      <c r="T431" s="40"/>
      <c r="U431" s="40"/>
      <c r="V431" s="40"/>
      <c r="W431" s="40" t="s">
        <v>97</v>
      </c>
      <c r="X431" s="40"/>
      <c r="Y431" s="40"/>
      <c r="Z431" s="40"/>
      <c r="AA431" s="40"/>
      <c r="AB431" s="40"/>
      <c r="AC431" s="40"/>
      <c r="AD431" s="40"/>
      <c r="AE431" s="40"/>
      <c r="AF431" s="40"/>
      <c r="AG431" s="40"/>
      <c r="AH431" s="40"/>
      <c r="AI431" s="40"/>
      <c r="AJ431" s="40"/>
      <c r="AK431" s="40"/>
      <c r="AL431" s="40"/>
      <c r="AM431" s="40"/>
      <c r="AN431" s="40"/>
      <c r="AO431" s="40"/>
      <c r="AP431" s="40"/>
      <c r="AQ431" s="40"/>
      <c r="AR431" s="40"/>
      <c r="AS431" s="40"/>
      <c r="AT431" s="40"/>
      <c r="AU431" s="40"/>
      <c r="AV431" s="40"/>
      <c r="AW431" s="40"/>
      <c r="AX431" s="40"/>
      <c r="AY431" s="40"/>
      <c r="AZ431" s="40"/>
    </row>
    <row r="432" spans="1:52" s="71" customFormat="1" ht="12" thickBot="1" x14ac:dyDescent="0.2">
      <c r="A432" s="37" t="s">
        <v>94</v>
      </c>
      <c r="B432" s="55" t="s">
        <v>22</v>
      </c>
      <c r="C432" s="109" t="str">
        <f>HYPERLINK(Hoofddocument!$H$432,Hoofddocument!$G$432)</f>
        <v>Politiek-bestuurlijke Sensitiviteit en Beïnvloeding</v>
      </c>
      <c r="D432" s="55" t="s">
        <v>166</v>
      </c>
      <c r="E432" s="55" t="s">
        <v>12</v>
      </c>
      <c r="F432" s="55" t="s">
        <v>676</v>
      </c>
      <c r="G432" s="121" t="s">
        <v>104</v>
      </c>
      <c r="H432" s="49" t="s">
        <v>250</v>
      </c>
      <c r="I432" s="41"/>
      <c r="J432" s="39" t="s">
        <v>634</v>
      </c>
      <c r="K432" s="39"/>
      <c r="L432" s="40"/>
      <c r="M432" s="40"/>
      <c r="N432" s="40"/>
      <c r="O432" s="40"/>
      <c r="P432" s="40"/>
      <c r="Q432" s="40"/>
      <c r="R432" s="40"/>
      <c r="S432" s="40"/>
      <c r="T432" s="40" t="s">
        <v>634</v>
      </c>
      <c r="U432" s="40"/>
      <c r="V432" s="40" t="s">
        <v>634</v>
      </c>
      <c r="W432" s="40" t="s">
        <v>634</v>
      </c>
      <c r="X432" s="40"/>
      <c r="Y432" s="40"/>
      <c r="Z432" s="40"/>
      <c r="AA432" s="40" t="s">
        <v>634</v>
      </c>
      <c r="AB432" s="40"/>
      <c r="AC432" s="40"/>
      <c r="AD432" s="40"/>
      <c r="AE432" s="40"/>
      <c r="AF432" s="40"/>
      <c r="AG432" s="40"/>
      <c r="AH432" s="40"/>
      <c r="AI432" s="40"/>
      <c r="AJ432" s="40"/>
      <c r="AK432" s="40"/>
      <c r="AL432" s="40"/>
      <c r="AM432" s="40"/>
      <c r="AN432" s="40"/>
      <c r="AO432" s="40" t="s">
        <v>97</v>
      </c>
      <c r="AP432" s="40" t="s">
        <v>97</v>
      </c>
      <c r="AQ432" s="40" t="s">
        <v>97</v>
      </c>
      <c r="AR432" s="40" t="s">
        <v>97</v>
      </c>
      <c r="AS432" s="40" t="s">
        <v>97</v>
      </c>
      <c r="AT432" s="40" t="s">
        <v>97</v>
      </c>
      <c r="AU432" s="40" t="s">
        <v>97</v>
      </c>
      <c r="AV432" s="40" t="s">
        <v>97</v>
      </c>
      <c r="AW432" s="40"/>
      <c r="AX432" s="40"/>
      <c r="AY432" s="40"/>
      <c r="AZ432" s="40"/>
    </row>
    <row r="433" spans="1:52" s="71" customFormat="1" ht="12" thickBot="1" x14ac:dyDescent="0.2">
      <c r="A433" s="37" t="s">
        <v>94</v>
      </c>
      <c r="B433" s="55" t="s">
        <v>22</v>
      </c>
      <c r="C433" s="127" t="s">
        <v>106</v>
      </c>
      <c r="D433" s="55"/>
      <c r="E433" s="55" t="s">
        <v>664</v>
      </c>
      <c r="F433" s="55"/>
      <c r="G433" s="121" t="s">
        <v>106</v>
      </c>
      <c r="H433" s="49"/>
      <c r="I433" s="41"/>
      <c r="J433" s="39"/>
      <c r="K433" s="39"/>
      <c r="L433" s="40"/>
      <c r="M433" s="40"/>
      <c r="N433" s="40" t="s">
        <v>634</v>
      </c>
      <c r="O433" s="40" t="s">
        <v>634</v>
      </c>
      <c r="P433" s="40" t="s">
        <v>634</v>
      </c>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t="s">
        <v>97</v>
      </c>
      <c r="AP433" s="40"/>
      <c r="AQ433" s="40"/>
      <c r="AR433" s="40"/>
      <c r="AS433" s="40"/>
      <c r="AT433" s="40"/>
      <c r="AU433" s="40"/>
      <c r="AV433" s="40"/>
      <c r="AW433" s="40"/>
      <c r="AX433" s="40"/>
      <c r="AY433" s="40"/>
      <c r="AZ433" s="40"/>
    </row>
    <row r="434" spans="1:52" s="71" customFormat="1" ht="12" thickBot="1" x14ac:dyDescent="0.2">
      <c r="A434" s="37" t="s">
        <v>94</v>
      </c>
      <c r="B434" s="55" t="s">
        <v>22</v>
      </c>
      <c r="C434" s="109" t="str">
        <f>HYPERLINK(Hoofddocument!$H$434,Hoofddocument!$G$434)</f>
        <v>Training Invloed en Macht in Organisaties</v>
      </c>
      <c r="D434" s="55"/>
      <c r="E434" s="55" t="s">
        <v>225</v>
      </c>
      <c r="F434" s="55"/>
      <c r="G434" s="121" t="s">
        <v>448</v>
      </c>
      <c r="H434" s="49" t="s">
        <v>581</v>
      </c>
      <c r="I434" s="41" t="s">
        <v>634</v>
      </c>
      <c r="J434" s="39"/>
      <c r="K434" s="39"/>
      <c r="L434" s="40"/>
      <c r="M434" s="40"/>
      <c r="N434" s="40"/>
      <c r="O434" s="40"/>
      <c r="P434" s="40"/>
      <c r="Q434" s="40"/>
      <c r="R434" s="40"/>
      <c r="S434" s="40"/>
      <c r="T434" s="40"/>
      <c r="U434" s="40"/>
      <c r="V434" s="40"/>
      <c r="W434" s="40"/>
      <c r="X434" s="40"/>
      <c r="Y434" s="40"/>
      <c r="Z434" s="40"/>
      <c r="AA434" s="40" t="s">
        <v>634</v>
      </c>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row>
    <row r="435" spans="1:52" s="71" customFormat="1" ht="12" thickBot="1" x14ac:dyDescent="0.2">
      <c r="A435" s="37" t="s">
        <v>94</v>
      </c>
      <c r="B435" s="55" t="s">
        <v>107</v>
      </c>
      <c r="C435" s="109" t="str">
        <f>HYPERLINK(Hoofddocument!$H$435,Hoofddocument!$G$435)</f>
        <v>Timemanagement training</v>
      </c>
      <c r="D435" s="55" t="s">
        <v>166</v>
      </c>
      <c r="E435" s="55" t="s">
        <v>12</v>
      </c>
      <c r="F435" s="55" t="s">
        <v>182</v>
      </c>
      <c r="G435" s="121" t="s">
        <v>108</v>
      </c>
      <c r="H435" s="49" t="s">
        <v>523</v>
      </c>
      <c r="I435" s="41"/>
      <c r="J435" s="39"/>
      <c r="K435" s="39"/>
      <c r="L435" s="40"/>
      <c r="M435" s="40"/>
      <c r="N435" s="40" t="s">
        <v>97</v>
      </c>
      <c r="O435" s="40"/>
      <c r="P435" s="40"/>
      <c r="Q435" s="40"/>
      <c r="R435" s="40"/>
      <c r="S435" s="40"/>
      <c r="T435" s="40"/>
      <c r="U435" s="40"/>
      <c r="V435" s="40"/>
      <c r="W435" s="40"/>
      <c r="X435" s="40"/>
      <c r="Y435" s="40"/>
      <c r="Z435" s="40"/>
      <c r="AA435" s="40"/>
      <c r="AB435" s="40"/>
      <c r="AC435" s="40"/>
      <c r="AD435" s="40"/>
      <c r="AE435" s="40"/>
      <c r="AF435" s="40"/>
      <c r="AG435" s="40"/>
      <c r="AH435" s="40"/>
      <c r="AI435" s="40"/>
      <c r="AJ435" s="40"/>
      <c r="AK435" s="40"/>
      <c r="AL435" s="40"/>
      <c r="AM435" s="40"/>
      <c r="AN435" s="40"/>
      <c r="AO435" s="40"/>
      <c r="AP435" s="40"/>
      <c r="AQ435" s="40"/>
      <c r="AR435" s="40"/>
      <c r="AS435" s="40"/>
      <c r="AT435" s="40"/>
      <c r="AU435" s="40"/>
      <c r="AV435" s="40"/>
      <c r="AW435" s="40"/>
      <c r="AX435" s="40"/>
      <c r="AY435" s="40"/>
      <c r="AZ435" s="40"/>
    </row>
    <row r="436" spans="1:52" s="71" customFormat="1" ht="12" thickBot="1" x14ac:dyDescent="0.2">
      <c r="A436" s="37" t="s">
        <v>94</v>
      </c>
      <c r="B436" s="55" t="s">
        <v>107</v>
      </c>
      <c r="C436" s="109" t="str">
        <f>HYPERLINK(Hoofddocument!$H$436,Hoofddocument!$G$436)</f>
        <v>Projectmatig Werken</v>
      </c>
      <c r="D436" s="55" t="s">
        <v>166</v>
      </c>
      <c r="E436" s="55" t="s">
        <v>12</v>
      </c>
      <c r="F436" s="55" t="s">
        <v>492</v>
      </c>
      <c r="G436" s="121" t="s">
        <v>493</v>
      </c>
      <c r="H436" s="64" t="s">
        <v>624</v>
      </c>
      <c r="I436" s="41"/>
      <c r="J436" s="39"/>
      <c r="K436" s="39"/>
      <c r="L436" s="40"/>
      <c r="M436" s="40"/>
      <c r="N436" s="40"/>
      <c r="O436" s="40"/>
      <c r="P436" s="40"/>
      <c r="Q436" s="40"/>
      <c r="R436" s="40"/>
      <c r="S436" s="40"/>
      <c r="T436" s="40"/>
      <c r="U436" s="40"/>
      <c r="V436" s="40"/>
      <c r="W436" s="40"/>
      <c r="X436" s="40"/>
      <c r="Y436" s="40"/>
      <c r="Z436" s="40" t="s">
        <v>97</v>
      </c>
      <c r="AA436" s="40"/>
      <c r="AB436" s="40"/>
      <c r="AC436" s="40"/>
      <c r="AD436" s="40"/>
      <c r="AE436" s="40"/>
      <c r="AF436" s="40"/>
      <c r="AG436" s="40"/>
      <c r="AH436" s="40"/>
      <c r="AI436" s="40"/>
      <c r="AJ436" s="40"/>
      <c r="AK436" s="40"/>
      <c r="AL436" s="40"/>
      <c r="AM436" s="40"/>
      <c r="AN436" s="40"/>
      <c r="AO436" s="40"/>
      <c r="AP436" s="40"/>
      <c r="AQ436" s="40"/>
      <c r="AR436" s="40"/>
      <c r="AS436" s="40"/>
      <c r="AT436" s="40"/>
      <c r="AU436" s="40"/>
      <c r="AV436" s="40"/>
      <c r="AW436" s="40"/>
      <c r="AX436" s="40"/>
      <c r="AY436" s="40"/>
      <c r="AZ436" s="40"/>
    </row>
    <row r="437" spans="1:52" s="71" customFormat="1" ht="12" thickBot="1" x14ac:dyDescent="0.2">
      <c r="A437" s="37" t="s">
        <v>94</v>
      </c>
      <c r="B437" s="55" t="s">
        <v>107</v>
      </c>
      <c r="C437" s="109" t="str">
        <f>HYPERLINK(Hoofddocument!$H$437,Hoofddocument!$G$437)</f>
        <v>Grip op Processen</v>
      </c>
      <c r="D437" s="55" t="s">
        <v>166</v>
      </c>
      <c r="E437" s="55" t="s">
        <v>12</v>
      </c>
      <c r="F437" s="55" t="s">
        <v>180</v>
      </c>
      <c r="G437" s="121" t="s">
        <v>181</v>
      </c>
      <c r="H437" s="49" t="s">
        <v>522</v>
      </c>
      <c r="I437" s="41"/>
      <c r="J437" s="39"/>
      <c r="K437" s="39"/>
      <c r="L437" s="40"/>
      <c r="M437" s="40"/>
      <c r="N437" s="40"/>
      <c r="O437" s="40"/>
      <c r="P437" s="40"/>
      <c r="Q437" s="40"/>
      <c r="R437" s="40"/>
      <c r="S437" s="40"/>
      <c r="T437" s="40"/>
      <c r="U437" s="40"/>
      <c r="V437" s="40"/>
      <c r="W437" s="40"/>
      <c r="X437" s="40"/>
      <c r="Y437" s="40"/>
      <c r="Z437" s="40" t="s">
        <v>634</v>
      </c>
      <c r="AA437" s="40"/>
      <c r="AB437" s="40"/>
      <c r="AC437" s="40"/>
      <c r="AD437" s="40"/>
      <c r="AE437" s="40"/>
      <c r="AF437" s="40"/>
      <c r="AG437" s="40"/>
      <c r="AH437" s="40"/>
      <c r="AI437" s="40"/>
      <c r="AJ437" s="40"/>
      <c r="AK437" s="40"/>
      <c r="AL437" s="40"/>
      <c r="AM437" s="40"/>
      <c r="AN437" s="40"/>
      <c r="AO437" s="40"/>
      <c r="AP437" s="40"/>
      <c r="AQ437" s="40"/>
      <c r="AR437" s="40"/>
      <c r="AS437" s="40"/>
      <c r="AT437" s="40"/>
      <c r="AU437" s="40"/>
      <c r="AV437" s="40"/>
      <c r="AW437" s="40"/>
      <c r="AX437" s="40"/>
      <c r="AY437" s="40"/>
      <c r="AZ437" s="40"/>
    </row>
    <row r="438" spans="1:52" s="71" customFormat="1" ht="12" thickBot="1" x14ac:dyDescent="0.2">
      <c r="A438" s="37" t="s">
        <v>94</v>
      </c>
      <c r="B438" s="55" t="s">
        <v>23</v>
      </c>
      <c r="C438" s="109" t="str">
        <f>HYPERLINK(Hoofddocument!$H$438,Hoofddocument!$G$438)</f>
        <v>Effectief Adviseren in de Publieke Sector</v>
      </c>
      <c r="D438" s="55" t="s">
        <v>166</v>
      </c>
      <c r="E438" s="55" t="s">
        <v>12</v>
      </c>
      <c r="F438" s="55" t="s">
        <v>483</v>
      </c>
      <c r="G438" s="121" t="s">
        <v>484</v>
      </c>
      <c r="H438" s="64" t="s">
        <v>616</v>
      </c>
      <c r="I438" s="41"/>
      <c r="J438" s="39"/>
      <c r="K438" s="39"/>
      <c r="L438" s="40"/>
      <c r="M438" s="40"/>
      <c r="N438" s="40"/>
      <c r="O438" s="40"/>
      <c r="P438" s="40"/>
      <c r="Q438" s="40"/>
      <c r="R438" s="40"/>
      <c r="S438" s="40"/>
      <c r="T438" s="40"/>
      <c r="U438" s="40"/>
      <c r="V438" s="40" t="s">
        <v>634</v>
      </c>
      <c r="W438" s="40" t="s">
        <v>634</v>
      </c>
      <c r="X438" s="40"/>
      <c r="Y438" s="40"/>
      <c r="Z438" s="40"/>
      <c r="AA438" s="40"/>
      <c r="AB438" s="40"/>
      <c r="AC438" s="40"/>
      <c r="AD438" s="40"/>
      <c r="AE438" s="40"/>
      <c r="AF438" s="40" t="s">
        <v>97</v>
      </c>
      <c r="AG438" s="40"/>
      <c r="AH438" s="40"/>
      <c r="AI438" s="40"/>
      <c r="AJ438" s="40"/>
      <c r="AK438" s="40"/>
      <c r="AL438" s="40"/>
      <c r="AM438" s="40"/>
      <c r="AN438" s="40"/>
      <c r="AO438" s="40"/>
      <c r="AP438" s="40" t="s">
        <v>97</v>
      </c>
      <c r="AQ438" s="40" t="s">
        <v>97</v>
      </c>
      <c r="AR438" s="40" t="s">
        <v>97</v>
      </c>
      <c r="AS438" s="40" t="s">
        <v>97</v>
      </c>
      <c r="AT438" s="40" t="s">
        <v>97</v>
      </c>
      <c r="AU438" s="40" t="s">
        <v>97</v>
      </c>
      <c r="AV438" s="40" t="s">
        <v>97</v>
      </c>
      <c r="AW438" s="40"/>
      <c r="AX438" s="40"/>
      <c r="AY438" s="40"/>
      <c r="AZ438" s="40"/>
    </row>
    <row r="439" spans="1:52" s="71" customFormat="1" ht="12" thickBot="1" x14ac:dyDescent="0.2">
      <c r="A439" s="37" t="s">
        <v>94</v>
      </c>
      <c r="B439" s="55" t="s">
        <v>23</v>
      </c>
      <c r="C439" s="109" t="str">
        <f>HYPERLINK(Hoofddocument!$H$439,Hoofddocument!$G$439)</f>
        <v>Storytelling</v>
      </c>
      <c r="D439" s="55" t="s">
        <v>166</v>
      </c>
      <c r="E439" s="55" t="s">
        <v>12</v>
      </c>
      <c r="F439" s="55" t="s">
        <v>312</v>
      </c>
      <c r="G439" s="121" t="s">
        <v>111</v>
      </c>
      <c r="H439" s="49" t="s">
        <v>112</v>
      </c>
      <c r="I439" s="41"/>
      <c r="J439" s="39"/>
      <c r="K439" s="39"/>
      <c r="L439" s="40"/>
      <c r="M439" s="40" t="s">
        <v>634</v>
      </c>
      <c r="N439" s="40" t="s">
        <v>634</v>
      </c>
      <c r="O439" s="40" t="s">
        <v>97</v>
      </c>
      <c r="P439" s="40" t="s">
        <v>634</v>
      </c>
      <c r="Q439" s="40"/>
      <c r="R439" s="40"/>
      <c r="S439" s="40"/>
      <c r="T439" s="40"/>
      <c r="U439" s="40"/>
      <c r="V439" s="40"/>
      <c r="W439" s="40"/>
      <c r="X439" s="40"/>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row>
    <row r="440" spans="1:52" s="71" customFormat="1" ht="12" thickBot="1" x14ac:dyDescent="0.2">
      <c r="A440" s="37" t="s">
        <v>94</v>
      </c>
      <c r="B440" s="55" t="s">
        <v>23</v>
      </c>
      <c r="C440" s="109" t="str">
        <f>HYPERLINK(Hoofddocument!$H$440,Hoofddocument!$G$440)</f>
        <v>Overtuigend en Inspirerend Presenteren</v>
      </c>
      <c r="D440" s="55" t="s">
        <v>166</v>
      </c>
      <c r="E440" s="55" t="s">
        <v>12</v>
      </c>
      <c r="F440" s="55" t="s">
        <v>309</v>
      </c>
      <c r="G440" s="121" t="s">
        <v>360</v>
      </c>
      <c r="H440" s="49" t="s">
        <v>103</v>
      </c>
      <c r="I440" s="41"/>
      <c r="J440" s="39"/>
      <c r="K440" s="39"/>
      <c r="L440" s="40"/>
      <c r="M440" s="40"/>
      <c r="N440" s="40"/>
      <c r="O440" s="40"/>
      <c r="P440" s="40"/>
      <c r="Q440" s="40"/>
      <c r="R440" s="40"/>
      <c r="S440" s="40"/>
      <c r="T440" s="40"/>
      <c r="U440" s="40"/>
      <c r="V440" s="40" t="s">
        <v>634</v>
      </c>
      <c r="W440" s="40"/>
      <c r="X440" s="40"/>
      <c r="Y440" s="40"/>
      <c r="Z440" s="40"/>
      <c r="AA440" s="40"/>
      <c r="AB440" s="40"/>
      <c r="AC440" s="40"/>
      <c r="AD440" s="40"/>
      <c r="AE440" s="40"/>
      <c r="AF440" s="40"/>
      <c r="AG440" s="40"/>
      <c r="AH440" s="40"/>
      <c r="AI440" s="40"/>
      <c r="AJ440" s="40"/>
      <c r="AK440" s="40"/>
      <c r="AL440" s="40"/>
      <c r="AM440" s="40"/>
      <c r="AN440" s="40"/>
      <c r="AO440" s="40"/>
      <c r="AP440" s="40"/>
      <c r="AQ440" s="40"/>
      <c r="AR440" s="40"/>
      <c r="AS440" s="40"/>
      <c r="AT440" s="40"/>
      <c r="AU440" s="40"/>
      <c r="AV440" s="40"/>
      <c r="AW440" s="40"/>
      <c r="AX440" s="40"/>
      <c r="AY440" s="40"/>
      <c r="AZ440" s="40"/>
    </row>
    <row r="441" spans="1:52" s="71" customFormat="1" ht="12" thickBot="1" x14ac:dyDescent="0.2">
      <c r="A441" s="37" t="s">
        <v>94</v>
      </c>
      <c r="B441" s="55" t="s">
        <v>23</v>
      </c>
      <c r="C441" s="109" t="str">
        <f>HYPERLINK(Hoofddocument!$H$441,Hoofddocument!$G$441)</f>
        <v>Overtuigingskracht</v>
      </c>
      <c r="D441" s="55" t="s">
        <v>166</v>
      </c>
      <c r="E441" s="55" t="s">
        <v>12</v>
      </c>
      <c r="F441" s="55" t="s">
        <v>179</v>
      </c>
      <c r="G441" s="121" t="s">
        <v>23</v>
      </c>
      <c r="H441" s="49" t="s">
        <v>329</v>
      </c>
      <c r="I441" s="41"/>
      <c r="J441" s="39" t="s">
        <v>97</v>
      </c>
      <c r="K441" s="39"/>
      <c r="L441" s="40"/>
      <c r="M441" s="40"/>
      <c r="N441" s="40"/>
      <c r="O441" s="40"/>
      <c r="P441" s="40"/>
      <c r="Q441" s="40"/>
      <c r="R441" s="40"/>
      <c r="S441" s="40"/>
      <c r="T441" s="40" t="s">
        <v>97</v>
      </c>
      <c r="U441" s="40"/>
      <c r="V441" s="40"/>
      <c r="W441" s="40" t="s">
        <v>97</v>
      </c>
      <c r="X441" s="40"/>
      <c r="Y441" s="40" t="s">
        <v>634</v>
      </c>
      <c r="Z441" s="40"/>
      <c r="AA441" s="40"/>
      <c r="AB441" s="40"/>
      <c r="AC441" s="40"/>
      <c r="AD441" s="40"/>
      <c r="AE441" s="40"/>
      <c r="AF441" s="40" t="s">
        <v>97</v>
      </c>
      <c r="AG441" s="40"/>
      <c r="AH441" s="40" t="s">
        <v>97</v>
      </c>
      <c r="AI441" s="40" t="s">
        <v>97</v>
      </c>
      <c r="AJ441" s="40"/>
      <c r="AK441" s="40"/>
      <c r="AL441" s="40" t="s">
        <v>97</v>
      </c>
      <c r="AM441" s="40"/>
      <c r="AN441" s="40" t="s">
        <v>97</v>
      </c>
      <c r="AO441" s="40" t="s">
        <v>97</v>
      </c>
      <c r="AP441" s="40"/>
      <c r="AQ441" s="40"/>
      <c r="AR441" s="40"/>
      <c r="AS441" s="40"/>
      <c r="AT441" s="40"/>
      <c r="AU441" s="40"/>
      <c r="AV441" s="40"/>
      <c r="AW441" s="40"/>
      <c r="AX441" s="40"/>
      <c r="AY441" s="40"/>
      <c r="AZ441" s="40"/>
    </row>
    <row r="442" spans="1:52" s="71" customFormat="1" ht="34.5" thickBot="1" x14ac:dyDescent="0.2">
      <c r="A442" s="37" t="s">
        <v>94</v>
      </c>
      <c r="B442" s="55" t="s">
        <v>23</v>
      </c>
      <c r="C442" s="109" t="str">
        <f>HYPERLINK(Hoofddocument!$H$442,Hoofddocument!$G$442)</f>
        <v>Professioneel Adviseren</v>
      </c>
      <c r="D442" s="55" t="s">
        <v>166</v>
      </c>
      <c r="E442" s="55" t="s">
        <v>12</v>
      </c>
      <c r="F442" s="55" t="s">
        <v>279</v>
      </c>
      <c r="G442" s="121" t="s">
        <v>280</v>
      </c>
      <c r="H442" s="68" t="s">
        <v>421</v>
      </c>
      <c r="I442" s="41"/>
      <c r="J442" s="39"/>
      <c r="K442" s="39"/>
      <c r="L442" s="40"/>
      <c r="M442" s="40"/>
      <c r="N442" s="40"/>
      <c r="O442" s="40"/>
      <c r="P442" s="40"/>
      <c r="Q442" s="40"/>
      <c r="R442" s="40"/>
      <c r="S442" s="40"/>
      <c r="T442" s="40" t="s">
        <v>634</v>
      </c>
      <c r="U442" s="40"/>
      <c r="V442" s="40"/>
      <c r="W442" s="40"/>
      <c r="X442" s="40"/>
      <c r="Y442" s="40"/>
      <c r="Z442" s="40"/>
      <c r="AA442" s="40"/>
      <c r="AB442" s="40"/>
      <c r="AC442" s="40"/>
      <c r="AD442" s="40"/>
      <c r="AE442" s="40"/>
      <c r="AF442" s="40"/>
      <c r="AG442" s="40"/>
      <c r="AH442" s="40"/>
      <c r="AI442" s="40"/>
      <c r="AJ442" s="40"/>
      <c r="AK442" s="40"/>
      <c r="AL442" s="40" t="s">
        <v>634</v>
      </c>
      <c r="AM442" s="40"/>
      <c r="AN442" s="40"/>
      <c r="AO442" s="40"/>
      <c r="AP442" s="40"/>
      <c r="AQ442" s="40"/>
      <c r="AR442" s="40"/>
      <c r="AS442" s="40"/>
      <c r="AT442" s="40"/>
      <c r="AU442" s="40"/>
      <c r="AV442" s="40"/>
      <c r="AW442" s="40"/>
      <c r="AX442" s="40"/>
      <c r="AY442" s="40"/>
      <c r="AZ442" s="40"/>
    </row>
    <row r="443" spans="1:52" s="71" customFormat="1" ht="12" thickBot="1" x14ac:dyDescent="0.2">
      <c r="A443" s="37" t="s">
        <v>94</v>
      </c>
      <c r="B443" s="55" t="s">
        <v>23</v>
      </c>
      <c r="C443" s="109" t="str">
        <f>HYPERLINK(Hoofddocument!$H$443,Hoofddocument!$G$443)</f>
        <v>Brain-based Beïnvloeden</v>
      </c>
      <c r="D443" s="55" t="s">
        <v>166</v>
      </c>
      <c r="E443" s="55" t="s">
        <v>12</v>
      </c>
      <c r="F443" s="55" t="s">
        <v>703</v>
      </c>
      <c r="G443" s="121" t="s">
        <v>359</v>
      </c>
      <c r="H443" s="49" t="s">
        <v>580</v>
      </c>
      <c r="I443" s="41"/>
      <c r="J443" s="39"/>
      <c r="K443" s="39"/>
      <c r="L443" s="40"/>
      <c r="M443" s="40"/>
      <c r="N443" s="40"/>
      <c r="O443" s="40"/>
      <c r="P443" s="40"/>
      <c r="Q443" s="40"/>
      <c r="R443" s="40"/>
      <c r="S443" s="40"/>
      <c r="T443" s="40"/>
      <c r="U443" s="40"/>
      <c r="V443" s="40" t="s">
        <v>634</v>
      </c>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row>
    <row r="444" spans="1:52" s="71" customFormat="1" ht="12" thickBot="1" x14ac:dyDescent="0.2">
      <c r="A444" s="37" t="s">
        <v>94</v>
      </c>
      <c r="B444" s="55" t="s">
        <v>23</v>
      </c>
      <c r="C444" s="109" t="str">
        <f>HYPERLINK(Hoofddocument!$H$444,Hoofddocument!$G$444)</f>
        <v>Schrijven met het piramideprincipe</v>
      </c>
      <c r="D444" s="55" t="s">
        <v>166</v>
      </c>
      <c r="E444" s="55" t="s">
        <v>12</v>
      </c>
      <c r="F444" s="55" t="s">
        <v>311</v>
      </c>
      <c r="G444" s="121" t="s">
        <v>109</v>
      </c>
      <c r="H444" s="49" t="s">
        <v>110</v>
      </c>
      <c r="I444" s="41"/>
      <c r="J444" s="39"/>
      <c r="K444" s="39"/>
      <c r="L444" s="40"/>
      <c r="M444" s="40" t="s">
        <v>97</v>
      </c>
      <c r="N444" s="40" t="s">
        <v>97</v>
      </c>
      <c r="O444" s="40" t="s">
        <v>97</v>
      </c>
      <c r="P444" s="40" t="s">
        <v>97</v>
      </c>
      <c r="Q444" s="40"/>
      <c r="R444" s="40"/>
      <c r="S444" s="40"/>
      <c r="T444" s="40" t="s">
        <v>97</v>
      </c>
      <c r="U444" s="40"/>
      <c r="V444" s="40"/>
      <c r="W444" s="40"/>
      <c r="X444" s="40"/>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row>
    <row r="445" spans="1:52" s="71" customFormat="1" ht="12" thickBot="1" x14ac:dyDescent="0.2">
      <c r="A445" s="37" t="s">
        <v>94</v>
      </c>
      <c r="B445" s="55" t="s">
        <v>23</v>
      </c>
      <c r="C445" s="109" t="str">
        <f>HYPERLINK(Hoofddocument!$H$445,Hoofddocument!$G$445)</f>
        <v>Effectief Beïnvloeden</v>
      </c>
      <c r="D445" s="55" t="s">
        <v>166</v>
      </c>
      <c r="E445" s="55" t="s">
        <v>12</v>
      </c>
      <c r="F445" s="55" t="s">
        <v>243</v>
      </c>
      <c r="G445" s="121" t="s">
        <v>244</v>
      </c>
      <c r="H445" s="49" t="s">
        <v>548</v>
      </c>
      <c r="I445" s="41"/>
      <c r="J445" s="39"/>
      <c r="K445" s="39"/>
      <c r="L445" s="40"/>
      <c r="M445" s="40"/>
      <c r="N445" s="40"/>
      <c r="O445" s="40"/>
      <c r="P445" s="40"/>
      <c r="Q445" s="40"/>
      <c r="R445" s="40"/>
      <c r="S445" s="40"/>
      <c r="T445" s="40"/>
      <c r="U445" s="40"/>
      <c r="V445" s="40" t="s">
        <v>634</v>
      </c>
      <c r="W445" s="40" t="s">
        <v>97</v>
      </c>
      <c r="X445" s="40"/>
      <c r="Y445" s="40"/>
      <c r="Z445" s="40"/>
      <c r="AA445" s="40"/>
      <c r="AB445" s="40"/>
      <c r="AC445" s="40"/>
      <c r="AD445" s="40"/>
      <c r="AE445" s="40"/>
      <c r="AF445" s="40" t="s">
        <v>634</v>
      </c>
      <c r="AG445" s="40"/>
      <c r="AH445" s="40" t="s">
        <v>634</v>
      </c>
      <c r="AI445" s="40" t="s">
        <v>634</v>
      </c>
      <c r="AJ445" s="40"/>
      <c r="AK445" s="40"/>
      <c r="AL445" s="40"/>
      <c r="AM445" s="40"/>
      <c r="AN445" s="40" t="s">
        <v>634</v>
      </c>
      <c r="AO445" s="40" t="s">
        <v>634</v>
      </c>
      <c r="AP445" s="40"/>
      <c r="AQ445" s="40"/>
      <c r="AR445" s="40"/>
      <c r="AS445" s="40"/>
      <c r="AT445" s="40"/>
      <c r="AU445" s="40"/>
      <c r="AV445" s="40"/>
      <c r="AW445" s="40"/>
      <c r="AX445" s="40"/>
      <c r="AY445" s="40"/>
      <c r="AZ445" s="40"/>
    </row>
    <row r="446" spans="1:52" s="71" customFormat="1" ht="12" thickBot="1" x14ac:dyDescent="0.2">
      <c r="A446" s="37" t="s">
        <v>94</v>
      </c>
      <c r="B446" s="55" t="s">
        <v>23</v>
      </c>
      <c r="C446" s="109" t="str">
        <f>HYPERLINK(Hoofddocument!$H$446,Hoofddocument!$G$446)</f>
        <v xml:space="preserve">Powerboost Beïnvloeden </v>
      </c>
      <c r="D446" s="55" t="s">
        <v>166</v>
      </c>
      <c r="E446" s="55" t="s">
        <v>12</v>
      </c>
      <c r="F446" s="55" t="s">
        <v>669</v>
      </c>
      <c r="G446" s="121" t="s">
        <v>357</v>
      </c>
      <c r="H446" s="49" t="s">
        <v>358</v>
      </c>
      <c r="I446" s="41"/>
      <c r="J446" s="39"/>
      <c r="K446" s="39"/>
      <c r="L446" s="40"/>
      <c r="M446" s="40"/>
      <c r="N446" s="40"/>
      <c r="O446" s="40"/>
      <c r="P446" s="40"/>
      <c r="Q446" s="40"/>
      <c r="R446" s="40"/>
      <c r="S446" s="40"/>
      <c r="T446" s="40"/>
      <c r="U446" s="40"/>
      <c r="V446" s="40" t="s">
        <v>97</v>
      </c>
      <c r="W446" s="40"/>
      <c r="X446" s="40"/>
      <c r="Y446" s="40"/>
      <c r="Z446" s="40"/>
      <c r="AA446" s="40"/>
      <c r="AB446" s="40"/>
      <c r="AC446" s="40"/>
      <c r="AD446" s="40"/>
      <c r="AE446" s="40"/>
      <c r="AF446" s="40" t="s">
        <v>634</v>
      </c>
      <c r="AG446" s="40"/>
      <c r="AH446" s="40"/>
      <c r="AI446" s="40"/>
      <c r="AJ446" s="40"/>
      <c r="AK446" s="40"/>
      <c r="AL446" s="40"/>
      <c r="AM446" s="40"/>
      <c r="AN446" s="40"/>
      <c r="AO446" s="40"/>
      <c r="AP446" s="40" t="s">
        <v>634</v>
      </c>
      <c r="AQ446" s="40" t="s">
        <v>634</v>
      </c>
      <c r="AR446" s="40" t="s">
        <v>634</v>
      </c>
      <c r="AS446" s="40" t="s">
        <v>634</v>
      </c>
      <c r="AT446" s="40" t="s">
        <v>634</v>
      </c>
      <c r="AU446" s="40" t="s">
        <v>634</v>
      </c>
      <c r="AV446" s="40" t="s">
        <v>634</v>
      </c>
      <c r="AW446" s="40"/>
      <c r="AX446" s="40"/>
      <c r="AY446" s="40"/>
      <c r="AZ446" s="40"/>
    </row>
    <row r="447" spans="1:52" s="71" customFormat="1" ht="12" thickBot="1" x14ac:dyDescent="0.2">
      <c r="A447" s="37" t="s">
        <v>94</v>
      </c>
      <c r="B447" s="55" t="s">
        <v>23</v>
      </c>
      <c r="C447" s="109" t="str">
        <f>HYPERLINK(Hoofddocument!$H$447,Hoofddocument!$G$447)</f>
        <v>Executive Masterprogramma Persoonlijk Leiderschap en Beïnvloeden</v>
      </c>
      <c r="D447" s="55" t="s">
        <v>166</v>
      </c>
      <c r="E447" s="55" t="s">
        <v>12</v>
      </c>
      <c r="F447" s="55" t="s">
        <v>361</v>
      </c>
      <c r="G447" s="121" t="s">
        <v>362</v>
      </c>
      <c r="H447" s="49" t="s">
        <v>363</v>
      </c>
      <c r="I447" s="41"/>
      <c r="J447" s="39"/>
      <c r="K447" s="39"/>
      <c r="L447" s="40"/>
      <c r="M447" s="40"/>
      <c r="N447" s="40"/>
      <c r="O447" s="40"/>
      <c r="P447" s="40"/>
      <c r="Q447" s="40"/>
      <c r="R447" s="40"/>
      <c r="S447" s="40"/>
      <c r="T447" s="40"/>
      <c r="U447" s="40"/>
      <c r="V447" s="40" t="s">
        <v>634</v>
      </c>
      <c r="W447" s="40"/>
      <c r="X447" s="40"/>
      <c r="Y447" s="40"/>
      <c r="Z447" s="40"/>
      <c r="AA447" s="40"/>
      <c r="AB447" s="40"/>
      <c r="AC447" s="40"/>
      <c r="AD447" s="40"/>
      <c r="AE447" s="40"/>
      <c r="AF447" s="40" t="s">
        <v>634</v>
      </c>
      <c r="AG447" s="40"/>
      <c r="AH447" s="40"/>
      <c r="AI447" s="40"/>
      <c r="AJ447" s="40"/>
      <c r="AK447" s="40"/>
      <c r="AL447" s="40"/>
      <c r="AM447" s="40"/>
      <c r="AN447" s="40"/>
      <c r="AO447" s="40"/>
      <c r="AP447" s="40"/>
      <c r="AQ447" s="40"/>
      <c r="AR447" s="40"/>
      <c r="AS447" s="40"/>
      <c r="AT447" s="40"/>
      <c r="AU447" s="40"/>
      <c r="AV447" s="40"/>
      <c r="AW447" s="40"/>
      <c r="AX447" s="40"/>
      <c r="AY447" s="40"/>
      <c r="AZ447" s="40"/>
    </row>
    <row r="448" spans="1:52" s="71" customFormat="1" ht="45.75" thickBot="1" x14ac:dyDescent="0.2">
      <c r="A448" s="37" t="s">
        <v>94</v>
      </c>
      <c r="B448" s="55" t="s">
        <v>23</v>
      </c>
      <c r="C448" s="109" t="str">
        <f>HYPERLINK(Hoofddocument!$H$448,Hoofddocument!$G$448)</f>
        <v>Masterclass Effectief Beïnvloeden en Overtuigen</v>
      </c>
      <c r="D448" s="55" t="s">
        <v>166</v>
      </c>
      <c r="E448" s="55" t="s">
        <v>12</v>
      </c>
      <c r="F448" s="55" t="s">
        <v>330</v>
      </c>
      <c r="G448" s="121" t="s">
        <v>331</v>
      </c>
      <c r="H448" s="58" t="s">
        <v>115</v>
      </c>
      <c r="I448" s="41"/>
      <c r="J448" s="39"/>
      <c r="K448" s="39"/>
      <c r="L448" s="40"/>
      <c r="M448" s="40"/>
      <c r="N448" s="40"/>
      <c r="O448" s="40"/>
      <c r="P448" s="40"/>
      <c r="Q448" s="40"/>
      <c r="R448" s="40"/>
      <c r="S448" s="40"/>
      <c r="T448" s="40"/>
      <c r="U448" s="40"/>
      <c r="V448" s="40"/>
      <c r="W448" s="40"/>
      <c r="X448" s="40"/>
      <c r="Y448" s="40"/>
      <c r="Z448" s="40"/>
      <c r="AA448" s="40"/>
      <c r="AB448" s="40"/>
      <c r="AC448" s="40"/>
      <c r="AD448" s="40"/>
      <c r="AE448" s="40"/>
      <c r="AF448" s="40"/>
      <c r="AG448" s="40"/>
      <c r="AH448" s="40" t="s">
        <v>634</v>
      </c>
      <c r="AI448" s="40" t="s">
        <v>634</v>
      </c>
      <c r="AJ448" s="40"/>
      <c r="AK448" s="40"/>
      <c r="AL448" s="40"/>
      <c r="AM448" s="40"/>
      <c r="AN448" s="40"/>
      <c r="AO448" s="40"/>
      <c r="AP448" s="40"/>
      <c r="AQ448" s="40"/>
      <c r="AR448" s="40"/>
      <c r="AS448" s="40"/>
      <c r="AT448" s="40"/>
      <c r="AU448" s="40"/>
      <c r="AV448" s="40"/>
      <c r="AW448" s="40"/>
      <c r="AX448" s="40"/>
      <c r="AY448" s="40"/>
      <c r="AZ448" s="40"/>
    </row>
    <row r="449" spans="1:52" s="71" customFormat="1" ht="12" thickBot="1" x14ac:dyDescent="0.2">
      <c r="A449" s="37" t="s">
        <v>94</v>
      </c>
      <c r="B449" s="38" t="s">
        <v>23</v>
      </c>
      <c r="C449" s="109" t="str">
        <f>HYPERLINK(Hoofddocument!$H$449,Hoofddocument!$G$449)</f>
        <v>Strategisch Onderhandelen bij de Overheid</v>
      </c>
      <c r="D449" s="55" t="s">
        <v>166</v>
      </c>
      <c r="E449" s="55" t="s">
        <v>12</v>
      </c>
      <c r="F449" s="44" t="s">
        <v>769</v>
      </c>
      <c r="G449" s="121" t="s">
        <v>829</v>
      </c>
      <c r="H449" s="49" t="s">
        <v>901</v>
      </c>
      <c r="I449" s="41"/>
      <c r="J449" s="39"/>
      <c r="K449" s="39"/>
      <c r="L449" s="40"/>
      <c r="M449" s="40"/>
      <c r="N449" s="40"/>
      <c r="O449" s="40"/>
      <c r="P449" s="40"/>
      <c r="Q449" s="40"/>
      <c r="R449" s="40"/>
      <c r="S449" s="40"/>
      <c r="T449" s="40"/>
      <c r="U449" s="40"/>
      <c r="V449" s="40"/>
      <c r="W449" s="40"/>
      <c r="X449" s="40"/>
      <c r="Y449" s="40"/>
      <c r="Z449" s="40"/>
      <c r="AA449" s="40"/>
      <c r="AB449" s="40"/>
      <c r="AC449" s="40"/>
      <c r="AD449" s="40"/>
      <c r="AE449" s="40"/>
      <c r="AF449" s="40"/>
      <c r="AG449" s="40"/>
      <c r="AH449" s="40" t="s">
        <v>634</v>
      </c>
      <c r="AI449" s="40" t="s">
        <v>634</v>
      </c>
      <c r="AJ449" s="40"/>
      <c r="AK449" s="40"/>
      <c r="AL449" s="40"/>
      <c r="AM449" s="40"/>
      <c r="AN449" s="40"/>
      <c r="AO449" s="40"/>
      <c r="AP449" s="40"/>
      <c r="AQ449" s="40"/>
      <c r="AR449" s="40"/>
      <c r="AS449" s="40"/>
      <c r="AT449" s="40"/>
      <c r="AU449" s="40"/>
      <c r="AV449" s="40"/>
      <c r="AW449" s="40"/>
      <c r="AX449" s="40"/>
      <c r="AY449" s="40"/>
      <c r="AZ449" s="40"/>
    </row>
    <row r="450" spans="1:52" s="71" customFormat="1" ht="12" thickBot="1" x14ac:dyDescent="0.2">
      <c r="A450" s="37" t="s">
        <v>94</v>
      </c>
      <c r="B450" s="38" t="s">
        <v>23</v>
      </c>
      <c r="C450" s="109" t="str">
        <f>HYPERLINK(Hoofddocument!$H$450,Hoofddocument!$G$450)</f>
        <v>Draagvlak Creëren</v>
      </c>
      <c r="D450" s="55" t="s">
        <v>166</v>
      </c>
      <c r="E450" s="55" t="s">
        <v>12</v>
      </c>
      <c r="F450" s="44" t="s">
        <v>349</v>
      </c>
      <c r="G450" s="121" t="s">
        <v>105</v>
      </c>
      <c r="H450" s="49" t="s">
        <v>264</v>
      </c>
      <c r="I450" s="41"/>
      <c r="J450" s="39"/>
      <c r="K450" s="39"/>
      <c r="L450" s="40"/>
      <c r="M450" s="40"/>
      <c r="N450" s="40"/>
      <c r="O450" s="40"/>
      <c r="P450" s="40"/>
      <c r="Q450" s="40"/>
      <c r="R450" s="40"/>
      <c r="S450" s="40"/>
      <c r="T450" s="40"/>
      <c r="U450" s="40"/>
      <c r="V450" s="40"/>
      <c r="W450" s="40"/>
      <c r="X450" s="40"/>
      <c r="Y450" s="40"/>
      <c r="Z450" s="40"/>
      <c r="AA450" s="40"/>
      <c r="AB450" s="40"/>
      <c r="AC450" s="40"/>
      <c r="AD450" s="40"/>
      <c r="AE450" s="40"/>
      <c r="AF450" s="40"/>
      <c r="AG450" s="40"/>
      <c r="AH450" s="40" t="s">
        <v>97</v>
      </c>
      <c r="AI450" s="40" t="s">
        <v>97</v>
      </c>
      <c r="AJ450" s="40"/>
      <c r="AK450" s="40"/>
      <c r="AL450" s="40"/>
      <c r="AM450" s="40"/>
      <c r="AN450" s="40"/>
      <c r="AO450" s="40"/>
      <c r="AP450" s="40"/>
      <c r="AQ450" s="40"/>
      <c r="AR450" s="40"/>
      <c r="AS450" s="40"/>
      <c r="AT450" s="40"/>
      <c r="AU450" s="40"/>
      <c r="AV450" s="40"/>
      <c r="AW450" s="40"/>
      <c r="AX450" s="40"/>
      <c r="AY450" s="40"/>
      <c r="AZ450" s="40"/>
    </row>
    <row r="451" spans="1:52" s="71" customFormat="1" ht="12" thickBot="1" x14ac:dyDescent="0.2">
      <c r="A451" s="37" t="s">
        <v>94</v>
      </c>
      <c r="B451" s="55" t="s">
        <v>23</v>
      </c>
      <c r="C451" s="109" t="str">
        <f>HYPERLINK(Hoofddocument!$H$451,Hoofddocument!$G$451)</f>
        <v>Communicatie met  Impact!</v>
      </c>
      <c r="D451" s="55" t="s">
        <v>166</v>
      </c>
      <c r="E451" s="55" t="s">
        <v>12</v>
      </c>
      <c r="F451" s="55" t="s">
        <v>671</v>
      </c>
      <c r="G451" s="121" t="s">
        <v>670</v>
      </c>
      <c r="H451" s="55" t="s">
        <v>98</v>
      </c>
      <c r="I451" s="41"/>
      <c r="J451" s="39"/>
      <c r="K451" s="39"/>
      <c r="L451" s="40"/>
      <c r="M451" s="40"/>
      <c r="N451" s="40"/>
      <c r="O451" s="40"/>
      <c r="P451" s="40"/>
      <c r="Q451" s="40"/>
      <c r="R451" s="40"/>
      <c r="S451" s="40"/>
      <c r="T451" s="40"/>
      <c r="U451" s="40"/>
      <c r="V451" s="40"/>
      <c r="W451" s="40"/>
      <c r="X451" s="40"/>
      <c r="Y451" s="40"/>
      <c r="Z451" s="40"/>
      <c r="AA451" s="40"/>
      <c r="AB451" s="40"/>
      <c r="AC451" s="40"/>
      <c r="AD451" s="40"/>
      <c r="AE451" s="40"/>
      <c r="AF451" s="40"/>
      <c r="AG451" s="40"/>
      <c r="AH451" s="40"/>
      <c r="AI451" s="40"/>
      <c r="AJ451" s="40"/>
      <c r="AK451" s="40"/>
      <c r="AL451" s="40"/>
      <c r="AM451" s="40" t="s">
        <v>97</v>
      </c>
      <c r="AN451" s="40"/>
      <c r="AO451" s="40"/>
      <c r="AP451" s="40"/>
      <c r="AQ451" s="40"/>
      <c r="AR451" s="40"/>
      <c r="AS451" s="40"/>
      <c r="AT451" s="40"/>
      <c r="AU451" s="40"/>
      <c r="AV451" s="40"/>
      <c r="AW451" s="40"/>
      <c r="AX451" s="40"/>
      <c r="AY451" s="40"/>
      <c r="AZ451" s="40"/>
    </row>
    <row r="452" spans="1:52" s="71" customFormat="1" ht="12" thickBot="1" x14ac:dyDescent="0.2">
      <c r="A452" s="37" t="s">
        <v>94</v>
      </c>
      <c r="B452" s="55" t="s">
        <v>24</v>
      </c>
      <c r="C452" s="109" t="str">
        <f>HYPERLINK(Hoofddocument!$H$452,Hoofddocument!$G$452)</f>
        <v>Projectmatig Werken</v>
      </c>
      <c r="D452" s="55" t="s">
        <v>166</v>
      </c>
      <c r="E452" s="55" t="s">
        <v>12</v>
      </c>
      <c r="F452" s="38" t="s">
        <v>492</v>
      </c>
      <c r="G452" s="121" t="s">
        <v>493</v>
      </c>
      <c r="H452" s="49" t="s">
        <v>624</v>
      </c>
      <c r="I452" s="41"/>
      <c r="J452" s="39"/>
      <c r="K452" s="39"/>
      <c r="L452" s="40"/>
      <c r="M452" s="40"/>
      <c r="N452" s="40"/>
      <c r="O452" s="40"/>
      <c r="P452" s="40"/>
      <c r="Q452" s="40"/>
      <c r="R452" s="40"/>
      <c r="S452" s="40"/>
      <c r="T452" s="40"/>
      <c r="U452" s="40"/>
      <c r="V452" s="40" t="s">
        <v>97</v>
      </c>
      <c r="W452" s="40"/>
      <c r="X452" s="40"/>
      <c r="Y452" s="40"/>
      <c r="Z452" s="40"/>
      <c r="AA452" s="40" t="s">
        <v>97</v>
      </c>
      <c r="AB452" s="40"/>
      <c r="AC452" s="40" t="s">
        <v>634</v>
      </c>
      <c r="AD452" s="40"/>
      <c r="AE452" s="40"/>
      <c r="AF452" s="40"/>
      <c r="AG452" s="40"/>
      <c r="AH452" s="40"/>
      <c r="AI452" s="40"/>
      <c r="AJ452" s="40"/>
      <c r="AK452" s="40"/>
      <c r="AL452" s="40"/>
      <c r="AM452" s="40"/>
      <c r="AN452" s="40"/>
      <c r="AO452" s="40"/>
      <c r="AP452" s="40"/>
      <c r="AQ452" s="40"/>
      <c r="AR452" s="40"/>
      <c r="AS452" s="40"/>
      <c r="AT452" s="40"/>
      <c r="AU452" s="40"/>
      <c r="AV452" s="40"/>
      <c r="AW452" s="40"/>
      <c r="AX452" s="40"/>
      <c r="AY452" s="40"/>
      <c r="AZ452" s="40"/>
    </row>
    <row r="453" spans="1:52" s="71" customFormat="1" ht="12" thickBot="1" x14ac:dyDescent="0.2">
      <c r="A453" s="37" t="s">
        <v>94</v>
      </c>
      <c r="B453" s="55" t="s">
        <v>24</v>
      </c>
      <c r="C453" s="109" t="str">
        <f>HYPERLINK(Hoofddocument!$H$453,Hoofddocument!$G$453)</f>
        <v>Grip op Processen</v>
      </c>
      <c r="D453" s="55" t="s">
        <v>166</v>
      </c>
      <c r="E453" s="55" t="s">
        <v>12</v>
      </c>
      <c r="F453" s="55" t="s">
        <v>180</v>
      </c>
      <c r="G453" s="121" t="s">
        <v>181</v>
      </c>
      <c r="H453" s="49" t="s">
        <v>522</v>
      </c>
      <c r="I453" s="41"/>
      <c r="J453" s="39" t="s">
        <v>634</v>
      </c>
      <c r="K453" s="39"/>
      <c r="L453" s="40"/>
      <c r="M453" s="40"/>
      <c r="N453" s="40"/>
      <c r="O453" s="40"/>
      <c r="P453" s="40"/>
      <c r="Q453" s="40"/>
      <c r="R453" s="40"/>
      <c r="S453" s="40"/>
      <c r="T453" s="40"/>
      <c r="U453" s="40"/>
      <c r="V453" s="40" t="s">
        <v>97</v>
      </c>
      <c r="W453" s="40"/>
      <c r="X453" s="40"/>
      <c r="Y453" s="40"/>
      <c r="Z453" s="40"/>
      <c r="AA453" s="40" t="s">
        <v>97</v>
      </c>
      <c r="AB453" s="40"/>
      <c r="AC453" s="40"/>
      <c r="AD453" s="40"/>
      <c r="AE453" s="40"/>
      <c r="AF453" s="40"/>
      <c r="AG453" s="40" t="s">
        <v>634</v>
      </c>
      <c r="AH453" s="40"/>
      <c r="AI453" s="40"/>
      <c r="AJ453" s="40"/>
      <c r="AK453" s="40"/>
      <c r="AL453" s="40"/>
      <c r="AM453" s="40"/>
      <c r="AN453" s="40"/>
      <c r="AO453" s="40"/>
      <c r="AP453" s="40"/>
      <c r="AQ453" s="40"/>
      <c r="AR453" s="40"/>
      <c r="AS453" s="40"/>
      <c r="AT453" s="40"/>
      <c r="AU453" s="40"/>
      <c r="AV453" s="40"/>
      <c r="AW453" s="40"/>
      <c r="AX453" s="40"/>
      <c r="AY453" s="40"/>
      <c r="AZ453" s="40"/>
    </row>
    <row r="454" spans="1:52" s="71" customFormat="1" ht="12" thickBot="1" x14ac:dyDescent="0.2">
      <c r="A454" s="37" t="s">
        <v>94</v>
      </c>
      <c r="B454" s="55" t="s">
        <v>24</v>
      </c>
      <c r="C454" s="109" t="str">
        <f>HYPERLINK(Hoofddocument!$H$454,Hoofddocument!$G$454)</f>
        <v>Masterclass Projectmanagement</v>
      </c>
      <c r="D454" s="55" t="s">
        <v>166</v>
      </c>
      <c r="E454" s="55" t="s">
        <v>12</v>
      </c>
      <c r="F454" s="55" t="s">
        <v>313</v>
      </c>
      <c r="G454" s="121" t="s">
        <v>113</v>
      </c>
      <c r="H454" s="49" t="s">
        <v>568</v>
      </c>
      <c r="I454" s="41"/>
      <c r="J454" s="39"/>
      <c r="K454" s="39"/>
      <c r="L454" s="40"/>
      <c r="M454" s="40"/>
      <c r="N454" s="40"/>
      <c r="O454" s="40"/>
      <c r="P454" s="40"/>
      <c r="Q454" s="40"/>
      <c r="R454" s="40"/>
      <c r="S454" s="40"/>
      <c r="T454" s="40"/>
      <c r="U454" s="40"/>
      <c r="V454" s="40" t="s">
        <v>634</v>
      </c>
      <c r="W454" s="40"/>
      <c r="X454" s="40"/>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row>
    <row r="455" spans="1:52" s="71" customFormat="1" ht="12" thickBot="1" x14ac:dyDescent="0.2">
      <c r="A455" s="37" t="s">
        <v>94</v>
      </c>
      <c r="B455" s="55" t="s">
        <v>24</v>
      </c>
      <c r="C455" s="109" t="str">
        <f>HYPERLINK(Hoofddocument!$H$455,Hoofddocument!$G$455)</f>
        <v>Schrijven met het Piramideprincipe</v>
      </c>
      <c r="D455" s="55" t="s">
        <v>166</v>
      </c>
      <c r="E455" s="55" t="s">
        <v>12</v>
      </c>
      <c r="F455" s="55" t="s">
        <v>311</v>
      </c>
      <c r="G455" s="121" t="s">
        <v>489</v>
      </c>
      <c r="H455" s="49" t="s">
        <v>110</v>
      </c>
      <c r="I455" s="41"/>
      <c r="J455" s="39"/>
      <c r="K455" s="39"/>
      <c r="L455" s="40"/>
      <c r="M455" s="40"/>
      <c r="N455" s="40"/>
      <c r="O455" s="40"/>
      <c r="P455" s="40"/>
      <c r="Q455" s="40"/>
      <c r="R455" s="40"/>
      <c r="S455" s="40"/>
      <c r="T455" s="40"/>
      <c r="U455" s="40"/>
      <c r="V455" s="40" t="s">
        <v>634</v>
      </c>
      <c r="W455" s="40"/>
      <c r="X455" s="40"/>
      <c r="Y455" s="40"/>
      <c r="Z455" s="40"/>
      <c r="AA455" s="40"/>
      <c r="AB455" s="40"/>
      <c r="AC455" s="40"/>
      <c r="AD455" s="40"/>
      <c r="AE455" s="40"/>
      <c r="AF455" s="40"/>
      <c r="AG455" s="40"/>
      <c r="AH455" s="40"/>
      <c r="AI455" s="40"/>
      <c r="AJ455" s="40"/>
      <c r="AK455" s="40"/>
      <c r="AL455" s="40"/>
      <c r="AM455" s="40"/>
      <c r="AN455" s="40"/>
      <c r="AO455" s="40"/>
      <c r="AP455" s="40"/>
      <c r="AQ455" s="40"/>
      <c r="AR455" s="40"/>
      <c r="AS455" s="40"/>
      <c r="AT455" s="40"/>
      <c r="AU455" s="40"/>
      <c r="AV455" s="40"/>
      <c r="AW455" s="40"/>
      <c r="AX455" s="40"/>
      <c r="AY455" s="40"/>
      <c r="AZ455" s="40"/>
    </row>
    <row r="456" spans="1:52" s="71" customFormat="1" ht="12" thickBot="1" x14ac:dyDescent="0.2">
      <c r="A456" s="37" t="s">
        <v>94</v>
      </c>
      <c r="B456" s="55" t="s">
        <v>24</v>
      </c>
      <c r="C456" s="109" t="str">
        <f>HYPERLINK(Hoofddocument!$H$456,Hoofddocument!$G$456)</f>
        <v>Timemanagement Training</v>
      </c>
      <c r="D456" s="55" t="s">
        <v>166</v>
      </c>
      <c r="E456" s="55" t="s">
        <v>12</v>
      </c>
      <c r="F456" s="55" t="s">
        <v>182</v>
      </c>
      <c r="G456" s="121" t="s">
        <v>183</v>
      </c>
      <c r="H456" s="49" t="s">
        <v>523</v>
      </c>
      <c r="I456" s="41"/>
      <c r="J456" s="39" t="s">
        <v>634</v>
      </c>
      <c r="K456" s="39"/>
      <c r="L456" s="40"/>
      <c r="M456" s="40"/>
      <c r="N456" s="40"/>
      <c r="O456" s="40"/>
      <c r="P456" s="40"/>
      <c r="Q456" s="40"/>
      <c r="R456" s="40"/>
      <c r="S456" s="40"/>
      <c r="T456" s="40" t="s">
        <v>97</v>
      </c>
      <c r="U456" s="40"/>
      <c r="V456" s="39" t="s">
        <v>97</v>
      </c>
      <c r="W456" s="40"/>
      <c r="X456" s="40"/>
      <c r="Y456" s="40"/>
      <c r="Z456" s="40"/>
      <c r="AA456" s="40" t="s">
        <v>634</v>
      </c>
      <c r="AB456" s="40"/>
      <c r="AC456" s="40" t="s">
        <v>97</v>
      </c>
      <c r="AD456" s="40"/>
      <c r="AE456" s="40"/>
      <c r="AF456" s="40"/>
      <c r="AG456" s="40"/>
      <c r="AH456" s="40"/>
      <c r="AI456" s="40"/>
      <c r="AJ456" s="40"/>
      <c r="AK456" s="40" t="s">
        <v>97</v>
      </c>
      <c r="AL456" s="40"/>
      <c r="AM456" s="40"/>
      <c r="AN456" s="40"/>
      <c r="AO456" s="40"/>
      <c r="AP456" s="40"/>
      <c r="AQ456" s="40"/>
      <c r="AR456" s="40"/>
      <c r="AS456" s="40"/>
      <c r="AT456" s="40"/>
      <c r="AU456" s="40"/>
      <c r="AV456" s="40"/>
      <c r="AW456" s="40"/>
      <c r="AX456" s="40"/>
      <c r="AY456" s="40"/>
      <c r="AZ456" s="40"/>
    </row>
    <row r="457" spans="1:52" s="71" customFormat="1" ht="12" thickBot="1" x14ac:dyDescent="0.2">
      <c r="A457" s="37" t="s">
        <v>94</v>
      </c>
      <c r="B457" s="55" t="s">
        <v>24</v>
      </c>
      <c r="C457" s="109" t="str">
        <f>HYPERLINK(Hoofddocument!$H$457,Hoofddocument!$G$457)</f>
        <v>Projectmatig Werken binnen de Overheid</v>
      </c>
      <c r="D457" s="55" t="s">
        <v>166</v>
      </c>
      <c r="E457" s="55" t="s">
        <v>12</v>
      </c>
      <c r="F457" s="55" t="s">
        <v>485</v>
      </c>
      <c r="G457" s="121" t="s">
        <v>486</v>
      </c>
      <c r="H457" s="43" t="s">
        <v>621</v>
      </c>
      <c r="I457" s="41"/>
      <c r="J457" s="39"/>
      <c r="K457" s="39"/>
      <c r="L457" s="40"/>
      <c r="M457" s="40"/>
      <c r="N457" s="40"/>
      <c r="O457" s="40"/>
      <c r="P457" s="40"/>
      <c r="Q457" s="40"/>
      <c r="R457" s="40"/>
      <c r="S457" s="40"/>
      <c r="T457" s="40"/>
      <c r="U457" s="40"/>
      <c r="V457" s="39" t="s">
        <v>97</v>
      </c>
      <c r="W457" s="40"/>
      <c r="X457" s="40"/>
      <c r="Y457" s="40"/>
      <c r="Z457" s="40"/>
      <c r="AA457" s="40"/>
      <c r="AB457" s="40"/>
      <c r="AC457" s="40" t="s">
        <v>634</v>
      </c>
      <c r="AD457" s="40"/>
      <c r="AE457" s="40"/>
      <c r="AF457" s="40"/>
      <c r="AG457" s="40"/>
      <c r="AH457" s="40"/>
      <c r="AI457" s="40"/>
      <c r="AJ457" s="40"/>
      <c r="AK457" s="40"/>
      <c r="AL457" s="40"/>
      <c r="AM457" s="40"/>
      <c r="AN457" s="40"/>
      <c r="AO457" s="40"/>
      <c r="AP457" s="40"/>
      <c r="AQ457" s="40"/>
      <c r="AR457" s="40"/>
      <c r="AS457" s="40"/>
      <c r="AT457" s="40"/>
      <c r="AU457" s="40"/>
      <c r="AV457" s="40"/>
      <c r="AW457" s="40"/>
      <c r="AX457" s="40"/>
      <c r="AY457" s="40"/>
      <c r="AZ457" s="40"/>
    </row>
    <row r="458" spans="1:52" s="71" customFormat="1" ht="12" thickBot="1" x14ac:dyDescent="0.2">
      <c r="A458" s="37" t="s">
        <v>94</v>
      </c>
      <c r="B458" s="55" t="s">
        <v>24</v>
      </c>
      <c r="C458" s="109" t="str">
        <f>HYPERLINK(Hoofddocument!$H$458,Hoofddocument!$G$458)</f>
        <v>Creatief denken en doen</v>
      </c>
      <c r="D458" s="55" t="s">
        <v>166</v>
      </c>
      <c r="E458" s="55" t="s">
        <v>12</v>
      </c>
      <c r="F458" s="55" t="s">
        <v>228</v>
      </c>
      <c r="G458" s="121" t="s">
        <v>96</v>
      </c>
      <c r="H458" s="43" t="s">
        <v>542</v>
      </c>
      <c r="I458" s="41"/>
      <c r="J458" s="39"/>
      <c r="K458" s="39"/>
      <c r="L458" s="40"/>
      <c r="M458" s="40"/>
      <c r="N458" s="40"/>
      <c r="O458" s="40"/>
      <c r="P458" s="40"/>
      <c r="Q458" s="40"/>
      <c r="R458" s="40"/>
      <c r="S458" s="40"/>
      <c r="T458" s="40" t="s">
        <v>97</v>
      </c>
      <c r="U458" s="40"/>
      <c r="V458" s="39"/>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row>
    <row r="459" spans="1:52" s="71" customFormat="1" ht="12" thickBot="1" x14ac:dyDescent="0.2">
      <c r="A459" s="37" t="s">
        <v>94</v>
      </c>
      <c r="B459" s="55" t="s">
        <v>24</v>
      </c>
      <c r="C459" s="109" t="str">
        <f>HYPERLINK(Hoofddocument!$H$459,Hoofddocument!$G$459)</f>
        <v>Timemanagement in één Dag</v>
      </c>
      <c r="D459" s="55" t="s">
        <v>166</v>
      </c>
      <c r="E459" s="55" t="s">
        <v>12</v>
      </c>
      <c r="F459" s="55" t="s">
        <v>490</v>
      </c>
      <c r="G459" s="121" t="s">
        <v>491</v>
      </c>
      <c r="H459" s="49" t="s">
        <v>623</v>
      </c>
      <c r="I459" s="41"/>
      <c r="J459" s="39"/>
      <c r="K459" s="39"/>
      <c r="L459" s="40"/>
      <c r="M459" s="40"/>
      <c r="N459" s="40"/>
      <c r="O459" s="40"/>
      <c r="P459" s="40"/>
      <c r="Q459" s="40"/>
      <c r="R459" s="40"/>
      <c r="S459" s="40"/>
      <c r="T459" s="40"/>
      <c r="U459" s="40"/>
      <c r="V459" s="39" t="s">
        <v>97</v>
      </c>
      <c r="W459" s="40"/>
      <c r="X459" s="40"/>
      <c r="Y459" s="40"/>
      <c r="Z459" s="40"/>
      <c r="AA459" s="40" t="s">
        <v>97</v>
      </c>
      <c r="AB459" s="40"/>
      <c r="AC459" s="40" t="s">
        <v>97</v>
      </c>
      <c r="AD459" s="40"/>
      <c r="AE459" s="40"/>
      <c r="AF459" s="40"/>
      <c r="AG459" s="40"/>
      <c r="AH459" s="40"/>
      <c r="AI459" s="40"/>
      <c r="AJ459" s="40" t="s">
        <v>97</v>
      </c>
      <c r="AK459" s="40"/>
      <c r="AL459" s="40"/>
      <c r="AM459" s="40" t="s">
        <v>97</v>
      </c>
      <c r="AN459" s="40"/>
      <c r="AO459" s="40"/>
      <c r="AP459" s="40"/>
      <c r="AQ459" s="40"/>
      <c r="AR459" s="40"/>
      <c r="AS459" s="40"/>
      <c r="AT459" s="40"/>
      <c r="AU459" s="40"/>
      <c r="AV459" s="40"/>
      <c r="AW459" s="40"/>
      <c r="AX459" s="40"/>
      <c r="AY459" s="40"/>
      <c r="AZ459" s="40"/>
    </row>
    <row r="460" spans="1:52" s="71" customFormat="1" ht="12" thickBot="1" x14ac:dyDescent="0.2">
      <c r="A460" s="37" t="s">
        <v>94</v>
      </c>
      <c r="B460" s="55" t="s">
        <v>24</v>
      </c>
      <c r="C460" s="109" t="str">
        <f>HYPERLINK(Hoofddocument!$H$460,Hoofddocument!$G$460)</f>
        <v>HBO Module Projectmanagement en Communicatie</v>
      </c>
      <c r="D460" s="55" t="s">
        <v>166</v>
      </c>
      <c r="E460" s="55" t="s">
        <v>12</v>
      </c>
      <c r="F460" s="55" t="s">
        <v>487</v>
      </c>
      <c r="G460" s="121" t="s">
        <v>488</v>
      </c>
      <c r="H460" s="49" t="s">
        <v>622</v>
      </c>
      <c r="I460" s="41"/>
      <c r="J460" s="39"/>
      <c r="K460" s="39"/>
      <c r="L460" s="40"/>
      <c r="M460" s="40"/>
      <c r="N460" s="40"/>
      <c r="O460" s="40"/>
      <c r="P460" s="40"/>
      <c r="Q460" s="40"/>
      <c r="R460" s="40"/>
      <c r="S460" s="40"/>
      <c r="T460" s="40"/>
      <c r="U460" s="40"/>
      <c r="V460" s="40" t="s">
        <v>634</v>
      </c>
      <c r="W460" s="40"/>
      <c r="X460" s="40"/>
      <c r="Y460" s="40"/>
      <c r="Z460" s="40"/>
      <c r="AA460" s="40"/>
      <c r="AB460" s="40"/>
      <c r="AC460" s="40"/>
      <c r="AD460" s="40"/>
      <c r="AE460" s="40"/>
      <c r="AF460" s="40"/>
      <c r="AG460" s="40"/>
      <c r="AH460" s="40"/>
      <c r="AI460" s="40"/>
      <c r="AJ460" s="40"/>
      <c r="AK460" s="40" t="s">
        <v>634</v>
      </c>
      <c r="AL460" s="40"/>
      <c r="AM460" s="40"/>
      <c r="AN460" s="40"/>
      <c r="AO460" s="40"/>
      <c r="AP460" s="40"/>
      <c r="AQ460" s="40"/>
      <c r="AR460" s="40"/>
      <c r="AS460" s="40"/>
      <c r="AT460" s="40"/>
      <c r="AU460" s="40"/>
      <c r="AV460" s="40"/>
      <c r="AW460" s="40"/>
      <c r="AX460" s="40"/>
      <c r="AY460" s="40"/>
      <c r="AZ460" s="40"/>
    </row>
    <row r="461" spans="1:52" s="71" customFormat="1" ht="12" thickBot="1" x14ac:dyDescent="0.2">
      <c r="A461" s="37" t="s">
        <v>94</v>
      </c>
      <c r="B461" s="55" t="s">
        <v>25</v>
      </c>
      <c r="C461" s="109" t="str">
        <f>HYPERLINK(Hoofddocument!$H$461,Hoofddocument!$G$461)</f>
        <v>HBO Module Projectmanagementvaardigheden</v>
      </c>
      <c r="D461" s="55" t="s">
        <v>166</v>
      </c>
      <c r="E461" s="55" t="s">
        <v>12</v>
      </c>
      <c r="F461" s="55" t="s">
        <v>795</v>
      </c>
      <c r="G461" s="121" t="s">
        <v>700</v>
      </c>
      <c r="H461" s="55" t="s">
        <v>99</v>
      </c>
      <c r="I461" s="41"/>
      <c r="J461" s="39"/>
      <c r="K461" s="39"/>
      <c r="L461" s="40"/>
      <c r="M461" s="40"/>
      <c r="N461" s="40"/>
      <c r="O461" s="40" t="s">
        <v>97</v>
      </c>
      <c r="P461" s="40"/>
      <c r="Q461" s="40"/>
      <c r="R461" s="40"/>
      <c r="S461" s="40"/>
      <c r="T461" s="40"/>
      <c r="U461" s="40"/>
      <c r="V461" s="40"/>
      <c r="W461" s="40"/>
      <c r="X461" s="40"/>
      <c r="Y461" s="40"/>
      <c r="Z461" s="40"/>
      <c r="AA461" s="40"/>
      <c r="AB461" s="40"/>
      <c r="AC461" s="40"/>
      <c r="AD461" s="40"/>
      <c r="AE461" s="40"/>
      <c r="AF461" s="40"/>
      <c r="AG461" s="40"/>
      <c r="AH461" s="40"/>
      <c r="AI461" s="40"/>
      <c r="AJ461" s="40"/>
      <c r="AK461" s="40"/>
      <c r="AL461" s="40"/>
      <c r="AM461" s="40"/>
      <c r="AN461" s="40"/>
      <c r="AO461" s="40"/>
      <c r="AP461" s="40"/>
      <c r="AQ461" s="40"/>
      <c r="AR461" s="40"/>
      <c r="AS461" s="40"/>
      <c r="AT461" s="40"/>
      <c r="AU461" s="40"/>
      <c r="AV461" s="40"/>
      <c r="AW461" s="40"/>
      <c r="AX461" s="40"/>
      <c r="AY461" s="40"/>
      <c r="AZ461" s="40"/>
    </row>
    <row r="462" spans="1:52" s="71" customFormat="1" ht="12" thickBot="1" x14ac:dyDescent="0.2">
      <c r="A462" s="37" t="s">
        <v>94</v>
      </c>
      <c r="B462" s="55" t="s">
        <v>25</v>
      </c>
      <c r="C462" s="109" t="str">
        <f>HYPERLINK(Hoofddocument!$H$462,Hoofddocument!$G$462)</f>
        <v>Training Goed Waarnemen, Juist interpreteren en Effectief Communiceren</v>
      </c>
      <c r="D462" s="55"/>
      <c r="E462" s="55" t="s">
        <v>225</v>
      </c>
      <c r="F462" s="55"/>
      <c r="G462" s="121" t="s">
        <v>263</v>
      </c>
      <c r="H462" s="55" t="s">
        <v>549</v>
      </c>
      <c r="I462" s="41"/>
      <c r="J462" s="39"/>
      <c r="K462" s="39"/>
      <c r="L462" s="40" t="s">
        <v>634</v>
      </c>
      <c r="M462" s="40"/>
      <c r="N462" s="40"/>
      <c r="O462" s="40"/>
      <c r="P462" s="40"/>
      <c r="Q462" s="40" t="s">
        <v>97</v>
      </c>
      <c r="R462" s="40" t="s">
        <v>97</v>
      </c>
      <c r="S462" s="40" t="s">
        <v>97</v>
      </c>
      <c r="T462" s="40"/>
      <c r="U462" s="40"/>
      <c r="V462" s="40"/>
      <c r="W462" s="40" t="s">
        <v>97</v>
      </c>
      <c r="X462" s="40"/>
      <c r="Y462" s="40"/>
      <c r="Z462" s="40"/>
      <c r="AA462" s="40"/>
      <c r="AB462" s="40"/>
      <c r="AC462" s="40"/>
      <c r="AD462" s="40"/>
      <c r="AE462" s="40"/>
      <c r="AF462" s="40"/>
      <c r="AG462" s="40"/>
      <c r="AH462" s="40"/>
      <c r="AI462" s="40"/>
      <c r="AJ462" s="40" t="s">
        <v>97</v>
      </c>
      <c r="AK462" s="40"/>
      <c r="AL462" s="40"/>
      <c r="AM462" s="40"/>
      <c r="AN462" s="40"/>
      <c r="AO462" s="40" t="s">
        <v>634</v>
      </c>
      <c r="AP462" s="40" t="s">
        <v>97</v>
      </c>
      <c r="AQ462" s="40" t="s">
        <v>97</v>
      </c>
      <c r="AR462" s="40" t="s">
        <v>97</v>
      </c>
      <c r="AS462" s="40" t="s">
        <v>97</v>
      </c>
      <c r="AT462" s="40" t="s">
        <v>97</v>
      </c>
      <c r="AU462" s="40" t="s">
        <v>97</v>
      </c>
      <c r="AV462" s="40" t="s">
        <v>97</v>
      </c>
      <c r="AW462" s="40"/>
      <c r="AX462" s="40"/>
      <c r="AY462" s="40"/>
      <c r="AZ462" s="40"/>
    </row>
    <row r="463" spans="1:52" s="71" customFormat="1" ht="12" thickBot="1" x14ac:dyDescent="0.2">
      <c r="A463" s="37" t="s">
        <v>94</v>
      </c>
      <c r="B463" s="55" t="s">
        <v>25</v>
      </c>
      <c r="C463" s="109" t="str">
        <f>HYPERLINK(Hoofddocument!$H$463,Hoofddocument!$G$463)</f>
        <v>BCS Business Analysis Practice (c) - incompany (UWV)</v>
      </c>
      <c r="D463" s="55" t="s">
        <v>166</v>
      </c>
      <c r="E463" s="55" t="s">
        <v>12</v>
      </c>
      <c r="F463" s="55" t="s">
        <v>796</v>
      </c>
      <c r="G463" s="121" t="s">
        <v>874</v>
      </c>
      <c r="H463" s="55" t="s">
        <v>931</v>
      </c>
      <c r="I463" s="41"/>
      <c r="J463" s="39"/>
      <c r="K463" s="39"/>
      <c r="L463" s="40"/>
      <c r="M463" s="40"/>
      <c r="N463" s="40"/>
      <c r="O463" s="40"/>
      <c r="P463" s="40"/>
      <c r="Q463" s="40"/>
      <c r="R463" s="40"/>
      <c r="S463" s="40"/>
      <c r="T463" s="40"/>
      <c r="U463" s="40"/>
      <c r="V463" s="40"/>
      <c r="W463" s="40"/>
      <c r="X463" s="40"/>
      <c r="Y463" s="40"/>
      <c r="Z463" s="40"/>
      <c r="AA463" s="40"/>
      <c r="AB463" s="40"/>
      <c r="AC463" s="40"/>
      <c r="AD463" s="40"/>
      <c r="AE463" s="40"/>
      <c r="AF463" s="40"/>
      <c r="AG463" s="40"/>
      <c r="AH463" s="40" t="s">
        <v>97</v>
      </c>
      <c r="AI463" s="40" t="s">
        <v>97</v>
      </c>
      <c r="AJ463" s="40"/>
      <c r="AK463" s="40"/>
      <c r="AL463" s="40"/>
      <c r="AM463" s="40"/>
      <c r="AN463" s="40"/>
      <c r="AO463" s="40"/>
      <c r="AP463" s="40"/>
      <c r="AQ463" s="40"/>
      <c r="AR463" s="40"/>
      <c r="AS463" s="40"/>
      <c r="AT463" s="40"/>
      <c r="AU463" s="40"/>
      <c r="AV463" s="40"/>
      <c r="AW463" s="40"/>
      <c r="AX463" s="40"/>
      <c r="AY463" s="40"/>
      <c r="AZ463" s="40"/>
    </row>
    <row r="464" spans="1:52" s="71" customFormat="1" ht="12" thickBot="1" x14ac:dyDescent="0.2">
      <c r="A464" s="37" t="s">
        <v>94</v>
      </c>
      <c r="B464" s="55" t="s">
        <v>25</v>
      </c>
      <c r="C464" s="109" t="str">
        <f>HYPERLINK(Hoofddocument!$H$464,Hoofddocument!$G$464)</f>
        <v>Requirements Analyse en Management</v>
      </c>
      <c r="D464" s="55" t="s">
        <v>166</v>
      </c>
      <c r="E464" s="55" t="s">
        <v>12</v>
      </c>
      <c r="F464" s="55" t="s">
        <v>649</v>
      </c>
      <c r="G464" s="121" t="s">
        <v>274</v>
      </c>
      <c r="H464" s="64" t="s">
        <v>539</v>
      </c>
      <c r="I464" s="41"/>
      <c r="J464" s="39"/>
      <c r="K464" s="39"/>
      <c r="L464" s="40"/>
      <c r="M464" s="40"/>
      <c r="N464" s="40"/>
      <c r="O464" s="40"/>
      <c r="P464" s="40"/>
      <c r="Q464" s="40"/>
      <c r="R464" s="40"/>
      <c r="S464" s="40"/>
      <c r="T464" s="40"/>
      <c r="U464" s="40"/>
      <c r="V464" s="40"/>
      <c r="W464" s="40"/>
      <c r="X464" s="40"/>
      <c r="Y464" s="40"/>
      <c r="Z464" s="40"/>
      <c r="AA464" s="40"/>
      <c r="AB464" s="40"/>
      <c r="AC464" s="40"/>
      <c r="AD464" s="40"/>
      <c r="AE464" s="40"/>
      <c r="AF464" s="40"/>
      <c r="AG464" s="40"/>
      <c r="AH464" s="40"/>
      <c r="AI464" s="40"/>
      <c r="AJ464" s="40"/>
      <c r="AK464" s="40"/>
      <c r="AL464" s="40" t="s">
        <v>97</v>
      </c>
      <c r="AM464" s="40"/>
      <c r="AN464" s="40"/>
      <c r="AO464" s="40"/>
      <c r="AP464" s="40"/>
      <c r="AQ464" s="40"/>
      <c r="AR464" s="40"/>
      <c r="AS464" s="40"/>
      <c r="AT464" s="40"/>
      <c r="AU464" s="40"/>
      <c r="AV464" s="40"/>
      <c r="AW464" s="40"/>
      <c r="AX464" s="40"/>
      <c r="AY464" s="40"/>
      <c r="AZ464" s="40"/>
    </row>
    <row r="465" spans="1:52" s="71" customFormat="1" ht="12" thickBot="1" x14ac:dyDescent="0.2">
      <c r="A465" s="37" t="s">
        <v>94</v>
      </c>
      <c r="B465" s="38" t="s">
        <v>26</v>
      </c>
      <c r="C465" s="109" t="str">
        <f>HYPERLINK(Hoofddocument!$H$465,Hoofddocument!$G$465)</f>
        <v>Resultaten Bereiken met je Team</v>
      </c>
      <c r="D465" s="38" t="s">
        <v>166</v>
      </c>
      <c r="E465" s="38" t="s">
        <v>12</v>
      </c>
      <c r="F465" s="38" t="s">
        <v>169</v>
      </c>
      <c r="G465" s="121" t="s">
        <v>170</v>
      </c>
      <c r="H465" s="64" t="s">
        <v>242</v>
      </c>
      <c r="I465" s="41"/>
      <c r="J465" s="39"/>
      <c r="K465" s="39" t="s">
        <v>634</v>
      </c>
      <c r="L465" s="40"/>
      <c r="M465" s="40"/>
      <c r="N465" s="40"/>
      <c r="O465" s="40"/>
      <c r="P465" s="40"/>
      <c r="Q465" s="40"/>
      <c r="R465" s="40"/>
      <c r="S465" s="40"/>
      <c r="T465" s="40"/>
      <c r="U465" s="40"/>
      <c r="V465" s="40"/>
      <c r="W465" s="39"/>
      <c r="X465" s="40"/>
      <c r="Y465" s="40"/>
      <c r="Z465" s="40"/>
      <c r="AA465" s="40"/>
      <c r="AB465" s="40"/>
      <c r="AC465" s="40"/>
      <c r="AD465" s="40"/>
      <c r="AE465" s="40"/>
      <c r="AF465" s="40"/>
      <c r="AG465" s="40"/>
      <c r="AH465" s="40"/>
      <c r="AI465" s="40"/>
      <c r="AJ465" s="40"/>
      <c r="AK465" s="40"/>
      <c r="AL465" s="40"/>
      <c r="AM465" s="40"/>
      <c r="AN465" s="40"/>
      <c r="AO465" s="40"/>
      <c r="AP465" s="40"/>
      <c r="AQ465" s="40"/>
      <c r="AR465" s="40"/>
      <c r="AS465" s="40"/>
      <c r="AT465" s="40"/>
      <c r="AU465" s="40"/>
      <c r="AV465" s="40"/>
      <c r="AW465" s="40"/>
      <c r="AX465" s="40"/>
      <c r="AY465" s="40"/>
      <c r="AZ465" s="40"/>
    </row>
    <row r="466" spans="1:52" s="71" customFormat="1" ht="12" thickBot="1" x14ac:dyDescent="0.2">
      <c r="A466" s="37" t="s">
        <v>94</v>
      </c>
      <c r="B466" s="38" t="s">
        <v>28</v>
      </c>
      <c r="C466" s="109" t="str">
        <f>HYPERLINK(Hoofddocument!$H$466,Hoofddocument!$G$466)</f>
        <v>Schriftelijk Rapporteren</v>
      </c>
      <c r="D466" s="38" t="s">
        <v>166</v>
      </c>
      <c r="E466" s="38" t="s">
        <v>12</v>
      </c>
      <c r="F466" s="38" t="s">
        <v>395</v>
      </c>
      <c r="G466" s="121" t="s">
        <v>396</v>
      </c>
      <c r="H466" s="64" t="s">
        <v>591</v>
      </c>
      <c r="I466" s="41"/>
      <c r="J466" s="39"/>
      <c r="K466" s="39"/>
      <c r="L466" s="40"/>
      <c r="M466" s="40"/>
      <c r="N466" s="40"/>
      <c r="O466" s="40"/>
      <c r="P466" s="40"/>
      <c r="Q466" s="40"/>
      <c r="R466" s="40"/>
      <c r="S466" s="40" t="s">
        <v>97</v>
      </c>
      <c r="T466" s="40"/>
      <c r="U466" s="40"/>
      <c r="V466" s="40"/>
      <c r="W466" s="39"/>
      <c r="X466" s="40"/>
      <c r="Y466" s="40"/>
      <c r="Z466" s="40"/>
      <c r="AA466" s="40"/>
      <c r="AB466" s="40"/>
      <c r="AC466" s="40"/>
      <c r="AD466" s="40"/>
      <c r="AE466" s="40"/>
      <c r="AF466" s="40"/>
      <c r="AG466" s="40"/>
      <c r="AH466" s="40"/>
      <c r="AI466" s="40"/>
      <c r="AJ466" s="40"/>
      <c r="AK466" s="40"/>
      <c r="AL466" s="40"/>
      <c r="AM466" s="40"/>
      <c r="AN466" s="40"/>
      <c r="AO466" s="40"/>
      <c r="AP466" s="40"/>
      <c r="AQ466" s="40"/>
      <c r="AR466" s="40"/>
      <c r="AS466" s="40"/>
      <c r="AT466" s="40"/>
      <c r="AU466" s="40"/>
      <c r="AV466" s="40"/>
      <c r="AW466" s="40"/>
      <c r="AX466" s="40"/>
      <c r="AY466" s="40"/>
      <c r="AZ466" s="40"/>
    </row>
    <row r="467" spans="1:52" s="71" customFormat="1" ht="12" thickBot="1" x14ac:dyDescent="0.2">
      <c r="A467" s="37" t="s">
        <v>94</v>
      </c>
      <c r="B467" s="38" t="s">
        <v>28</v>
      </c>
      <c r="C467" s="109" t="str">
        <f>HYPERLINK(Hoofddocument!$H$467,Hoofddocument!$G$467)</f>
        <v>Powerboost Schriftelijke Vaardigheden</v>
      </c>
      <c r="D467" s="38" t="s">
        <v>166</v>
      </c>
      <c r="E467" s="38" t="s">
        <v>12</v>
      </c>
      <c r="F467" s="38" t="s">
        <v>234</v>
      </c>
      <c r="G467" s="121" t="s">
        <v>235</v>
      </c>
      <c r="H467" s="64" t="s">
        <v>544</v>
      </c>
      <c r="I467" s="41"/>
      <c r="J467" s="39"/>
      <c r="K467" s="39"/>
      <c r="L467" s="40"/>
      <c r="M467" s="40"/>
      <c r="N467" s="40"/>
      <c r="O467" s="40"/>
      <c r="P467" s="40"/>
      <c r="Q467" s="40"/>
      <c r="R467" s="40"/>
      <c r="S467" s="40" t="s">
        <v>97</v>
      </c>
      <c r="T467" s="40"/>
      <c r="U467" s="40"/>
      <c r="V467" s="40"/>
      <c r="W467" s="39"/>
      <c r="X467" s="40"/>
      <c r="Y467" s="40"/>
      <c r="Z467" s="40"/>
      <c r="AA467" s="40"/>
      <c r="AB467" s="40"/>
      <c r="AC467" s="40"/>
      <c r="AD467" s="40"/>
      <c r="AE467" s="40"/>
      <c r="AF467" s="40"/>
      <c r="AG467" s="40"/>
      <c r="AH467" s="40"/>
      <c r="AI467" s="40"/>
      <c r="AJ467" s="40"/>
      <c r="AK467" s="40"/>
      <c r="AL467" s="40"/>
      <c r="AM467" s="40"/>
      <c r="AN467" s="40"/>
      <c r="AO467" s="40"/>
      <c r="AP467" s="40"/>
      <c r="AQ467" s="40"/>
      <c r="AR467" s="40"/>
      <c r="AS467" s="40"/>
      <c r="AT467" s="40"/>
      <c r="AU467" s="40"/>
      <c r="AV467" s="40"/>
      <c r="AW467" s="40"/>
      <c r="AX467" s="40"/>
      <c r="AY467" s="40"/>
      <c r="AZ467" s="40"/>
    </row>
    <row r="468" spans="1:52" s="71" customFormat="1" ht="12" thickBot="1" x14ac:dyDescent="0.2">
      <c r="A468" s="37" t="s">
        <v>94</v>
      </c>
      <c r="B468" s="38" t="s">
        <v>29</v>
      </c>
      <c r="C468" s="109" t="str">
        <f>HYPERLINK(Hoofddocument!$H$468,Hoofddocument!$G$468)</f>
        <v>Assertief en Zelfverzekerd Communiceren</v>
      </c>
      <c r="D468" s="38" t="s">
        <v>166</v>
      </c>
      <c r="E468" s="38" t="s">
        <v>12</v>
      </c>
      <c r="F468" s="44" t="s">
        <v>202</v>
      </c>
      <c r="G468" s="121" t="s">
        <v>203</v>
      </c>
      <c r="H468" s="64" t="s">
        <v>530</v>
      </c>
      <c r="I468" s="41" t="s">
        <v>97</v>
      </c>
      <c r="J468" s="39"/>
      <c r="K468" s="39"/>
      <c r="L468" s="40"/>
      <c r="M468" s="40"/>
      <c r="N468" s="40"/>
      <c r="O468" s="40"/>
      <c r="P468" s="40"/>
      <c r="Q468" s="40"/>
      <c r="R468" s="40"/>
      <c r="S468" s="40"/>
      <c r="T468" s="40"/>
      <c r="U468" s="40"/>
      <c r="V468" s="40"/>
      <c r="W468" s="39"/>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row>
    <row r="469" spans="1:52" s="71" customFormat="1" ht="12" thickBot="1" x14ac:dyDescent="0.2">
      <c r="A469" s="37" t="s">
        <v>94</v>
      </c>
      <c r="B469" s="38" t="s">
        <v>29</v>
      </c>
      <c r="C469" s="109" t="str">
        <f>HYPERLINK(Hoofddocument!$H$469,Hoofddocument!$G$469)</f>
        <v>Basisvaardigheden in Communicatie</v>
      </c>
      <c r="D469" s="38" t="s">
        <v>166</v>
      </c>
      <c r="E469" s="38" t="s">
        <v>12</v>
      </c>
      <c r="F469" s="44" t="s">
        <v>200</v>
      </c>
      <c r="G469" s="121" t="s">
        <v>201</v>
      </c>
      <c r="H469" s="64" t="s">
        <v>529</v>
      </c>
      <c r="I469" s="41" t="s">
        <v>97</v>
      </c>
      <c r="J469" s="39"/>
      <c r="K469" s="39"/>
      <c r="L469" s="40"/>
      <c r="M469" s="40"/>
      <c r="N469" s="40"/>
      <c r="O469" s="40"/>
      <c r="P469" s="40"/>
      <c r="Q469" s="40"/>
      <c r="R469" s="40"/>
      <c r="S469" s="40"/>
      <c r="T469" s="40"/>
      <c r="U469" s="40"/>
      <c r="V469" s="40"/>
      <c r="W469" s="39"/>
      <c r="X469" s="40"/>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row>
    <row r="470" spans="1:52" s="71" customFormat="1" ht="12" thickBot="1" x14ac:dyDescent="0.2">
      <c r="A470" s="37" t="s">
        <v>94</v>
      </c>
      <c r="B470" s="38" t="s">
        <v>30</v>
      </c>
      <c r="C470" s="109" t="str">
        <f>HYPERLINK(Hoofddocument!$H$470,Hoofddocument!$G$470)</f>
        <v>Professioneel Adviseren</v>
      </c>
      <c r="D470" s="38" t="s">
        <v>166</v>
      </c>
      <c r="E470" s="38" t="s">
        <v>12</v>
      </c>
      <c r="F470" s="44" t="s">
        <v>279</v>
      </c>
      <c r="G470" s="121" t="s">
        <v>280</v>
      </c>
      <c r="H470" s="64" t="s">
        <v>421</v>
      </c>
      <c r="I470" s="41"/>
      <c r="J470" s="39"/>
      <c r="K470" s="39"/>
      <c r="L470" s="40"/>
      <c r="M470" s="40"/>
      <c r="N470" s="40" t="s">
        <v>634</v>
      </c>
      <c r="O470" s="40" t="s">
        <v>634</v>
      </c>
      <c r="P470" s="40" t="s">
        <v>97</v>
      </c>
      <c r="Q470" s="40"/>
      <c r="R470" s="40"/>
      <c r="S470" s="40"/>
      <c r="T470" s="40"/>
      <c r="U470" s="40"/>
      <c r="V470" s="40"/>
      <c r="W470" s="39"/>
      <c r="X470" s="40"/>
      <c r="Y470" s="40"/>
      <c r="Z470" s="40"/>
      <c r="AA470" s="40"/>
      <c r="AB470" s="40"/>
      <c r="AC470" s="40"/>
      <c r="AD470" s="40"/>
      <c r="AE470" s="40"/>
      <c r="AF470" s="40"/>
      <c r="AG470" s="40"/>
      <c r="AH470" s="40"/>
      <c r="AI470" s="40"/>
      <c r="AJ470" s="40"/>
      <c r="AK470" s="40"/>
      <c r="AL470" s="40"/>
      <c r="AM470" s="40"/>
      <c r="AN470" s="40"/>
      <c r="AO470" s="40"/>
      <c r="AP470" s="40"/>
      <c r="AQ470" s="40"/>
      <c r="AR470" s="40"/>
      <c r="AS470" s="40"/>
      <c r="AT470" s="40"/>
      <c r="AU470" s="40"/>
      <c r="AV470" s="40"/>
      <c r="AW470" s="40"/>
      <c r="AX470" s="40"/>
      <c r="AY470" s="40"/>
      <c r="AZ470" s="40"/>
    </row>
    <row r="471" spans="1:52" s="71" customFormat="1" ht="12" thickBot="1" x14ac:dyDescent="0.2">
      <c r="A471" s="37" t="s">
        <v>94</v>
      </c>
      <c r="B471" s="38" t="s">
        <v>30</v>
      </c>
      <c r="C471" s="109" t="str">
        <f>HYPERLINK(Hoofddocument!$H$471,Hoofddocument!$G$471)</f>
        <v>Bezielend Leiderschap binnen de Overheid</v>
      </c>
      <c r="D471" s="38" t="s">
        <v>166</v>
      </c>
      <c r="E471" s="38" t="s">
        <v>12</v>
      </c>
      <c r="F471" s="38" t="s">
        <v>192</v>
      </c>
      <c r="G471" s="121" t="s">
        <v>193</v>
      </c>
      <c r="H471" s="64" t="s">
        <v>526</v>
      </c>
      <c r="I471" s="41"/>
      <c r="J471" s="39" t="s">
        <v>634</v>
      </c>
      <c r="K471" s="39"/>
      <c r="L471" s="40"/>
      <c r="M471" s="40"/>
      <c r="N471" s="40"/>
      <c r="O471" s="40"/>
      <c r="P471" s="40"/>
      <c r="Q471" s="40"/>
      <c r="R471" s="40"/>
      <c r="S471" s="40"/>
      <c r="T471" s="40"/>
      <c r="U471" s="40"/>
      <c r="V471" s="40"/>
      <c r="W471" s="39"/>
      <c r="X471" s="40"/>
      <c r="Y471" s="40"/>
      <c r="Z471" s="40"/>
      <c r="AA471" s="40"/>
      <c r="AB471" s="40"/>
      <c r="AC471" s="40"/>
      <c r="AD471" s="40"/>
      <c r="AE471" s="40"/>
      <c r="AF471" s="40"/>
      <c r="AG471" s="40" t="s">
        <v>97</v>
      </c>
      <c r="AH471" s="40"/>
      <c r="AI471" s="40"/>
      <c r="AJ471" s="40"/>
      <c r="AK471" s="40"/>
      <c r="AL471" s="40"/>
      <c r="AM471" s="40"/>
      <c r="AN471" s="40"/>
      <c r="AO471" s="40"/>
      <c r="AP471" s="40"/>
      <c r="AQ471" s="40"/>
      <c r="AR471" s="40"/>
      <c r="AS471" s="40"/>
      <c r="AT471" s="40"/>
      <c r="AU471" s="40"/>
      <c r="AV471" s="40"/>
      <c r="AW471" s="40"/>
      <c r="AX471" s="40"/>
      <c r="AY471" s="40"/>
      <c r="AZ471" s="40"/>
    </row>
    <row r="472" spans="1:52" s="71" customFormat="1" ht="12" thickBot="1" x14ac:dyDescent="0.2">
      <c r="A472" s="37" t="s">
        <v>94</v>
      </c>
      <c r="B472" s="38" t="s">
        <v>30</v>
      </c>
      <c r="C472" s="109" t="str">
        <f>HYPERLINK(Hoofddocument!$H$472,Hoofddocument!$G$472)</f>
        <v>Masterclass Strategie, Visie en Innovatie</v>
      </c>
      <c r="D472" s="38" t="s">
        <v>166</v>
      </c>
      <c r="E472" s="38" t="s">
        <v>12</v>
      </c>
      <c r="F472" s="44" t="s">
        <v>344</v>
      </c>
      <c r="G472" s="121" t="s">
        <v>345</v>
      </c>
      <c r="H472" s="64" t="s">
        <v>346</v>
      </c>
      <c r="I472" s="41"/>
      <c r="J472" s="39"/>
      <c r="K472" s="39"/>
      <c r="L472" s="40"/>
      <c r="M472" s="40"/>
      <c r="N472" s="40"/>
      <c r="O472" s="40"/>
      <c r="P472" s="40"/>
      <c r="Q472" s="40" t="s">
        <v>634</v>
      </c>
      <c r="R472" s="40"/>
      <c r="S472" s="40"/>
      <c r="T472" s="40"/>
      <c r="U472" s="40"/>
      <c r="V472" s="40"/>
      <c r="W472" s="39"/>
      <c r="X472" s="40"/>
      <c r="Y472" s="40"/>
      <c r="Z472" s="40"/>
      <c r="AA472" s="40"/>
      <c r="AB472" s="40"/>
      <c r="AC472" s="40"/>
      <c r="AD472" s="40"/>
      <c r="AE472" s="40"/>
      <c r="AF472" s="40" t="s">
        <v>97</v>
      </c>
      <c r="AG472" s="40"/>
      <c r="AH472" s="40"/>
      <c r="AI472" s="40"/>
      <c r="AJ472" s="40"/>
      <c r="AK472" s="40"/>
      <c r="AL472" s="40"/>
      <c r="AM472" s="40"/>
      <c r="AN472" s="40"/>
      <c r="AO472" s="40"/>
      <c r="AP472" s="40"/>
      <c r="AQ472" s="40"/>
      <c r="AR472" s="40"/>
      <c r="AS472" s="40"/>
      <c r="AT472" s="40"/>
      <c r="AU472" s="40"/>
      <c r="AV472" s="40"/>
      <c r="AW472" s="40"/>
      <c r="AX472" s="40"/>
      <c r="AY472" s="40"/>
      <c r="AZ472" s="40"/>
    </row>
    <row r="473" spans="1:52" s="71" customFormat="1" ht="12" thickBot="1" x14ac:dyDescent="0.2">
      <c r="A473" s="37" t="s">
        <v>94</v>
      </c>
      <c r="B473" s="38" t="s">
        <v>30</v>
      </c>
      <c r="C473" s="109" t="str">
        <f>HYPERLINK(Hoofddocument!$H$473,Hoofddocument!$G$473)</f>
        <v>Leidinggeven aan Verandering</v>
      </c>
      <c r="D473" s="38" t="s">
        <v>166</v>
      </c>
      <c r="E473" s="38" t="s">
        <v>12</v>
      </c>
      <c r="F473" s="44" t="s">
        <v>372</v>
      </c>
      <c r="G473" s="121" t="s">
        <v>373</v>
      </c>
      <c r="H473" s="64" t="s">
        <v>374</v>
      </c>
      <c r="I473" s="41"/>
      <c r="J473" s="39"/>
      <c r="K473" s="39"/>
      <c r="L473" s="40"/>
      <c r="M473" s="40"/>
      <c r="N473" s="40"/>
      <c r="O473" s="40"/>
      <c r="P473" s="40"/>
      <c r="Q473" s="40"/>
      <c r="R473" s="40"/>
      <c r="S473" s="40"/>
      <c r="T473" s="40"/>
      <c r="U473" s="40"/>
      <c r="V473" s="40"/>
      <c r="W473" s="39"/>
      <c r="X473" s="40"/>
      <c r="Y473" s="40"/>
      <c r="Z473" s="40"/>
      <c r="AA473" s="40"/>
      <c r="AB473" s="40"/>
      <c r="AC473" s="40"/>
      <c r="AD473" s="40"/>
      <c r="AE473" s="40"/>
      <c r="AF473" s="40" t="s">
        <v>97</v>
      </c>
      <c r="AG473" s="40"/>
      <c r="AH473" s="40"/>
      <c r="AI473" s="40"/>
      <c r="AJ473" s="40"/>
      <c r="AK473" s="40"/>
      <c r="AL473" s="40"/>
      <c r="AM473" s="40"/>
      <c r="AN473" s="40"/>
      <c r="AO473" s="40"/>
      <c r="AP473" s="40"/>
      <c r="AQ473" s="40"/>
      <c r="AR473" s="40"/>
      <c r="AS473" s="40"/>
      <c r="AT473" s="40"/>
      <c r="AU473" s="40"/>
      <c r="AV473" s="40"/>
      <c r="AW473" s="40"/>
      <c r="AX473" s="40"/>
      <c r="AY473" s="40"/>
      <c r="AZ473" s="40"/>
    </row>
    <row r="474" spans="1:52" s="71" customFormat="1" ht="12" thickBot="1" x14ac:dyDescent="0.2">
      <c r="A474" s="37" t="s">
        <v>94</v>
      </c>
      <c r="B474" s="38" t="s">
        <v>31</v>
      </c>
      <c r="C474" s="109" t="str">
        <f>HYPERLINK(Hoofddocument!$H$474,Hoofddocument!$G$474)</f>
        <v>Masterclass Projectmanagement</v>
      </c>
      <c r="D474" s="38" t="s">
        <v>166</v>
      </c>
      <c r="E474" s="38" t="s">
        <v>12</v>
      </c>
      <c r="F474" s="44" t="s">
        <v>313</v>
      </c>
      <c r="G474" s="121" t="s">
        <v>113</v>
      </c>
      <c r="H474" s="64" t="s">
        <v>568</v>
      </c>
      <c r="I474" s="41"/>
      <c r="J474" s="39"/>
      <c r="K474" s="39"/>
      <c r="L474" s="40"/>
      <c r="M474" s="40"/>
      <c r="N474" s="40"/>
      <c r="O474" s="40"/>
      <c r="P474" s="40"/>
      <c r="Q474" s="40"/>
      <c r="R474" s="40"/>
      <c r="S474" s="40"/>
      <c r="T474" s="40"/>
      <c r="U474" s="40"/>
      <c r="V474" s="40"/>
      <c r="W474" s="39"/>
      <c r="X474" s="40"/>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row>
    <row r="475" spans="1:52" s="71" customFormat="1" ht="12" thickBot="1" x14ac:dyDescent="0.2">
      <c r="A475" s="37"/>
      <c r="B475" s="38"/>
      <c r="C475" s="109"/>
      <c r="D475" s="38"/>
      <c r="E475" s="38"/>
      <c r="F475" s="44"/>
      <c r="G475" s="121"/>
      <c r="H475" s="64"/>
      <c r="I475" s="41"/>
      <c r="J475" s="39"/>
      <c r="K475" s="39"/>
      <c r="L475" s="40"/>
      <c r="M475" s="40"/>
      <c r="N475" s="40"/>
      <c r="O475" s="40"/>
      <c r="P475" s="40"/>
      <c r="Q475" s="40"/>
      <c r="R475" s="40"/>
      <c r="S475" s="40"/>
      <c r="T475" s="40"/>
      <c r="U475" s="40"/>
      <c r="V475" s="40"/>
      <c r="W475" s="40"/>
      <c r="X475" s="47"/>
      <c r="Y475" s="40"/>
      <c r="Z475" s="40"/>
      <c r="AA475" s="40"/>
      <c r="AB475" s="40"/>
      <c r="AC475" s="40"/>
      <c r="AD475" s="40"/>
      <c r="AE475" s="40"/>
      <c r="AF475" s="40"/>
      <c r="AG475" s="40"/>
      <c r="AW475" s="40"/>
    </row>
    <row r="476" spans="1:52" s="71" customFormat="1" ht="12" thickBot="1" x14ac:dyDescent="0.2"/>
    <row r="477" spans="1:52" s="71" customFormat="1" ht="12" thickBot="1" x14ac:dyDescent="0.2"/>
    <row r="478" spans="1:52" s="71" customFormat="1" ht="12" thickBot="1" x14ac:dyDescent="0.2"/>
    <row r="479" spans="1:52" s="71" customFormat="1" ht="12" thickBot="1" x14ac:dyDescent="0.2"/>
    <row r="480" spans="1:52" s="71" customFormat="1" ht="12" thickBot="1" x14ac:dyDescent="0.2"/>
    <row r="481" s="71" customFormat="1" ht="12" thickBot="1" x14ac:dyDescent="0.2"/>
    <row r="482" s="71" customFormat="1" ht="12" thickBot="1" x14ac:dyDescent="0.2"/>
    <row r="483" s="71" customFormat="1" ht="12" thickBot="1" x14ac:dyDescent="0.2"/>
    <row r="484" s="71" customFormat="1" ht="12" thickBot="1" x14ac:dyDescent="0.2"/>
    <row r="485" s="71" customFormat="1" ht="12" thickBot="1" x14ac:dyDescent="0.2"/>
    <row r="486" s="71" customFormat="1" ht="12" thickBot="1" x14ac:dyDescent="0.2"/>
    <row r="487" s="71" customFormat="1" ht="12" thickBot="1" x14ac:dyDescent="0.2"/>
    <row r="488" s="71" customFormat="1" ht="12" thickBot="1" x14ac:dyDescent="0.2"/>
    <row r="489" s="71" customFormat="1" ht="12" thickBot="1" x14ac:dyDescent="0.2"/>
    <row r="490" s="71" customFormat="1" ht="12" thickBot="1" x14ac:dyDescent="0.2"/>
    <row r="491" s="71" customFormat="1" ht="12" thickBot="1" x14ac:dyDescent="0.2"/>
    <row r="492" s="71" customFormat="1" ht="12" thickBot="1" x14ac:dyDescent="0.2"/>
    <row r="493" s="71" customFormat="1" ht="12" thickBot="1" x14ac:dyDescent="0.2"/>
    <row r="494" s="71" customFormat="1" ht="12" thickBot="1" x14ac:dyDescent="0.2"/>
    <row r="495" s="71" customFormat="1" ht="12" thickBot="1" x14ac:dyDescent="0.2"/>
    <row r="496" s="71" customFormat="1" ht="12" thickBot="1" x14ac:dyDescent="0.2"/>
    <row r="497" s="71" customFormat="1" ht="12" thickBot="1" x14ac:dyDescent="0.2"/>
    <row r="498" s="71" customFormat="1" ht="12" thickBot="1" x14ac:dyDescent="0.2"/>
    <row r="499" s="71" customFormat="1" ht="12" thickBot="1" x14ac:dyDescent="0.2"/>
    <row r="500" s="71" customFormat="1" ht="12" thickBot="1" x14ac:dyDescent="0.2"/>
    <row r="501" s="71" customFormat="1" ht="12" thickBot="1" x14ac:dyDescent="0.2"/>
    <row r="502" s="71" customFormat="1" ht="12" thickBot="1" x14ac:dyDescent="0.2"/>
    <row r="503" s="71" customFormat="1" ht="12" thickBot="1" x14ac:dyDescent="0.2"/>
    <row r="504" s="71" customFormat="1" ht="12" thickBot="1" x14ac:dyDescent="0.2"/>
    <row r="505" s="71" customFormat="1" ht="12" thickBot="1" x14ac:dyDescent="0.2"/>
    <row r="506" s="71" customFormat="1" ht="12" thickBot="1" x14ac:dyDescent="0.2"/>
    <row r="507" s="71" customFormat="1" ht="12" thickBot="1" x14ac:dyDescent="0.2"/>
    <row r="508" s="71" customFormat="1" ht="12" thickBot="1" x14ac:dyDescent="0.2"/>
    <row r="509" s="71" customFormat="1" ht="12" thickBot="1" x14ac:dyDescent="0.2"/>
    <row r="510" s="71" customFormat="1" ht="12" thickBot="1" x14ac:dyDescent="0.2"/>
    <row r="511" s="71" customFormat="1" ht="12" thickBot="1" x14ac:dyDescent="0.2"/>
    <row r="512" s="71" customFormat="1" ht="12" thickBot="1" x14ac:dyDescent="0.2"/>
    <row r="513" spans="1:52" s="71" customFormat="1" ht="12" thickBot="1" x14ac:dyDescent="0.2"/>
    <row r="514" spans="1:52" s="71" customFormat="1" ht="12" thickBot="1" x14ac:dyDescent="0.2"/>
    <row r="515" spans="1:52" s="71" customFormat="1" ht="12" thickBot="1" x14ac:dyDescent="0.2"/>
    <row r="516" spans="1:52" s="71" customFormat="1" ht="12" thickBot="1" x14ac:dyDescent="0.2"/>
    <row r="517" spans="1:52" s="71" customFormat="1" ht="12" thickBot="1" x14ac:dyDescent="0.2"/>
    <row r="518" spans="1:52" s="71" customFormat="1" ht="12" thickBot="1" x14ac:dyDescent="0.2"/>
    <row r="519" spans="1:52" s="71" customFormat="1" ht="12" thickBot="1" x14ac:dyDescent="0.2"/>
    <row r="520" spans="1:52" s="71" customFormat="1" ht="13.5" customHeight="1" thickBot="1" x14ac:dyDescent="0.2"/>
    <row r="521" spans="1:52" s="75" customFormat="1" ht="12" thickBot="1" x14ac:dyDescent="0.2">
      <c r="A521" s="71"/>
      <c r="B521" s="71"/>
      <c r="C521" s="71"/>
      <c r="D521" s="71"/>
      <c r="E521" s="71"/>
      <c r="F521" s="71"/>
      <c r="G521" s="71"/>
      <c r="H521" s="71"/>
      <c r="I521" s="71"/>
      <c r="J521" s="71"/>
      <c r="K521" s="71"/>
      <c r="L521" s="71"/>
      <c r="M521" s="71"/>
      <c r="N521" s="71"/>
      <c r="O521" s="71"/>
      <c r="P521" s="71"/>
      <c r="Q521" s="71"/>
      <c r="R521" s="71"/>
      <c r="S521" s="71"/>
      <c r="T521" s="71"/>
      <c r="U521" s="71"/>
      <c r="V521" s="71"/>
      <c r="W521" s="71"/>
      <c r="X521" s="71"/>
      <c r="Y521" s="71"/>
      <c r="Z521" s="71"/>
      <c r="AA521" s="71"/>
      <c r="AB521" s="71"/>
      <c r="AC521" s="71"/>
      <c r="AD521" s="71"/>
      <c r="AE521" s="71"/>
      <c r="AF521" s="71"/>
      <c r="AG521" s="71"/>
      <c r="AH521" s="71"/>
      <c r="AI521" s="71"/>
      <c r="AJ521" s="71"/>
      <c r="AK521" s="71"/>
      <c r="AL521" s="71"/>
      <c r="AM521" s="71"/>
      <c r="AN521" s="71"/>
      <c r="AO521" s="71"/>
      <c r="AP521" s="71"/>
      <c r="AQ521" s="71"/>
      <c r="AR521" s="71"/>
      <c r="AS521" s="71"/>
      <c r="AT521" s="71"/>
      <c r="AU521" s="71"/>
      <c r="AV521" s="71"/>
      <c r="AW521" s="71"/>
      <c r="AX521" s="71"/>
      <c r="AY521" s="71"/>
      <c r="AZ521" s="71"/>
    </row>
    <row r="522" spans="1:52" s="75" customFormat="1" ht="12" thickBot="1" x14ac:dyDescent="0.2">
      <c r="A522" s="71"/>
      <c r="B522" s="71"/>
      <c r="C522" s="71"/>
      <c r="D522" s="71"/>
      <c r="E522" s="71"/>
      <c r="F522" s="71"/>
      <c r="G522" s="71"/>
      <c r="H522" s="71"/>
      <c r="I522" s="71"/>
      <c r="J522" s="71"/>
      <c r="K522" s="71"/>
      <c r="L522" s="71"/>
      <c r="M522" s="71"/>
      <c r="N522" s="71"/>
      <c r="O522" s="71"/>
      <c r="P522" s="71"/>
      <c r="Q522" s="71"/>
      <c r="R522" s="71"/>
      <c r="S522" s="71"/>
      <c r="T522" s="71"/>
      <c r="U522" s="71"/>
      <c r="V522" s="71"/>
      <c r="W522" s="71"/>
      <c r="X522" s="71"/>
      <c r="Y522" s="71"/>
      <c r="Z522" s="71"/>
      <c r="AA522" s="71"/>
      <c r="AB522" s="71"/>
      <c r="AC522" s="71"/>
      <c r="AD522" s="71"/>
      <c r="AE522" s="71"/>
      <c r="AF522" s="71"/>
      <c r="AG522" s="71"/>
      <c r="AH522" s="71"/>
      <c r="AI522" s="71"/>
      <c r="AJ522" s="71"/>
      <c r="AK522" s="71"/>
      <c r="AL522" s="71"/>
      <c r="AM522" s="71"/>
      <c r="AN522" s="71"/>
      <c r="AO522" s="71"/>
      <c r="AP522" s="71"/>
      <c r="AQ522" s="71"/>
      <c r="AR522" s="71"/>
      <c r="AS522" s="71"/>
      <c r="AT522" s="71"/>
      <c r="AU522" s="71"/>
      <c r="AV522" s="71"/>
      <c r="AW522" s="71"/>
      <c r="AX522" s="71"/>
      <c r="AY522" s="71"/>
      <c r="AZ522" s="71"/>
    </row>
    <row r="523" spans="1:52" s="71" customFormat="1" ht="12" thickBot="1" x14ac:dyDescent="0.2"/>
    <row r="524" spans="1:52" s="71" customFormat="1" ht="12" thickBot="1" x14ac:dyDescent="0.2"/>
    <row r="525" spans="1:52" s="71" customFormat="1" ht="12" thickBot="1" x14ac:dyDescent="0.2"/>
    <row r="526" spans="1:52" s="71" customFormat="1" ht="12" thickBot="1" x14ac:dyDescent="0.2"/>
    <row r="527" spans="1:52" s="71" customFormat="1" ht="12" thickBot="1" x14ac:dyDescent="0.2"/>
    <row r="528" spans="1:52" s="71" customFormat="1" ht="12" thickBot="1" x14ac:dyDescent="0.2"/>
    <row r="529" spans="1:52" s="71" customFormat="1" ht="12" thickBot="1" x14ac:dyDescent="0.2"/>
    <row r="530" spans="1:52" s="71" customFormat="1" ht="12" thickBot="1" x14ac:dyDescent="0.2"/>
    <row r="531" spans="1:52" s="71" customFormat="1" ht="12" thickBot="1" x14ac:dyDescent="0.2"/>
    <row r="532" spans="1:52" s="71" customFormat="1" ht="12" thickBot="1" x14ac:dyDescent="0.2"/>
    <row r="533" spans="1:52" s="71" customFormat="1" ht="12" thickBot="1" x14ac:dyDescent="0.2"/>
    <row r="534" spans="1:52" s="71" customFormat="1" ht="12" thickBot="1" x14ac:dyDescent="0.2"/>
    <row r="535" spans="1:52" s="71" customFormat="1" ht="12" thickBot="1" x14ac:dyDescent="0.2"/>
    <row r="536" spans="1:52" s="71" customFormat="1" ht="12" thickBot="1" x14ac:dyDescent="0.2"/>
    <row r="537" spans="1:52" s="71" customFormat="1" ht="12" thickBot="1" x14ac:dyDescent="0.2"/>
    <row r="538" spans="1:52" s="71" customFormat="1" ht="12" thickBot="1" x14ac:dyDescent="0.2"/>
    <row r="539" spans="1:52" s="71" customFormat="1" ht="12" thickBot="1" x14ac:dyDescent="0.2"/>
    <row r="540" spans="1:52" s="71" customFormat="1" ht="12" thickBot="1" x14ac:dyDescent="0.2"/>
    <row r="541" spans="1:52" s="71" customFormat="1" ht="12" thickBot="1" x14ac:dyDescent="0.2"/>
    <row r="542" spans="1:52" s="71" customFormat="1" ht="12" thickBot="1" x14ac:dyDescent="0.2"/>
    <row r="543" spans="1:52" s="75" customFormat="1" ht="12" thickBot="1" x14ac:dyDescent="0.2">
      <c r="A543" s="71"/>
      <c r="B543" s="71"/>
      <c r="C543" s="71"/>
      <c r="D543" s="71"/>
      <c r="E543" s="71"/>
      <c r="F543" s="71"/>
      <c r="G543" s="71"/>
      <c r="H543" s="71"/>
      <c r="I543" s="71"/>
      <c r="J543" s="71"/>
      <c r="K543" s="71"/>
      <c r="L543" s="71"/>
      <c r="M543" s="71"/>
      <c r="N543" s="71"/>
      <c r="O543" s="71"/>
      <c r="P543" s="71"/>
      <c r="Q543" s="71"/>
      <c r="R543" s="71"/>
      <c r="S543" s="71"/>
      <c r="T543" s="71"/>
      <c r="U543" s="71"/>
      <c r="V543" s="71"/>
      <c r="W543" s="71"/>
      <c r="X543" s="71"/>
      <c r="Y543" s="71"/>
      <c r="Z543" s="71"/>
      <c r="AA543" s="71"/>
      <c r="AB543" s="71"/>
      <c r="AC543" s="71"/>
      <c r="AD543" s="71"/>
      <c r="AE543" s="71"/>
      <c r="AF543" s="71"/>
      <c r="AG543" s="71"/>
      <c r="AH543" s="71"/>
      <c r="AI543" s="71"/>
      <c r="AJ543" s="71"/>
      <c r="AK543" s="71"/>
      <c r="AL543" s="71"/>
      <c r="AM543" s="71"/>
      <c r="AN543" s="71"/>
      <c r="AO543" s="71"/>
      <c r="AP543" s="71"/>
      <c r="AQ543" s="71"/>
      <c r="AR543" s="71"/>
      <c r="AS543" s="71"/>
      <c r="AT543" s="71"/>
      <c r="AU543" s="71"/>
      <c r="AV543" s="71"/>
      <c r="AW543" s="71"/>
      <c r="AX543" s="71"/>
      <c r="AY543" s="71"/>
      <c r="AZ543" s="71"/>
    </row>
    <row r="544" spans="1:52" s="75" customFormat="1" ht="12" thickBot="1" x14ac:dyDescent="0.2">
      <c r="A544" s="71"/>
      <c r="B544" s="71"/>
      <c r="C544" s="71"/>
      <c r="D544" s="71"/>
      <c r="E544" s="71"/>
      <c r="F544" s="71"/>
      <c r="G544" s="71"/>
      <c r="H544" s="71"/>
      <c r="I544" s="71"/>
      <c r="J544" s="71"/>
      <c r="K544" s="71"/>
      <c r="L544" s="71"/>
      <c r="M544" s="71"/>
      <c r="N544" s="71"/>
      <c r="O544" s="71"/>
      <c r="P544" s="71"/>
      <c r="Q544" s="71"/>
      <c r="R544" s="71"/>
      <c r="S544" s="71"/>
      <c r="T544" s="71"/>
      <c r="U544" s="71"/>
      <c r="V544" s="71"/>
      <c r="W544" s="71"/>
      <c r="X544" s="71"/>
      <c r="Y544" s="71"/>
      <c r="Z544" s="71"/>
      <c r="AA544" s="71"/>
      <c r="AB544" s="71"/>
      <c r="AC544" s="71"/>
      <c r="AD544" s="71"/>
      <c r="AE544" s="71"/>
      <c r="AF544" s="71"/>
      <c r="AG544" s="71"/>
      <c r="AH544" s="71"/>
      <c r="AI544" s="71"/>
      <c r="AJ544" s="71"/>
      <c r="AK544" s="71"/>
      <c r="AL544" s="71"/>
      <c r="AM544" s="71"/>
      <c r="AN544" s="71"/>
      <c r="AO544" s="71"/>
      <c r="AP544" s="71"/>
      <c r="AQ544" s="71"/>
      <c r="AR544" s="71"/>
      <c r="AS544" s="71"/>
      <c r="AT544" s="71"/>
      <c r="AU544" s="71"/>
      <c r="AV544" s="71"/>
      <c r="AW544" s="71"/>
      <c r="AX544" s="71"/>
      <c r="AY544" s="71"/>
      <c r="AZ544" s="71"/>
    </row>
    <row r="545" s="71" customFormat="1" ht="12" thickBot="1" x14ac:dyDescent="0.2"/>
    <row r="546" s="71" customFormat="1" ht="12" thickBot="1" x14ac:dyDescent="0.2"/>
    <row r="547" s="71" customFormat="1" ht="12" thickBot="1" x14ac:dyDescent="0.2"/>
    <row r="548" s="71" customFormat="1" ht="12" thickBot="1" x14ac:dyDescent="0.2"/>
    <row r="549" s="71" customFormat="1" ht="12" thickBot="1" x14ac:dyDescent="0.2"/>
    <row r="550" s="71" customFormat="1" ht="12" thickBot="1" x14ac:dyDescent="0.2"/>
    <row r="551" s="71" customFormat="1" ht="12" thickBot="1" x14ac:dyDescent="0.2"/>
    <row r="552" s="71" customFormat="1" ht="12" thickBot="1" x14ac:dyDescent="0.2"/>
    <row r="553" s="71" customFormat="1" ht="12" thickBot="1" x14ac:dyDescent="0.2"/>
    <row r="554" s="71" customFormat="1" ht="12" thickBot="1" x14ac:dyDescent="0.2"/>
    <row r="555" s="71" customFormat="1" ht="12" thickBot="1" x14ac:dyDescent="0.2"/>
    <row r="556" s="71" customFormat="1" ht="12" thickBot="1" x14ac:dyDescent="0.2"/>
    <row r="557" s="71" customFormat="1" ht="12" thickBot="1" x14ac:dyDescent="0.2"/>
    <row r="558" s="71" customFormat="1" ht="12" thickBot="1" x14ac:dyDescent="0.2"/>
    <row r="559" s="71" customFormat="1" ht="12" thickBot="1" x14ac:dyDescent="0.2"/>
    <row r="560" s="71" customFormat="1" ht="12" thickBot="1" x14ac:dyDescent="0.2"/>
    <row r="561" spans="1:49" s="71" customFormat="1" ht="12" thickBot="1" x14ac:dyDescent="0.2"/>
    <row r="562" spans="1:49" s="71" customFormat="1" ht="12" thickBot="1" x14ac:dyDescent="0.2"/>
    <row r="563" spans="1:49" s="71" customFormat="1" ht="12" thickBot="1" x14ac:dyDescent="0.2"/>
    <row r="564" spans="1:49" s="71" customFormat="1" ht="12" thickBot="1" x14ac:dyDescent="0.2"/>
    <row r="565" spans="1:49" s="71" customFormat="1" ht="12" thickBot="1" x14ac:dyDescent="0.2"/>
    <row r="566" spans="1:49" s="71" customFormat="1" ht="12" thickBot="1" x14ac:dyDescent="0.2"/>
    <row r="567" spans="1:49" s="71" customFormat="1" ht="12" thickBot="1" x14ac:dyDescent="0.2"/>
    <row r="568" spans="1:49" s="71" customFormat="1" ht="12" thickBot="1" x14ac:dyDescent="0.2"/>
    <row r="569" spans="1:49" s="71" customFormat="1" ht="12" thickBot="1" x14ac:dyDescent="0.2"/>
    <row r="570" spans="1:49" s="71" customFormat="1" ht="12" thickBot="1" x14ac:dyDescent="0.2"/>
    <row r="571" spans="1:49" s="71" customFormat="1" ht="12" thickBot="1" x14ac:dyDescent="0.2"/>
    <row r="572" spans="1:49" s="71" customFormat="1" ht="12" thickBot="1" x14ac:dyDescent="0.2"/>
    <row r="573" spans="1:49" s="71" customFormat="1" ht="12" thickBot="1" x14ac:dyDescent="0.2"/>
    <row r="574" spans="1:49" s="71" customFormat="1" ht="12" thickBot="1" x14ac:dyDescent="0.2"/>
    <row r="575" spans="1:49" s="71" customFormat="1" ht="12" thickBot="1" x14ac:dyDescent="0.2">
      <c r="A575" s="37"/>
      <c r="B575" s="38"/>
      <c r="C575" s="110"/>
      <c r="D575" s="38"/>
      <c r="E575" s="38"/>
      <c r="F575" s="38"/>
      <c r="G575" s="64"/>
      <c r="H575" s="64"/>
      <c r="I575" s="41"/>
      <c r="J575" s="39"/>
      <c r="K575" s="39"/>
      <c r="L575" s="40"/>
      <c r="M575" s="40"/>
      <c r="N575" s="40"/>
      <c r="O575" s="40"/>
      <c r="P575" s="40"/>
      <c r="Q575" s="40"/>
      <c r="R575" s="40"/>
      <c r="S575" s="40"/>
      <c r="T575" s="40"/>
      <c r="U575" s="40"/>
      <c r="V575" s="40"/>
      <c r="W575" s="40"/>
      <c r="X575" s="40"/>
      <c r="Y575" s="40"/>
      <c r="Z575" s="40"/>
      <c r="AA575" s="40"/>
      <c r="AB575" s="40"/>
      <c r="AC575" s="40"/>
      <c r="AD575" s="39"/>
      <c r="AE575" s="39"/>
      <c r="AF575" s="39"/>
      <c r="AG575" s="39"/>
      <c r="AW575" s="40"/>
    </row>
    <row r="576" spans="1:49" s="71" customFormat="1" ht="12" thickBot="1" x14ac:dyDescent="0.2">
      <c r="A576" s="37"/>
      <c r="B576" s="38"/>
      <c r="C576" s="110"/>
      <c r="D576" s="38"/>
      <c r="E576" s="38"/>
      <c r="F576" s="38"/>
      <c r="G576" s="64"/>
      <c r="H576" s="64"/>
      <c r="I576" s="41"/>
      <c r="J576" s="39"/>
      <c r="K576" s="39"/>
      <c r="L576" s="40"/>
      <c r="M576" s="40"/>
      <c r="N576" s="40"/>
      <c r="O576" s="40"/>
      <c r="P576" s="40"/>
      <c r="Q576" s="40"/>
      <c r="R576" s="40"/>
      <c r="S576" s="40"/>
      <c r="T576" s="40"/>
      <c r="U576" s="40"/>
      <c r="V576" s="40"/>
      <c r="W576" s="40"/>
      <c r="X576" s="40"/>
      <c r="Y576" s="40"/>
      <c r="Z576" s="40"/>
      <c r="AA576" s="40"/>
      <c r="AB576" s="40"/>
      <c r="AC576" s="40"/>
      <c r="AD576" s="39"/>
      <c r="AE576" s="39"/>
      <c r="AF576" s="39"/>
      <c r="AG576" s="39"/>
      <c r="AW576" s="40"/>
    </row>
    <row r="577" spans="1:49" s="71" customFormat="1" ht="12" thickBot="1" x14ac:dyDescent="0.2">
      <c r="A577" s="37"/>
      <c r="B577" s="38"/>
      <c r="C577" s="110"/>
      <c r="D577" s="38"/>
      <c r="E577" s="38"/>
      <c r="F577" s="38"/>
      <c r="G577" s="64"/>
      <c r="H577" s="64"/>
      <c r="I577" s="41"/>
      <c r="J577" s="39"/>
      <c r="K577" s="39"/>
      <c r="L577" s="40"/>
      <c r="M577" s="40"/>
      <c r="N577" s="40"/>
      <c r="O577" s="40"/>
      <c r="P577" s="40"/>
      <c r="Q577" s="40"/>
      <c r="R577" s="40"/>
      <c r="S577" s="40"/>
      <c r="T577" s="40"/>
      <c r="U577" s="40"/>
      <c r="V577" s="40"/>
      <c r="W577" s="40"/>
      <c r="X577" s="40"/>
      <c r="Y577" s="40"/>
      <c r="Z577" s="40"/>
      <c r="AA577" s="40"/>
      <c r="AB577" s="40"/>
      <c r="AC577" s="40"/>
      <c r="AD577" s="39"/>
      <c r="AE577" s="39"/>
      <c r="AF577" s="39"/>
      <c r="AG577" s="39"/>
      <c r="AW577" s="40"/>
    </row>
    <row r="578" spans="1:49" s="71" customFormat="1" ht="12" thickBot="1" x14ac:dyDescent="0.2">
      <c r="A578" s="37"/>
      <c r="B578" s="38"/>
      <c r="C578" s="110"/>
      <c r="D578" s="38"/>
      <c r="E578" s="38"/>
      <c r="F578" s="38"/>
      <c r="G578" s="64"/>
      <c r="H578" s="64"/>
      <c r="I578" s="41"/>
      <c r="J578" s="39"/>
      <c r="K578" s="39"/>
      <c r="L578" s="40"/>
      <c r="M578" s="40"/>
      <c r="N578" s="40"/>
      <c r="O578" s="40"/>
      <c r="P578" s="40"/>
      <c r="Q578" s="40"/>
      <c r="R578" s="40"/>
      <c r="S578" s="40"/>
      <c r="T578" s="40"/>
      <c r="U578" s="40"/>
      <c r="V578" s="40"/>
      <c r="W578" s="40"/>
      <c r="X578" s="40"/>
      <c r="Y578" s="40"/>
      <c r="Z578" s="40"/>
      <c r="AA578" s="40"/>
      <c r="AB578" s="40"/>
      <c r="AC578" s="40"/>
      <c r="AD578" s="39"/>
      <c r="AE578" s="39"/>
      <c r="AF578" s="39"/>
      <c r="AG578" s="39"/>
      <c r="AW578" s="40"/>
    </row>
    <row r="579" spans="1:49" s="71" customFormat="1" ht="12" thickBot="1" x14ac:dyDescent="0.2">
      <c r="A579" s="37"/>
      <c r="B579" s="38"/>
      <c r="C579" s="110"/>
      <c r="D579" s="38"/>
      <c r="E579" s="38"/>
      <c r="F579" s="38"/>
      <c r="G579" s="64"/>
      <c r="H579" s="64"/>
      <c r="I579" s="41"/>
      <c r="J579" s="39"/>
      <c r="K579" s="39"/>
      <c r="L579" s="40"/>
      <c r="M579" s="40"/>
      <c r="N579" s="40"/>
      <c r="O579" s="40"/>
      <c r="P579" s="40"/>
      <c r="Q579" s="40"/>
      <c r="R579" s="40"/>
      <c r="S579" s="40"/>
      <c r="T579" s="40"/>
      <c r="U579" s="40"/>
      <c r="V579" s="40"/>
      <c r="W579" s="40"/>
      <c r="X579" s="40"/>
      <c r="Y579" s="40"/>
      <c r="Z579" s="40"/>
      <c r="AA579" s="40"/>
      <c r="AB579" s="40"/>
      <c r="AC579" s="40"/>
      <c r="AD579" s="39"/>
      <c r="AE579" s="39"/>
      <c r="AF579" s="39"/>
      <c r="AG579" s="39"/>
      <c r="AW579" s="40"/>
    </row>
    <row r="580" spans="1:49" s="71" customFormat="1" ht="12" thickBot="1" x14ac:dyDescent="0.2">
      <c r="A580" s="56"/>
      <c r="B580" s="38"/>
      <c r="C580" s="110"/>
      <c r="D580" s="38"/>
      <c r="E580" s="38"/>
      <c r="F580" s="38"/>
      <c r="G580" s="64"/>
      <c r="H580" s="64"/>
      <c r="I580" s="41"/>
      <c r="J580" s="39"/>
      <c r="K580" s="39"/>
      <c r="L580" s="40"/>
      <c r="M580" s="40"/>
      <c r="N580" s="40"/>
      <c r="O580" s="40"/>
      <c r="P580" s="40"/>
      <c r="Q580" s="40"/>
      <c r="R580" s="40"/>
      <c r="S580" s="40"/>
      <c r="T580" s="40"/>
      <c r="U580" s="40"/>
      <c r="V580" s="40"/>
      <c r="W580" s="40"/>
      <c r="X580" s="40"/>
      <c r="Y580" s="40"/>
      <c r="Z580" s="40"/>
      <c r="AA580" s="40"/>
      <c r="AB580" s="40"/>
      <c r="AC580" s="40"/>
      <c r="AD580" s="39"/>
      <c r="AE580" s="39"/>
      <c r="AF580" s="39"/>
      <c r="AG580" s="39"/>
      <c r="AW580" s="40"/>
    </row>
    <row r="581" spans="1:49" s="71" customFormat="1" ht="12" thickBot="1" x14ac:dyDescent="0.2">
      <c r="A581" s="37"/>
      <c r="B581" s="38"/>
      <c r="C581" s="110"/>
      <c r="D581" s="38"/>
      <c r="E581" s="38"/>
      <c r="F581" s="38"/>
      <c r="G581" s="64"/>
      <c r="H581" s="64"/>
      <c r="I581" s="41"/>
      <c r="J581" s="39"/>
      <c r="K581" s="39"/>
      <c r="L581" s="40"/>
      <c r="M581" s="40"/>
      <c r="N581" s="40"/>
      <c r="O581" s="40"/>
      <c r="P581" s="40"/>
      <c r="Q581" s="40"/>
      <c r="R581" s="40"/>
      <c r="S581" s="40"/>
      <c r="T581" s="40"/>
      <c r="U581" s="40"/>
      <c r="V581" s="40"/>
      <c r="W581" s="40"/>
      <c r="X581" s="40"/>
      <c r="Y581" s="40"/>
      <c r="Z581" s="40"/>
      <c r="AA581" s="40"/>
      <c r="AB581" s="40"/>
      <c r="AC581" s="40"/>
      <c r="AD581" s="39"/>
      <c r="AE581" s="39"/>
      <c r="AF581" s="39"/>
      <c r="AG581" s="39"/>
      <c r="AW581" s="40"/>
    </row>
    <row r="582" spans="1:49" s="71" customFormat="1" ht="12" thickBot="1" x14ac:dyDescent="0.2">
      <c r="A582" s="56"/>
      <c r="B582" s="38"/>
      <c r="C582" s="110"/>
      <c r="D582" s="38"/>
      <c r="E582" s="38"/>
      <c r="F582" s="38"/>
      <c r="G582" s="64"/>
      <c r="H582" s="64"/>
      <c r="I582" s="41"/>
      <c r="J582" s="39"/>
      <c r="K582" s="39"/>
      <c r="L582" s="40"/>
      <c r="M582" s="40"/>
      <c r="N582" s="40"/>
      <c r="O582" s="40"/>
      <c r="P582" s="40"/>
      <c r="Q582" s="40"/>
      <c r="R582" s="40"/>
      <c r="S582" s="40"/>
      <c r="T582" s="40"/>
      <c r="U582" s="40"/>
      <c r="V582" s="40"/>
      <c r="W582" s="40"/>
      <c r="X582" s="40"/>
      <c r="Y582" s="40"/>
      <c r="Z582" s="40"/>
      <c r="AA582" s="40"/>
      <c r="AB582" s="40"/>
      <c r="AC582" s="40"/>
      <c r="AD582" s="39"/>
      <c r="AE582" s="39"/>
      <c r="AF582" s="39"/>
      <c r="AG582" s="39"/>
      <c r="AW582" s="40"/>
    </row>
    <row r="583" spans="1:49" s="71" customFormat="1" ht="12" thickBot="1" x14ac:dyDescent="0.2">
      <c r="A583" s="37"/>
      <c r="B583" s="38"/>
      <c r="C583" s="110"/>
      <c r="D583" s="38"/>
      <c r="E583" s="38"/>
      <c r="F583" s="38"/>
      <c r="G583" s="64"/>
      <c r="H583" s="64"/>
      <c r="I583" s="41"/>
      <c r="J583" s="39"/>
      <c r="K583" s="39"/>
      <c r="L583" s="40"/>
      <c r="M583" s="40"/>
      <c r="N583" s="40"/>
      <c r="O583" s="40"/>
      <c r="P583" s="40"/>
      <c r="Q583" s="40"/>
      <c r="R583" s="40"/>
      <c r="S583" s="40"/>
      <c r="T583" s="40"/>
      <c r="U583" s="40"/>
      <c r="V583" s="40"/>
      <c r="W583" s="40"/>
      <c r="X583" s="40"/>
      <c r="Y583" s="40"/>
      <c r="Z583" s="40"/>
      <c r="AA583" s="40"/>
      <c r="AB583" s="40"/>
      <c r="AC583" s="40"/>
      <c r="AD583" s="39"/>
      <c r="AE583" s="39"/>
      <c r="AF583" s="39"/>
      <c r="AG583" s="39"/>
      <c r="AW583" s="38"/>
    </row>
    <row r="584" spans="1:49" s="71" customFormat="1" ht="12" thickBot="1" x14ac:dyDescent="0.2">
      <c r="A584" s="37"/>
      <c r="B584" s="38"/>
      <c r="C584" s="110"/>
      <c r="D584" s="38"/>
      <c r="E584" s="38"/>
      <c r="F584" s="38"/>
      <c r="G584" s="64"/>
      <c r="H584" s="64"/>
      <c r="I584" s="41"/>
      <c r="J584" s="39"/>
      <c r="K584" s="39"/>
      <c r="L584" s="40"/>
      <c r="M584" s="40"/>
      <c r="N584" s="40"/>
      <c r="O584" s="40"/>
      <c r="P584" s="40"/>
      <c r="Q584" s="40"/>
      <c r="R584" s="40"/>
      <c r="S584" s="40"/>
      <c r="T584" s="40"/>
      <c r="U584" s="40"/>
      <c r="V584" s="40"/>
      <c r="W584" s="40"/>
      <c r="X584" s="40"/>
      <c r="Y584" s="40"/>
      <c r="Z584" s="40"/>
      <c r="AA584" s="40"/>
      <c r="AB584" s="40"/>
      <c r="AC584" s="40"/>
      <c r="AD584" s="39"/>
      <c r="AE584" s="39"/>
      <c r="AF584" s="39"/>
      <c r="AG584" s="39"/>
      <c r="AW584" s="38"/>
    </row>
    <row r="585" spans="1:49" s="71" customFormat="1" ht="12" thickBot="1" x14ac:dyDescent="0.2">
      <c r="A585" s="37"/>
      <c r="B585" s="38"/>
      <c r="C585" s="110"/>
      <c r="D585" s="38"/>
      <c r="E585" s="38"/>
      <c r="F585" s="38"/>
      <c r="G585" s="64"/>
      <c r="H585" s="64"/>
      <c r="I585" s="41"/>
      <c r="J585" s="39"/>
      <c r="K585" s="39"/>
      <c r="L585" s="40"/>
      <c r="M585" s="40"/>
      <c r="N585" s="40"/>
      <c r="O585" s="40"/>
      <c r="P585" s="40"/>
      <c r="Q585" s="40"/>
      <c r="R585" s="40"/>
      <c r="S585" s="40"/>
      <c r="T585" s="40"/>
      <c r="U585" s="40"/>
      <c r="V585" s="40"/>
      <c r="W585" s="40"/>
      <c r="X585" s="40"/>
      <c r="Y585" s="40"/>
      <c r="Z585" s="40"/>
      <c r="AA585" s="40"/>
      <c r="AB585" s="40"/>
      <c r="AC585" s="40"/>
      <c r="AD585" s="39"/>
      <c r="AE585" s="39"/>
      <c r="AF585" s="39"/>
      <c r="AG585" s="39"/>
      <c r="AW585" s="38"/>
    </row>
    <row r="586" spans="1:49" s="71" customFormat="1" ht="12" thickBot="1" x14ac:dyDescent="0.2">
      <c r="A586" s="37"/>
      <c r="B586" s="38"/>
      <c r="C586" s="110"/>
      <c r="D586" s="38"/>
      <c r="E586" s="38"/>
      <c r="F586" s="38"/>
      <c r="G586" s="64"/>
      <c r="H586" s="64"/>
      <c r="I586" s="41"/>
      <c r="J586" s="39"/>
      <c r="K586" s="39"/>
      <c r="L586" s="40"/>
      <c r="M586" s="40"/>
      <c r="N586" s="40"/>
      <c r="O586" s="40"/>
      <c r="P586" s="40"/>
      <c r="Q586" s="40"/>
      <c r="R586" s="40"/>
      <c r="S586" s="40"/>
      <c r="T586" s="40"/>
      <c r="U586" s="40"/>
      <c r="V586" s="40"/>
      <c r="W586" s="40"/>
      <c r="X586" s="40"/>
      <c r="Y586" s="40"/>
      <c r="Z586" s="40"/>
      <c r="AA586" s="40"/>
      <c r="AB586" s="40"/>
      <c r="AC586" s="40"/>
      <c r="AD586" s="39"/>
      <c r="AE586" s="39"/>
      <c r="AF586" s="39"/>
      <c r="AG586" s="39"/>
      <c r="AW586" s="38"/>
    </row>
    <row r="587" spans="1:49" s="71" customFormat="1" ht="12" thickBot="1" x14ac:dyDescent="0.2">
      <c r="A587" s="37"/>
      <c r="B587" s="44"/>
      <c r="C587" s="110"/>
      <c r="D587" s="38"/>
      <c r="E587" s="38"/>
      <c r="F587" s="38"/>
      <c r="G587" s="64"/>
      <c r="H587" s="55"/>
      <c r="I587" s="41"/>
      <c r="J587" s="39"/>
      <c r="K587" s="39"/>
      <c r="L587" s="40"/>
      <c r="M587" s="40"/>
      <c r="N587" s="40"/>
      <c r="O587" s="40"/>
      <c r="P587" s="40"/>
      <c r="Q587" s="40"/>
      <c r="R587" s="40"/>
      <c r="S587" s="40"/>
      <c r="T587" s="40"/>
      <c r="U587" s="40"/>
      <c r="V587" s="40"/>
      <c r="W587" s="40"/>
      <c r="X587" s="40"/>
      <c r="Y587" s="40"/>
      <c r="Z587" s="40"/>
      <c r="AA587" s="40"/>
      <c r="AB587" s="40"/>
      <c r="AC587" s="40"/>
      <c r="AD587" s="39"/>
      <c r="AE587" s="39"/>
      <c r="AF587" s="39"/>
      <c r="AG587" s="39"/>
      <c r="AW587" s="38"/>
    </row>
    <row r="588" spans="1:49" s="71" customFormat="1" ht="12" thickBot="1" x14ac:dyDescent="0.2">
      <c r="A588" s="37"/>
      <c r="B588" s="44"/>
      <c r="C588" s="110"/>
      <c r="D588" s="38"/>
      <c r="E588" s="38"/>
      <c r="F588" s="38"/>
      <c r="G588" s="64"/>
      <c r="H588" s="55"/>
      <c r="I588" s="41"/>
      <c r="J588" s="39"/>
      <c r="K588" s="39"/>
      <c r="L588" s="40"/>
      <c r="M588" s="40"/>
      <c r="N588" s="40"/>
      <c r="O588" s="40"/>
      <c r="P588" s="40"/>
      <c r="Q588" s="40"/>
      <c r="R588" s="40"/>
      <c r="S588" s="40"/>
      <c r="T588" s="40"/>
      <c r="U588" s="40"/>
      <c r="V588" s="40"/>
      <c r="W588" s="40"/>
      <c r="X588" s="40"/>
      <c r="Y588" s="40"/>
      <c r="Z588" s="40"/>
      <c r="AA588" s="40"/>
      <c r="AB588" s="40"/>
      <c r="AC588" s="40"/>
      <c r="AD588" s="39"/>
      <c r="AE588" s="39"/>
      <c r="AF588" s="39"/>
      <c r="AG588" s="39"/>
      <c r="AW588" s="38"/>
    </row>
    <row r="589" spans="1:49" s="71" customFormat="1" ht="12" thickBot="1" x14ac:dyDescent="0.2">
      <c r="A589" s="37"/>
      <c r="B589" s="44"/>
      <c r="C589" s="110"/>
      <c r="D589" s="38"/>
      <c r="E589" s="38"/>
      <c r="F589" s="38"/>
      <c r="G589" s="64"/>
      <c r="H589" s="64"/>
      <c r="I589" s="41"/>
      <c r="J589" s="39"/>
      <c r="K589" s="39"/>
      <c r="L589" s="40"/>
      <c r="M589" s="40"/>
      <c r="N589" s="40"/>
      <c r="O589" s="40"/>
      <c r="P589" s="40"/>
      <c r="Q589" s="40"/>
      <c r="R589" s="40"/>
      <c r="S589" s="40"/>
      <c r="T589" s="40"/>
      <c r="U589" s="40"/>
      <c r="V589" s="40"/>
      <c r="W589" s="40"/>
      <c r="X589" s="40"/>
      <c r="Y589" s="40"/>
      <c r="Z589" s="40"/>
      <c r="AA589" s="40"/>
      <c r="AB589" s="40"/>
      <c r="AC589" s="40"/>
      <c r="AD589" s="39"/>
      <c r="AE589" s="39"/>
      <c r="AF589" s="39"/>
      <c r="AG589" s="39"/>
      <c r="AW589" s="38"/>
    </row>
    <row r="590" spans="1:49" s="71" customFormat="1" ht="12" thickBot="1" x14ac:dyDescent="0.2">
      <c r="A590" s="37"/>
      <c r="B590" s="44"/>
      <c r="C590" s="110"/>
      <c r="D590" s="38"/>
      <c r="E590" s="38"/>
      <c r="F590" s="38"/>
      <c r="G590" s="64"/>
      <c r="H590" s="64"/>
      <c r="I590" s="41"/>
      <c r="J590" s="39"/>
      <c r="K590" s="39"/>
      <c r="L590" s="40"/>
      <c r="M590" s="40"/>
      <c r="N590" s="40"/>
      <c r="O590" s="40"/>
      <c r="P590" s="40"/>
      <c r="Q590" s="40"/>
      <c r="R590" s="40"/>
      <c r="S590" s="40"/>
      <c r="T590" s="40"/>
      <c r="U590" s="40"/>
      <c r="V590" s="40"/>
      <c r="W590" s="40"/>
      <c r="X590" s="40"/>
      <c r="Y590" s="40"/>
      <c r="Z590" s="40"/>
      <c r="AA590" s="40"/>
      <c r="AB590" s="40"/>
      <c r="AC590" s="40"/>
      <c r="AD590" s="39"/>
      <c r="AE590" s="39"/>
      <c r="AF590" s="39"/>
      <c r="AG590" s="39"/>
      <c r="AW590" s="38"/>
    </row>
    <row r="591" spans="1:49" s="71" customFormat="1" ht="12" thickBot="1" x14ac:dyDescent="0.2">
      <c r="A591" s="37"/>
      <c r="B591" s="44"/>
      <c r="C591" s="110"/>
      <c r="D591" s="38"/>
      <c r="E591" s="38"/>
      <c r="F591" s="38"/>
      <c r="G591" s="64"/>
      <c r="H591" s="64"/>
      <c r="I591" s="41"/>
      <c r="J591" s="39"/>
      <c r="K591" s="39"/>
      <c r="L591" s="40"/>
      <c r="M591" s="40"/>
      <c r="N591" s="40"/>
      <c r="O591" s="40"/>
      <c r="P591" s="40"/>
      <c r="Q591" s="40"/>
      <c r="R591" s="40"/>
      <c r="S591" s="40"/>
      <c r="T591" s="40"/>
      <c r="U591" s="40"/>
      <c r="V591" s="40"/>
      <c r="W591" s="40"/>
      <c r="X591" s="40"/>
      <c r="Y591" s="40"/>
      <c r="Z591" s="40"/>
      <c r="AA591" s="40"/>
      <c r="AB591" s="40"/>
      <c r="AC591" s="40"/>
      <c r="AD591" s="39"/>
      <c r="AE591" s="39"/>
      <c r="AF591" s="39"/>
      <c r="AG591" s="39"/>
      <c r="AW591" s="38"/>
    </row>
    <row r="592" spans="1:49" s="71" customFormat="1" ht="12" thickBot="1" x14ac:dyDescent="0.2">
      <c r="A592" s="37"/>
      <c r="B592" s="44"/>
      <c r="C592" s="110"/>
      <c r="D592" s="38"/>
      <c r="E592" s="38"/>
      <c r="F592" s="45"/>
      <c r="G592" s="64"/>
      <c r="H592" s="64"/>
      <c r="I592" s="41"/>
      <c r="J592" s="39"/>
      <c r="K592" s="39"/>
      <c r="L592" s="40"/>
      <c r="M592" s="40"/>
      <c r="N592" s="40"/>
      <c r="O592" s="40"/>
      <c r="P592" s="40"/>
      <c r="Q592" s="40"/>
      <c r="R592" s="40"/>
      <c r="S592" s="40"/>
      <c r="T592" s="40"/>
      <c r="U592" s="40"/>
      <c r="V592" s="40"/>
      <c r="W592" s="40"/>
      <c r="X592" s="40"/>
      <c r="Y592" s="40"/>
      <c r="Z592" s="40"/>
      <c r="AA592" s="40"/>
      <c r="AB592" s="40"/>
      <c r="AC592" s="40"/>
      <c r="AD592" s="39"/>
      <c r="AE592" s="39"/>
      <c r="AF592" s="39"/>
      <c r="AG592" s="39"/>
      <c r="AW592" s="38"/>
    </row>
    <row r="593" spans="1:49" s="71" customFormat="1" ht="12" thickBot="1" x14ac:dyDescent="0.2">
      <c r="A593" s="37"/>
      <c r="B593" s="44"/>
      <c r="C593" s="110"/>
      <c r="D593" s="38"/>
      <c r="E593" s="38"/>
      <c r="F593" s="45"/>
      <c r="G593" s="64"/>
      <c r="H593" s="64"/>
      <c r="I593" s="41"/>
      <c r="J593" s="39"/>
      <c r="K593" s="39"/>
      <c r="L593" s="40"/>
      <c r="M593" s="40"/>
      <c r="N593" s="40"/>
      <c r="O593" s="40"/>
      <c r="P593" s="40"/>
      <c r="Q593" s="40"/>
      <c r="R593" s="40"/>
      <c r="S593" s="40"/>
      <c r="T593" s="40"/>
      <c r="U593" s="40"/>
      <c r="V593" s="40"/>
      <c r="W593" s="40"/>
      <c r="X593" s="40"/>
      <c r="Y593" s="40"/>
      <c r="Z593" s="40"/>
      <c r="AA593" s="40"/>
      <c r="AB593" s="40"/>
      <c r="AC593" s="40"/>
      <c r="AD593" s="39"/>
      <c r="AE593" s="39"/>
      <c r="AF593" s="39"/>
      <c r="AG593" s="39"/>
      <c r="AW593" s="38"/>
    </row>
    <row r="594" spans="1:49" s="71" customFormat="1" ht="12" thickBot="1" x14ac:dyDescent="0.2">
      <c r="A594" s="37"/>
      <c r="B594" s="44"/>
      <c r="C594" s="110"/>
      <c r="D594" s="38"/>
      <c r="E594" s="38"/>
      <c r="F594" s="38"/>
      <c r="G594" s="64"/>
      <c r="H594" s="64"/>
      <c r="I594" s="41"/>
      <c r="J594" s="39"/>
      <c r="K594" s="39"/>
      <c r="L594" s="40"/>
      <c r="M594" s="40"/>
      <c r="N594" s="40"/>
      <c r="O594" s="40"/>
      <c r="P594" s="40"/>
      <c r="Q594" s="40"/>
      <c r="R594" s="40"/>
      <c r="S594" s="40"/>
      <c r="T594" s="40"/>
      <c r="U594" s="40"/>
      <c r="V594" s="40"/>
      <c r="W594" s="40"/>
      <c r="X594" s="40"/>
      <c r="Y594" s="40"/>
      <c r="Z594" s="40"/>
      <c r="AA594" s="40"/>
      <c r="AB594" s="40"/>
      <c r="AC594" s="40"/>
      <c r="AD594" s="39"/>
      <c r="AE594" s="39"/>
      <c r="AF594" s="39"/>
      <c r="AG594" s="39"/>
      <c r="AW594" s="38"/>
    </row>
    <row r="595" spans="1:49" s="71" customFormat="1" ht="12" thickBot="1" x14ac:dyDescent="0.2">
      <c r="A595" s="37"/>
      <c r="B595" s="44"/>
      <c r="C595" s="110"/>
      <c r="D595" s="38"/>
      <c r="E595" s="38"/>
      <c r="F595" s="38"/>
      <c r="G595" s="64"/>
      <c r="H595" s="64"/>
      <c r="I595" s="41"/>
      <c r="J595" s="39"/>
      <c r="K595" s="39"/>
      <c r="L595" s="40"/>
      <c r="M595" s="40"/>
      <c r="N595" s="40"/>
      <c r="O595" s="40"/>
      <c r="P595" s="40"/>
      <c r="Q595" s="40"/>
      <c r="R595" s="40"/>
      <c r="S595" s="40"/>
      <c r="T595" s="40"/>
      <c r="U595" s="40"/>
      <c r="V595" s="40"/>
      <c r="W595" s="40"/>
      <c r="X595" s="40"/>
      <c r="Y595" s="40"/>
      <c r="Z595" s="40"/>
      <c r="AA595" s="40"/>
      <c r="AB595" s="40"/>
      <c r="AC595" s="40"/>
      <c r="AD595" s="39"/>
      <c r="AE595" s="39"/>
      <c r="AF595" s="39"/>
      <c r="AG595" s="39"/>
      <c r="AW595" s="38"/>
    </row>
    <row r="596" spans="1:49" s="71" customFormat="1" ht="12" thickBot="1" x14ac:dyDescent="0.2">
      <c r="A596" s="37"/>
      <c r="B596" s="44"/>
      <c r="C596" s="110"/>
      <c r="D596" s="38"/>
      <c r="E596" s="38"/>
      <c r="F596" s="38"/>
      <c r="G596" s="64"/>
      <c r="H596" s="64"/>
      <c r="I596" s="41"/>
      <c r="J596" s="39"/>
      <c r="K596" s="39"/>
      <c r="L596" s="40"/>
      <c r="M596" s="40"/>
      <c r="N596" s="40"/>
      <c r="O596" s="40"/>
      <c r="P596" s="40"/>
      <c r="Q596" s="40"/>
      <c r="R596" s="40"/>
      <c r="S596" s="40"/>
      <c r="T596" s="40"/>
      <c r="U596" s="40"/>
      <c r="V596" s="40"/>
      <c r="W596" s="40"/>
      <c r="X596" s="40"/>
      <c r="Y596" s="40"/>
      <c r="Z596" s="40"/>
      <c r="AA596" s="40"/>
      <c r="AB596" s="40"/>
      <c r="AC596" s="40"/>
      <c r="AD596" s="39"/>
      <c r="AE596" s="39"/>
      <c r="AF596" s="39"/>
      <c r="AG596" s="39"/>
      <c r="AW596" s="38"/>
    </row>
    <row r="597" spans="1:49" s="71" customFormat="1" ht="12" thickBot="1" x14ac:dyDescent="0.2">
      <c r="A597" s="37"/>
      <c r="B597" s="44"/>
      <c r="C597" s="110"/>
      <c r="D597" s="38"/>
      <c r="E597" s="38"/>
      <c r="F597" s="38"/>
      <c r="G597" s="64"/>
      <c r="H597" s="64"/>
      <c r="I597" s="41"/>
      <c r="J597" s="39"/>
      <c r="K597" s="39"/>
      <c r="L597" s="40"/>
      <c r="M597" s="40"/>
      <c r="N597" s="40"/>
      <c r="O597" s="40"/>
      <c r="P597" s="40"/>
      <c r="Q597" s="40"/>
      <c r="R597" s="40"/>
      <c r="S597" s="40"/>
      <c r="T597" s="40"/>
      <c r="U597" s="40"/>
      <c r="V597" s="40"/>
      <c r="W597" s="40"/>
      <c r="X597" s="40"/>
      <c r="Y597" s="40"/>
      <c r="Z597" s="40"/>
      <c r="AA597" s="40"/>
      <c r="AB597" s="40"/>
      <c r="AC597" s="40"/>
      <c r="AD597" s="39"/>
      <c r="AE597" s="39"/>
      <c r="AF597" s="39"/>
      <c r="AG597" s="39"/>
      <c r="AW597" s="38"/>
    </row>
    <row r="598" spans="1:49" s="71" customFormat="1" ht="12" thickBot="1" x14ac:dyDescent="0.2">
      <c r="A598" s="37"/>
      <c r="B598" s="55"/>
      <c r="C598" s="110"/>
      <c r="D598" s="38"/>
      <c r="E598" s="38"/>
      <c r="F598" s="38"/>
      <c r="G598" s="64"/>
      <c r="H598" s="64"/>
      <c r="I598" s="41"/>
      <c r="J598" s="39"/>
      <c r="K598" s="39"/>
      <c r="L598" s="40"/>
      <c r="M598" s="40"/>
      <c r="N598" s="40"/>
      <c r="O598" s="40"/>
      <c r="P598" s="40"/>
      <c r="Q598" s="40"/>
      <c r="R598" s="40"/>
      <c r="S598" s="40"/>
      <c r="T598" s="40"/>
      <c r="U598" s="40"/>
      <c r="V598" s="40"/>
      <c r="W598" s="40"/>
      <c r="X598" s="40"/>
      <c r="Y598" s="40"/>
      <c r="Z598" s="40"/>
      <c r="AA598" s="40"/>
      <c r="AB598" s="40"/>
      <c r="AC598" s="40"/>
      <c r="AD598" s="39"/>
      <c r="AE598" s="39"/>
      <c r="AF598" s="39"/>
      <c r="AG598" s="39"/>
      <c r="AW598" s="38"/>
    </row>
    <row r="599" spans="1:49" s="71" customFormat="1" ht="12" thickBot="1" x14ac:dyDescent="0.2">
      <c r="A599" s="37"/>
      <c r="B599" s="55"/>
      <c r="C599" s="110"/>
      <c r="D599" s="38"/>
      <c r="E599" s="38"/>
      <c r="F599" s="55"/>
      <c r="G599" s="64"/>
      <c r="H599" s="64"/>
      <c r="I599" s="41"/>
      <c r="J599" s="39"/>
      <c r="K599" s="39"/>
      <c r="L599" s="40"/>
      <c r="M599" s="40"/>
      <c r="N599" s="40"/>
      <c r="O599" s="40"/>
      <c r="P599" s="40"/>
      <c r="Q599" s="40"/>
      <c r="R599" s="40"/>
      <c r="S599" s="40"/>
      <c r="T599" s="40"/>
      <c r="U599" s="40"/>
      <c r="V599" s="40"/>
      <c r="W599" s="40"/>
      <c r="X599" s="40"/>
      <c r="Y599" s="40"/>
      <c r="Z599" s="40"/>
      <c r="AA599" s="40"/>
      <c r="AB599" s="40"/>
      <c r="AC599" s="40"/>
      <c r="AD599" s="39"/>
      <c r="AE599" s="39"/>
      <c r="AF599" s="39"/>
      <c r="AG599" s="39"/>
      <c r="AW599" s="38"/>
    </row>
    <row r="600" spans="1:49" s="71" customFormat="1" ht="12" thickBot="1" x14ac:dyDescent="0.2">
      <c r="A600" s="37"/>
      <c r="B600" s="44"/>
      <c r="C600" s="110"/>
      <c r="D600" s="38"/>
      <c r="E600" s="38"/>
      <c r="F600" s="44"/>
      <c r="G600" s="64"/>
      <c r="H600" s="64"/>
      <c r="I600" s="41"/>
      <c r="J600" s="39"/>
      <c r="K600" s="39"/>
      <c r="L600" s="40"/>
      <c r="M600" s="40"/>
      <c r="N600" s="40"/>
      <c r="O600" s="40"/>
      <c r="P600" s="40"/>
      <c r="Q600" s="40"/>
      <c r="R600" s="40"/>
      <c r="S600" s="40"/>
      <c r="T600" s="40"/>
      <c r="U600" s="40"/>
      <c r="V600" s="40"/>
      <c r="W600" s="40"/>
      <c r="X600" s="40"/>
      <c r="Y600" s="40"/>
      <c r="Z600" s="40"/>
      <c r="AA600" s="40"/>
      <c r="AB600" s="40"/>
      <c r="AC600" s="40"/>
      <c r="AD600" s="39"/>
      <c r="AE600" s="39"/>
      <c r="AF600" s="39"/>
      <c r="AG600" s="39"/>
      <c r="AW600" s="38"/>
    </row>
    <row r="601" spans="1:49" s="71" customFormat="1" ht="12" thickBot="1" x14ac:dyDescent="0.2">
      <c r="A601" s="37"/>
      <c r="B601" s="38"/>
      <c r="C601" s="110"/>
      <c r="D601" s="38"/>
      <c r="E601" s="38"/>
      <c r="F601" s="44"/>
      <c r="G601" s="64"/>
      <c r="H601" s="64"/>
      <c r="I601" s="41"/>
      <c r="J601" s="39"/>
      <c r="K601" s="39"/>
      <c r="L601" s="40"/>
      <c r="M601" s="40"/>
      <c r="N601" s="40"/>
      <c r="O601" s="40"/>
      <c r="P601" s="40"/>
      <c r="Q601" s="40"/>
      <c r="R601" s="40"/>
      <c r="S601" s="40"/>
      <c r="T601" s="40"/>
      <c r="U601" s="40"/>
      <c r="V601" s="40"/>
      <c r="W601" s="40"/>
      <c r="X601" s="40"/>
      <c r="Y601" s="40"/>
      <c r="Z601" s="40"/>
      <c r="AA601" s="40"/>
      <c r="AB601" s="40"/>
      <c r="AC601" s="40"/>
      <c r="AD601" s="39"/>
      <c r="AE601" s="39"/>
      <c r="AF601" s="39"/>
      <c r="AG601" s="39"/>
      <c r="AW601" s="38"/>
    </row>
    <row r="602" spans="1:49" s="71" customFormat="1" ht="12" thickBot="1" x14ac:dyDescent="0.2">
      <c r="A602" s="37"/>
      <c r="B602" s="38"/>
      <c r="C602" s="110"/>
      <c r="D602" s="38"/>
      <c r="E602" s="38"/>
      <c r="F602" s="44"/>
      <c r="G602" s="64"/>
      <c r="H602" s="64"/>
      <c r="I602" s="41"/>
      <c r="J602" s="39"/>
      <c r="K602" s="39"/>
      <c r="L602" s="40"/>
      <c r="M602" s="40"/>
      <c r="N602" s="40"/>
      <c r="O602" s="40"/>
      <c r="P602" s="40"/>
      <c r="Q602" s="40"/>
      <c r="R602" s="40"/>
      <c r="S602" s="40"/>
      <c r="T602" s="40"/>
      <c r="U602" s="40"/>
      <c r="V602" s="40"/>
      <c r="W602" s="40"/>
      <c r="X602" s="40"/>
      <c r="Y602" s="40"/>
      <c r="Z602" s="40"/>
      <c r="AA602" s="40"/>
      <c r="AB602" s="40"/>
      <c r="AC602" s="40"/>
      <c r="AD602" s="39"/>
      <c r="AE602" s="39"/>
      <c r="AF602" s="39"/>
      <c r="AG602" s="39"/>
      <c r="AW602" s="38"/>
    </row>
    <row r="603" spans="1:49" s="71" customFormat="1" ht="12" thickBot="1" x14ac:dyDescent="0.2">
      <c r="A603" s="37"/>
      <c r="B603" s="38"/>
      <c r="C603" s="110"/>
      <c r="D603" s="38"/>
      <c r="E603" s="38"/>
      <c r="F603" s="38"/>
      <c r="G603" s="64"/>
      <c r="H603" s="64"/>
      <c r="I603" s="41"/>
      <c r="J603" s="39"/>
      <c r="K603" s="39"/>
      <c r="L603" s="40"/>
      <c r="M603" s="40"/>
      <c r="N603" s="40"/>
      <c r="O603" s="40"/>
      <c r="P603" s="40"/>
      <c r="Q603" s="40"/>
      <c r="R603" s="40"/>
      <c r="S603" s="40"/>
      <c r="T603" s="40"/>
      <c r="U603" s="40"/>
      <c r="V603" s="40"/>
      <c r="W603" s="40"/>
      <c r="X603" s="40"/>
      <c r="Y603" s="40"/>
      <c r="Z603" s="40"/>
      <c r="AA603" s="40"/>
      <c r="AB603" s="40"/>
      <c r="AC603" s="40"/>
      <c r="AD603" s="39"/>
      <c r="AE603" s="39"/>
      <c r="AF603" s="39"/>
      <c r="AG603" s="39"/>
      <c r="AW603" s="38"/>
    </row>
    <row r="604" spans="1:49" s="71" customFormat="1" ht="12" thickBot="1" x14ac:dyDescent="0.2">
      <c r="A604" s="37"/>
      <c r="B604" s="55"/>
      <c r="C604" s="110"/>
      <c r="D604" s="38"/>
      <c r="E604" s="38"/>
      <c r="F604" s="38"/>
      <c r="G604" s="64"/>
      <c r="H604" s="64"/>
      <c r="I604" s="41"/>
      <c r="J604" s="39"/>
      <c r="K604" s="39"/>
      <c r="L604" s="40"/>
      <c r="M604" s="40"/>
      <c r="N604" s="40"/>
      <c r="O604" s="40"/>
      <c r="P604" s="40"/>
      <c r="Q604" s="40"/>
      <c r="R604" s="40"/>
      <c r="S604" s="40"/>
      <c r="T604" s="40"/>
      <c r="U604" s="40"/>
      <c r="V604" s="40"/>
      <c r="W604" s="40"/>
      <c r="X604" s="40"/>
      <c r="Y604" s="40"/>
      <c r="Z604" s="40"/>
      <c r="AA604" s="40"/>
      <c r="AB604" s="40"/>
      <c r="AC604" s="40"/>
      <c r="AD604" s="39"/>
      <c r="AE604" s="39"/>
      <c r="AF604" s="39"/>
      <c r="AG604" s="39"/>
      <c r="AW604" s="38"/>
    </row>
    <row r="605" spans="1:49" s="71" customFormat="1" ht="12" thickBot="1" x14ac:dyDescent="0.2">
      <c r="A605" s="37"/>
      <c r="B605" s="38"/>
      <c r="C605" s="110"/>
      <c r="D605" s="38"/>
      <c r="E605" s="38"/>
      <c r="F605" s="38"/>
      <c r="G605" s="64"/>
      <c r="H605" s="64"/>
      <c r="I605" s="41"/>
      <c r="J605" s="39"/>
      <c r="K605" s="39"/>
      <c r="L605" s="40"/>
      <c r="M605" s="40"/>
      <c r="N605" s="40"/>
      <c r="O605" s="40"/>
      <c r="P605" s="40"/>
      <c r="Q605" s="40"/>
      <c r="R605" s="40"/>
      <c r="S605" s="40"/>
      <c r="T605" s="40"/>
      <c r="U605" s="40"/>
      <c r="V605" s="40"/>
      <c r="W605" s="40"/>
      <c r="X605" s="40"/>
      <c r="Y605" s="40"/>
      <c r="Z605" s="40"/>
      <c r="AA605" s="40"/>
      <c r="AB605" s="40"/>
      <c r="AC605" s="40"/>
      <c r="AD605" s="39"/>
      <c r="AE605" s="39"/>
      <c r="AF605" s="39"/>
      <c r="AG605" s="39"/>
      <c r="AW605" s="38"/>
    </row>
    <row r="606" spans="1:49" s="71" customFormat="1" ht="12" thickBot="1" x14ac:dyDescent="0.2">
      <c r="A606" s="37"/>
      <c r="B606" s="38"/>
      <c r="C606" s="110"/>
      <c r="D606" s="38"/>
      <c r="E606" s="38"/>
      <c r="F606" s="38"/>
      <c r="G606" s="64"/>
      <c r="H606" s="64"/>
      <c r="I606" s="41"/>
      <c r="J606" s="39"/>
      <c r="K606" s="39"/>
      <c r="L606" s="40"/>
      <c r="M606" s="40"/>
      <c r="N606" s="40"/>
      <c r="O606" s="40"/>
      <c r="P606" s="40"/>
      <c r="Q606" s="40"/>
      <c r="R606" s="40"/>
      <c r="S606" s="40"/>
      <c r="T606" s="40"/>
      <c r="U606" s="40"/>
      <c r="V606" s="40"/>
      <c r="W606" s="40"/>
      <c r="X606" s="40"/>
      <c r="Y606" s="40"/>
      <c r="Z606" s="40"/>
      <c r="AA606" s="40"/>
      <c r="AB606" s="40"/>
      <c r="AC606" s="40"/>
      <c r="AD606" s="39"/>
      <c r="AE606" s="39"/>
      <c r="AF606" s="39"/>
      <c r="AG606" s="39"/>
      <c r="AW606" s="38"/>
    </row>
    <row r="607" spans="1:49" s="71" customFormat="1" ht="12" thickBot="1" x14ac:dyDescent="0.2">
      <c r="A607" s="37"/>
      <c r="B607" s="38"/>
      <c r="C607" s="110"/>
      <c r="D607" s="38"/>
      <c r="E607" s="38"/>
      <c r="F607" s="38"/>
      <c r="G607" s="64"/>
      <c r="H607" s="64"/>
      <c r="I607" s="41"/>
      <c r="J607" s="39"/>
      <c r="K607" s="39"/>
      <c r="L607" s="40"/>
      <c r="M607" s="40"/>
      <c r="N607" s="40"/>
      <c r="O607" s="40"/>
      <c r="P607" s="40"/>
      <c r="Q607" s="40"/>
      <c r="R607" s="40"/>
      <c r="S607" s="40"/>
      <c r="T607" s="40"/>
      <c r="U607" s="40"/>
      <c r="V607" s="40"/>
      <c r="W607" s="40"/>
      <c r="X607" s="40"/>
      <c r="Y607" s="40"/>
      <c r="Z607" s="40"/>
      <c r="AA607" s="40"/>
      <c r="AB607" s="40"/>
      <c r="AC607" s="40"/>
      <c r="AD607" s="39"/>
      <c r="AE607" s="39"/>
      <c r="AF607" s="39"/>
      <c r="AG607" s="39"/>
      <c r="AW607" s="38"/>
    </row>
    <row r="608" spans="1:49" s="71" customFormat="1" ht="12" thickBot="1" x14ac:dyDescent="0.2">
      <c r="A608" s="37"/>
      <c r="B608" s="38"/>
      <c r="C608" s="110"/>
      <c r="D608" s="38"/>
      <c r="E608" s="38"/>
      <c r="F608" s="38"/>
      <c r="G608" s="64"/>
      <c r="H608" s="64"/>
      <c r="I608" s="41"/>
      <c r="J608" s="39"/>
      <c r="K608" s="39"/>
      <c r="L608" s="40"/>
      <c r="M608" s="40"/>
      <c r="N608" s="40"/>
      <c r="O608" s="40"/>
      <c r="P608" s="40"/>
      <c r="Q608" s="40"/>
      <c r="R608" s="40"/>
      <c r="S608" s="40"/>
      <c r="T608" s="40"/>
      <c r="U608" s="40"/>
      <c r="V608" s="40"/>
      <c r="W608" s="40"/>
      <c r="X608" s="40"/>
      <c r="Y608" s="40"/>
      <c r="Z608" s="40"/>
      <c r="AA608" s="40"/>
      <c r="AB608" s="40"/>
      <c r="AC608" s="40"/>
      <c r="AD608" s="39"/>
      <c r="AE608" s="39"/>
      <c r="AF608" s="39"/>
      <c r="AG608" s="39"/>
      <c r="AW608" s="38"/>
    </row>
    <row r="609" spans="1:49" s="71" customFormat="1" ht="12" thickBot="1" x14ac:dyDescent="0.2">
      <c r="A609" s="37"/>
      <c r="B609" s="38"/>
      <c r="C609" s="110"/>
      <c r="D609" s="38"/>
      <c r="E609" s="38"/>
      <c r="F609" s="38"/>
      <c r="G609" s="64"/>
      <c r="H609" s="64"/>
      <c r="I609" s="41"/>
      <c r="J609" s="39"/>
      <c r="K609" s="39"/>
      <c r="L609" s="40"/>
      <c r="M609" s="40"/>
      <c r="N609" s="40"/>
      <c r="O609" s="40"/>
      <c r="P609" s="40"/>
      <c r="Q609" s="40"/>
      <c r="R609" s="40"/>
      <c r="S609" s="40"/>
      <c r="T609" s="40"/>
      <c r="U609" s="40"/>
      <c r="V609" s="40"/>
      <c r="W609" s="40"/>
      <c r="X609" s="40"/>
      <c r="Y609" s="40"/>
      <c r="Z609" s="40"/>
      <c r="AA609" s="40"/>
      <c r="AB609" s="40"/>
      <c r="AC609" s="40"/>
      <c r="AD609" s="39"/>
      <c r="AE609" s="39"/>
      <c r="AF609" s="39"/>
      <c r="AG609" s="39"/>
      <c r="AW609" s="38"/>
    </row>
    <row r="610" spans="1:49" s="71" customFormat="1" ht="12" thickBot="1" x14ac:dyDescent="0.2">
      <c r="A610" s="37"/>
      <c r="B610" s="38"/>
      <c r="C610" s="110"/>
      <c r="D610" s="38"/>
      <c r="E610" s="38"/>
      <c r="F610" s="38"/>
      <c r="G610" s="64"/>
      <c r="H610" s="64"/>
      <c r="I610" s="41"/>
      <c r="J610" s="39"/>
      <c r="K610" s="39"/>
      <c r="L610" s="40"/>
      <c r="M610" s="40"/>
      <c r="N610" s="40"/>
      <c r="O610" s="40"/>
      <c r="P610" s="40"/>
      <c r="Q610" s="40"/>
      <c r="R610" s="40"/>
      <c r="S610" s="40"/>
      <c r="T610" s="40"/>
      <c r="U610" s="40"/>
      <c r="V610" s="40"/>
      <c r="W610" s="40"/>
      <c r="X610" s="40"/>
      <c r="Y610" s="40"/>
      <c r="Z610" s="40"/>
      <c r="AA610" s="40"/>
      <c r="AB610" s="40"/>
      <c r="AC610" s="40"/>
      <c r="AD610" s="39"/>
      <c r="AE610" s="39"/>
      <c r="AF610" s="39"/>
      <c r="AG610" s="39"/>
      <c r="AW610" s="38"/>
    </row>
    <row r="611" spans="1:49" s="71" customFormat="1" ht="12" thickBot="1" x14ac:dyDescent="0.2">
      <c r="A611" s="37"/>
      <c r="B611" s="38"/>
      <c r="C611" s="110"/>
      <c r="D611" s="38"/>
      <c r="E611" s="38"/>
      <c r="F611" s="38"/>
      <c r="G611" s="64"/>
      <c r="H611" s="64"/>
      <c r="I611" s="41"/>
      <c r="J611" s="39"/>
      <c r="K611" s="39"/>
      <c r="L611" s="40"/>
      <c r="M611" s="40"/>
      <c r="N611" s="40"/>
      <c r="O611" s="40"/>
      <c r="P611" s="40"/>
      <c r="Q611" s="40"/>
      <c r="R611" s="40"/>
      <c r="S611" s="40"/>
      <c r="T611" s="40"/>
      <c r="U611" s="40"/>
      <c r="V611" s="40"/>
      <c r="W611" s="40"/>
      <c r="X611" s="40"/>
      <c r="Y611" s="40"/>
      <c r="Z611" s="40"/>
      <c r="AA611" s="40"/>
      <c r="AB611" s="40"/>
      <c r="AC611" s="40"/>
      <c r="AD611" s="39"/>
      <c r="AE611" s="39"/>
      <c r="AF611" s="39"/>
      <c r="AG611" s="39"/>
      <c r="AW611" s="38"/>
    </row>
    <row r="612" spans="1:49" s="77" customFormat="1" ht="12" thickBot="1" x14ac:dyDescent="0.2">
      <c r="A612" s="34"/>
      <c r="B612" s="54"/>
      <c r="C612" s="111"/>
      <c r="D612" s="54"/>
      <c r="E612" s="54"/>
      <c r="F612" s="54"/>
      <c r="G612" s="64"/>
      <c r="H612" s="48"/>
      <c r="I612" s="122"/>
      <c r="J612" s="35"/>
      <c r="K612" s="35"/>
      <c r="L612" s="36"/>
      <c r="M612" s="36"/>
      <c r="N612" s="36"/>
      <c r="O612" s="36"/>
      <c r="P612" s="36"/>
      <c r="Q612" s="36"/>
      <c r="R612" s="36"/>
      <c r="S612" s="36"/>
      <c r="T612" s="36"/>
      <c r="U612" s="36"/>
      <c r="V612" s="36"/>
      <c r="W612" s="36"/>
      <c r="X612" s="36"/>
      <c r="Y612" s="36"/>
      <c r="Z612" s="36"/>
      <c r="AA612" s="36"/>
      <c r="AB612" s="36"/>
      <c r="AC612" s="36"/>
      <c r="AD612" s="35"/>
      <c r="AE612" s="35"/>
      <c r="AF612" s="35"/>
      <c r="AG612" s="35"/>
      <c r="AW612" s="128"/>
    </row>
  </sheetData>
  <sheetProtection algorithmName="SHA-512" hashValue="dcsND9sWdbk/5iyaGGDGRQLZV5aKO0QZYcm+UQjYHO7z/H+BJokNIDBLTmHXJQ/uvI6dT7jqmcc48xRILkF2KQ==" saltValue="rWg3fBXxDqLAfAvu9rd/ug==" spinCount="100000" sheet="1" objects="1" scenarios="1"/>
  <hyperlinks>
    <hyperlink ref="H24" r:id="rId1"/>
    <hyperlink ref="H226" r:id="rId2"/>
    <hyperlink ref="H227" r:id="rId3"/>
    <hyperlink ref="H14" r:id="rId4"/>
    <hyperlink ref="H2" r:id="rId5"/>
    <hyperlink ref="H296" r:id="rId6"/>
    <hyperlink ref="H297" r:id="rId7"/>
    <hyperlink ref="H303" r:id="rId8"/>
    <hyperlink ref="H307" r:id="rId9"/>
    <hyperlink ref="H41" r:id="rId10"/>
    <hyperlink ref="H42" r:id="rId11"/>
    <hyperlink ref="H159" r:id="rId12"/>
    <hyperlink ref="H294" r:id="rId13"/>
    <hyperlink ref="H365" r:id="rId14"/>
    <hyperlink ref="H360" r:id="rId15"/>
  </hyperlinks>
  <pageMargins left="0.7" right="0.7" top="0.75" bottom="0.75" header="0.3" footer="0.3"/>
  <pageSetup paperSize="9" orientation="portrait" r:id="rId1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AR1255"/>
  <sheetViews>
    <sheetView topLeftCell="L1" workbookViewId="0">
      <selection activeCell="Y43" sqref="Y43"/>
    </sheetView>
  </sheetViews>
  <sheetFormatPr defaultRowHeight="18" customHeight="1" x14ac:dyDescent="0.15"/>
  <cols>
    <col min="1" max="1" width="18.5" style="60" customWidth="1"/>
    <col min="2" max="2" width="20.625" style="59" customWidth="1"/>
    <col min="3" max="3" width="23.75" style="69" customWidth="1"/>
    <col min="4" max="8" width="9.75" customWidth="1"/>
    <col min="9" max="9" width="10.375" customWidth="1"/>
    <col min="10" max="10" width="14.875" customWidth="1"/>
    <col min="11" max="12" width="9.75" style="130" customWidth="1"/>
    <col min="13" max="13" width="9" style="130"/>
    <col min="14" max="16" width="16.125" bestFit="1" customWidth="1"/>
    <col min="18" max="18" width="36.25" bestFit="1" customWidth="1"/>
    <col min="19" max="19" width="13.5" bestFit="1" customWidth="1"/>
    <col min="21" max="21" width="9.5" bestFit="1" customWidth="1"/>
    <col min="23" max="23" width="26.75" bestFit="1" customWidth="1"/>
  </cols>
  <sheetData>
    <row r="1" spans="1:44" ht="45.75" thickBot="1" x14ac:dyDescent="0.2">
      <c r="A1" s="61" t="s">
        <v>70</v>
      </c>
      <c r="B1" s="61" t="s">
        <v>90</v>
      </c>
      <c r="C1" s="61" t="s">
        <v>0</v>
      </c>
      <c r="D1" s="61"/>
      <c r="E1" s="61"/>
      <c r="F1" s="61"/>
      <c r="G1" s="61"/>
      <c r="H1" s="61" t="s">
        <v>70</v>
      </c>
      <c r="I1" s="61" t="s">
        <v>90</v>
      </c>
      <c r="J1" s="61" t="s">
        <v>0</v>
      </c>
      <c r="K1" s="61"/>
      <c r="L1" s="61"/>
      <c r="M1" s="61"/>
      <c r="N1" s="11" t="s">
        <v>72</v>
      </c>
      <c r="O1" s="11" t="s">
        <v>73</v>
      </c>
      <c r="P1" s="11" t="s">
        <v>74</v>
      </c>
      <c r="R1" s="14" t="s">
        <v>75</v>
      </c>
      <c r="S1" s="14" t="s">
        <v>76</v>
      </c>
      <c r="U1" s="19"/>
      <c r="W1" s="20" t="s">
        <v>83</v>
      </c>
    </row>
    <row r="2" spans="1:44" ht="18" customHeight="1" thickBot="1" x14ac:dyDescent="0.2">
      <c r="A2" s="55" t="s">
        <v>58</v>
      </c>
      <c r="B2" s="37" t="s">
        <v>204</v>
      </c>
      <c r="C2" s="109" t="str">
        <f>HYPERLINK(Hoofddocument!$H$2,Hoofddocument!$G$2)</f>
        <v>Informatie over Agifall UWV</v>
      </c>
      <c r="D2" s="17"/>
      <c r="E2" s="17"/>
      <c r="F2" s="19"/>
      <c r="G2" s="18"/>
      <c r="H2" s="55" t="s">
        <v>58</v>
      </c>
      <c r="I2" s="37" t="s">
        <v>204</v>
      </c>
      <c r="J2" s="109" t="str">
        <f>HYPERLINK(Hoofddocument!$H$2,Hoofddocument!$G$2)</f>
        <v>Informatie over Agifall UWV</v>
      </c>
      <c r="K2" s="129" t="str">
        <f t="shared" ref="K2" si="0">IF(OR(AND(Niveau1="Basis",D2="B"),AND(Niveau1="Verdiepend",D2="V"),AND(Niveau1="Toon Alles",NOT(ISBLANK(D2)))),$U$2,"")</f>
        <v/>
      </c>
      <c r="L2" s="129" t="str">
        <f t="shared" ref="L2:L65" si="1">IF(OR(AND(Niveau2="Basis",E2="B"),AND(Niveau2="Verdiepend",E2="V"),AND(Niveau2="Toon Alles",NOT(ISBLANK(E2)))),$U$2,"")</f>
        <v/>
      </c>
      <c r="M2" s="129" t="str">
        <f t="shared" ref="M2:M65" si="2">IF(OR(AND(Niveau3="Basis",F2="B"),AND(Niveau3="Verdiepend",F2="V"),AND(Niveau3="Toon Alles",NOT(ISBLANK(F2)))),$U$2,"")</f>
        <v/>
      </c>
      <c r="N2" t="e">
        <f>MATCH(Ontwikkelwijzer!E$115,Hoofddocument!A1:AZ1,0)</f>
        <v>#N/A</v>
      </c>
      <c r="O2" t="e">
        <f>MATCH(Ontwikkelwijzer!F$115,Hoofddocument!A1:AZ1,0)</f>
        <v>#N/A</v>
      </c>
      <c r="P2" t="e">
        <f>MATCH(Ontwikkelwijzer!G$115,Hoofddocument!A1:AZ1,0)</f>
        <v>#N/A</v>
      </c>
      <c r="R2" s="15" t="s">
        <v>58</v>
      </c>
      <c r="S2" s="15" t="s">
        <v>77</v>
      </c>
      <c r="U2" s="17" t="s">
        <v>80</v>
      </c>
      <c r="W2" s="28" t="s">
        <v>42</v>
      </c>
      <c r="X2" s="27"/>
      <c r="Y2" s="27"/>
      <c r="Z2" s="27"/>
      <c r="AA2" s="27"/>
      <c r="AB2" s="27"/>
      <c r="AC2" s="27"/>
      <c r="AD2" s="27"/>
      <c r="AE2" s="27"/>
      <c r="AF2" s="27"/>
      <c r="AG2" s="27"/>
      <c r="AH2" s="27"/>
      <c r="AI2" s="27"/>
      <c r="AJ2" s="27"/>
      <c r="AK2" s="27"/>
      <c r="AL2" s="27"/>
      <c r="AM2" s="27"/>
      <c r="AN2" s="27"/>
      <c r="AO2" s="27"/>
      <c r="AP2" s="27"/>
      <c r="AQ2" s="27"/>
      <c r="AR2" s="27"/>
    </row>
    <row r="3" spans="1:44" ht="18" customHeight="1" thickBot="1" x14ac:dyDescent="0.2">
      <c r="A3" s="37" t="s">
        <v>58</v>
      </c>
      <c r="B3" s="38" t="s">
        <v>205</v>
      </c>
      <c r="C3" s="109" t="str">
        <f>HYPERLINK(Hoofddocument!$H$3,Hoofddocument!$G$3)</f>
        <v>Agile Scrum Foundation</v>
      </c>
      <c r="D3" s="17"/>
      <c r="E3" s="17"/>
      <c r="F3" s="19"/>
      <c r="G3" s="18"/>
      <c r="H3" s="37" t="s">
        <v>58</v>
      </c>
      <c r="I3" s="38" t="s">
        <v>205</v>
      </c>
      <c r="J3" s="109" t="str">
        <f>HYPERLINK(Hoofddocument!$H$3,Hoofddocument!$G$3)</f>
        <v>Agile Scrum Foundation</v>
      </c>
      <c r="K3" s="17" t="str">
        <f t="shared" ref="K3:K66" si="3">IF(OR(AND(Niveau1="Basis",D3="B"),AND(Niveau1="Verdiepend",D3="V"),AND(Niveau1="Toon Alles",NOT(ISBLANK(D3)))),$U$2,"")</f>
        <v/>
      </c>
      <c r="L3" s="17" t="str">
        <f t="shared" si="1"/>
        <v/>
      </c>
      <c r="M3" s="129" t="str">
        <f t="shared" si="2"/>
        <v/>
      </c>
      <c r="R3" s="15" t="s">
        <v>50</v>
      </c>
      <c r="S3" s="15" t="s">
        <v>160</v>
      </c>
      <c r="U3" s="125" t="s">
        <v>80</v>
      </c>
      <c r="W3" s="28" t="s">
        <v>39</v>
      </c>
      <c r="X3" s="27"/>
      <c r="Y3" s="27"/>
      <c r="Z3" s="27"/>
      <c r="AA3" s="27"/>
      <c r="AB3" s="27"/>
      <c r="AC3" s="27"/>
      <c r="AD3" s="27"/>
      <c r="AE3" s="27"/>
      <c r="AF3" s="27"/>
      <c r="AG3" s="27"/>
      <c r="AH3" s="27"/>
      <c r="AI3" s="27"/>
      <c r="AJ3" s="27"/>
      <c r="AK3" s="27"/>
      <c r="AL3" s="27"/>
      <c r="AM3" s="27"/>
      <c r="AN3" s="27"/>
      <c r="AO3" s="27"/>
      <c r="AP3" s="27"/>
      <c r="AQ3" s="27"/>
      <c r="AR3" s="27"/>
    </row>
    <row r="4" spans="1:44" ht="18" customHeight="1" thickBot="1" x14ac:dyDescent="0.2">
      <c r="A4" s="37" t="s">
        <v>58</v>
      </c>
      <c r="B4" s="38" t="s">
        <v>352</v>
      </c>
      <c r="C4" s="109" t="str">
        <f>HYPERLINK(Hoofddocument!$H$4,Hoofddocument!$G$4)</f>
        <v>Agile Project Management Practitioner® inclusief examen</v>
      </c>
      <c r="D4" s="17"/>
      <c r="E4" s="17"/>
      <c r="F4" s="19"/>
      <c r="G4" s="18"/>
      <c r="H4" s="37" t="s">
        <v>58</v>
      </c>
      <c r="I4" s="38" t="s">
        <v>352</v>
      </c>
      <c r="J4" s="109" t="str">
        <f>HYPERLINK(Hoofddocument!$H$4,Hoofddocument!$G$4)</f>
        <v>Agile Project Management Practitioner® inclusief examen</v>
      </c>
      <c r="K4" s="129" t="str">
        <f t="shared" si="3"/>
        <v/>
      </c>
      <c r="L4" s="129" t="str">
        <f t="shared" si="1"/>
        <v/>
      </c>
      <c r="M4" s="129" t="str">
        <f t="shared" si="2"/>
        <v/>
      </c>
      <c r="R4" s="15" t="s">
        <v>52</v>
      </c>
      <c r="S4" t="s">
        <v>715</v>
      </c>
      <c r="U4" s="17"/>
      <c r="W4" s="28" t="s">
        <v>33</v>
      </c>
      <c r="X4" s="27"/>
      <c r="Y4" s="27"/>
      <c r="Z4" s="27"/>
      <c r="AA4" s="27"/>
      <c r="AB4" s="27"/>
      <c r="AC4" s="27"/>
      <c r="AD4" s="27"/>
      <c r="AE4" s="27"/>
      <c r="AF4" s="27"/>
      <c r="AG4" s="27"/>
      <c r="AH4" s="27"/>
      <c r="AI4" s="27"/>
      <c r="AJ4" s="27"/>
      <c r="AK4" s="27"/>
      <c r="AL4" s="27"/>
      <c r="AM4" s="27"/>
      <c r="AN4" s="27"/>
      <c r="AO4" s="27"/>
      <c r="AP4" s="27"/>
      <c r="AQ4" s="27"/>
      <c r="AR4" s="27"/>
    </row>
    <row r="5" spans="1:44" ht="18" customHeight="1" thickBot="1" x14ac:dyDescent="0.2">
      <c r="A5" s="37" t="s">
        <v>58</v>
      </c>
      <c r="B5" s="38" t="s">
        <v>352</v>
      </c>
      <c r="C5" s="109" t="str">
        <f>HYPERLINK(Hoofddocument!$H$5,Hoofddocument!$G$5)</f>
        <v>Agile Project Management Foundation® inclusief examen</v>
      </c>
      <c r="D5" s="17"/>
      <c r="E5" s="17"/>
      <c r="F5" s="19"/>
      <c r="G5" s="18"/>
      <c r="H5" s="37" t="s">
        <v>58</v>
      </c>
      <c r="I5" s="38" t="s">
        <v>352</v>
      </c>
      <c r="J5" s="109" t="str">
        <f>HYPERLINK(Hoofddocument!$H$5,Hoofddocument!$G$5)</f>
        <v>Agile Project Management Foundation® inclusief examen</v>
      </c>
      <c r="K5" s="129" t="str">
        <f t="shared" si="3"/>
        <v/>
      </c>
      <c r="L5" s="129" t="str">
        <f t="shared" si="1"/>
        <v/>
      </c>
      <c r="M5" s="129" t="str">
        <f t="shared" si="2"/>
        <v/>
      </c>
      <c r="R5" s="15" t="s">
        <v>389</v>
      </c>
      <c r="S5" s="15"/>
      <c r="W5" s="28" t="s">
        <v>943</v>
      </c>
      <c r="X5" s="27"/>
      <c r="Y5" s="27"/>
      <c r="Z5" s="27"/>
      <c r="AA5" s="27"/>
      <c r="AB5" s="27"/>
      <c r="AC5" s="27"/>
      <c r="AD5" s="27"/>
      <c r="AE5" s="27"/>
      <c r="AF5" s="27"/>
      <c r="AG5" s="27"/>
      <c r="AH5" s="27"/>
      <c r="AI5" s="27"/>
      <c r="AJ5" s="27"/>
      <c r="AK5" s="27"/>
      <c r="AL5" s="27"/>
      <c r="AM5" s="27"/>
      <c r="AN5" s="27"/>
      <c r="AO5" s="27"/>
      <c r="AP5" s="27"/>
      <c r="AQ5" s="27"/>
      <c r="AR5" s="27"/>
    </row>
    <row r="6" spans="1:44" ht="18" customHeight="1" thickBot="1" x14ac:dyDescent="0.2">
      <c r="A6" s="37" t="s">
        <v>58</v>
      </c>
      <c r="B6" s="38" t="s">
        <v>208</v>
      </c>
      <c r="C6" s="109" t="str">
        <f>HYPERLINK(Hoofddocument!$H$6,Hoofddocument!$G$6)</f>
        <v>Agile en LEAN proces verbetering</v>
      </c>
      <c r="D6" s="17"/>
      <c r="E6" s="17"/>
      <c r="F6" s="19"/>
      <c r="G6" s="18"/>
      <c r="H6" s="37" t="s">
        <v>58</v>
      </c>
      <c r="I6" s="38" t="s">
        <v>208</v>
      </c>
      <c r="J6" s="109" t="str">
        <f>HYPERLINK(Hoofddocument!$H$6,Hoofddocument!$G$6)</f>
        <v>Agile en LEAN proces verbetering</v>
      </c>
      <c r="K6" s="129" t="str">
        <f t="shared" si="3"/>
        <v/>
      </c>
      <c r="L6" s="129" t="str">
        <f t="shared" si="1"/>
        <v/>
      </c>
      <c r="M6" s="129" t="str">
        <f t="shared" si="2"/>
        <v/>
      </c>
      <c r="R6" s="15" t="s">
        <v>45</v>
      </c>
      <c r="S6" s="15"/>
      <c r="W6" s="28" t="s">
        <v>43</v>
      </c>
      <c r="X6" s="27"/>
      <c r="Y6" s="27"/>
      <c r="Z6" s="27"/>
      <c r="AA6" s="27"/>
      <c r="AB6" s="27"/>
      <c r="AC6" s="27"/>
      <c r="AD6" s="27"/>
      <c r="AE6" s="27"/>
      <c r="AF6" s="27"/>
      <c r="AG6" s="27"/>
      <c r="AH6" s="27"/>
      <c r="AI6" s="27"/>
      <c r="AJ6" s="27"/>
      <c r="AK6" s="27"/>
      <c r="AL6" s="27"/>
      <c r="AM6" s="27"/>
      <c r="AN6" s="27"/>
      <c r="AO6" s="27"/>
      <c r="AP6" s="27"/>
      <c r="AQ6" s="27"/>
      <c r="AR6" s="27"/>
    </row>
    <row r="7" spans="1:44" ht="18" customHeight="1" thickBot="1" x14ac:dyDescent="0.2">
      <c r="A7" s="37" t="s">
        <v>58</v>
      </c>
      <c r="B7" s="38" t="s">
        <v>211</v>
      </c>
      <c r="C7" s="109" t="str">
        <f>HYPERLINK(Hoofddocument!$H$7,Hoofddocument!$G$7)</f>
        <v>Scrum Master II | Computrain</v>
      </c>
      <c r="D7" s="17"/>
      <c r="E7" s="17"/>
      <c r="F7" s="19"/>
      <c r="G7" s="18"/>
      <c r="H7" s="37" t="s">
        <v>58</v>
      </c>
      <c r="I7" s="38" t="s">
        <v>211</v>
      </c>
      <c r="J7" s="109" t="str">
        <f>HYPERLINK(Hoofddocument!$H$7,Hoofddocument!$G$7)</f>
        <v>Scrum Master II | Computrain</v>
      </c>
      <c r="K7" s="129" t="str">
        <f t="shared" si="3"/>
        <v/>
      </c>
      <c r="L7" s="129" t="str">
        <f t="shared" si="1"/>
        <v/>
      </c>
      <c r="M7" s="129" t="str">
        <f t="shared" si="2"/>
        <v/>
      </c>
      <c r="R7" s="15" t="s">
        <v>59</v>
      </c>
      <c r="S7" s="15"/>
      <c r="W7" s="28" t="s">
        <v>947</v>
      </c>
      <c r="X7" s="27"/>
      <c r="Y7" s="27"/>
      <c r="Z7" s="27"/>
      <c r="AA7" s="27"/>
      <c r="AB7" s="27"/>
      <c r="AC7" s="27"/>
      <c r="AD7" s="27"/>
      <c r="AE7" s="27"/>
      <c r="AF7" s="27"/>
      <c r="AG7" s="27"/>
      <c r="AH7" s="27"/>
      <c r="AI7" s="27"/>
      <c r="AJ7" s="27"/>
      <c r="AK7" s="27"/>
      <c r="AL7" s="27"/>
      <c r="AM7" s="27"/>
      <c r="AN7" s="27"/>
      <c r="AO7" s="27"/>
      <c r="AP7" s="27"/>
      <c r="AQ7" s="27"/>
      <c r="AR7" s="27"/>
    </row>
    <row r="8" spans="1:44" ht="18" customHeight="1" thickBot="1" x14ac:dyDescent="0.2">
      <c r="A8" s="37" t="s">
        <v>58</v>
      </c>
      <c r="B8" s="38" t="s">
        <v>213</v>
      </c>
      <c r="C8" s="109" t="str">
        <f>HYPERLINK(Hoofddocument!$H$8,Hoofddocument!$G$8)</f>
        <v>Professional Scrum Product Owner (PSPO)</v>
      </c>
      <c r="D8" s="17"/>
      <c r="E8" s="17"/>
      <c r="F8" s="19"/>
      <c r="G8" s="18"/>
      <c r="H8" s="37" t="s">
        <v>58</v>
      </c>
      <c r="I8" s="38" t="s">
        <v>213</v>
      </c>
      <c r="J8" s="109" t="str">
        <f>HYPERLINK(Hoofddocument!$H$8,Hoofddocument!$G$8)</f>
        <v>Professional Scrum Product Owner (PSPO)</v>
      </c>
      <c r="K8" s="129" t="str">
        <f t="shared" si="3"/>
        <v/>
      </c>
      <c r="L8" s="129" t="str">
        <f t="shared" si="1"/>
        <v/>
      </c>
      <c r="M8" s="129" t="str">
        <f t="shared" si="2"/>
        <v/>
      </c>
      <c r="O8" t="str">
        <f>IF(K8="b",$U$2,IF(K8="v",$U$3,""))</f>
        <v/>
      </c>
      <c r="R8" s="15" t="s">
        <v>68</v>
      </c>
      <c r="S8" s="15"/>
      <c r="W8" s="28" t="s">
        <v>939</v>
      </c>
      <c r="X8" s="27"/>
      <c r="Y8" s="27"/>
      <c r="Z8" s="27"/>
      <c r="AA8" s="27"/>
      <c r="AB8" s="27"/>
      <c r="AC8" s="27"/>
      <c r="AD8" s="27"/>
      <c r="AE8" s="27"/>
      <c r="AF8" s="27"/>
      <c r="AG8" s="27"/>
      <c r="AH8" s="27"/>
      <c r="AI8" s="27"/>
      <c r="AJ8" s="27"/>
      <c r="AK8" s="27"/>
      <c r="AL8" s="27"/>
      <c r="AM8" s="27"/>
      <c r="AN8" s="27"/>
      <c r="AO8" s="27"/>
      <c r="AP8" s="27"/>
      <c r="AQ8" s="27"/>
      <c r="AR8" s="27"/>
    </row>
    <row r="9" spans="1:44" ht="18" customHeight="1" thickBot="1" x14ac:dyDescent="0.2">
      <c r="A9" s="37" t="s">
        <v>58</v>
      </c>
      <c r="B9" s="38" t="s">
        <v>214</v>
      </c>
      <c r="C9" s="109" t="str">
        <f>HYPERLINK(Hoofddocument!$H$9,Hoofddocument!$G$9)</f>
        <v>PSPO Advanced</v>
      </c>
      <c r="D9" s="17"/>
      <c r="E9" s="17"/>
      <c r="F9" s="19"/>
      <c r="G9" s="18"/>
      <c r="H9" s="37" t="s">
        <v>58</v>
      </c>
      <c r="I9" s="38" t="s">
        <v>214</v>
      </c>
      <c r="J9" s="109" t="str">
        <f>HYPERLINK(Hoofddocument!$H$9,Hoofddocument!$G$9)</f>
        <v>PSPO Advanced</v>
      </c>
      <c r="K9" s="129" t="str">
        <f t="shared" si="3"/>
        <v/>
      </c>
      <c r="L9" s="129" t="str">
        <f t="shared" si="1"/>
        <v/>
      </c>
      <c r="M9" s="129" t="str">
        <f t="shared" si="2"/>
        <v/>
      </c>
      <c r="R9" s="15" t="s">
        <v>65</v>
      </c>
      <c r="S9" s="15"/>
      <c r="W9" s="28" t="s">
        <v>34</v>
      </c>
      <c r="X9" s="27"/>
      <c r="Y9" s="27"/>
      <c r="Z9" s="27"/>
      <c r="AA9" s="27"/>
      <c r="AB9" s="27"/>
      <c r="AC9" s="27"/>
      <c r="AD9" s="27"/>
      <c r="AE9" s="27"/>
      <c r="AF9" s="27"/>
      <c r="AG9" s="27"/>
      <c r="AH9" s="27"/>
      <c r="AI9" s="27"/>
      <c r="AJ9" s="27"/>
      <c r="AK9" s="27"/>
      <c r="AL9" s="27"/>
      <c r="AM9" s="27"/>
      <c r="AN9" s="27"/>
      <c r="AO9" s="27"/>
      <c r="AP9" s="27"/>
      <c r="AQ9" s="27"/>
      <c r="AR9" s="27"/>
    </row>
    <row r="10" spans="1:44" ht="18" customHeight="1" thickBot="1" x14ac:dyDescent="0.2">
      <c r="A10" s="37" t="s">
        <v>58</v>
      </c>
      <c r="B10" s="38" t="s">
        <v>210</v>
      </c>
      <c r="C10" s="109" t="str">
        <f>HYPERLINK(Hoofddocument!$H$10,Hoofddocument!$G$10)</f>
        <v>Leading SAFe®</v>
      </c>
      <c r="D10" s="17"/>
      <c r="E10" s="17"/>
      <c r="F10" s="19"/>
      <c r="G10" s="18"/>
      <c r="H10" s="37" t="s">
        <v>58</v>
      </c>
      <c r="I10" s="38" t="s">
        <v>210</v>
      </c>
      <c r="J10" s="109" t="str">
        <f>HYPERLINK(Hoofddocument!$H$10,Hoofddocument!$G$10)</f>
        <v>Leading SAFe®</v>
      </c>
      <c r="K10" s="17" t="str">
        <f t="shared" si="3"/>
        <v/>
      </c>
      <c r="L10" s="17" t="str">
        <f t="shared" si="1"/>
        <v/>
      </c>
      <c r="M10" s="129" t="str">
        <f t="shared" si="2"/>
        <v/>
      </c>
      <c r="R10" s="15" t="s">
        <v>67</v>
      </c>
      <c r="S10" s="15"/>
      <c r="W10" s="28" t="s">
        <v>933</v>
      </c>
      <c r="X10" s="27"/>
      <c r="Y10" s="27"/>
      <c r="Z10" s="27"/>
      <c r="AA10" s="27"/>
      <c r="AB10" s="27"/>
      <c r="AC10" s="27"/>
      <c r="AD10" s="27"/>
      <c r="AE10" s="27"/>
      <c r="AF10" s="27"/>
      <c r="AG10" s="27"/>
      <c r="AH10" s="27"/>
      <c r="AI10" s="27"/>
      <c r="AJ10" s="27"/>
      <c r="AK10" s="27"/>
      <c r="AL10" s="27"/>
      <c r="AM10" s="27"/>
      <c r="AN10" s="27"/>
      <c r="AO10" s="27"/>
      <c r="AP10" s="27"/>
      <c r="AQ10" s="27"/>
      <c r="AR10" s="27"/>
    </row>
    <row r="11" spans="1:44" ht="18" customHeight="1" thickBot="1" x14ac:dyDescent="0.2">
      <c r="A11" s="37" t="s">
        <v>58</v>
      </c>
      <c r="B11" s="38" t="s">
        <v>314</v>
      </c>
      <c r="C11" s="109" t="str">
        <f>HYPERLINK(Hoofddocument!$H$11,Hoofddocument!$G$11)</f>
        <v>SAFe Lean Portfolio Management ©</v>
      </c>
      <c r="D11" s="17"/>
      <c r="E11" s="17"/>
      <c r="F11" s="19"/>
      <c r="G11" s="18"/>
      <c r="H11" s="37" t="s">
        <v>58</v>
      </c>
      <c r="I11" s="38" t="s">
        <v>314</v>
      </c>
      <c r="J11" s="109" t="str">
        <f>HYPERLINK(Hoofddocument!$H$11,Hoofddocument!$G$11)</f>
        <v>SAFe Lean Portfolio Management ©</v>
      </c>
      <c r="K11" s="129" t="str">
        <f t="shared" si="3"/>
        <v/>
      </c>
      <c r="L11" s="129" t="str">
        <f t="shared" si="1"/>
        <v/>
      </c>
      <c r="M11" s="129" t="str">
        <f t="shared" si="2"/>
        <v/>
      </c>
      <c r="R11" s="15" t="s">
        <v>51</v>
      </c>
      <c r="S11" s="15"/>
      <c r="W11" s="28" t="s">
        <v>934</v>
      </c>
      <c r="X11" s="27"/>
      <c r="Y11" s="27"/>
      <c r="Z11" s="27"/>
      <c r="AA11" s="27"/>
      <c r="AB11" s="27"/>
      <c r="AC11" s="27"/>
      <c r="AD11" s="27"/>
      <c r="AE11" s="27"/>
      <c r="AF11" s="27"/>
      <c r="AG11" s="27"/>
      <c r="AH11" s="27"/>
      <c r="AI11" s="27"/>
      <c r="AJ11" s="27"/>
      <c r="AK11" s="27"/>
      <c r="AL11" s="27"/>
      <c r="AM11" s="27"/>
      <c r="AN11" s="27"/>
      <c r="AO11" s="27"/>
      <c r="AP11" s="27"/>
      <c r="AQ11" s="27"/>
      <c r="AR11" s="27"/>
    </row>
    <row r="12" spans="1:44" ht="18" customHeight="1" thickBot="1" x14ac:dyDescent="0.2">
      <c r="A12" s="37" t="s">
        <v>58</v>
      </c>
      <c r="B12" s="38" t="s">
        <v>494</v>
      </c>
      <c r="C12" s="109" t="str">
        <f>HYPERLINK(Hoofddocument!$H$12,Hoofddocument!$G$12)</f>
        <v>Safe Release train engineer</v>
      </c>
      <c r="D12" s="17"/>
      <c r="E12" s="17"/>
      <c r="F12" s="19"/>
      <c r="G12" s="18"/>
      <c r="H12" s="37" t="s">
        <v>58</v>
      </c>
      <c r="I12" s="38" t="s">
        <v>494</v>
      </c>
      <c r="J12" s="109" t="str">
        <f>HYPERLINK(Hoofddocument!$H$12,Hoofddocument!$G$12)</f>
        <v>Safe Release train engineer</v>
      </c>
      <c r="K12" s="129" t="str">
        <f t="shared" si="3"/>
        <v/>
      </c>
      <c r="L12" s="129" t="str">
        <f t="shared" si="1"/>
        <v/>
      </c>
      <c r="M12" s="129" t="str">
        <f t="shared" si="2"/>
        <v/>
      </c>
      <c r="R12" s="15" t="s">
        <v>66</v>
      </c>
      <c r="S12" s="15"/>
      <c r="W12" s="28" t="s">
        <v>942</v>
      </c>
      <c r="X12" s="27"/>
      <c r="Y12" s="27"/>
      <c r="Z12" s="27"/>
      <c r="AA12" s="27"/>
      <c r="AB12" s="27"/>
      <c r="AC12" s="27"/>
      <c r="AD12" s="27"/>
      <c r="AE12" s="27"/>
      <c r="AF12" s="27"/>
      <c r="AG12" s="27"/>
      <c r="AH12" s="27"/>
      <c r="AI12" s="27"/>
      <c r="AJ12" s="27"/>
      <c r="AK12" s="27"/>
      <c r="AL12" s="27"/>
      <c r="AM12" s="27"/>
      <c r="AN12" s="27"/>
      <c r="AO12" s="27"/>
      <c r="AP12" s="27"/>
      <c r="AQ12" s="27"/>
      <c r="AR12" s="27"/>
    </row>
    <row r="13" spans="1:44" ht="18" customHeight="1" thickBot="1" x14ac:dyDescent="0.2">
      <c r="A13" s="37" t="s">
        <v>58</v>
      </c>
      <c r="B13" s="38" t="s">
        <v>638</v>
      </c>
      <c r="C13" s="109" t="str">
        <f>HYPERLINK(Hoofddocument!$H$13,Hoofddocument!$G$13)</f>
        <v>Professional Scrum Master (PSM)</v>
      </c>
      <c r="D13" s="17"/>
      <c r="E13" s="17"/>
      <c r="F13" s="19"/>
      <c r="G13" s="18"/>
      <c r="H13" s="37" t="s">
        <v>58</v>
      </c>
      <c r="I13" s="38" t="s">
        <v>638</v>
      </c>
      <c r="J13" s="109" t="str">
        <f>HYPERLINK(Hoofddocument!$H$13,Hoofddocument!$G$13)</f>
        <v>Professional Scrum Master (PSM)</v>
      </c>
      <c r="K13" s="129" t="str">
        <f t="shared" si="3"/>
        <v/>
      </c>
      <c r="L13" s="129" t="str">
        <f t="shared" si="1"/>
        <v/>
      </c>
      <c r="M13" s="129" t="str">
        <f t="shared" si="2"/>
        <v/>
      </c>
      <c r="R13" s="15" t="s">
        <v>53</v>
      </c>
      <c r="S13" s="15"/>
      <c r="W13" s="28" t="s">
        <v>936</v>
      </c>
      <c r="X13" s="27"/>
      <c r="Y13" s="27"/>
      <c r="Z13" s="27"/>
      <c r="AA13" s="27"/>
      <c r="AB13" s="27"/>
      <c r="AC13" s="27"/>
      <c r="AD13" s="27"/>
      <c r="AE13" s="27"/>
      <c r="AF13" s="27"/>
      <c r="AG13" s="27"/>
      <c r="AH13" s="27"/>
      <c r="AI13" s="27"/>
      <c r="AJ13" s="27"/>
      <c r="AK13" s="27"/>
      <c r="AL13" s="27"/>
      <c r="AM13" s="27"/>
      <c r="AN13" s="27"/>
      <c r="AO13" s="27"/>
      <c r="AP13" s="27"/>
      <c r="AQ13" s="27"/>
      <c r="AR13" s="27"/>
    </row>
    <row r="14" spans="1:44" ht="18" customHeight="1" thickBot="1" x14ac:dyDescent="0.2">
      <c r="A14" s="41" t="s">
        <v>58</v>
      </c>
      <c r="B14" s="38" t="s">
        <v>216</v>
      </c>
      <c r="C14" s="109" t="str">
        <f>HYPERLINK(Hoofddocument!$H$14,Hoofddocument!$G$14)</f>
        <v>User stories schrijven</v>
      </c>
      <c r="D14" s="17"/>
      <c r="E14" s="17"/>
      <c r="F14" s="19"/>
      <c r="G14" s="18"/>
      <c r="H14" s="41" t="s">
        <v>58</v>
      </c>
      <c r="I14" s="38" t="s">
        <v>216</v>
      </c>
      <c r="J14" s="109" t="str">
        <f>HYPERLINK(Hoofddocument!$H$14,Hoofddocument!$G$14)</f>
        <v>User stories schrijven</v>
      </c>
      <c r="K14" s="129" t="str">
        <f t="shared" si="3"/>
        <v/>
      </c>
      <c r="L14" s="129" t="str">
        <f t="shared" si="1"/>
        <v/>
      </c>
      <c r="M14" s="129" t="str">
        <f t="shared" si="2"/>
        <v/>
      </c>
      <c r="R14" s="15" t="s">
        <v>60</v>
      </c>
      <c r="S14" s="15"/>
      <c r="W14" s="28" t="s">
        <v>35</v>
      </c>
      <c r="X14" s="27"/>
      <c r="Y14" s="27"/>
      <c r="Z14" s="27"/>
      <c r="AA14" s="27"/>
      <c r="AB14" s="27"/>
      <c r="AC14" s="27"/>
      <c r="AD14" s="27"/>
      <c r="AE14" s="27"/>
      <c r="AF14" s="27"/>
      <c r="AG14" s="27"/>
      <c r="AH14" s="27"/>
      <c r="AI14" s="27"/>
      <c r="AJ14" s="27"/>
      <c r="AK14" s="27"/>
      <c r="AL14" s="27"/>
      <c r="AM14" s="27"/>
      <c r="AN14" s="27"/>
      <c r="AO14" s="27"/>
      <c r="AP14" s="27"/>
      <c r="AQ14" s="27"/>
      <c r="AR14" s="27"/>
    </row>
    <row r="15" spans="1:44" ht="18" customHeight="1" thickBot="1" x14ac:dyDescent="0.2">
      <c r="A15" s="37" t="s">
        <v>50</v>
      </c>
      <c r="B15" s="38" t="s">
        <v>217</v>
      </c>
      <c r="C15" s="109" t="str">
        <f>HYPERLINK(Hoofddocument!$H$15,Hoofddocument!$G$15)</f>
        <v>Agile Business Analyst</v>
      </c>
      <c r="D15" s="17"/>
      <c r="E15" s="17"/>
      <c r="F15" s="19"/>
      <c r="G15" s="18"/>
      <c r="H15" s="37" t="s">
        <v>50</v>
      </c>
      <c r="I15" s="38" t="s">
        <v>217</v>
      </c>
      <c r="J15" s="109" t="str">
        <f>HYPERLINK(Hoofddocument!$H$15,Hoofddocument!$G$15)</f>
        <v>Agile Business Analyst</v>
      </c>
      <c r="K15" s="129" t="str">
        <f t="shared" si="3"/>
        <v/>
      </c>
      <c r="L15" s="129" t="str">
        <f t="shared" si="1"/>
        <v/>
      </c>
      <c r="M15" s="129" t="str">
        <f t="shared" si="2"/>
        <v/>
      </c>
      <c r="R15" s="15" t="s">
        <v>736</v>
      </c>
      <c r="S15" s="15"/>
      <c r="W15" s="28" t="s">
        <v>944</v>
      </c>
      <c r="X15" s="27"/>
      <c r="Y15" s="27"/>
      <c r="Z15" s="27"/>
      <c r="AA15" s="27"/>
      <c r="AB15" s="27"/>
      <c r="AC15" s="27"/>
      <c r="AD15" s="27"/>
      <c r="AE15" s="27"/>
      <c r="AF15" s="27"/>
      <c r="AG15" s="27"/>
      <c r="AH15" s="27"/>
      <c r="AI15" s="27"/>
      <c r="AJ15" s="27"/>
      <c r="AK15" s="27"/>
      <c r="AL15" s="27"/>
      <c r="AM15" s="27"/>
      <c r="AN15" s="27"/>
      <c r="AO15" s="27"/>
      <c r="AP15" s="27"/>
      <c r="AQ15" s="27"/>
      <c r="AR15" s="27"/>
    </row>
    <row r="16" spans="1:44" ht="18" customHeight="1" thickBot="1" x14ac:dyDescent="0.2">
      <c r="A16" s="37" t="s">
        <v>50</v>
      </c>
      <c r="B16" s="38" t="s">
        <v>50</v>
      </c>
      <c r="C16" s="109" t="str">
        <f>HYPERLINK(Hoofddocument!$H$16,Hoofddocument!$G$16)</f>
        <v>BCS Requirements Engineering</v>
      </c>
      <c r="D16" s="17"/>
      <c r="E16" s="17"/>
      <c r="F16" s="19"/>
      <c r="G16" s="18"/>
      <c r="H16" s="37" t="s">
        <v>50</v>
      </c>
      <c r="I16" s="38" t="s">
        <v>50</v>
      </c>
      <c r="J16" s="109" t="str">
        <f>HYPERLINK(Hoofddocument!$H$16,Hoofddocument!$G$16)</f>
        <v>BCS Requirements Engineering</v>
      </c>
      <c r="K16" s="129" t="str">
        <f t="shared" si="3"/>
        <v/>
      </c>
      <c r="L16" s="125" t="str">
        <f t="shared" si="1"/>
        <v/>
      </c>
      <c r="M16" s="129" t="str">
        <f t="shared" si="2"/>
        <v/>
      </c>
      <c r="R16" s="15" t="s">
        <v>61</v>
      </c>
      <c r="S16" s="15"/>
      <c r="W16" s="28" t="s">
        <v>32</v>
      </c>
      <c r="X16" s="27"/>
      <c r="Y16" s="27"/>
      <c r="Z16" s="27"/>
      <c r="AA16" s="27"/>
      <c r="AB16" s="27"/>
      <c r="AC16" s="27"/>
      <c r="AD16" s="27"/>
      <c r="AE16" s="27"/>
      <c r="AF16" s="27"/>
      <c r="AG16" s="27"/>
      <c r="AH16" s="27"/>
      <c r="AI16" s="27"/>
      <c r="AJ16" s="27"/>
      <c r="AK16" s="27"/>
      <c r="AL16" s="27"/>
      <c r="AM16" s="27"/>
      <c r="AN16" s="27"/>
      <c r="AO16" s="27"/>
      <c r="AP16" s="27"/>
      <c r="AQ16" s="27"/>
      <c r="AR16" s="27"/>
    </row>
    <row r="17" spans="1:44" ht="18" customHeight="1" thickBot="1" x14ac:dyDescent="0.2">
      <c r="A17" s="37" t="s">
        <v>50</v>
      </c>
      <c r="B17" s="38" t="s">
        <v>353</v>
      </c>
      <c r="C17" s="109" t="str">
        <f>HYPERLINK(Hoofddocument!$H$17,Hoofddocument!$G$17)</f>
        <v>BCS Agile Business Analysis</v>
      </c>
      <c r="D17" s="17"/>
      <c r="E17" s="17"/>
      <c r="F17" s="19"/>
      <c r="G17" s="18"/>
      <c r="H17" s="37" t="s">
        <v>50</v>
      </c>
      <c r="I17" s="38" t="s">
        <v>353</v>
      </c>
      <c r="J17" s="109" t="str">
        <f>HYPERLINK(Hoofddocument!$H$17,Hoofddocument!$G$17)</f>
        <v>BCS Agile Business Analysis</v>
      </c>
      <c r="K17" s="129" t="str">
        <f t="shared" si="3"/>
        <v/>
      </c>
      <c r="L17" s="129" t="str">
        <f t="shared" si="1"/>
        <v/>
      </c>
      <c r="M17" s="129" t="str">
        <f t="shared" si="2"/>
        <v/>
      </c>
      <c r="R17" s="15" t="s">
        <v>746</v>
      </c>
      <c r="S17" s="15"/>
      <c r="W17" s="28" t="s">
        <v>41</v>
      </c>
      <c r="X17" s="27"/>
      <c r="Y17" s="27"/>
      <c r="Z17" s="27"/>
      <c r="AA17" s="27"/>
      <c r="AB17" s="27"/>
      <c r="AC17" s="27"/>
      <c r="AD17" s="27"/>
      <c r="AE17" s="27"/>
      <c r="AF17" s="27"/>
      <c r="AG17" s="27"/>
      <c r="AH17" s="27"/>
      <c r="AI17" s="27"/>
      <c r="AJ17" s="27"/>
      <c r="AK17" s="27"/>
      <c r="AL17" s="27"/>
      <c r="AM17" s="27"/>
      <c r="AN17" s="27"/>
      <c r="AO17" s="27"/>
      <c r="AP17" s="27"/>
      <c r="AQ17" s="27"/>
      <c r="AR17" s="27"/>
    </row>
    <row r="18" spans="1:44" ht="18" customHeight="1" thickBot="1" x14ac:dyDescent="0.2">
      <c r="A18" s="37" t="s">
        <v>50</v>
      </c>
      <c r="B18" s="38" t="s">
        <v>353</v>
      </c>
      <c r="C18" s="109" t="str">
        <f>HYPERLINK(Hoofddocument!$H$18,Hoofddocument!$G$18)</f>
        <v>BCS Foundation in Business Analysis</v>
      </c>
      <c r="D18" s="17"/>
      <c r="E18" s="17"/>
      <c r="F18" s="19"/>
      <c r="G18" s="18"/>
      <c r="H18" s="37" t="s">
        <v>50</v>
      </c>
      <c r="I18" s="38" t="s">
        <v>353</v>
      </c>
      <c r="J18" s="109" t="str">
        <f>HYPERLINK(Hoofddocument!$H$18,Hoofddocument!$G$18)</f>
        <v>BCS Foundation in Business Analysis</v>
      </c>
      <c r="K18" s="129" t="str">
        <f t="shared" si="3"/>
        <v/>
      </c>
      <c r="L18" s="129" t="str">
        <f t="shared" si="1"/>
        <v/>
      </c>
      <c r="M18" s="129" t="str">
        <f t="shared" si="2"/>
        <v/>
      </c>
      <c r="R18" s="15" t="s">
        <v>47</v>
      </c>
      <c r="S18" s="15"/>
      <c r="W18" s="28" t="s">
        <v>932</v>
      </c>
      <c r="X18" s="27"/>
      <c r="Y18" s="27"/>
      <c r="Z18" s="27"/>
      <c r="AA18" s="27"/>
      <c r="AB18" s="27"/>
      <c r="AC18" s="27"/>
      <c r="AD18" s="27"/>
      <c r="AE18" s="27"/>
      <c r="AF18" s="27"/>
      <c r="AG18" s="27"/>
      <c r="AH18" s="27"/>
      <c r="AI18" s="27"/>
      <c r="AJ18" s="27"/>
      <c r="AK18" s="27"/>
      <c r="AL18" s="27"/>
      <c r="AM18" s="27"/>
      <c r="AN18" s="27"/>
      <c r="AO18" s="27"/>
      <c r="AP18" s="27"/>
      <c r="AQ18" s="27"/>
      <c r="AR18" s="27"/>
    </row>
    <row r="19" spans="1:44" ht="18" customHeight="1" thickBot="1" x14ac:dyDescent="0.2">
      <c r="A19" s="37" t="s">
        <v>50</v>
      </c>
      <c r="B19" s="38" t="s">
        <v>353</v>
      </c>
      <c r="C19" s="109" t="str">
        <f>HYPERLINK(Hoofddocument!$H$19,Hoofddocument!$G$19)</f>
        <v>Data-analist met Power BI</v>
      </c>
      <c r="D19" s="17"/>
      <c r="E19" s="17"/>
      <c r="F19" s="19"/>
      <c r="G19" s="18"/>
      <c r="H19" s="37" t="s">
        <v>50</v>
      </c>
      <c r="I19" s="38" t="s">
        <v>353</v>
      </c>
      <c r="J19" s="109" t="str">
        <f>HYPERLINK(Hoofddocument!$H$19,Hoofddocument!$G$19)</f>
        <v>Data-analist met Power BI</v>
      </c>
      <c r="K19" s="129" t="str">
        <f t="shared" si="3"/>
        <v/>
      </c>
      <c r="L19" s="129" t="str">
        <f t="shared" si="1"/>
        <v/>
      </c>
      <c r="M19" s="129" t="str">
        <f t="shared" si="2"/>
        <v/>
      </c>
      <c r="R19" s="15" t="s">
        <v>114</v>
      </c>
      <c r="S19" s="15"/>
      <c r="W19" s="28" t="s">
        <v>940</v>
      </c>
      <c r="X19" s="27"/>
      <c r="Y19" s="27"/>
      <c r="Z19" s="27"/>
      <c r="AA19" s="27"/>
      <c r="AB19" s="27"/>
      <c r="AC19" s="27"/>
      <c r="AD19" s="27"/>
      <c r="AE19" s="27"/>
      <c r="AF19" s="27"/>
      <c r="AG19" s="27"/>
      <c r="AH19" s="27"/>
      <c r="AI19" s="27"/>
      <c r="AJ19" s="27"/>
      <c r="AK19" s="27"/>
      <c r="AL19" s="27"/>
      <c r="AM19" s="27"/>
      <c r="AN19" s="27"/>
      <c r="AO19" s="27"/>
      <c r="AP19" s="27"/>
      <c r="AQ19" s="27"/>
      <c r="AR19" s="27"/>
    </row>
    <row r="20" spans="1:44" ht="18" customHeight="1" thickBot="1" x14ac:dyDescent="0.2">
      <c r="A20" s="37" t="s">
        <v>50</v>
      </c>
      <c r="B20" s="38" t="s">
        <v>353</v>
      </c>
      <c r="C20" s="109" t="str">
        <f>HYPERLINK(Hoofddocument!$H$20,Hoofddocument!$G$20)</f>
        <v>Power BI Advanced</v>
      </c>
      <c r="D20" s="17"/>
      <c r="E20" s="17"/>
      <c r="F20" s="19"/>
      <c r="G20" s="18"/>
      <c r="H20" s="37" t="s">
        <v>50</v>
      </c>
      <c r="I20" s="38" t="s">
        <v>353</v>
      </c>
      <c r="J20" s="109" t="str">
        <f>HYPERLINK(Hoofddocument!$H$20,Hoofddocument!$G$20)</f>
        <v>Power BI Advanced</v>
      </c>
      <c r="K20" s="129" t="str">
        <f t="shared" si="3"/>
        <v/>
      </c>
      <c r="L20" s="129" t="str">
        <f t="shared" si="1"/>
        <v/>
      </c>
      <c r="M20" s="129" t="str">
        <f t="shared" si="2"/>
        <v/>
      </c>
      <c r="R20" s="15" t="s">
        <v>94</v>
      </c>
      <c r="S20" s="15"/>
      <c r="W20" s="28" t="s">
        <v>960</v>
      </c>
      <c r="X20" s="27"/>
      <c r="Y20" s="27"/>
      <c r="Z20" s="27"/>
      <c r="AA20" s="27"/>
      <c r="AB20" s="27"/>
      <c r="AC20" s="27"/>
      <c r="AD20" s="27"/>
      <c r="AE20" s="27"/>
      <c r="AF20" s="27"/>
      <c r="AG20" s="27"/>
      <c r="AH20" s="27"/>
      <c r="AI20" s="27"/>
      <c r="AJ20" s="27"/>
      <c r="AK20" s="27"/>
      <c r="AL20" s="27"/>
      <c r="AM20" s="27"/>
      <c r="AN20" s="27"/>
      <c r="AO20" s="27"/>
      <c r="AP20" s="27"/>
      <c r="AQ20" s="27"/>
      <c r="AR20" s="27"/>
    </row>
    <row r="21" spans="1:44" ht="18" customHeight="1" thickBot="1" x14ac:dyDescent="0.2">
      <c r="A21" s="37" t="s">
        <v>50</v>
      </c>
      <c r="B21" s="38" t="s">
        <v>271</v>
      </c>
      <c r="C21" s="109" t="str">
        <f>HYPERLINK(Hoofddocument!$H$21,Hoofddocument!$G$21)</f>
        <v>Functioneel ontwerp</v>
      </c>
      <c r="D21" s="17"/>
      <c r="E21" s="17"/>
      <c r="F21" s="19"/>
      <c r="G21" s="18"/>
      <c r="H21" s="37" t="s">
        <v>50</v>
      </c>
      <c r="I21" s="38" t="s">
        <v>271</v>
      </c>
      <c r="J21" s="109" t="str">
        <f>HYPERLINK(Hoofddocument!$H$21,Hoofddocument!$G$21)</f>
        <v>Functioneel ontwerp</v>
      </c>
      <c r="K21" s="125" t="str">
        <f t="shared" si="3"/>
        <v/>
      </c>
      <c r="L21" s="129" t="str">
        <f t="shared" si="1"/>
        <v/>
      </c>
      <c r="M21" s="129" t="str">
        <f t="shared" si="2"/>
        <v/>
      </c>
      <c r="R21" s="15"/>
      <c r="S21" s="15"/>
      <c r="W21" s="28" t="s">
        <v>1062</v>
      </c>
      <c r="X21" s="27"/>
      <c r="Y21" s="27"/>
      <c r="Z21" s="27"/>
      <c r="AA21" s="27"/>
      <c r="AB21" s="27"/>
      <c r="AC21" s="27"/>
      <c r="AD21" s="27"/>
      <c r="AE21" s="27"/>
      <c r="AF21" s="27"/>
      <c r="AG21" s="27"/>
      <c r="AH21" s="27"/>
      <c r="AI21" s="27"/>
      <c r="AJ21" s="27"/>
      <c r="AK21" s="27"/>
      <c r="AL21" s="27"/>
      <c r="AM21" s="27"/>
      <c r="AN21" s="27"/>
      <c r="AO21" s="27"/>
      <c r="AP21" s="27"/>
      <c r="AQ21" s="27"/>
      <c r="AR21" s="27"/>
    </row>
    <row r="22" spans="1:44" ht="18" customHeight="1" thickBot="1" x14ac:dyDescent="0.2">
      <c r="A22" s="37" t="s">
        <v>50</v>
      </c>
      <c r="B22" s="38" t="s">
        <v>717</v>
      </c>
      <c r="C22" s="109" t="str">
        <f>HYPERLINK(Hoofddocument!$H$22,Hoofddocument!$G$22)</f>
        <v>Masterclass Operations Management</v>
      </c>
      <c r="D22" s="17"/>
      <c r="E22" s="17"/>
      <c r="F22" s="19"/>
      <c r="G22" s="18"/>
      <c r="H22" s="37" t="s">
        <v>50</v>
      </c>
      <c r="I22" s="38" t="s">
        <v>717</v>
      </c>
      <c r="J22" s="109" t="str">
        <f>HYPERLINK(Hoofddocument!$H$22,Hoofddocument!$G$22)</f>
        <v>Masterclass Operations Management</v>
      </c>
      <c r="K22" s="129" t="str">
        <f t="shared" si="3"/>
        <v/>
      </c>
      <c r="L22" s="129" t="str">
        <f t="shared" si="1"/>
        <v/>
      </c>
      <c r="M22" s="129" t="str">
        <f t="shared" si="2"/>
        <v/>
      </c>
      <c r="R22" s="15"/>
      <c r="S22" s="15"/>
      <c r="W22" s="28" t="s">
        <v>948</v>
      </c>
      <c r="X22" s="27"/>
      <c r="Y22" s="27"/>
      <c r="Z22" s="27"/>
      <c r="AA22" s="27"/>
      <c r="AB22" s="27"/>
      <c r="AC22" s="27"/>
      <c r="AD22" s="27"/>
      <c r="AE22" s="27"/>
      <c r="AF22" s="27"/>
      <c r="AG22" s="27"/>
      <c r="AH22" s="27"/>
      <c r="AI22" s="27"/>
      <c r="AJ22" s="27"/>
      <c r="AK22" s="27"/>
      <c r="AL22" s="27"/>
      <c r="AM22" s="27"/>
      <c r="AN22" s="27"/>
      <c r="AO22" s="27"/>
      <c r="AP22" s="27"/>
      <c r="AQ22" s="27"/>
      <c r="AR22" s="27"/>
    </row>
    <row r="23" spans="1:44" ht="18" customHeight="1" thickBot="1" x14ac:dyDescent="0.2">
      <c r="A23" s="37" t="s">
        <v>50</v>
      </c>
      <c r="B23" s="38" t="s">
        <v>717</v>
      </c>
      <c r="C23" s="109" t="str">
        <f>HYPERLINK(Hoofddocument!$H$23,Hoofddocument!$G$23)</f>
        <v>Business Process Management</v>
      </c>
      <c r="D23" s="17"/>
      <c r="E23" s="17"/>
      <c r="F23" s="19"/>
      <c r="G23" s="18"/>
      <c r="H23" s="37" t="s">
        <v>50</v>
      </c>
      <c r="I23" s="38" t="s">
        <v>717</v>
      </c>
      <c r="J23" s="109" t="str">
        <f>HYPERLINK(Hoofddocument!$H$23,Hoofddocument!$G$23)</f>
        <v>Business Process Management</v>
      </c>
      <c r="K23" s="125" t="str">
        <f t="shared" si="3"/>
        <v/>
      </c>
      <c r="L23" s="125" t="str">
        <f t="shared" si="1"/>
        <v/>
      </c>
      <c r="M23" s="129" t="str">
        <f t="shared" si="2"/>
        <v/>
      </c>
      <c r="R23" s="15"/>
      <c r="S23" s="15"/>
      <c r="W23" s="28" t="s">
        <v>1061</v>
      </c>
      <c r="X23" s="27"/>
      <c r="Y23" s="27"/>
      <c r="Z23" s="27"/>
      <c r="AA23" s="27"/>
      <c r="AB23" s="27"/>
      <c r="AC23" s="27"/>
      <c r="AD23" s="27"/>
      <c r="AE23" s="27"/>
      <c r="AF23" s="27"/>
      <c r="AG23" s="27"/>
      <c r="AH23" s="27"/>
      <c r="AI23" s="27"/>
      <c r="AJ23" s="27"/>
      <c r="AK23" s="27"/>
      <c r="AL23" s="27"/>
      <c r="AM23" s="27"/>
      <c r="AN23" s="27"/>
      <c r="AO23" s="27"/>
      <c r="AP23" s="27"/>
      <c r="AQ23" s="27"/>
      <c r="AR23" s="27"/>
    </row>
    <row r="24" spans="1:44" ht="18" customHeight="1" thickBot="1" x14ac:dyDescent="0.2">
      <c r="A24" s="37" t="s">
        <v>50</v>
      </c>
      <c r="B24" s="38" t="s">
        <v>69</v>
      </c>
      <c r="C24" s="109" t="str">
        <f>HYPERLINK(Hoofddocument!$H$24,Hoofddocument!$G$24)</f>
        <v>Requirements Analyse en Management</v>
      </c>
      <c r="D24" s="17"/>
      <c r="E24" s="17"/>
      <c r="F24" s="19"/>
      <c r="G24" s="18"/>
      <c r="H24" s="37" t="s">
        <v>50</v>
      </c>
      <c r="I24" s="38" t="s">
        <v>69</v>
      </c>
      <c r="J24" s="109" t="str">
        <f>HYPERLINK(Hoofddocument!$H$24,Hoofddocument!$G$24)</f>
        <v>Requirements Analyse en Management</v>
      </c>
      <c r="K24" s="125" t="str">
        <f t="shared" si="3"/>
        <v/>
      </c>
      <c r="L24" s="125" t="str">
        <f t="shared" si="1"/>
        <v/>
      </c>
      <c r="M24" s="129" t="str">
        <f t="shared" si="2"/>
        <v/>
      </c>
      <c r="R24" s="15"/>
      <c r="S24" s="15"/>
      <c r="W24" s="28" t="s">
        <v>945</v>
      </c>
      <c r="X24" s="27"/>
      <c r="Y24" s="27"/>
      <c r="Z24" s="27"/>
      <c r="AA24" s="27"/>
      <c r="AB24" s="27"/>
      <c r="AC24" s="27"/>
      <c r="AD24" s="27"/>
      <c r="AE24" s="27"/>
      <c r="AF24" s="27"/>
      <c r="AG24" s="27"/>
      <c r="AH24" s="27"/>
      <c r="AI24" s="27"/>
      <c r="AJ24" s="27"/>
      <c r="AK24" s="27"/>
      <c r="AL24" s="27"/>
      <c r="AM24" s="27"/>
      <c r="AN24" s="27"/>
      <c r="AO24" s="27"/>
      <c r="AP24" s="27"/>
      <c r="AQ24" s="27"/>
      <c r="AR24" s="27"/>
    </row>
    <row r="25" spans="1:44" ht="18" customHeight="1" thickBot="1" x14ac:dyDescent="0.2">
      <c r="A25" s="37" t="s">
        <v>52</v>
      </c>
      <c r="B25" s="38" t="s">
        <v>116</v>
      </c>
      <c r="C25" s="109" t="str">
        <f>HYPERLINK(Hoofddocument!$H$25,Hoofddocument!$G$25)</f>
        <v>ArchiMate® 3.1 Training course Level 1 and 2 Combined</v>
      </c>
      <c r="D25" s="17"/>
      <c r="E25" s="17"/>
      <c r="F25" s="19"/>
      <c r="G25" s="18"/>
      <c r="H25" s="37" t="s">
        <v>52</v>
      </c>
      <c r="I25" s="38" t="s">
        <v>116</v>
      </c>
      <c r="J25" s="109" t="str">
        <f>HYPERLINK(Hoofddocument!$H$25,Hoofddocument!$G$25)</f>
        <v>ArchiMate® 3.1 Training course Level 1 and 2 Combined</v>
      </c>
      <c r="K25" s="129" t="str">
        <f t="shared" si="3"/>
        <v/>
      </c>
      <c r="L25" s="129" t="str">
        <f t="shared" si="1"/>
        <v/>
      </c>
      <c r="M25" s="129" t="str">
        <f t="shared" si="2"/>
        <v/>
      </c>
      <c r="R25" s="15"/>
      <c r="S25" s="15"/>
      <c r="W25" s="28" t="s">
        <v>1063</v>
      </c>
      <c r="X25" s="27"/>
      <c r="Y25" s="27"/>
      <c r="Z25" s="27"/>
      <c r="AA25" s="27"/>
      <c r="AB25" s="27"/>
      <c r="AC25" s="27"/>
      <c r="AD25" s="27"/>
      <c r="AE25" s="27"/>
      <c r="AF25" s="27"/>
      <c r="AG25" s="27"/>
      <c r="AH25" s="27"/>
      <c r="AI25" s="27"/>
      <c r="AJ25" s="27"/>
      <c r="AK25" s="27"/>
      <c r="AL25" s="27"/>
      <c r="AM25" s="27"/>
      <c r="AN25" s="27"/>
      <c r="AO25" s="27"/>
      <c r="AP25" s="27"/>
      <c r="AQ25" s="27"/>
      <c r="AR25" s="27"/>
    </row>
    <row r="26" spans="1:44" ht="18" customHeight="1" thickBot="1" x14ac:dyDescent="0.2">
      <c r="A26" s="37" t="s">
        <v>52</v>
      </c>
      <c r="B26" s="38" t="s">
        <v>116</v>
      </c>
      <c r="C26" s="109" t="str">
        <f>HYPERLINK(Hoofddocument!$H$26,Hoofddocument!$G$26)</f>
        <v>Software Architectuur en Ontwerp</v>
      </c>
      <c r="D26" s="17"/>
      <c r="E26" s="17"/>
      <c r="F26" s="19"/>
      <c r="G26" s="18"/>
      <c r="H26" s="37" t="s">
        <v>52</v>
      </c>
      <c r="I26" s="38" t="s">
        <v>116</v>
      </c>
      <c r="J26" s="109" t="str">
        <f>HYPERLINK(Hoofddocument!$H$26,Hoofddocument!$G$26)</f>
        <v>Software Architectuur en Ontwerp</v>
      </c>
      <c r="K26" s="129" t="str">
        <f t="shared" si="3"/>
        <v/>
      </c>
      <c r="L26" s="129" t="str">
        <f t="shared" si="1"/>
        <v/>
      </c>
      <c r="M26" s="129" t="str">
        <f t="shared" si="2"/>
        <v/>
      </c>
      <c r="R26" s="15"/>
      <c r="S26" s="15"/>
      <c r="W26" s="28" t="s">
        <v>40</v>
      </c>
    </row>
    <row r="27" spans="1:44" ht="18" customHeight="1" thickBot="1" x14ac:dyDescent="0.2">
      <c r="A27" s="37" t="s">
        <v>52</v>
      </c>
      <c r="B27" s="38" t="s">
        <v>116</v>
      </c>
      <c r="C27" s="109" t="str">
        <f>HYPERLINK(Hoofddocument!$H$27,Hoofddocument!$G$27)</f>
        <v>DYA Fundamentals</v>
      </c>
      <c r="D27" s="17"/>
      <c r="E27" s="17"/>
      <c r="F27" s="19"/>
      <c r="G27" s="18"/>
      <c r="H27" s="37" t="s">
        <v>52</v>
      </c>
      <c r="I27" s="38" t="s">
        <v>116</v>
      </c>
      <c r="J27" s="109" t="str">
        <f>HYPERLINK(Hoofddocument!$H$27,Hoofddocument!$G$27)</f>
        <v>DYA Fundamentals</v>
      </c>
      <c r="K27" s="129" t="str">
        <f t="shared" si="3"/>
        <v/>
      </c>
      <c r="L27" s="129" t="str">
        <f t="shared" si="1"/>
        <v/>
      </c>
      <c r="M27" s="129" t="str">
        <f t="shared" si="2"/>
        <v/>
      </c>
      <c r="R27" s="15"/>
      <c r="S27" s="15"/>
      <c r="W27" s="28" t="s">
        <v>951</v>
      </c>
    </row>
    <row r="28" spans="1:44" ht="18" customHeight="1" thickBot="1" x14ac:dyDescent="0.2">
      <c r="A28" s="37" t="s">
        <v>52</v>
      </c>
      <c r="B28" s="38" t="s">
        <v>116</v>
      </c>
      <c r="C28" s="109" t="str">
        <f>HYPERLINK(Hoofddocument!$H$28,Hoofddocument!$G$28)</f>
        <v>Bizzdesign Enterprise Studio</v>
      </c>
      <c r="D28" s="17"/>
      <c r="E28" s="17"/>
      <c r="F28" s="19"/>
      <c r="G28" s="18"/>
      <c r="H28" s="37" t="s">
        <v>52</v>
      </c>
      <c r="I28" s="38" t="s">
        <v>116</v>
      </c>
      <c r="J28" s="109" t="str">
        <f>HYPERLINK(Hoofddocument!$H$28,Hoofddocument!$G$28)</f>
        <v>Bizzdesign Enterprise Studio</v>
      </c>
      <c r="K28" s="129" t="str">
        <f t="shared" si="3"/>
        <v/>
      </c>
      <c r="L28" s="129" t="str">
        <f t="shared" si="1"/>
        <v/>
      </c>
      <c r="M28" s="129" t="str">
        <f t="shared" si="2"/>
        <v/>
      </c>
      <c r="W28" s="28" t="s">
        <v>38</v>
      </c>
    </row>
    <row r="29" spans="1:44" ht="18" customHeight="1" thickBot="1" x14ac:dyDescent="0.2">
      <c r="A29" s="37" t="s">
        <v>52</v>
      </c>
      <c r="B29" s="38" t="s">
        <v>116</v>
      </c>
      <c r="C29" s="109" t="str">
        <f>HYPERLINK(Hoofddocument!$H$29,Hoofddocument!$G$29)</f>
        <v>Certified General Enterprise Architect (GEA©)</v>
      </c>
      <c r="D29" s="17"/>
      <c r="E29" s="17"/>
      <c r="F29" s="19"/>
      <c r="G29" s="18"/>
      <c r="H29" s="37" t="s">
        <v>52</v>
      </c>
      <c r="I29" s="38" t="s">
        <v>116</v>
      </c>
      <c r="J29" s="109" t="str">
        <f>HYPERLINK(Hoofddocument!$H$29,Hoofddocument!$G$29)</f>
        <v>Certified General Enterprise Architect (GEA©)</v>
      </c>
      <c r="K29" s="129" t="str">
        <f t="shared" si="3"/>
        <v/>
      </c>
      <c r="L29" s="129" t="str">
        <f t="shared" si="1"/>
        <v/>
      </c>
      <c r="M29" s="129" t="str">
        <f t="shared" si="2"/>
        <v/>
      </c>
      <c r="W29" s="28" t="s">
        <v>938</v>
      </c>
    </row>
    <row r="30" spans="1:44" ht="18" customHeight="1" thickBot="1" x14ac:dyDescent="0.2">
      <c r="A30" s="37" t="s">
        <v>52</v>
      </c>
      <c r="B30" s="38" t="s">
        <v>116</v>
      </c>
      <c r="C30" s="109" t="str">
        <f>HYPERLINK(Hoofddocument!$H$30,Hoofddocument!$G$30)</f>
        <v>Architectuur en informatiebeveiliging</v>
      </c>
      <c r="D30" s="17"/>
      <c r="E30" s="17"/>
      <c r="F30" s="19"/>
      <c r="G30" s="18"/>
      <c r="H30" s="37" t="s">
        <v>52</v>
      </c>
      <c r="I30" s="38" t="s">
        <v>116</v>
      </c>
      <c r="J30" s="109" t="str">
        <f>HYPERLINK(Hoofddocument!$H$30,Hoofddocument!$G$30)</f>
        <v>Architectuur en informatiebeveiliging</v>
      </c>
      <c r="K30" s="129" t="str">
        <f t="shared" si="3"/>
        <v/>
      </c>
      <c r="L30" s="129" t="str">
        <f t="shared" si="1"/>
        <v/>
      </c>
      <c r="M30" s="129" t="str">
        <f t="shared" si="2"/>
        <v/>
      </c>
      <c r="W30" s="28" t="s">
        <v>941</v>
      </c>
    </row>
    <row r="31" spans="1:44" ht="18" customHeight="1" thickBot="1" x14ac:dyDescent="0.2">
      <c r="A31" s="43" t="s">
        <v>52</v>
      </c>
      <c r="B31" s="44" t="s">
        <v>116</v>
      </c>
      <c r="C31" s="109" t="str">
        <f>HYPERLINK(Hoofddocument!$H$31,Hoofddocument!$G$31)</f>
        <v>Masterclass Enterprise Architectuur (NAF)</v>
      </c>
      <c r="D31" s="17"/>
      <c r="E31" s="17"/>
      <c r="F31" s="19"/>
      <c r="G31" s="18"/>
      <c r="H31" s="43" t="s">
        <v>52</v>
      </c>
      <c r="I31" s="44" t="s">
        <v>116</v>
      </c>
      <c r="J31" s="109" t="str">
        <f>HYPERLINK(Hoofddocument!$H$31,Hoofddocument!$G$31)</f>
        <v>Masterclass Enterprise Architectuur (NAF)</v>
      </c>
      <c r="K31" s="129" t="str">
        <f t="shared" si="3"/>
        <v/>
      </c>
      <c r="L31" s="129" t="str">
        <f t="shared" si="1"/>
        <v/>
      </c>
      <c r="M31" s="129" t="str">
        <f t="shared" si="2"/>
        <v/>
      </c>
      <c r="W31" s="28" t="s">
        <v>37</v>
      </c>
    </row>
    <row r="32" spans="1:44" ht="18" customHeight="1" thickBot="1" x14ac:dyDescent="0.2">
      <c r="A32" s="43" t="s">
        <v>52</v>
      </c>
      <c r="B32" s="38" t="s">
        <v>116</v>
      </c>
      <c r="C32" s="109" t="str">
        <f>HYPERLINK(Hoofddocument!$H$32,Hoofddocument!$G$32)</f>
        <v>Bedrijfsarchitectuur voor professionals</v>
      </c>
      <c r="D32" s="17"/>
      <c r="E32" s="17"/>
      <c r="F32" s="19"/>
      <c r="G32" s="18"/>
      <c r="H32" s="43" t="s">
        <v>52</v>
      </c>
      <c r="I32" s="38" t="s">
        <v>116</v>
      </c>
      <c r="J32" s="109" t="str">
        <f>HYPERLINK(Hoofddocument!$H$32,Hoofddocument!$G$32)</f>
        <v>Bedrijfsarchitectuur voor professionals</v>
      </c>
      <c r="K32" s="129" t="str">
        <f t="shared" si="3"/>
        <v/>
      </c>
      <c r="L32" s="129" t="str">
        <f t="shared" si="1"/>
        <v/>
      </c>
      <c r="M32" s="129" t="str">
        <f t="shared" si="2"/>
        <v/>
      </c>
      <c r="W32" s="28" t="s">
        <v>961</v>
      </c>
    </row>
    <row r="33" spans="1:23" ht="18" customHeight="1" thickBot="1" x14ac:dyDescent="0.2">
      <c r="A33" s="43" t="s">
        <v>52</v>
      </c>
      <c r="B33" s="44" t="s">
        <v>116</v>
      </c>
      <c r="C33" s="109" t="str">
        <f>HYPERLINK(Hoofddocument!$H$33,Hoofddocument!$G$33)</f>
        <v>Functiepunt Analyse</v>
      </c>
      <c r="D33" s="17"/>
      <c r="E33" s="17"/>
      <c r="F33" s="19"/>
      <c r="G33" s="18"/>
      <c r="H33" s="43" t="s">
        <v>52</v>
      </c>
      <c r="I33" s="44" t="s">
        <v>116</v>
      </c>
      <c r="J33" s="109" t="str">
        <f>HYPERLINK(Hoofddocument!$H$33,Hoofddocument!$G$33)</f>
        <v>Functiepunt Analyse</v>
      </c>
      <c r="K33" s="129" t="str">
        <f t="shared" si="3"/>
        <v/>
      </c>
      <c r="L33" s="129" t="str">
        <f t="shared" si="1"/>
        <v/>
      </c>
      <c r="M33" s="129" t="str">
        <f t="shared" si="2"/>
        <v/>
      </c>
      <c r="W33" s="28" t="s">
        <v>953</v>
      </c>
    </row>
    <row r="34" spans="1:23" ht="18" customHeight="1" thickBot="1" x14ac:dyDescent="0.2">
      <c r="A34" s="37" t="s">
        <v>52</v>
      </c>
      <c r="B34" s="38" t="s">
        <v>116</v>
      </c>
      <c r="C34" s="109" t="str">
        <f>HYPERLINK(Hoofddocument!$H$34,Hoofddocument!$G$34)</f>
        <v>SABSA Foundation</v>
      </c>
      <c r="D34" s="17"/>
      <c r="E34" s="17"/>
      <c r="F34" s="19"/>
      <c r="G34" s="18"/>
      <c r="H34" s="37" t="s">
        <v>52</v>
      </c>
      <c r="I34" s="38" t="s">
        <v>116</v>
      </c>
      <c r="J34" s="109" t="str">
        <f>HYPERLINK(Hoofddocument!$H$34,Hoofddocument!$G$34)</f>
        <v>SABSA Foundation</v>
      </c>
      <c r="K34" s="129" t="str">
        <f t="shared" si="3"/>
        <v/>
      </c>
      <c r="L34" s="129" t="str">
        <f t="shared" si="1"/>
        <v/>
      </c>
      <c r="M34" s="129" t="str">
        <f t="shared" si="2"/>
        <v/>
      </c>
      <c r="W34" s="28" t="s">
        <v>958</v>
      </c>
    </row>
    <row r="35" spans="1:23" ht="18" customHeight="1" thickBot="1" x14ac:dyDescent="0.2">
      <c r="A35" s="37" t="s">
        <v>52</v>
      </c>
      <c r="B35" s="38" t="s">
        <v>116</v>
      </c>
      <c r="C35" s="109" t="str">
        <f>HYPERLINK(Hoofddocument!$H$35,Hoofddocument!$G$35)</f>
        <v>Service Oriented Architecture (S0A)</v>
      </c>
      <c r="D35" s="17"/>
      <c r="E35" s="17"/>
      <c r="F35" s="19"/>
      <c r="G35" s="18"/>
      <c r="H35" s="37" t="s">
        <v>52</v>
      </c>
      <c r="I35" s="38" t="s">
        <v>116</v>
      </c>
      <c r="J35" s="109" t="str">
        <f>HYPERLINK(Hoofddocument!$H$35,Hoofddocument!$G$35)</f>
        <v>Service Oriented Architecture (S0A)</v>
      </c>
      <c r="K35" s="129" t="str">
        <f t="shared" si="3"/>
        <v/>
      </c>
      <c r="L35" s="129" t="str">
        <f t="shared" si="1"/>
        <v/>
      </c>
      <c r="M35" s="129" t="str">
        <f t="shared" si="2"/>
        <v/>
      </c>
      <c r="W35" s="28" t="s">
        <v>957</v>
      </c>
    </row>
    <row r="36" spans="1:23" ht="18" customHeight="1" thickBot="1" x14ac:dyDescent="0.2">
      <c r="A36" s="37" t="s">
        <v>52</v>
      </c>
      <c r="B36" s="38" t="s">
        <v>52</v>
      </c>
      <c r="C36" s="109" t="str">
        <f>HYPERLINK(Hoofddocument!$H$36,Hoofddocument!$G$36)</f>
        <v>Masterclass IT-architectuur</v>
      </c>
      <c r="D36" s="17"/>
      <c r="E36" s="17"/>
      <c r="F36" s="19"/>
      <c r="G36" s="18"/>
      <c r="H36" s="37" t="s">
        <v>52</v>
      </c>
      <c r="I36" s="38" t="s">
        <v>52</v>
      </c>
      <c r="J36" s="109" t="str">
        <f>HYPERLINK(Hoofddocument!$H$36,Hoofddocument!$G$36)</f>
        <v>Masterclass IT-architectuur</v>
      </c>
      <c r="K36" s="129" t="str">
        <f t="shared" si="3"/>
        <v/>
      </c>
      <c r="L36" s="125" t="str">
        <f t="shared" si="1"/>
        <v/>
      </c>
      <c r="M36" s="129" t="str">
        <f t="shared" si="2"/>
        <v/>
      </c>
      <c r="W36" s="28" t="s">
        <v>954</v>
      </c>
    </row>
    <row r="37" spans="1:23" ht="18" customHeight="1" thickBot="1" x14ac:dyDescent="0.2">
      <c r="A37" s="37" t="s">
        <v>52</v>
      </c>
      <c r="B37" s="38" t="s">
        <v>52</v>
      </c>
      <c r="C37" s="109" t="str">
        <f>HYPERLINK(Hoofddocument!$H$37,Hoofddocument!$G$37)</f>
        <v>IT Architectuur in de praktijk</v>
      </c>
      <c r="D37" s="17"/>
      <c r="E37" s="17"/>
      <c r="F37" s="19"/>
      <c r="G37" s="18"/>
      <c r="H37" s="37" t="s">
        <v>52</v>
      </c>
      <c r="I37" s="38" t="s">
        <v>52</v>
      </c>
      <c r="J37" s="109" t="str">
        <f>HYPERLINK(Hoofddocument!$H$37,Hoofddocument!$G$37)</f>
        <v>IT Architectuur in de praktijk</v>
      </c>
      <c r="K37" s="129" t="str">
        <f t="shared" si="3"/>
        <v/>
      </c>
      <c r="L37" s="129" t="str">
        <f t="shared" si="1"/>
        <v/>
      </c>
      <c r="M37" s="129" t="str">
        <f t="shared" si="2"/>
        <v/>
      </c>
      <c r="W37" s="28" t="s">
        <v>955</v>
      </c>
    </row>
    <row r="38" spans="1:23" ht="18" customHeight="1" thickBot="1" x14ac:dyDescent="0.2">
      <c r="A38" s="37" t="s">
        <v>52</v>
      </c>
      <c r="B38" s="38" t="s">
        <v>356</v>
      </c>
      <c r="C38" s="109" t="str">
        <f>HYPERLINK(Hoofddocument!$H$38,Hoofddocument!$G$38)</f>
        <v>BCS Business Architecture (Incompany)</v>
      </c>
      <c r="D38" s="17"/>
      <c r="E38" s="17"/>
      <c r="F38" s="19"/>
      <c r="G38" s="18"/>
      <c r="H38" s="37" t="s">
        <v>52</v>
      </c>
      <c r="I38" s="38" t="s">
        <v>356</v>
      </c>
      <c r="J38" s="109" t="str">
        <f>HYPERLINK(Hoofddocument!$H$38,Hoofddocument!$G$38)</f>
        <v>BCS Business Architecture (Incompany)</v>
      </c>
      <c r="K38" s="129" t="str">
        <f t="shared" si="3"/>
        <v/>
      </c>
      <c r="L38" s="129" t="str">
        <f t="shared" si="1"/>
        <v/>
      </c>
      <c r="M38" s="129" t="str">
        <f t="shared" si="2"/>
        <v/>
      </c>
      <c r="W38" s="28" t="s">
        <v>959</v>
      </c>
    </row>
    <row r="39" spans="1:23" ht="18" customHeight="1" thickBot="1" x14ac:dyDescent="0.2">
      <c r="A39" s="37" t="s">
        <v>52</v>
      </c>
      <c r="B39" s="38" t="s">
        <v>220</v>
      </c>
      <c r="C39" s="109" t="str">
        <f>HYPERLINK(Hoofddocument!$H$39,Hoofddocument!$G$39)</f>
        <v>Enterprise architectuur</v>
      </c>
      <c r="D39" s="17"/>
      <c r="E39" s="17"/>
      <c r="F39" s="19"/>
      <c r="G39" s="18"/>
      <c r="H39" s="37" t="s">
        <v>52</v>
      </c>
      <c r="I39" s="38" t="s">
        <v>220</v>
      </c>
      <c r="J39" s="109" t="str">
        <f>HYPERLINK(Hoofddocument!$H$39,Hoofddocument!$G$39)</f>
        <v>Enterprise architectuur</v>
      </c>
      <c r="K39" s="129" t="str">
        <f t="shared" si="3"/>
        <v/>
      </c>
      <c r="L39" s="129" t="str">
        <f t="shared" si="1"/>
        <v/>
      </c>
      <c r="M39" s="129" t="str">
        <f t="shared" si="2"/>
        <v/>
      </c>
      <c r="W39" s="28" t="s">
        <v>36</v>
      </c>
    </row>
    <row r="40" spans="1:23" ht="18" customHeight="1" thickBot="1" x14ac:dyDescent="0.2">
      <c r="A40" s="37" t="s">
        <v>52</v>
      </c>
      <c r="B40" s="38" t="s">
        <v>136</v>
      </c>
      <c r="C40" s="109" t="str">
        <f>HYPERLINK(Hoofddocument!$H$40,Hoofddocument!$G$40)</f>
        <v>Business Transformatie Planning</v>
      </c>
      <c r="D40" s="17"/>
      <c r="E40" s="17"/>
      <c r="F40" s="19"/>
      <c r="G40" s="18"/>
      <c r="H40" s="37" t="s">
        <v>52</v>
      </c>
      <c r="I40" s="38" t="s">
        <v>136</v>
      </c>
      <c r="J40" s="109" t="str">
        <f>HYPERLINK(Hoofddocument!$H$40,Hoofddocument!$G$40)</f>
        <v>Business Transformatie Planning</v>
      </c>
      <c r="K40" s="129" t="str">
        <f t="shared" si="3"/>
        <v/>
      </c>
      <c r="L40" s="129" t="str">
        <f t="shared" si="1"/>
        <v/>
      </c>
      <c r="M40" s="129" t="str">
        <f t="shared" si="2"/>
        <v/>
      </c>
      <c r="W40" s="28" t="s">
        <v>956</v>
      </c>
    </row>
    <row r="41" spans="1:23" ht="18" customHeight="1" thickBot="1" x14ac:dyDescent="0.2">
      <c r="A41" s="37" t="s">
        <v>52</v>
      </c>
      <c r="B41" s="38" t="s">
        <v>136</v>
      </c>
      <c r="C41" s="109" t="str">
        <f>HYPERLINK(Hoofddocument!$H$41,Hoofddocument!$G$41)</f>
        <v>Business IT-strategie &amp; informatieplanning</v>
      </c>
      <c r="D41" s="17"/>
      <c r="E41" s="17"/>
      <c r="F41" s="19"/>
      <c r="G41" s="18"/>
      <c r="H41" s="37" t="s">
        <v>52</v>
      </c>
      <c r="I41" s="38" t="s">
        <v>136</v>
      </c>
      <c r="J41" s="109" t="str">
        <f>HYPERLINK(Hoofddocument!$H$41,Hoofddocument!$G$41)</f>
        <v>Business IT-strategie &amp; informatieplanning</v>
      </c>
      <c r="K41" s="129" t="str">
        <f t="shared" si="3"/>
        <v/>
      </c>
      <c r="L41" s="17" t="str">
        <f t="shared" si="1"/>
        <v/>
      </c>
      <c r="M41" s="129" t="str">
        <f t="shared" si="2"/>
        <v/>
      </c>
      <c r="W41" s="28" t="s">
        <v>952</v>
      </c>
    </row>
    <row r="42" spans="1:23" ht="18" customHeight="1" thickBot="1" x14ac:dyDescent="0.2">
      <c r="A42" s="37" t="s">
        <v>52</v>
      </c>
      <c r="B42" s="38" t="s">
        <v>136</v>
      </c>
      <c r="C42" s="109" t="str">
        <f>HYPERLINK(Hoofddocument!$H$42,Hoofddocument!$G$42)</f>
        <v>Business Transformatieplanning</v>
      </c>
      <c r="D42" s="17"/>
      <c r="E42" s="17"/>
      <c r="F42" s="19"/>
      <c r="G42" s="18"/>
      <c r="H42" s="37" t="s">
        <v>52</v>
      </c>
      <c r="I42" s="38" t="s">
        <v>136</v>
      </c>
      <c r="J42" s="109" t="str">
        <f>HYPERLINK(Hoofddocument!$H$42,Hoofddocument!$G$42)</f>
        <v>Business Transformatieplanning</v>
      </c>
      <c r="K42" s="129" t="str">
        <f t="shared" si="3"/>
        <v/>
      </c>
      <c r="L42" s="129" t="str">
        <f t="shared" si="1"/>
        <v/>
      </c>
      <c r="M42" s="129" t="str">
        <f t="shared" si="2"/>
        <v/>
      </c>
      <c r="W42" s="28" t="s">
        <v>950</v>
      </c>
    </row>
    <row r="43" spans="1:23" ht="18" customHeight="1" thickBot="1" x14ac:dyDescent="0.2">
      <c r="A43" s="37" t="s">
        <v>52</v>
      </c>
      <c r="B43" s="38" t="s">
        <v>323</v>
      </c>
      <c r="C43" s="109" t="str">
        <f>HYPERLINK(Hoofddocument!$H$43,Hoofddocument!$G$43)</f>
        <v xml:space="preserve">Masterclass IT Governance, Riskmanagement &amp; Compliance </v>
      </c>
      <c r="D43" s="17"/>
      <c r="E43" s="17"/>
      <c r="F43" s="19"/>
      <c r="G43" s="18"/>
      <c r="H43" s="37" t="s">
        <v>52</v>
      </c>
      <c r="I43" s="38" t="s">
        <v>323</v>
      </c>
      <c r="J43" s="109" t="str">
        <f>HYPERLINK(Hoofddocument!$H$43,Hoofddocument!$G$43)</f>
        <v xml:space="preserve">Masterclass IT Governance, Riskmanagement &amp; Compliance </v>
      </c>
      <c r="K43" s="129" t="str">
        <f t="shared" si="3"/>
        <v/>
      </c>
      <c r="L43" s="129" t="str">
        <f t="shared" si="1"/>
        <v/>
      </c>
      <c r="M43" s="129" t="str">
        <f t="shared" si="2"/>
        <v/>
      </c>
      <c r="W43" s="28" t="s">
        <v>935</v>
      </c>
    </row>
    <row r="44" spans="1:23" ht="18" customHeight="1" thickBot="1" x14ac:dyDescent="0.2">
      <c r="A44" s="37" t="s">
        <v>52</v>
      </c>
      <c r="B44" s="38" t="s">
        <v>140</v>
      </c>
      <c r="C44" s="109" t="str">
        <f>HYPERLINK(Hoofddocument!$H$44,Hoofddocument!$G$44)</f>
        <v>SAFe for Architects</v>
      </c>
      <c r="D44" s="17"/>
      <c r="E44" s="17"/>
      <c r="F44" s="19"/>
      <c r="G44" s="18"/>
      <c r="H44" s="37" t="s">
        <v>52</v>
      </c>
      <c r="I44" s="38" t="s">
        <v>140</v>
      </c>
      <c r="J44" s="109" t="str">
        <f>HYPERLINK(Hoofddocument!$H$44,Hoofddocument!$G$44)</f>
        <v>SAFe for Architects</v>
      </c>
      <c r="K44" s="129" t="str">
        <f t="shared" si="3"/>
        <v/>
      </c>
      <c r="L44" s="129" t="str">
        <f t="shared" si="1"/>
        <v/>
      </c>
      <c r="M44" s="129" t="str">
        <f t="shared" si="2"/>
        <v/>
      </c>
      <c r="W44" s="28" t="s">
        <v>946</v>
      </c>
    </row>
    <row r="45" spans="1:23" ht="18" customHeight="1" thickBot="1" x14ac:dyDescent="0.2">
      <c r="A45" s="37" t="s">
        <v>389</v>
      </c>
      <c r="B45" s="38" t="s">
        <v>718</v>
      </c>
      <c r="C45" s="38" t="s">
        <v>799</v>
      </c>
      <c r="D45" s="17"/>
      <c r="E45" s="17"/>
      <c r="F45" s="19"/>
      <c r="G45" s="18"/>
      <c r="H45" s="37" t="s">
        <v>389</v>
      </c>
      <c r="I45" s="38" t="s">
        <v>718</v>
      </c>
      <c r="J45" s="38" t="s">
        <v>799</v>
      </c>
      <c r="K45" s="129" t="str">
        <f t="shared" si="3"/>
        <v/>
      </c>
      <c r="L45" s="129" t="str">
        <f t="shared" si="1"/>
        <v/>
      </c>
      <c r="M45" s="129" t="str">
        <f t="shared" si="2"/>
        <v/>
      </c>
      <c r="W45" s="28" t="s">
        <v>937</v>
      </c>
    </row>
    <row r="46" spans="1:23" ht="18" customHeight="1" thickBot="1" x14ac:dyDescent="0.2">
      <c r="A46" s="37" t="s">
        <v>389</v>
      </c>
      <c r="B46" s="38" t="s">
        <v>718</v>
      </c>
      <c r="C46" s="109" t="str">
        <f>HYPERLINK(Hoofddocument!$H$46,Hoofddocument!$G$46)</f>
        <v>Business Continuity Foundation</v>
      </c>
      <c r="D46" s="17"/>
      <c r="E46" s="17"/>
      <c r="F46" s="19"/>
      <c r="G46" s="18"/>
      <c r="H46" s="37" t="s">
        <v>389</v>
      </c>
      <c r="I46" s="38" t="s">
        <v>718</v>
      </c>
      <c r="J46" s="109" t="str">
        <f>HYPERLINK(Hoofddocument!$H$46,Hoofddocument!$G$46)</f>
        <v>Business Continuity Foundation</v>
      </c>
      <c r="K46" s="129" t="str">
        <f t="shared" si="3"/>
        <v/>
      </c>
      <c r="L46" s="129" t="str">
        <f t="shared" si="1"/>
        <v/>
      </c>
      <c r="M46" s="129" t="str">
        <f t="shared" si="2"/>
        <v/>
      </c>
    </row>
    <row r="47" spans="1:23" ht="18" customHeight="1" thickBot="1" x14ac:dyDescent="0.2">
      <c r="A47" s="43" t="s">
        <v>389</v>
      </c>
      <c r="B47" s="44" t="s">
        <v>718</v>
      </c>
      <c r="C47" s="109" t="str">
        <f>HYPERLINK(Hoofddocument!$H$47,Hoofddocument!$G$47)</f>
        <v>Business Continuity Practitioner</v>
      </c>
      <c r="D47" s="17"/>
      <c r="E47" s="17"/>
      <c r="F47" s="19"/>
      <c r="G47" s="18"/>
      <c r="H47" s="43" t="s">
        <v>389</v>
      </c>
      <c r="I47" s="44" t="s">
        <v>718</v>
      </c>
      <c r="J47" s="109" t="str">
        <f>HYPERLINK(Hoofddocument!$H$47,Hoofddocument!$G$47)</f>
        <v>Business Continuity Practitioner</v>
      </c>
      <c r="K47" s="129" t="str">
        <f t="shared" si="3"/>
        <v/>
      </c>
      <c r="L47" s="129" t="str">
        <f t="shared" si="1"/>
        <v/>
      </c>
      <c r="M47" s="129" t="str">
        <f t="shared" si="2"/>
        <v/>
      </c>
    </row>
    <row r="48" spans="1:23" ht="18" customHeight="1" thickBot="1" x14ac:dyDescent="0.2">
      <c r="A48" s="37" t="s">
        <v>389</v>
      </c>
      <c r="B48" s="38" t="s">
        <v>719</v>
      </c>
      <c r="C48" s="109" t="str">
        <f>HYPERLINK(Hoofddocument!$H$48,Hoofddocument!$G$48)</f>
        <v>Business Continuity Foundation</v>
      </c>
      <c r="D48" s="17"/>
      <c r="E48" s="17"/>
      <c r="F48" s="19"/>
      <c r="G48" s="18"/>
      <c r="H48" s="37" t="s">
        <v>389</v>
      </c>
      <c r="I48" s="38" t="s">
        <v>719</v>
      </c>
      <c r="J48" s="109" t="str">
        <f>HYPERLINK(Hoofddocument!$H$48,Hoofddocument!$G$48)</f>
        <v>Business Continuity Foundation</v>
      </c>
      <c r="K48" s="129" t="str">
        <f t="shared" si="3"/>
        <v/>
      </c>
      <c r="L48" s="129" t="str">
        <f t="shared" si="1"/>
        <v/>
      </c>
      <c r="M48" s="129" t="str">
        <f t="shared" si="2"/>
        <v/>
      </c>
    </row>
    <row r="49" spans="1:13" ht="18" customHeight="1" thickBot="1" x14ac:dyDescent="0.2">
      <c r="A49" s="37" t="s">
        <v>389</v>
      </c>
      <c r="B49" s="38" t="s">
        <v>514</v>
      </c>
      <c r="C49" s="109" t="str">
        <f>HYPERLINK(Hoofddocument!$H$49,Hoofddocument!$G$49)</f>
        <v>Baseline Informatiebeveiliging Overheid</v>
      </c>
      <c r="D49" s="17"/>
      <c r="E49" s="17"/>
      <c r="F49" s="19"/>
      <c r="G49" s="18"/>
      <c r="H49" s="37" t="s">
        <v>389</v>
      </c>
      <c r="I49" s="38" t="s">
        <v>514</v>
      </c>
      <c r="J49" s="109" t="str">
        <f>HYPERLINK(Hoofddocument!$H$49,Hoofddocument!$G$49)</f>
        <v>Baseline Informatiebeveiliging Overheid</v>
      </c>
      <c r="K49" s="129" t="str">
        <f t="shared" si="3"/>
        <v/>
      </c>
      <c r="L49" s="129" t="str">
        <f t="shared" si="1"/>
        <v/>
      </c>
      <c r="M49" s="129" t="str">
        <f t="shared" si="2"/>
        <v/>
      </c>
    </row>
    <row r="50" spans="1:13" ht="18" customHeight="1" thickBot="1" x14ac:dyDescent="0.2">
      <c r="A50" s="46" t="s">
        <v>389</v>
      </c>
      <c r="B50" s="45" t="s">
        <v>452</v>
      </c>
      <c r="C50" s="109" t="str">
        <f>HYPERLINK(Hoofddocument!$H$50,Hoofddocument!$G$50)</f>
        <v>Masterprogramma Cybersecurity</v>
      </c>
      <c r="D50" s="17"/>
      <c r="E50" s="17"/>
      <c r="F50" s="19"/>
      <c r="G50" s="18"/>
      <c r="H50" s="46" t="s">
        <v>389</v>
      </c>
      <c r="I50" s="45" t="s">
        <v>452</v>
      </c>
      <c r="J50" s="109" t="str">
        <f>HYPERLINK(Hoofddocument!$H$50,Hoofddocument!$G$50)</f>
        <v>Masterprogramma Cybersecurity</v>
      </c>
      <c r="K50" s="129" t="str">
        <f t="shared" si="3"/>
        <v/>
      </c>
      <c r="L50" s="129" t="str">
        <f t="shared" si="1"/>
        <v/>
      </c>
      <c r="M50" s="129" t="str">
        <f t="shared" si="2"/>
        <v/>
      </c>
    </row>
    <row r="51" spans="1:13" ht="18" customHeight="1" thickBot="1" x14ac:dyDescent="0.2">
      <c r="A51" s="37" t="s">
        <v>389</v>
      </c>
      <c r="B51" s="38" t="s">
        <v>390</v>
      </c>
      <c r="C51" s="109" t="str">
        <f>HYPERLINK(Hoofddocument!$H$51,Hoofddocument!$G$51)</f>
        <v>Informatiebeveiliging en Privacywetgeving in de Praktijk (DPO)</v>
      </c>
      <c r="D51" s="17"/>
      <c r="E51" s="17"/>
      <c r="F51" s="19"/>
      <c r="G51" s="18"/>
      <c r="H51" s="37" t="s">
        <v>389</v>
      </c>
      <c r="I51" s="38" t="s">
        <v>390</v>
      </c>
      <c r="J51" s="109" t="str">
        <f>HYPERLINK(Hoofddocument!$H$51,Hoofddocument!$G$51)</f>
        <v>Informatiebeveiliging en Privacywetgeving in de Praktijk (DPO)</v>
      </c>
      <c r="K51" s="129" t="str">
        <f t="shared" si="3"/>
        <v/>
      </c>
      <c r="L51" s="129" t="str">
        <f t="shared" si="1"/>
        <v/>
      </c>
      <c r="M51" s="129" t="str">
        <f t="shared" si="2"/>
        <v/>
      </c>
    </row>
    <row r="52" spans="1:13" ht="18" customHeight="1" thickBot="1" x14ac:dyDescent="0.2">
      <c r="A52" s="37" t="s">
        <v>389</v>
      </c>
      <c r="B52" s="38" t="s">
        <v>55</v>
      </c>
      <c r="C52" s="109" t="str">
        <f>HYPERLINK(Hoofddocument!$H$52,Hoofddocument!$G$52)</f>
        <v>Information Security Foundation</v>
      </c>
      <c r="D52" s="17"/>
      <c r="E52" s="17"/>
      <c r="F52" s="19"/>
      <c r="G52" s="18"/>
      <c r="H52" s="37" t="s">
        <v>389</v>
      </c>
      <c r="I52" s="38" t="s">
        <v>55</v>
      </c>
      <c r="J52" s="109" t="str">
        <f>HYPERLINK(Hoofddocument!$H$52,Hoofddocument!$G$52)</f>
        <v>Information Security Foundation</v>
      </c>
      <c r="K52" s="17" t="str">
        <f t="shared" si="3"/>
        <v/>
      </c>
      <c r="L52" s="17" t="str">
        <f t="shared" si="1"/>
        <v/>
      </c>
      <c r="M52" s="129" t="str">
        <f t="shared" si="2"/>
        <v/>
      </c>
    </row>
    <row r="53" spans="1:13" ht="18" customHeight="1" thickBot="1" x14ac:dyDescent="0.2">
      <c r="A53" s="37" t="s">
        <v>389</v>
      </c>
      <c r="B53" s="38" t="s">
        <v>55</v>
      </c>
      <c r="C53" s="109" t="str">
        <f>HYPERLINK(Hoofddocument!$H$53,Hoofddocument!$G$53)</f>
        <v>Certified Information Security Manager (CISM®)</v>
      </c>
      <c r="D53" s="17"/>
      <c r="E53" s="17"/>
      <c r="F53" s="19"/>
      <c r="G53" s="18"/>
      <c r="H53" s="37" t="s">
        <v>389</v>
      </c>
      <c r="I53" s="38" t="s">
        <v>55</v>
      </c>
      <c r="J53" s="109" t="str">
        <f>HYPERLINK(Hoofddocument!$H$53,Hoofddocument!$G$53)</f>
        <v>Certified Information Security Manager (CISM®)</v>
      </c>
      <c r="K53" s="129" t="str">
        <f t="shared" si="3"/>
        <v/>
      </c>
      <c r="L53" s="129" t="str">
        <f t="shared" si="1"/>
        <v/>
      </c>
      <c r="M53" s="129" t="str">
        <f t="shared" si="2"/>
        <v/>
      </c>
    </row>
    <row r="54" spans="1:13" ht="18" customHeight="1" thickBot="1" x14ac:dyDescent="0.2">
      <c r="A54" s="37" t="s">
        <v>389</v>
      </c>
      <c r="B54" s="38" t="s">
        <v>55</v>
      </c>
      <c r="C54" s="109" t="str">
        <f>HYPERLINK(Hoofddocument!$H$54,Hoofddocument!$G$54)</f>
        <v>Masterclass Security, Privacy &amp; Compliance</v>
      </c>
      <c r="D54" s="17"/>
      <c r="E54" s="17"/>
      <c r="F54" s="19"/>
      <c r="G54" s="18"/>
      <c r="H54" s="37" t="s">
        <v>389</v>
      </c>
      <c r="I54" s="38" t="s">
        <v>55</v>
      </c>
      <c r="J54" s="109" t="str">
        <f>HYPERLINK(Hoofddocument!$H$54,Hoofddocument!$G$54)</f>
        <v>Masterclass Security, Privacy &amp; Compliance</v>
      </c>
      <c r="K54" s="129" t="str">
        <f t="shared" si="3"/>
        <v/>
      </c>
      <c r="L54" s="129" t="str">
        <f t="shared" si="1"/>
        <v/>
      </c>
      <c r="M54" s="129" t="str">
        <f t="shared" si="2"/>
        <v/>
      </c>
    </row>
    <row r="55" spans="1:13" ht="18" customHeight="1" thickBot="1" x14ac:dyDescent="0.2">
      <c r="A55" s="37" t="s">
        <v>389</v>
      </c>
      <c r="B55" s="38" t="s">
        <v>55</v>
      </c>
      <c r="C55" s="109" t="str">
        <f>HYPERLINK(Hoofddocument!$H$55,Hoofddocument!$G$55)</f>
        <v>IT Security Practitioner</v>
      </c>
      <c r="D55" s="17"/>
      <c r="E55" s="17"/>
      <c r="F55" s="19"/>
      <c r="G55" s="18"/>
      <c r="H55" s="37" t="s">
        <v>389</v>
      </c>
      <c r="I55" s="38" t="s">
        <v>55</v>
      </c>
      <c r="J55" s="109" t="str">
        <f>HYPERLINK(Hoofddocument!$H$55,Hoofddocument!$G$55)</f>
        <v>IT Security Practitioner</v>
      </c>
      <c r="K55" s="129" t="str">
        <f t="shared" si="3"/>
        <v/>
      </c>
      <c r="L55" s="129" t="str">
        <f t="shared" si="1"/>
        <v/>
      </c>
      <c r="M55" s="129" t="str">
        <f t="shared" si="2"/>
        <v/>
      </c>
    </row>
    <row r="56" spans="1:13" ht="18" customHeight="1" thickBot="1" x14ac:dyDescent="0.2">
      <c r="A56" s="37" t="s">
        <v>389</v>
      </c>
      <c r="B56" s="38" t="s">
        <v>55</v>
      </c>
      <c r="C56" s="109" t="str">
        <f>HYPERLINK(Hoofddocument!$H$56,Hoofddocument!$G$56)</f>
        <v>CISA</v>
      </c>
      <c r="D56" s="17"/>
      <c r="E56" s="17"/>
      <c r="F56" s="19"/>
      <c r="G56" s="18"/>
      <c r="H56" s="37" t="s">
        <v>389</v>
      </c>
      <c r="I56" s="38" t="s">
        <v>55</v>
      </c>
      <c r="J56" s="109" t="str">
        <f>HYPERLINK(Hoofddocument!$H$56,Hoofddocument!$G$56)</f>
        <v>CISA</v>
      </c>
      <c r="K56" s="129" t="str">
        <f t="shared" si="3"/>
        <v/>
      </c>
      <c r="L56" s="129" t="str">
        <f t="shared" si="1"/>
        <v/>
      </c>
      <c r="M56" s="129" t="str">
        <f t="shared" si="2"/>
        <v/>
      </c>
    </row>
    <row r="57" spans="1:13" ht="18" customHeight="1" thickBot="1" x14ac:dyDescent="0.2">
      <c r="A57" s="37" t="s">
        <v>389</v>
      </c>
      <c r="B57" s="38" t="s">
        <v>55</v>
      </c>
      <c r="C57" s="109" t="str">
        <f>HYPERLINK(Hoofddocument!$H$57,Hoofddocument!$G$57)</f>
        <v>Certified Information Systems Security Professional (CISSP)</v>
      </c>
      <c r="D57" s="17"/>
      <c r="E57" s="17"/>
      <c r="F57" s="19"/>
      <c r="G57" s="18"/>
      <c r="H57" s="37" t="s">
        <v>389</v>
      </c>
      <c r="I57" s="38" t="s">
        <v>55</v>
      </c>
      <c r="J57" s="109" t="str">
        <f>HYPERLINK(Hoofddocument!$H$57,Hoofddocument!$G$57)</f>
        <v>Certified Information Systems Security Professional (CISSP)</v>
      </c>
      <c r="K57" s="129" t="str">
        <f t="shared" si="3"/>
        <v/>
      </c>
      <c r="L57" s="129" t="str">
        <f t="shared" si="1"/>
        <v/>
      </c>
      <c r="M57" s="129" t="str">
        <f t="shared" si="2"/>
        <v/>
      </c>
    </row>
    <row r="58" spans="1:13" ht="18" customHeight="1" thickBot="1" x14ac:dyDescent="0.2">
      <c r="A58" s="37" t="s">
        <v>389</v>
      </c>
      <c r="B58" s="38" t="s">
        <v>55</v>
      </c>
      <c r="C58" s="109" t="str">
        <f>HYPERLINK(Hoofddocument!$H$58,Hoofddocument!$G$58)</f>
        <v>CRISC</v>
      </c>
      <c r="D58" s="17"/>
      <c r="E58" s="17"/>
      <c r="F58" s="19"/>
      <c r="G58" s="18"/>
      <c r="H58" s="37" t="s">
        <v>389</v>
      </c>
      <c r="I58" s="38" t="s">
        <v>55</v>
      </c>
      <c r="J58" s="109" t="str">
        <f>HYPERLINK(Hoofddocument!$H$58,Hoofddocument!$G$58)</f>
        <v>CRISC</v>
      </c>
      <c r="K58" s="129" t="str">
        <f t="shared" si="3"/>
        <v/>
      </c>
      <c r="L58" s="129" t="str">
        <f t="shared" si="1"/>
        <v/>
      </c>
      <c r="M58" s="129" t="str">
        <f t="shared" si="2"/>
        <v/>
      </c>
    </row>
    <row r="59" spans="1:13" ht="18" customHeight="1" thickBot="1" x14ac:dyDescent="0.2">
      <c r="A59" s="37" t="s">
        <v>389</v>
      </c>
      <c r="B59" s="38" t="s">
        <v>55</v>
      </c>
      <c r="C59" s="109" t="str">
        <f>HYPERLINK(Hoofddocument!$H$59,Hoofddocument!$G$59)</f>
        <v>Certified Information Privacy Professional Europe (CIPP/E)</v>
      </c>
      <c r="D59" s="17"/>
      <c r="E59" s="17"/>
      <c r="F59" s="19"/>
      <c r="G59" s="18"/>
      <c r="H59" s="37" t="s">
        <v>389</v>
      </c>
      <c r="I59" s="38" t="s">
        <v>55</v>
      </c>
      <c r="J59" s="109" t="str">
        <f>HYPERLINK(Hoofddocument!$H$59,Hoofddocument!$G$59)</f>
        <v>Certified Information Privacy Professional Europe (CIPP/E)</v>
      </c>
      <c r="K59" s="129" t="str">
        <f t="shared" si="3"/>
        <v/>
      </c>
      <c r="L59" s="129" t="str">
        <f t="shared" si="1"/>
        <v/>
      </c>
      <c r="M59" s="129" t="str">
        <f t="shared" si="2"/>
        <v/>
      </c>
    </row>
    <row r="60" spans="1:13" ht="18" customHeight="1" thickBot="1" x14ac:dyDescent="0.2">
      <c r="A60" s="37" t="s">
        <v>389</v>
      </c>
      <c r="B60" s="38" t="s">
        <v>55</v>
      </c>
      <c r="C60" s="109" t="str">
        <f>HYPERLINK(Hoofddocument!$H$60,Hoofddocument!$G$60)</f>
        <v>IT-Security Foundation - Online - PLUS</v>
      </c>
      <c r="D60" s="17"/>
      <c r="E60" s="17"/>
      <c r="F60" s="19"/>
      <c r="G60" s="18"/>
      <c r="H60" s="37" t="s">
        <v>389</v>
      </c>
      <c r="I60" s="38" t="s">
        <v>55</v>
      </c>
      <c r="J60" s="109" t="str">
        <f>HYPERLINK(Hoofddocument!$H$60,Hoofddocument!$G$60)</f>
        <v>IT-Security Foundation - Online - PLUS</v>
      </c>
      <c r="K60" s="129" t="str">
        <f t="shared" si="3"/>
        <v/>
      </c>
      <c r="L60" s="129" t="str">
        <f t="shared" si="1"/>
        <v/>
      </c>
      <c r="M60" s="129" t="str">
        <f t="shared" si="2"/>
        <v/>
      </c>
    </row>
    <row r="61" spans="1:13" ht="18" customHeight="1" thickBot="1" x14ac:dyDescent="0.2">
      <c r="A61" s="37" t="s">
        <v>389</v>
      </c>
      <c r="B61" s="38" t="s">
        <v>55</v>
      </c>
      <c r="C61" s="109" t="str">
        <f>HYPERLINK(Hoofddocument!$H$61,Hoofddocument!$G$61)</f>
        <v>IT-Security Practitioner</v>
      </c>
      <c r="D61" s="17"/>
      <c r="E61" s="17"/>
      <c r="F61" s="19"/>
      <c r="G61" s="18"/>
      <c r="H61" s="37" t="s">
        <v>389</v>
      </c>
      <c r="I61" s="38" t="s">
        <v>55</v>
      </c>
      <c r="J61" s="109" t="str">
        <f>HYPERLINK(Hoofddocument!$H$61,Hoofddocument!$G$61)</f>
        <v>IT-Security Practitioner</v>
      </c>
      <c r="K61" s="129" t="str">
        <f t="shared" si="3"/>
        <v/>
      </c>
      <c r="L61" s="129" t="str">
        <f t="shared" si="1"/>
        <v/>
      </c>
      <c r="M61" s="129" t="str">
        <f t="shared" si="2"/>
        <v/>
      </c>
    </row>
    <row r="62" spans="1:13" ht="18" customHeight="1" thickBot="1" x14ac:dyDescent="0.2">
      <c r="A62" s="37" t="s">
        <v>389</v>
      </c>
      <c r="B62" s="38" t="s">
        <v>55</v>
      </c>
      <c r="C62" s="109" t="str">
        <f>HYPERLINK(Hoofddocument!$H$62,Hoofddocument!$G$62)</f>
        <v>Privacy &amp; Data Protection Foundation</v>
      </c>
      <c r="D62" s="17"/>
      <c r="E62" s="17"/>
      <c r="F62" s="19"/>
      <c r="G62" s="18"/>
      <c r="H62" s="37" t="s">
        <v>389</v>
      </c>
      <c r="I62" s="38" t="s">
        <v>55</v>
      </c>
      <c r="J62" s="109" t="str">
        <f>HYPERLINK(Hoofddocument!$H$62,Hoofddocument!$G$62)</f>
        <v>Privacy &amp; Data Protection Foundation</v>
      </c>
      <c r="K62" s="129" t="str">
        <f t="shared" si="3"/>
        <v/>
      </c>
      <c r="L62" s="129" t="str">
        <f t="shared" si="1"/>
        <v/>
      </c>
      <c r="M62" s="129" t="str">
        <f t="shared" si="2"/>
        <v/>
      </c>
    </row>
    <row r="63" spans="1:13" ht="18" customHeight="1" thickBot="1" x14ac:dyDescent="0.2">
      <c r="A63" s="37" t="s">
        <v>389</v>
      </c>
      <c r="B63" s="38" t="s">
        <v>1026</v>
      </c>
      <c r="C63" s="127" t="s">
        <v>999</v>
      </c>
      <c r="D63" s="17"/>
      <c r="E63" s="17"/>
      <c r="F63" s="19"/>
      <c r="G63" s="18"/>
      <c r="H63" s="37" t="s">
        <v>389</v>
      </c>
      <c r="I63" s="38" t="s">
        <v>1026</v>
      </c>
      <c r="J63" s="127" t="s">
        <v>999</v>
      </c>
      <c r="K63" s="129" t="str">
        <f t="shared" si="3"/>
        <v/>
      </c>
      <c r="L63" s="129" t="str">
        <f t="shared" si="1"/>
        <v/>
      </c>
      <c r="M63" s="129" t="str">
        <f t="shared" si="2"/>
        <v/>
      </c>
    </row>
    <row r="64" spans="1:13" ht="18" customHeight="1" thickBot="1" x14ac:dyDescent="0.2">
      <c r="A64" s="37" t="s">
        <v>389</v>
      </c>
      <c r="B64" s="38" t="s">
        <v>1026</v>
      </c>
      <c r="C64" s="109" t="str">
        <f>HYPERLINK(Hoofddocument!$H$64,Hoofddocument!$G$64)</f>
        <v>Certified Information Systems Security Professional (CISSP)</v>
      </c>
      <c r="D64" s="17"/>
      <c r="E64" s="17"/>
      <c r="F64" s="19"/>
      <c r="G64" s="18"/>
      <c r="H64" s="37" t="s">
        <v>389</v>
      </c>
      <c r="I64" s="38" t="s">
        <v>1026</v>
      </c>
      <c r="J64" s="109" t="str">
        <f>HYPERLINK(Hoofddocument!$H$64,Hoofddocument!$G$64)</f>
        <v>Certified Information Systems Security Professional (CISSP)</v>
      </c>
      <c r="K64" s="129" t="str">
        <f t="shared" si="3"/>
        <v/>
      </c>
      <c r="L64" s="129" t="str">
        <f t="shared" si="1"/>
        <v/>
      </c>
      <c r="M64" s="129" t="str">
        <f t="shared" si="2"/>
        <v/>
      </c>
    </row>
    <row r="65" spans="1:13" ht="18" customHeight="1" thickBot="1" x14ac:dyDescent="0.2">
      <c r="A65" s="37" t="s">
        <v>389</v>
      </c>
      <c r="B65" s="38" t="s">
        <v>1026</v>
      </c>
      <c r="C65" s="127" t="s">
        <v>1004</v>
      </c>
      <c r="D65" s="17"/>
      <c r="E65" s="17"/>
      <c r="F65" s="19"/>
      <c r="G65" s="18"/>
      <c r="H65" s="37" t="s">
        <v>389</v>
      </c>
      <c r="I65" s="38" t="s">
        <v>1026</v>
      </c>
      <c r="J65" s="127" t="s">
        <v>1004</v>
      </c>
      <c r="K65" s="129" t="str">
        <f t="shared" si="3"/>
        <v/>
      </c>
      <c r="L65" s="129" t="str">
        <f t="shared" si="1"/>
        <v/>
      </c>
      <c r="M65" s="129" t="str">
        <f t="shared" si="2"/>
        <v/>
      </c>
    </row>
    <row r="66" spans="1:13" ht="18" customHeight="1" thickBot="1" x14ac:dyDescent="0.2">
      <c r="A66" s="37" t="s">
        <v>389</v>
      </c>
      <c r="B66" s="38" t="s">
        <v>1026</v>
      </c>
      <c r="C66" s="127" t="s">
        <v>1027</v>
      </c>
      <c r="D66" s="17"/>
      <c r="E66" s="17"/>
      <c r="F66" s="19"/>
      <c r="G66" s="18"/>
      <c r="H66" s="37" t="s">
        <v>389</v>
      </c>
      <c r="I66" s="38" t="s">
        <v>1026</v>
      </c>
      <c r="J66" s="127" t="s">
        <v>1027</v>
      </c>
      <c r="K66" s="129" t="str">
        <f t="shared" si="3"/>
        <v/>
      </c>
      <c r="L66" s="129" t="str">
        <f t="shared" ref="L66:L129" si="4">IF(OR(AND(Niveau2="Basis",E66="B"),AND(Niveau2="Verdiepend",E66="V"),AND(Niveau2="Toon Alles",NOT(ISBLANK(E66)))),$U$2,"")</f>
        <v/>
      </c>
      <c r="M66" s="129" t="str">
        <f t="shared" ref="M66:M129" si="5">IF(OR(AND(Niveau3="Basis",F66="B"),AND(Niveau3="Verdiepend",F66="V"),AND(Niveau3="Toon Alles",NOT(ISBLANK(F66)))),$U$2,"")</f>
        <v/>
      </c>
    </row>
    <row r="67" spans="1:13" ht="18" customHeight="1" thickBot="1" x14ac:dyDescent="0.2">
      <c r="A67" s="37" t="s">
        <v>389</v>
      </c>
      <c r="B67" s="38" t="s">
        <v>1026</v>
      </c>
      <c r="C67" s="127" t="s">
        <v>1028</v>
      </c>
      <c r="D67" s="17"/>
      <c r="E67" s="17"/>
      <c r="F67" s="19"/>
      <c r="G67" s="18"/>
      <c r="H67" s="37" t="s">
        <v>389</v>
      </c>
      <c r="I67" s="38" t="s">
        <v>1026</v>
      </c>
      <c r="J67" s="127" t="s">
        <v>1028</v>
      </c>
      <c r="K67" s="129" t="str">
        <f t="shared" ref="K67:K130" si="6">IF(OR(AND(Niveau1="Basis",D67="B"),AND(Niveau1="Verdiepend",D67="V"),AND(Niveau1="Toon Alles",NOT(ISBLANK(D67)))),$U$2,"")</f>
        <v/>
      </c>
      <c r="L67" s="129" t="str">
        <f t="shared" si="4"/>
        <v/>
      </c>
      <c r="M67" s="129" t="str">
        <f t="shared" si="5"/>
        <v/>
      </c>
    </row>
    <row r="68" spans="1:13" ht="18" customHeight="1" thickBot="1" x14ac:dyDescent="0.2">
      <c r="A68" s="37" t="s">
        <v>389</v>
      </c>
      <c r="B68" s="38" t="s">
        <v>1026</v>
      </c>
      <c r="C68" s="109" t="str">
        <f>HYPERLINK(Hoofddocument!$H$68,Hoofddocument!$G$68)</f>
        <v>Microsoft Azure Fundamentals (AZ-900)</v>
      </c>
      <c r="D68" s="17"/>
      <c r="E68" s="17"/>
      <c r="F68" s="19"/>
      <c r="G68" s="18"/>
      <c r="H68" s="37" t="s">
        <v>389</v>
      </c>
      <c r="I68" s="38" t="s">
        <v>1026</v>
      </c>
      <c r="J68" s="109" t="str">
        <f>HYPERLINK(Hoofddocument!$H$68,Hoofddocument!$G$68)</f>
        <v>Microsoft Azure Fundamentals (AZ-900)</v>
      </c>
      <c r="K68" s="129" t="str">
        <f t="shared" si="6"/>
        <v/>
      </c>
      <c r="L68" s="129" t="str">
        <f t="shared" si="4"/>
        <v/>
      </c>
      <c r="M68" s="129" t="str">
        <f t="shared" si="5"/>
        <v/>
      </c>
    </row>
    <row r="69" spans="1:13" ht="18" customHeight="1" thickBot="1" x14ac:dyDescent="0.2">
      <c r="A69" s="37" t="s">
        <v>389</v>
      </c>
      <c r="B69" s="38" t="s">
        <v>1026</v>
      </c>
      <c r="C69" s="127" t="s">
        <v>1006</v>
      </c>
      <c r="D69" s="17"/>
      <c r="E69" s="17"/>
      <c r="F69" s="19"/>
      <c r="G69" s="18"/>
      <c r="H69" s="37" t="s">
        <v>389</v>
      </c>
      <c r="I69" s="38" t="s">
        <v>1026</v>
      </c>
      <c r="J69" s="127" t="s">
        <v>1006</v>
      </c>
      <c r="K69" s="129" t="str">
        <f t="shared" si="6"/>
        <v/>
      </c>
      <c r="L69" s="129" t="str">
        <f t="shared" si="4"/>
        <v/>
      </c>
      <c r="M69" s="129" t="str">
        <f t="shared" si="5"/>
        <v/>
      </c>
    </row>
    <row r="70" spans="1:13" ht="18" customHeight="1" thickBot="1" x14ac:dyDescent="0.2">
      <c r="A70" s="37" t="s">
        <v>389</v>
      </c>
      <c r="B70" s="38" t="s">
        <v>1026</v>
      </c>
      <c r="C70" s="127" t="s">
        <v>1007</v>
      </c>
      <c r="D70" s="17"/>
      <c r="E70" s="17"/>
      <c r="F70" s="19"/>
      <c r="G70" s="18"/>
      <c r="H70" s="37" t="s">
        <v>389</v>
      </c>
      <c r="I70" s="38" t="s">
        <v>1026</v>
      </c>
      <c r="J70" s="127" t="s">
        <v>1007</v>
      </c>
      <c r="K70" s="129" t="str">
        <f t="shared" si="6"/>
        <v/>
      </c>
      <c r="L70" s="129" t="str">
        <f t="shared" si="4"/>
        <v/>
      </c>
      <c r="M70" s="129" t="str">
        <f t="shared" si="5"/>
        <v/>
      </c>
    </row>
    <row r="71" spans="1:13" ht="18" customHeight="1" thickBot="1" x14ac:dyDescent="0.2">
      <c r="A71" s="37" t="s">
        <v>389</v>
      </c>
      <c r="B71" s="38" t="s">
        <v>1029</v>
      </c>
      <c r="C71" s="127" t="s">
        <v>1030</v>
      </c>
      <c r="D71" s="17"/>
      <c r="E71" s="17"/>
      <c r="F71" s="19"/>
      <c r="G71" s="18"/>
      <c r="H71" s="37" t="s">
        <v>389</v>
      </c>
      <c r="I71" s="38" t="s">
        <v>1029</v>
      </c>
      <c r="J71" s="127" t="s">
        <v>1030</v>
      </c>
      <c r="K71" s="129" t="str">
        <f t="shared" si="6"/>
        <v/>
      </c>
      <c r="L71" s="129" t="str">
        <f t="shared" si="4"/>
        <v/>
      </c>
      <c r="M71" s="129" t="str">
        <f t="shared" si="5"/>
        <v/>
      </c>
    </row>
    <row r="72" spans="1:13" ht="18" customHeight="1" thickBot="1" x14ac:dyDescent="0.2">
      <c r="A72" s="37" t="s">
        <v>389</v>
      </c>
      <c r="B72" s="38" t="s">
        <v>1029</v>
      </c>
      <c r="C72" s="127" t="s">
        <v>1031</v>
      </c>
      <c r="D72" s="17"/>
      <c r="E72" s="17"/>
      <c r="F72" s="19"/>
      <c r="G72" s="18"/>
      <c r="H72" s="37" t="s">
        <v>389</v>
      </c>
      <c r="I72" s="38" t="s">
        <v>1029</v>
      </c>
      <c r="J72" s="127" t="s">
        <v>1031</v>
      </c>
      <c r="K72" s="129" t="str">
        <f t="shared" si="6"/>
        <v/>
      </c>
      <c r="L72" s="129" t="str">
        <f t="shared" si="4"/>
        <v/>
      </c>
      <c r="M72" s="129" t="str">
        <f t="shared" si="5"/>
        <v/>
      </c>
    </row>
    <row r="73" spans="1:13" ht="18" customHeight="1" thickBot="1" x14ac:dyDescent="0.2">
      <c r="A73" s="37" t="s">
        <v>389</v>
      </c>
      <c r="B73" s="38" t="s">
        <v>1029</v>
      </c>
      <c r="C73" s="127" t="s">
        <v>1032</v>
      </c>
      <c r="D73" s="17"/>
      <c r="E73" s="17"/>
      <c r="F73" s="19"/>
      <c r="G73" s="18"/>
      <c r="H73" s="37" t="s">
        <v>389</v>
      </c>
      <c r="I73" s="38" t="s">
        <v>1029</v>
      </c>
      <c r="J73" s="127" t="s">
        <v>1032</v>
      </c>
      <c r="K73" s="129" t="str">
        <f t="shared" si="6"/>
        <v/>
      </c>
      <c r="L73" s="129" t="str">
        <f t="shared" si="4"/>
        <v/>
      </c>
      <c r="M73" s="129" t="str">
        <f t="shared" si="5"/>
        <v/>
      </c>
    </row>
    <row r="74" spans="1:13" ht="18" customHeight="1" thickBot="1" x14ac:dyDescent="0.2">
      <c r="A74" s="37" t="s">
        <v>389</v>
      </c>
      <c r="B74" s="38" t="s">
        <v>1029</v>
      </c>
      <c r="C74" s="127" t="s">
        <v>1033</v>
      </c>
      <c r="D74" s="17"/>
      <c r="E74" s="17"/>
      <c r="F74" s="19"/>
      <c r="G74" s="18"/>
      <c r="H74" s="37" t="s">
        <v>389</v>
      </c>
      <c r="I74" s="38" t="s">
        <v>1029</v>
      </c>
      <c r="J74" s="127" t="s">
        <v>1033</v>
      </c>
      <c r="K74" s="129" t="str">
        <f t="shared" si="6"/>
        <v/>
      </c>
      <c r="L74" s="129" t="str">
        <f t="shared" si="4"/>
        <v/>
      </c>
      <c r="M74" s="129" t="str">
        <f t="shared" si="5"/>
        <v/>
      </c>
    </row>
    <row r="75" spans="1:13" ht="18" customHeight="1" thickBot="1" x14ac:dyDescent="0.2">
      <c r="A75" s="37" t="s">
        <v>389</v>
      </c>
      <c r="B75" s="38" t="s">
        <v>1034</v>
      </c>
      <c r="C75" s="127" t="s">
        <v>1035</v>
      </c>
      <c r="D75" s="17"/>
      <c r="E75" s="17"/>
      <c r="F75" s="19"/>
      <c r="G75" s="18"/>
      <c r="H75" s="37" t="s">
        <v>389</v>
      </c>
      <c r="I75" s="38" t="s">
        <v>1034</v>
      </c>
      <c r="J75" s="127" t="s">
        <v>1035</v>
      </c>
      <c r="K75" s="129" t="str">
        <f t="shared" si="6"/>
        <v/>
      </c>
      <c r="L75" s="129" t="str">
        <f t="shared" si="4"/>
        <v/>
      </c>
      <c r="M75" s="129" t="str">
        <f t="shared" si="5"/>
        <v/>
      </c>
    </row>
    <row r="76" spans="1:13" ht="18" customHeight="1" thickBot="1" x14ac:dyDescent="0.2">
      <c r="A76" s="37" t="s">
        <v>389</v>
      </c>
      <c r="B76" s="38" t="s">
        <v>1034</v>
      </c>
      <c r="C76" s="127" t="s">
        <v>1036</v>
      </c>
      <c r="D76" s="17"/>
      <c r="E76" s="17"/>
      <c r="F76" s="19"/>
      <c r="G76" s="18"/>
      <c r="H76" s="37" t="s">
        <v>389</v>
      </c>
      <c r="I76" s="38" t="s">
        <v>1034</v>
      </c>
      <c r="J76" s="127" t="s">
        <v>1036</v>
      </c>
      <c r="K76" s="129" t="str">
        <f t="shared" si="6"/>
        <v/>
      </c>
      <c r="L76" s="129" t="str">
        <f t="shared" si="4"/>
        <v/>
      </c>
      <c r="M76" s="129" t="str">
        <f t="shared" si="5"/>
        <v/>
      </c>
    </row>
    <row r="77" spans="1:13" ht="18" customHeight="1" thickBot="1" x14ac:dyDescent="0.2">
      <c r="A77" s="37" t="s">
        <v>389</v>
      </c>
      <c r="B77" s="38" t="s">
        <v>1034</v>
      </c>
      <c r="C77" s="127" t="s">
        <v>1037</v>
      </c>
      <c r="D77" s="17"/>
      <c r="E77" s="17"/>
      <c r="F77" s="19"/>
      <c r="G77" s="18"/>
      <c r="H77" s="37" t="s">
        <v>389</v>
      </c>
      <c r="I77" s="38" t="s">
        <v>1034</v>
      </c>
      <c r="J77" s="127" t="s">
        <v>1037</v>
      </c>
      <c r="K77" s="129" t="str">
        <f t="shared" si="6"/>
        <v/>
      </c>
      <c r="L77" s="129" t="str">
        <f t="shared" si="4"/>
        <v/>
      </c>
      <c r="M77" s="129" t="str">
        <f t="shared" si="5"/>
        <v/>
      </c>
    </row>
    <row r="78" spans="1:13" ht="18" customHeight="1" thickBot="1" x14ac:dyDescent="0.2">
      <c r="A78" s="37" t="s">
        <v>389</v>
      </c>
      <c r="B78" s="38" t="s">
        <v>1034</v>
      </c>
      <c r="C78" s="127" t="s">
        <v>1038</v>
      </c>
      <c r="D78" s="17"/>
      <c r="E78" s="17"/>
      <c r="F78" s="19"/>
      <c r="G78" s="18"/>
      <c r="H78" s="37" t="s">
        <v>389</v>
      </c>
      <c r="I78" s="38" t="s">
        <v>1034</v>
      </c>
      <c r="J78" s="127" t="s">
        <v>1038</v>
      </c>
      <c r="K78" s="129" t="str">
        <f t="shared" si="6"/>
        <v/>
      </c>
      <c r="L78" s="129" t="str">
        <f t="shared" si="4"/>
        <v/>
      </c>
      <c r="M78" s="129" t="str">
        <f t="shared" si="5"/>
        <v/>
      </c>
    </row>
    <row r="79" spans="1:13" ht="18" customHeight="1" thickBot="1" x14ac:dyDescent="0.2">
      <c r="A79" s="37" t="s">
        <v>389</v>
      </c>
      <c r="B79" s="38" t="s">
        <v>1034</v>
      </c>
      <c r="C79" s="127" t="s">
        <v>1023</v>
      </c>
      <c r="D79" s="17"/>
      <c r="E79" s="17"/>
      <c r="F79" s="19"/>
      <c r="G79" s="18"/>
      <c r="H79" s="37" t="s">
        <v>389</v>
      </c>
      <c r="I79" s="38" t="s">
        <v>1034</v>
      </c>
      <c r="J79" s="127" t="s">
        <v>1023</v>
      </c>
      <c r="K79" s="129" t="str">
        <f t="shared" si="6"/>
        <v/>
      </c>
      <c r="L79" s="129" t="str">
        <f t="shared" si="4"/>
        <v/>
      </c>
      <c r="M79" s="129" t="str">
        <f t="shared" si="5"/>
        <v/>
      </c>
    </row>
    <row r="80" spans="1:13" ht="18" customHeight="1" thickBot="1" x14ac:dyDescent="0.2">
      <c r="A80" s="37" t="s">
        <v>389</v>
      </c>
      <c r="B80" s="38" t="s">
        <v>1034</v>
      </c>
      <c r="C80" s="127" t="s">
        <v>1024</v>
      </c>
      <c r="D80" s="17"/>
      <c r="E80" s="17"/>
      <c r="F80" s="19"/>
      <c r="G80" s="18"/>
      <c r="H80" s="37" t="s">
        <v>389</v>
      </c>
      <c r="I80" s="38" t="s">
        <v>1034</v>
      </c>
      <c r="J80" s="127" t="s">
        <v>1024</v>
      </c>
      <c r="K80" s="129" t="str">
        <f t="shared" si="6"/>
        <v/>
      </c>
      <c r="L80" s="129" t="str">
        <f t="shared" si="4"/>
        <v/>
      </c>
      <c r="M80" s="129" t="str">
        <f t="shared" si="5"/>
        <v/>
      </c>
    </row>
    <row r="81" spans="1:13" ht="18" customHeight="1" thickBot="1" x14ac:dyDescent="0.2">
      <c r="A81" s="37" t="s">
        <v>389</v>
      </c>
      <c r="B81" s="38" t="s">
        <v>1034</v>
      </c>
      <c r="C81" s="127" t="s">
        <v>1039</v>
      </c>
      <c r="D81" s="17"/>
      <c r="E81" s="17"/>
      <c r="F81" s="19"/>
      <c r="G81" s="18"/>
      <c r="H81" s="37" t="s">
        <v>389</v>
      </c>
      <c r="I81" s="38" t="s">
        <v>1034</v>
      </c>
      <c r="J81" s="127" t="s">
        <v>1039</v>
      </c>
      <c r="K81" s="129" t="str">
        <f t="shared" si="6"/>
        <v/>
      </c>
      <c r="L81" s="129" t="str">
        <f t="shared" si="4"/>
        <v/>
      </c>
      <c r="M81" s="129" t="str">
        <f t="shared" si="5"/>
        <v/>
      </c>
    </row>
    <row r="82" spans="1:13" ht="18" customHeight="1" thickBot="1" x14ac:dyDescent="0.2">
      <c r="A82" s="37" t="s">
        <v>389</v>
      </c>
      <c r="B82" s="38" t="s">
        <v>1034</v>
      </c>
      <c r="C82" s="127" t="s">
        <v>1040</v>
      </c>
      <c r="D82" s="17"/>
      <c r="E82" s="17"/>
      <c r="F82" s="19"/>
      <c r="G82" s="18"/>
      <c r="H82" s="37" t="s">
        <v>389</v>
      </c>
      <c r="I82" s="38" t="s">
        <v>1034</v>
      </c>
      <c r="J82" s="127" t="s">
        <v>1040</v>
      </c>
      <c r="K82" s="129" t="str">
        <f t="shared" si="6"/>
        <v/>
      </c>
      <c r="L82" s="129" t="str">
        <f t="shared" si="4"/>
        <v/>
      </c>
      <c r="M82" s="129" t="str">
        <f t="shared" si="5"/>
        <v/>
      </c>
    </row>
    <row r="83" spans="1:13" ht="18" customHeight="1" thickBot="1" x14ac:dyDescent="0.2">
      <c r="A83" s="37" t="s">
        <v>389</v>
      </c>
      <c r="B83" s="38" t="s">
        <v>1034</v>
      </c>
      <c r="C83" s="127" t="s">
        <v>1041</v>
      </c>
      <c r="D83" s="19"/>
      <c r="E83" s="19"/>
      <c r="F83" s="19"/>
      <c r="G83" s="18"/>
      <c r="H83" s="37" t="s">
        <v>389</v>
      </c>
      <c r="I83" s="38" t="s">
        <v>1034</v>
      </c>
      <c r="J83" s="127" t="s">
        <v>1041</v>
      </c>
      <c r="K83" s="129" t="str">
        <f t="shared" si="6"/>
        <v/>
      </c>
      <c r="L83" s="129" t="str">
        <f t="shared" si="4"/>
        <v/>
      </c>
      <c r="M83" s="129" t="str">
        <f t="shared" si="5"/>
        <v/>
      </c>
    </row>
    <row r="84" spans="1:13" ht="18" customHeight="1" thickBot="1" x14ac:dyDescent="0.2">
      <c r="A84" s="37" t="s">
        <v>389</v>
      </c>
      <c r="B84" s="38" t="s">
        <v>1034</v>
      </c>
      <c r="C84" s="127" t="s">
        <v>1042</v>
      </c>
      <c r="D84" s="19"/>
      <c r="E84" s="19"/>
      <c r="F84" s="19"/>
      <c r="G84" s="18"/>
      <c r="H84" s="37" t="s">
        <v>389</v>
      </c>
      <c r="I84" s="38" t="s">
        <v>1034</v>
      </c>
      <c r="J84" s="127" t="s">
        <v>1042</v>
      </c>
      <c r="K84" s="129" t="str">
        <f t="shared" si="6"/>
        <v/>
      </c>
      <c r="L84" s="129" t="str">
        <f t="shared" si="4"/>
        <v/>
      </c>
      <c r="M84" s="129" t="str">
        <f t="shared" si="5"/>
        <v/>
      </c>
    </row>
    <row r="85" spans="1:13" ht="18" customHeight="1" thickBot="1" x14ac:dyDescent="0.2">
      <c r="A85" s="37" t="s">
        <v>389</v>
      </c>
      <c r="B85" s="38" t="s">
        <v>1034</v>
      </c>
      <c r="C85" s="127" t="s">
        <v>1043</v>
      </c>
      <c r="D85" s="19"/>
      <c r="E85" s="19"/>
      <c r="F85" s="19"/>
      <c r="G85" s="18"/>
      <c r="H85" s="37" t="s">
        <v>389</v>
      </c>
      <c r="I85" s="38" t="s">
        <v>1034</v>
      </c>
      <c r="J85" s="127" t="s">
        <v>1043</v>
      </c>
      <c r="K85" s="129" t="str">
        <f t="shared" si="6"/>
        <v/>
      </c>
      <c r="L85" s="129" t="str">
        <f t="shared" si="4"/>
        <v/>
      </c>
      <c r="M85" s="129" t="str">
        <f t="shared" si="5"/>
        <v/>
      </c>
    </row>
    <row r="86" spans="1:13" ht="18" customHeight="1" thickBot="1" x14ac:dyDescent="0.2">
      <c r="A86" s="37" t="s">
        <v>389</v>
      </c>
      <c r="B86" s="38" t="s">
        <v>1034</v>
      </c>
      <c r="C86" s="127" t="s">
        <v>1044</v>
      </c>
      <c r="D86" s="19"/>
      <c r="E86" s="19"/>
      <c r="F86" s="19"/>
      <c r="G86" s="18"/>
      <c r="H86" s="37" t="s">
        <v>389</v>
      </c>
      <c r="I86" s="38" t="s">
        <v>1034</v>
      </c>
      <c r="J86" s="127" t="s">
        <v>1044</v>
      </c>
      <c r="K86" s="129" t="str">
        <f t="shared" si="6"/>
        <v/>
      </c>
      <c r="L86" s="129" t="str">
        <f t="shared" si="4"/>
        <v/>
      </c>
      <c r="M86" s="129" t="str">
        <f t="shared" si="5"/>
        <v/>
      </c>
    </row>
    <row r="87" spans="1:13" ht="18" customHeight="1" thickBot="1" x14ac:dyDescent="0.2">
      <c r="A87" s="37" t="s">
        <v>389</v>
      </c>
      <c r="B87" s="38" t="s">
        <v>1034</v>
      </c>
      <c r="C87" s="127" t="s">
        <v>1045</v>
      </c>
      <c r="D87" s="19"/>
      <c r="E87" s="19"/>
      <c r="F87" s="19"/>
      <c r="G87" s="18"/>
      <c r="H87" s="37" t="s">
        <v>389</v>
      </c>
      <c r="I87" s="38" t="s">
        <v>1034</v>
      </c>
      <c r="J87" s="127" t="s">
        <v>1045</v>
      </c>
      <c r="K87" s="129" t="str">
        <f t="shared" si="6"/>
        <v/>
      </c>
      <c r="L87" s="129" t="str">
        <f t="shared" si="4"/>
        <v/>
      </c>
      <c r="M87" s="129" t="str">
        <f t="shared" si="5"/>
        <v/>
      </c>
    </row>
    <row r="88" spans="1:13" ht="18" customHeight="1" thickBot="1" x14ac:dyDescent="0.2">
      <c r="A88" s="37" t="s">
        <v>389</v>
      </c>
      <c r="B88" s="38" t="s">
        <v>1034</v>
      </c>
      <c r="C88" s="127" t="s">
        <v>1046</v>
      </c>
      <c r="D88" s="17"/>
      <c r="E88" s="17"/>
      <c r="F88" s="17"/>
      <c r="G88" s="82"/>
      <c r="H88" s="37" t="s">
        <v>389</v>
      </c>
      <c r="I88" s="38" t="s">
        <v>1034</v>
      </c>
      <c r="J88" s="127" t="s">
        <v>1046</v>
      </c>
      <c r="K88" s="129" t="str">
        <f t="shared" si="6"/>
        <v/>
      </c>
      <c r="L88" s="129" t="str">
        <f t="shared" si="4"/>
        <v/>
      </c>
      <c r="M88" s="129" t="str">
        <f t="shared" si="5"/>
        <v/>
      </c>
    </row>
    <row r="89" spans="1:13" ht="18" customHeight="1" thickBot="1" x14ac:dyDescent="0.2">
      <c r="A89" s="37" t="s">
        <v>389</v>
      </c>
      <c r="B89" s="38" t="s">
        <v>1034</v>
      </c>
      <c r="C89" s="127" t="s">
        <v>1047</v>
      </c>
      <c r="D89" s="17"/>
      <c r="E89" s="17"/>
      <c r="F89" s="17"/>
      <c r="G89" s="82"/>
      <c r="H89" s="37" t="s">
        <v>389</v>
      </c>
      <c r="I89" s="38" t="s">
        <v>1034</v>
      </c>
      <c r="J89" s="127" t="s">
        <v>1047</v>
      </c>
      <c r="K89" s="129" t="str">
        <f t="shared" si="6"/>
        <v/>
      </c>
      <c r="L89" s="129" t="str">
        <f t="shared" si="4"/>
        <v/>
      </c>
      <c r="M89" s="129" t="str">
        <f t="shared" si="5"/>
        <v/>
      </c>
    </row>
    <row r="90" spans="1:13" ht="18" customHeight="1" thickBot="1" x14ac:dyDescent="0.2">
      <c r="A90" s="37" t="s">
        <v>389</v>
      </c>
      <c r="B90" s="38" t="s">
        <v>1034</v>
      </c>
      <c r="C90" s="127" t="s">
        <v>1048</v>
      </c>
      <c r="D90" s="17"/>
      <c r="E90" s="17"/>
      <c r="F90" s="17"/>
      <c r="G90" s="82"/>
      <c r="H90" s="37" t="s">
        <v>389</v>
      </c>
      <c r="I90" s="38" t="s">
        <v>1034</v>
      </c>
      <c r="J90" s="127" t="s">
        <v>1048</v>
      </c>
      <c r="K90" s="129" t="str">
        <f t="shared" si="6"/>
        <v/>
      </c>
      <c r="L90" s="129" t="str">
        <f t="shared" si="4"/>
        <v/>
      </c>
      <c r="M90" s="129" t="str">
        <f t="shared" si="5"/>
        <v/>
      </c>
    </row>
    <row r="91" spans="1:13" ht="18" customHeight="1" thickBot="1" x14ac:dyDescent="0.2">
      <c r="A91" s="37" t="s">
        <v>389</v>
      </c>
      <c r="B91" s="38" t="s">
        <v>1034</v>
      </c>
      <c r="C91" s="127" t="s">
        <v>1049</v>
      </c>
      <c r="D91" s="17"/>
      <c r="E91" s="17"/>
      <c r="F91" s="17"/>
      <c r="G91" s="82"/>
      <c r="H91" s="37" t="s">
        <v>389</v>
      </c>
      <c r="I91" s="38" t="s">
        <v>1034</v>
      </c>
      <c r="J91" s="127" t="s">
        <v>1049</v>
      </c>
      <c r="K91" s="129" t="str">
        <f t="shared" si="6"/>
        <v/>
      </c>
      <c r="L91" s="129" t="str">
        <f t="shared" si="4"/>
        <v/>
      </c>
      <c r="M91" s="129" t="str">
        <f t="shared" si="5"/>
        <v/>
      </c>
    </row>
    <row r="92" spans="1:13" ht="18" customHeight="1" thickBot="1" x14ac:dyDescent="0.2">
      <c r="A92" s="37" t="s">
        <v>389</v>
      </c>
      <c r="B92" s="38" t="s">
        <v>1034</v>
      </c>
      <c r="C92" s="127" t="s">
        <v>1050</v>
      </c>
      <c r="D92" s="17"/>
      <c r="E92" s="17"/>
      <c r="F92" s="17"/>
      <c r="G92" s="82"/>
      <c r="H92" s="37" t="s">
        <v>389</v>
      </c>
      <c r="I92" s="38" t="s">
        <v>1034</v>
      </c>
      <c r="J92" s="127" t="s">
        <v>1050</v>
      </c>
      <c r="K92" s="129" t="str">
        <f t="shared" si="6"/>
        <v/>
      </c>
      <c r="L92" s="129" t="str">
        <f t="shared" si="4"/>
        <v/>
      </c>
      <c r="M92" s="129" t="str">
        <f t="shared" si="5"/>
        <v/>
      </c>
    </row>
    <row r="93" spans="1:13" ht="18" customHeight="1" thickBot="1" x14ac:dyDescent="0.2">
      <c r="A93" s="37" t="s">
        <v>389</v>
      </c>
      <c r="B93" s="38" t="s">
        <v>1034</v>
      </c>
      <c r="C93" s="127" t="s">
        <v>1051</v>
      </c>
      <c r="D93" s="17"/>
      <c r="E93" s="17"/>
      <c r="F93" s="17"/>
      <c r="G93" s="82"/>
      <c r="H93" s="37" t="s">
        <v>389</v>
      </c>
      <c r="I93" s="38" t="s">
        <v>1034</v>
      </c>
      <c r="J93" s="127" t="s">
        <v>1051</v>
      </c>
      <c r="K93" s="129" t="str">
        <f t="shared" si="6"/>
        <v/>
      </c>
      <c r="L93" s="129" t="str">
        <f t="shared" si="4"/>
        <v/>
      </c>
      <c r="M93" s="129" t="str">
        <f t="shared" si="5"/>
        <v/>
      </c>
    </row>
    <row r="94" spans="1:13" ht="18" customHeight="1" thickBot="1" x14ac:dyDescent="0.2">
      <c r="A94" s="37" t="s">
        <v>389</v>
      </c>
      <c r="B94" s="38" t="s">
        <v>1034</v>
      </c>
      <c r="C94" s="127" t="s">
        <v>1052</v>
      </c>
      <c r="D94" s="17"/>
      <c r="E94" s="17"/>
      <c r="F94" s="17"/>
      <c r="G94" s="82"/>
      <c r="H94" s="37" t="s">
        <v>389</v>
      </c>
      <c r="I94" s="38" t="s">
        <v>1034</v>
      </c>
      <c r="J94" s="127" t="s">
        <v>1052</v>
      </c>
      <c r="K94" s="129" t="str">
        <f t="shared" si="6"/>
        <v/>
      </c>
      <c r="L94" s="129" t="str">
        <f t="shared" si="4"/>
        <v/>
      </c>
      <c r="M94" s="129" t="str">
        <f t="shared" si="5"/>
        <v/>
      </c>
    </row>
    <row r="95" spans="1:13" ht="18" customHeight="1" thickBot="1" x14ac:dyDescent="0.2">
      <c r="A95" s="37" t="s">
        <v>389</v>
      </c>
      <c r="B95" s="38" t="s">
        <v>1034</v>
      </c>
      <c r="C95" s="127" t="s">
        <v>1053</v>
      </c>
      <c r="D95" s="17"/>
      <c r="E95" s="17"/>
      <c r="F95" s="17"/>
      <c r="G95" s="82"/>
      <c r="H95" s="37" t="s">
        <v>389</v>
      </c>
      <c r="I95" s="38" t="s">
        <v>1034</v>
      </c>
      <c r="J95" s="127" t="s">
        <v>1053</v>
      </c>
      <c r="K95" s="129" t="str">
        <f t="shared" si="6"/>
        <v/>
      </c>
      <c r="L95" s="129" t="str">
        <f t="shared" si="4"/>
        <v/>
      </c>
      <c r="M95" s="129" t="str">
        <f t="shared" si="5"/>
        <v/>
      </c>
    </row>
    <row r="96" spans="1:13" ht="18" customHeight="1" thickBot="1" x14ac:dyDescent="0.2">
      <c r="A96" s="37" t="s">
        <v>389</v>
      </c>
      <c r="B96" s="38" t="s">
        <v>1034</v>
      </c>
      <c r="C96" s="127" t="s">
        <v>1054</v>
      </c>
      <c r="D96" s="17"/>
      <c r="E96" s="17"/>
      <c r="F96" s="17"/>
      <c r="G96" s="82"/>
      <c r="H96" s="37" t="s">
        <v>389</v>
      </c>
      <c r="I96" s="38" t="s">
        <v>1034</v>
      </c>
      <c r="J96" s="127" t="s">
        <v>1054</v>
      </c>
      <c r="K96" s="129" t="str">
        <f t="shared" si="6"/>
        <v/>
      </c>
      <c r="L96" s="129" t="str">
        <f t="shared" si="4"/>
        <v/>
      </c>
      <c r="M96" s="129" t="str">
        <f t="shared" si="5"/>
        <v/>
      </c>
    </row>
    <row r="97" spans="1:13" ht="18" customHeight="1" thickBot="1" x14ac:dyDescent="0.2">
      <c r="A97" s="37" t="s">
        <v>389</v>
      </c>
      <c r="B97" s="38" t="s">
        <v>1034</v>
      </c>
      <c r="C97" s="127" t="s">
        <v>1055</v>
      </c>
      <c r="D97" s="17"/>
      <c r="E97" s="17"/>
      <c r="F97" s="17"/>
      <c r="G97" s="82"/>
      <c r="H97" s="37" t="s">
        <v>389</v>
      </c>
      <c r="I97" s="38" t="s">
        <v>1034</v>
      </c>
      <c r="J97" s="127" t="s">
        <v>1055</v>
      </c>
      <c r="K97" s="129" t="str">
        <f t="shared" si="6"/>
        <v/>
      </c>
      <c r="L97" s="129" t="str">
        <f t="shared" si="4"/>
        <v/>
      </c>
      <c r="M97" s="129" t="str">
        <f t="shared" si="5"/>
        <v/>
      </c>
    </row>
    <row r="98" spans="1:13" ht="18" customHeight="1" thickBot="1" x14ac:dyDescent="0.2">
      <c r="A98" s="37" t="s">
        <v>389</v>
      </c>
      <c r="B98" s="38" t="s">
        <v>1034</v>
      </c>
      <c r="C98" s="127" t="s">
        <v>1056</v>
      </c>
      <c r="D98" s="17"/>
      <c r="E98" s="17"/>
      <c r="F98" s="17"/>
      <c r="G98" s="82"/>
      <c r="H98" s="37" t="s">
        <v>389</v>
      </c>
      <c r="I98" s="38" t="s">
        <v>1034</v>
      </c>
      <c r="J98" s="127" t="s">
        <v>1056</v>
      </c>
      <c r="K98" s="129" t="str">
        <f t="shared" si="6"/>
        <v/>
      </c>
      <c r="L98" s="129" t="str">
        <f t="shared" si="4"/>
        <v/>
      </c>
      <c r="M98" s="129" t="str">
        <f t="shared" si="5"/>
        <v/>
      </c>
    </row>
    <row r="99" spans="1:13" ht="18" customHeight="1" thickBot="1" x14ac:dyDescent="0.2">
      <c r="A99" s="37" t="s">
        <v>389</v>
      </c>
      <c r="B99" s="38" t="s">
        <v>1034</v>
      </c>
      <c r="C99" s="127" t="s">
        <v>1057</v>
      </c>
      <c r="D99" s="17"/>
      <c r="E99" s="17"/>
      <c r="F99" s="17"/>
      <c r="G99" s="82"/>
      <c r="H99" s="37" t="s">
        <v>389</v>
      </c>
      <c r="I99" s="38" t="s">
        <v>1034</v>
      </c>
      <c r="J99" s="127" t="s">
        <v>1057</v>
      </c>
      <c r="K99" s="129" t="str">
        <f t="shared" si="6"/>
        <v/>
      </c>
      <c r="L99" s="129" t="str">
        <f t="shared" si="4"/>
        <v/>
      </c>
      <c r="M99" s="129" t="str">
        <f t="shared" si="5"/>
        <v/>
      </c>
    </row>
    <row r="100" spans="1:13" ht="18" customHeight="1" thickBot="1" x14ac:dyDescent="0.2">
      <c r="A100" s="37" t="s">
        <v>389</v>
      </c>
      <c r="B100" s="38" t="s">
        <v>720</v>
      </c>
      <c r="C100" s="109" t="str">
        <f>HYPERLINK(Hoofddocument!$H$100,Hoofddocument!$G$100)</f>
        <v>CIPM</v>
      </c>
      <c r="D100" s="17"/>
      <c r="E100" s="17"/>
      <c r="F100" s="17"/>
      <c r="G100" s="82"/>
      <c r="H100" s="37" t="s">
        <v>389</v>
      </c>
      <c r="I100" s="38" t="s">
        <v>720</v>
      </c>
      <c r="J100" s="109" t="str">
        <f>HYPERLINK(Hoofddocument!$H$100,Hoofddocument!$G$100)</f>
        <v>CIPM</v>
      </c>
      <c r="K100" s="129" t="str">
        <f t="shared" si="6"/>
        <v/>
      </c>
      <c r="L100" s="129" t="str">
        <f t="shared" si="4"/>
        <v/>
      </c>
      <c r="M100" s="129" t="str">
        <f t="shared" si="5"/>
        <v/>
      </c>
    </row>
    <row r="101" spans="1:13" ht="18" customHeight="1" thickBot="1" x14ac:dyDescent="0.2">
      <c r="A101" s="37" t="s">
        <v>389</v>
      </c>
      <c r="B101" s="38" t="s">
        <v>998</v>
      </c>
      <c r="C101" s="127" t="s">
        <v>999</v>
      </c>
      <c r="D101" s="17"/>
      <c r="E101" s="17"/>
      <c r="F101" s="17"/>
      <c r="G101" s="82"/>
      <c r="H101" s="37" t="s">
        <v>389</v>
      </c>
      <c r="I101" s="38" t="s">
        <v>998</v>
      </c>
      <c r="J101" s="127" t="s">
        <v>999</v>
      </c>
      <c r="K101" s="129" t="str">
        <f t="shared" si="6"/>
        <v/>
      </c>
      <c r="L101" s="129" t="str">
        <f t="shared" si="4"/>
        <v/>
      </c>
      <c r="M101" s="129" t="str">
        <f t="shared" si="5"/>
        <v/>
      </c>
    </row>
    <row r="102" spans="1:13" ht="18" customHeight="1" thickBot="1" x14ac:dyDescent="0.2">
      <c r="A102" s="37" t="s">
        <v>389</v>
      </c>
      <c r="B102" s="38" t="s">
        <v>998</v>
      </c>
      <c r="C102" s="127" t="s">
        <v>1000</v>
      </c>
      <c r="D102" s="17"/>
      <c r="E102" s="17"/>
      <c r="F102" s="17"/>
      <c r="G102" s="82"/>
      <c r="H102" s="37" t="s">
        <v>389</v>
      </c>
      <c r="I102" s="38" t="s">
        <v>998</v>
      </c>
      <c r="J102" s="127" t="s">
        <v>1000</v>
      </c>
      <c r="K102" s="129" t="str">
        <f t="shared" si="6"/>
        <v/>
      </c>
      <c r="L102" s="129" t="str">
        <f t="shared" si="4"/>
        <v/>
      </c>
      <c r="M102" s="129" t="str">
        <f t="shared" si="5"/>
        <v/>
      </c>
    </row>
    <row r="103" spans="1:13" ht="18" customHeight="1" thickBot="1" x14ac:dyDescent="0.2">
      <c r="A103" s="37" t="s">
        <v>389</v>
      </c>
      <c r="B103" s="38" t="s">
        <v>998</v>
      </c>
      <c r="C103" s="109" t="str">
        <f>HYPERLINK(Hoofddocument!$H$103,Hoofddocument!$G$103)</f>
        <v>Information Security Foundation</v>
      </c>
      <c r="D103" s="17"/>
      <c r="E103" s="17"/>
      <c r="F103" s="17"/>
      <c r="G103" s="82"/>
      <c r="H103" s="37" t="s">
        <v>389</v>
      </c>
      <c r="I103" s="38" t="s">
        <v>998</v>
      </c>
      <c r="J103" s="109" t="str">
        <f>HYPERLINK(Hoofddocument!$H$103,Hoofddocument!$G$103)</f>
        <v>Information Security Foundation</v>
      </c>
      <c r="K103" s="129" t="str">
        <f t="shared" si="6"/>
        <v/>
      </c>
      <c r="L103" s="129" t="str">
        <f t="shared" si="4"/>
        <v/>
      </c>
      <c r="M103" s="129" t="str">
        <f t="shared" si="5"/>
        <v/>
      </c>
    </row>
    <row r="104" spans="1:13" ht="18" customHeight="1" thickBot="1" x14ac:dyDescent="0.2">
      <c r="A104" s="37" t="s">
        <v>389</v>
      </c>
      <c r="B104" s="38" t="s">
        <v>998</v>
      </c>
      <c r="C104" s="127" t="s">
        <v>1001</v>
      </c>
      <c r="D104" s="17"/>
      <c r="E104" s="17"/>
      <c r="F104" s="17"/>
      <c r="G104" s="82"/>
      <c r="H104" s="37" t="s">
        <v>389</v>
      </c>
      <c r="I104" s="38" t="s">
        <v>998</v>
      </c>
      <c r="J104" s="127" t="s">
        <v>1001</v>
      </c>
      <c r="K104" s="129" t="str">
        <f t="shared" si="6"/>
        <v/>
      </c>
      <c r="L104" s="129" t="str">
        <f t="shared" si="4"/>
        <v/>
      </c>
      <c r="M104" s="129" t="str">
        <f t="shared" si="5"/>
        <v/>
      </c>
    </row>
    <row r="105" spans="1:13" ht="18" customHeight="1" thickBot="1" x14ac:dyDescent="0.2">
      <c r="A105" s="37" t="s">
        <v>389</v>
      </c>
      <c r="B105" s="38" t="s">
        <v>998</v>
      </c>
      <c r="C105" s="109" t="str">
        <f>HYPERLINK(Hoofddocument!$H$105,Hoofddocument!$G$105)</f>
        <v>Baseline Informatiebeveiliging Overheid</v>
      </c>
      <c r="D105" s="17"/>
      <c r="E105" s="17"/>
      <c r="F105" s="17"/>
      <c r="G105" s="82"/>
      <c r="H105" s="37" t="s">
        <v>389</v>
      </c>
      <c r="I105" s="38" t="s">
        <v>998</v>
      </c>
      <c r="J105" s="109" t="str">
        <f>HYPERLINK(Hoofddocument!$H$105,Hoofddocument!$G$105)</f>
        <v>Baseline Informatiebeveiliging Overheid</v>
      </c>
      <c r="K105" s="129" t="str">
        <f t="shared" si="6"/>
        <v/>
      </c>
      <c r="L105" s="129" t="str">
        <f t="shared" si="4"/>
        <v/>
      </c>
      <c r="M105" s="129" t="str">
        <f t="shared" si="5"/>
        <v/>
      </c>
    </row>
    <row r="106" spans="1:13" ht="18" customHeight="1" thickBot="1" x14ac:dyDescent="0.2">
      <c r="A106" s="37" t="s">
        <v>389</v>
      </c>
      <c r="B106" s="38" t="s">
        <v>998</v>
      </c>
      <c r="C106" s="109" t="str">
        <f>HYPERLINK(Hoofddocument!$H$106,Hoofddocument!$G$106)</f>
        <v>Certified Information Systems Security Professional (CISSP)</v>
      </c>
      <c r="D106" s="17"/>
      <c r="E106" s="17"/>
      <c r="F106" s="17"/>
      <c r="G106" s="82"/>
      <c r="H106" s="37" t="s">
        <v>389</v>
      </c>
      <c r="I106" s="38" t="s">
        <v>998</v>
      </c>
      <c r="J106" s="109" t="str">
        <f>HYPERLINK(Hoofddocument!$H$106,Hoofddocument!$G$106)</f>
        <v>Certified Information Systems Security Professional (CISSP)</v>
      </c>
      <c r="K106" s="129" t="str">
        <f t="shared" si="6"/>
        <v/>
      </c>
      <c r="L106" s="129" t="str">
        <f t="shared" si="4"/>
        <v/>
      </c>
      <c r="M106" s="129" t="str">
        <f t="shared" si="5"/>
        <v/>
      </c>
    </row>
    <row r="107" spans="1:13" ht="18" customHeight="1" thickBot="1" x14ac:dyDescent="0.2">
      <c r="A107" s="37" t="s">
        <v>389</v>
      </c>
      <c r="B107" s="38" t="s">
        <v>998</v>
      </c>
      <c r="C107" s="127" t="s">
        <v>1002</v>
      </c>
      <c r="D107" s="17"/>
      <c r="E107" s="17"/>
      <c r="F107" s="17"/>
      <c r="G107" s="82"/>
      <c r="H107" s="37" t="s">
        <v>389</v>
      </c>
      <c r="I107" s="38" t="s">
        <v>998</v>
      </c>
      <c r="J107" s="127" t="s">
        <v>1002</v>
      </c>
      <c r="K107" s="129" t="str">
        <f t="shared" si="6"/>
        <v/>
      </c>
      <c r="L107" s="129" t="str">
        <f t="shared" si="4"/>
        <v/>
      </c>
      <c r="M107" s="129" t="str">
        <f t="shared" si="5"/>
        <v/>
      </c>
    </row>
    <row r="108" spans="1:13" ht="18" customHeight="1" thickBot="1" x14ac:dyDescent="0.2">
      <c r="A108" s="37" t="s">
        <v>389</v>
      </c>
      <c r="B108" s="38" t="s">
        <v>998</v>
      </c>
      <c r="C108" s="127" t="s">
        <v>1003</v>
      </c>
      <c r="D108" s="17"/>
      <c r="E108" s="17"/>
      <c r="F108" s="17"/>
      <c r="G108" s="82"/>
      <c r="H108" s="37" t="s">
        <v>389</v>
      </c>
      <c r="I108" s="38" t="s">
        <v>998</v>
      </c>
      <c r="J108" s="127" t="s">
        <v>1003</v>
      </c>
      <c r="K108" s="129" t="str">
        <f t="shared" si="6"/>
        <v/>
      </c>
      <c r="L108" s="129" t="str">
        <f t="shared" si="4"/>
        <v/>
      </c>
      <c r="M108" s="129" t="str">
        <f t="shared" si="5"/>
        <v/>
      </c>
    </row>
    <row r="109" spans="1:13" ht="18" customHeight="1" thickBot="1" x14ac:dyDescent="0.2">
      <c r="A109" s="37" t="s">
        <v>389</v>
      </c>
      <c r="B109" s="38" t="s">
        <v>998</v>
      </c>
      <c r="C109" s="127" t="s">
        <v>1004</v>
      </c>
      <c r="D109" s="17"/>
      <c r="E109" s="17"/>
      <c r="F109" s="17"/>
      <c r="G109" s="82"/>
      <c r="H109" s="37" t="s">
        <v>389</v>
      </c>
      <c r="I109" s="38" t="s">
        <v>998</v>
      </c>
      <c r="J109" s="127" t="s">
        <v>1004</v>
      </c>
      <c r="K109" s="129" t="str">
        <f t="shared" si="6"/>
        <v/>
      </c>
      <c r="L109" s="129" t="str">
        <f t="shared" si="4"/>
        <v/>
      </c>
      <c r="M109" s="129" t="str">
        <f t="shared" si="5"/>
        <v/>
      </c>
    </row>
    <row r="110" spans="1:13" ht="18" customHeight="1" thickBot="1" x14ac:dyDescent="0.2">
      <c r="A110" s="37" t="s">
        <v>389</v>
      </c>
      <c r="B110" s="38" t="s">
        <v>998</v>
      </c>
      <c r="C110" s="127" t="s">
        <v>1005</v>
      </c>
      <c r="D110" s="17"/>
      <c r="E110" s="17"/>
      <c r="F110" s="17"/>
      <c r="G110" s="82"/>
      <c r="H110" s="37" t="s">
        <v>389</v>
      </c>
      <c r="I110" s="38" t="s">
        <v>998</v>
      </c>
      <c r="J110" s="127" t="s">
        <v>1005</v>
      </c>
      <c r="K110" s="129" t="str">
        <f t="shared" si="6"/>
        <v/>
      </c>
      <c r="L110" s="129" t="str">
        <f t="shared" si="4"/>
        <v/>
      </c>
      <c r="M110" s="129" t="str">
        <f t="shared" si="5"/>
        <v/>
      </c>
    </row>
    <row r="111" spans="1:13" ht="18" customHeight="1" thickBot="1" x14ac:dyDescent="0.2">
      <c r="A111" s="37" t="s">
        <v>389</v>
      </c>
      <c r="B111" s="38" t="s">
        <v>998</v>
      </c>
      <c r="C111" s="109" t="str">
        <f>HYPERLINK(Hoofddocument!$H$111,Hoofddocument!$G$111)</f>
        <v>Microsoft Azure Fundamentals (AZ-900)</v>
      </c>
      <c r="D111" s="17"/>
      <c r="E111" s="17"/>
      <c r="F111" s="17"/>
      <c r="G111" s="82"/>
      <c r="H111" s="37" t="s">
        <v>389</v>
      </c>
      <c r="I111" s="38" t="s">
        <v>998</v>
      </c>
      <c r="J111" s="109" t="str">
        <f>HYPERLINK(Hoofddocument!$H$111,Hoofddocument!$G$111)</f>
        <v>Microsoft Azure Fundamentals (AZ-900)</v>
      </c>
      <c r="K111" s="129" t="str">
        <f t="shared" si="6"/>
        <v/>
      </c>
      <c r="L111" s="129" t="str">
        <f t="shared" si="4"/>
        <v/>
      </c>
      <c r="M111" s="129" t="str">
        <f t="shared" si="5"/>
        <v/>
      </c>
    </row>
    <row r="112" spans="1:13" ht="18" customHeight="1" thickBot="1" x14ac:dyDescent="0.2">
      <c r="A112" s="37" t="s">
        <v>389</v>
      </c>
      <c r="B112" s="38" t="s">
        <v>998</v>
      </c>
      <c r="C112" s="127" t="s">
        <v>1006</v>
      </c>
      <c r="D112" s="17"/>
      <c r="E112" s="17"/>
      <c r="F112" s="17"/>
      <c r="G112" s="82"/>
      <c r="H112" s="37" t="s">
        <v>389</v>
      </c>
      <c r="I112" s="38" t="s">
        <v>998</v>
      </c>
      <c r="J112" s="127" t="s">
        <v>1006</v>
      </c>
      <c r="K112" s="129" t="str">
        <f t="shared" si="6"/>
        <v/>
      </c>
      <c r="L112" s="129" t="str">
        <f t="shared" si="4"/>
        <v/>
      </c>
      <c r="M112" s="129" t="str">
        <f t="shared" si="5"/>
        <v/>
      </c>
    </row>
    <row r="113" spans="1:13" ht="18" customHeight="1" thickBot="1" x14ac:dyDescent="0.2">
      <c r="A113" s="37" t="s">
        <v>389</v>
      </c>
      <c r="B113" s="38" t="s">
        <v>998</v>
      </c>
      <c r="C113" s="127" t="s">
        <v>1007</v>
      </c>
      <c r="D113" s="17"/>
      <c r="E113" s="17"/>
      <c r="F113" s="17"/>
      <c r="G113" s="82"/>
      <c r="H113" s="37" t="s">
        <v>389</v>
      </c>
      <c r="I113" s="38" t="s">
        <v>998</v>
      </c>
      <c r="J113" s="127" t="s">
        <v>1007</v>
      </c>
      <c r="K113" s="129" t="str">
        <f t="shared" si="6"/>
        <v/>
      </c>
      <c r="L113" s="129" t="str">
        <f t="shared" si="4"/>
        <v/>
      </c>
      <c r="M113" s="129" t="str">
        <f t="shared" si="5"/>
        <v/>
      </c>
    </row>
    <row r="114" spans="1:13" ht="18" customHeight="1" thickBot="1" x14ac:dyDescent="0.2">
      <c r="A114" s="37" t="s">
        <v>389</v>
      </c>
      <c r="B114" s="38" t="s">
        <v>998</v>
      </c>
      <c r="C114" s="127" t="s">
        <v>1008</v>
      </c>
      <c r="D114" s="17"/>
      <c r="E114" s="17"/>
      <c r="F114" s="17"/>
      <c r="G114" s="82"/>
      <c r="H114" s="37" t="s">
        <v>389</v>
      </c>
      <c r="I114" s="38" t="s">
        <v>998</v>
      </c>
      <c r="J114" s="127" t="s">
        <v>1008</v>
      </c>
      <c r="K114" s="129" t="str">
        <f t="shared" si="6"/>
        <v/>
      </c>
      <c r="L114" s="129" t="str">
        <f t="shared" si="4"/>
        <v/>
      </c>
      <c r="M114" s="129" t="str">
        <f t="shared" si="5"/>
        <v/>
      </c>
    </row>
    <row r="115" spans="1:13" ht="18" customHeight="1" thickBot="1" x14ac:dyDescent="0.2">
      <c r="A115" s="37" t="s">
        <v>389</v>
      </c>
      <c r="B115" s="38" t="s">
        <v>1009</v>
      </c>
      <c r="C115" s="127" t="s">
        <v>1010</v>
      </c>
      <c r="D115" s="17"/>
      <c r="E115" s="17"/>
      <c r="F115" s="17"/>
      <c r="G115" s="82"/>
      <c r="H115" s="37" t="s">
        <v>389</v>
      </c>
      <c r="I115" s="38" t="s">
        <v>1009</v>
      </c>
      <c r="J115" s="127" t="s">
        <v>1010</v>
      </c>
      <c r="K115" s="129" t="str">
        <f t="shared" si="6"/>
        <v/>
      </c>
      <c r="L115" s="129" t="str">
        <f t="shared" si="4"/>
        <v/>
      </c>
      <c r="M115" s="129" t="str">
        <f t="shared" si="5"/>
        <v/>
      </c>
    </row>
    <row r="116" spans="1:13" ht="18" customHeight="1" thickBot="1" x14ac:dyDescent="0.2">
      <c r="A116" s="37" t="s">
        <v>389</v>
      </c>
      <c r="B116" s="38" t="s">
        <v>1009</v>
      </c>
      <c r="C116" s="127" t="s">
        <v>1011</v>
      </c>
      <c r="D116" s="17"/>
      <c r="E116" s="17"/>
      <c r="F116" s="17"/>
      <c r="G116" s="82"/>
      <c r="H116" s="37" t="s">
        <v>389</v>
      </c>
      <c r="I116" s="38" t="s">
        <v>1009</v>
      </c>
      <c r="J116" s="127" t="s">
        <v>1011</v>
      </c>
      <c r="K116" s="129" t="str">
        <f t="shared" si="6"/>
        <v/>
      </c>
      <c r="L116" s="129" t="str">
        <f t="shared" si="4"/>
        <v/>
      </c>
      <c r="M116" s="129" t="str">
        <f t="shared" si="5"/>
        <v/>
      </c>
    </row>
    <row r="117" spans="1:13" ht="18" customHeight="1" thickBot="1" x14ac:dyDescent="0.2">
      <c r="A117" s="37" t="s">
        <v>389</v>
      </c>
      <c r="B117" s="38" t="s">
        <v>1009</v>
      </c>
      <c r="C117" s="127" t="s">
        <v>1012</v>
      </c>
      <c r="D117" s="17"/>
      <c r="E117" s="17"/>
      <c r="F117" s="17"/>
      <c r="G117" s="82"/>
      <c r="H117" s="37" t="s">
        <v>389</v>
      </c>
      <c r="I117" s="38" t="s">
        <v>1009</v>
      </c>
      <c r="J117" s="127" t="s">
        <v>1012</v>
      </c>
      <c r="K117" s="129" t="str">
        <f t="shared" si="6"/>
        <v/>
      </c>
      <c r="L117" s="129" t="str">
        <f t="shared" si="4"/>
        <v/>
      </c>
      <c r="M117" s="129" t="str">
        <f t="shared" si="5"/>
        <v/>
      </c>
    </row>
    <row r="118" spans="1:13" ht="18" customHeight="1" thickBot="1" x14ac:dyDescent="0.2">
      <c r="A118" s="37" t="s">
        <v>389</v>
      </c>
      <c r="B118" s="38" t="s">
        <v>1009</v>
      </c>
      <c r="C118" s="127" t="s">
        <v>1013</v>
      </c>
      <c r="D118" s="17"/>
      <c r="E118" s="17"/>
      <c r="F118" s="17"/>
      <c r="G118" s="82"/>
      <c r="H118" s="37" t="s">
        <v>389</v>
      </c>
      <c r="I118" s="38" t="s">
        <v>1009</v>
      </c>
      <c r="J118" s="127" t="s">
        <v>1013</v>
      </c>
      <c r="K118" s="129" t="str">
        <f t="shared" si="6"/>
        <v/>
      </c>
      <c r="L118" s="129" t="str">
        <f t="shared" si="4"/>
        <v/>
      </c>
      <c r="M118" s="129" t="str">
        <f t="shared" si="5"/>
        <v/>
      </c>
    </row>
    <row r="119" spans="1:13" ht="18" customHeight="1" thickBot="1" x14ac:dyDescent="0.2">
      <c r="A119" s="37" t="s">
        <v>389</v>
      </c>
      <c r="B119" s="38" t="s">
        <v>1014</v>
      </c>
      <c r="C119" s="127" t="s">
        <v>1015</v>
      </c>
      <c r="D119" s="17"/>
      <c r="E119" s="17"/>
      <c r="F119" s="17"/>
      <c r="G119" s="82"/>
      <c r="H119" s="37" t="s">
        <v>389</v>
      </c>
      <c r="I119" s="38" t="s">
        <v>1014</v>
      </c>
      <c r="J119" s="127" t="s">
        <v>1015</v>
      </c>
      <c r="K119" s="129" t="str">
        <f t="shared" si="6"/>
        <v/>
      </c>
      <c r="L119" s="129" t="str">
        <f t="shared" si="4"/>
        <v/>
      </c>
      <c r="M119" s="129" t="str">
        <f t="shared" si="5"/>
        <v/>
      </c>
    </row>
    <row r="120" spans="1:13" ht="18" customHeight="1" thickBot="1" x14ac:dyDescent="0.2">
      <c r="A120" s="37" t="s">
        <v>389</v>
      </c>
      <c r="B120" s="38" t="s">
        <v>1014</v>
      </c>
      <c r="C120" s="127" t="s">
        <v>1016</v>
      </c>
      <c r="D120" s="17"/>
      <c r="E120" s="17"/>
      <c r="F120" s="17"/>
      <c r="G120" s="82"/>
      <c r="H120" s="37" t="s">
        <v>389</v>
      </c>
      <c r="I120" s="38" t="s">
        <v>1014</v>
      </c>
      <c r="J120" s="127" t="s">
        <v>1016</v>
      </c>
      <c r="K120" s="129" t="str">
        <f t="shared" si="6"/>
        <v/>
      </c>
      <c r="L120" s="129" t="str">
        <f t="shared" si="4"/>
        <v/>
      </c>
      <c r="M120" s="129" t="str">
        <f t="shared" si="5"/>
        <v/>
      </c>
    </row>
    <row r="121" spans="1:13" ht="18" customHeight="1" thickBot="1" x14ac:dyDescent="0.2">
      <c r="A121" s="37" t="s">
        <v>389</v>
      </c>
      <c r="B121" s="38" t="s">
        <v>1014</v>
      </c>
      <c r="C121" s="127" t="s">
        <v>1017</v>
      </c>
      <c r="D121" s="17"/>
      <c r="E121" s="17"/>
      <c r="F121" s="17"/>
      <c r="G121" s="82"/>
      <c r="H121" s="37" t="s">
        <v>389</v>
      </c>
      <c r="I121" s="38" t="s">
        <v>1014</v>
      </c>
      <c r="J121" s="127" t="s">
        <v>1017</v>
      </c>
      <c r="K121" s="129" t="str">
        <f t="shared" si="6"/>
        <v/>
      </c>
      <c r="L121" s="129" t="str">
        <f t="shared" si="4"/>
        <v/>
      </c>
      <c r="M121" s="129" t="str">
        <f t="shared" si="5"/>
        <v/>
      </c>
    </row>
    <row r="122" spans="1:13" ht="18" customHeight="1" thickBot="1" x14ac:dyDescent="0.2">
      <c r="A122" s="37" t="s">
        <v>389</v>
      </c>
      <c r="B122" s="38" t="s">
        <v>1014</v>
      </c>
      <c r="C122" s="127" t="s">
        <v>1018</v>
      </c>
      <c r="D122" s="17"/>
      <c r="E122" s="17"/>
      <c r="F122" s="17"/>
      <c r="G122" s="82"/>
      <c r="H122" s="37" t="s">
        <v>389</v>
      </c>
      <c r="I122" s="38" t="s">
        <v>1014</v>
      </c>
      <c r="J122" s="127" t="s">
        <v>1018</v>
      </c>
      <c r="K122" s="129" t="str">
        <f t="shared" si="6"/>
        <v/>
      </c>
      <c r="L122" s="129" t="str">
        <f t="shared" si="4"/>
        <v/>
      </c>
      <c r="M122" s="129" t="str">
        <f t="shared" si="5"/>
        <v/>
      </c>
    </row>
    <row r="123" spans="1:13" ht="18" customHeight="1" thickBot="1" x14ac:dyDescent="0.2">
      <c r="A123" s="37" t="s">
        <v>389</v>
      </c>
      <c r="B123" s="38" t="s">
        <v>1014</v>
      </c>
      <c r="C123" s="127" t="s">
        <v>1019</v>
      </c>
      <c r="D123" s="17"/>
      <c r="E123" s="17"/>
      <c r="F123" s="17"/>
      <c r="G123" s="82"/>
      <c r="H123" s="37" t="s">
        <v>389</v>
      </c>
      <c r="I123" s="38" t="s">
        <v>1014</v>
      </c>
      <c r="J123" s="127" t="s">
        <v>1019</v>
      </c>
      <c r="K123" s="129" t="str">
        <f t="shared" si="6"/>
        <v/>
      </c>
      <c r="L123" s="129" t="str">
        <f t="shared" si="4"/>
        <v/>
      </c>
      <c r="M123" s="129" t="str">
        <f t="shared" si="5"/>
        <v/>
      </c>
    </row>
    <row r="124" spans="1:13" ht="18" customHeight="1" thickBot="1" x14ac:dyDescent="0.2">
      <c r="A124" s="37" t="s">
        <v>389</v>
      </c>
      <c r="B124" s="38" t="s">
        <v>1014</v>
      </c>
      <c r="C124" s="127" t="s">
        <v>1020</v>
      </c>
      <c r="D124" s="17"/>
      <c r="E124" s="17"/>
      <c r="F124" s="17"/>
      <c r="G124" s="82"/>
      <c r="H124" s="37" t="s">
        <v>389</v>
      </c>
      <c r="I124" s="38" t="s">
        <v>1014</v>
      </c>
      <c r="J124" s="127" t="s">
        <v>1020</v>
      </c>
      <c r="K124" s="129" t="str">
        <f t="shared" si="6"/>
        <v/>
      </c>
      <c r="L124" s="129" t="str">
        <f t="shared" si="4"/>
        <v/>
      </c>
      <c r="M124" s="129" t="str">
        <f t="shared" si="5"/>
        <v/>
      </c>
    </row>
    <row r="125" spans="1:13" ht="18" customHeight="1" thickBot="1" x14ac:dyDescent="0.2">
      <c r="A125" s="37" t="s">
        <v>389</v>
      </c>
      <c r="B125" s="38" t="s">
        <v>1014</v>
      </c>
      <c r="C125" s="127" t="s">
        <v>1021</v>
      </c>
      <c r="D125" s="17"/>
      <c r="E125" s="17"/>
      <c r="F125" s="17"/>
      <c r="G125" s="82"/>
      <c r="H125" s="37" t="s">
        <v>389</v>
      </c>
      <c r="I125" s="38" t="s">
        <v>1014</v>
      </c>
      <c r="J125" s="127" t="s">
        <v>1021</v>
      </c>
      <c r="K125" s="129" t="str">
        <f t="shared" si="6"/>
        <v/>
      </c>
      <c r="L125" s="129" t="str">
        <f t="shared" si="4"/>
        <v/>
      </c>
      <c r="M125" s="129" t="str">
        <f t="shared" si="5"/>
        <v/>
      </c>
    </row>
    <row r="126" spans="1:13" ht="18" customHeight="1" thickBot="1" x14ac:dyDescent="0.2">
      <c r="A126" s="37" t="s">
        <v>389</v>
      </c>
      <c r="B126" s="38" t="s">
        <v>1014</v>
      </c>
      <c r="C126" s="127" t="s">
        <v>1022</v>
      </c>
      <c r="D126" s="17"/>
      <c r="E126" s="17"/>
      <c r="F126" s="17"/>
      <c r="G126" s="82"/>
      <c r="H126" s="37" t="s">
        <v>389</v>
      </c>
      <c r="I126" s="38" t="s">
        <v>1014</v>
      </c>
      <c r="J126" s="127" t="s">
        <v>1022</v>
      </c>
      <c r="K126" s="129" t="str">
        <f t="shared" si="6"/>
        <v/>
      </c>
      <c r="L126" s="129" t="str">
        <f t="shared" si="4"/>
        <v/>
      </c>
      <c r="M126" s="129" t="str">
        <f t="shared" si="5"/>
        <v/>
      </c>
    </row>
    <row r="127" spans="1:13" ht="18" customHeight="1" thickBot="1" x14ac:dyDescent="0.2">
      <c r="A127" s="37" t="s">
        <v>389</v>
      </c>
      <c r="B127" s="38" t="s">
        <v>1014</v>
      </c>
      <c r="C127" s="127" t="s">
        <v>1023</v>
      </c>
      <c r="D127" s="17"/>
      <c r="E127" s="17"/>
      <c r="F127" s="17"/>
      <c r="G127" s="82"/>
      <c r="H127" s="37" t="s">
        <v>389</v>
      </c>
      <c r="I127" s="38" t="s">
        <v>1014</v>
      </c>
      <c r="J127" s="127" t="s">
        <v>1023</v>
      </c>
      <c r="K127" s="129" t="str">
        <f t="shared" si="6"/>
        <v/>
      </c>
      <c r="L127" s="129" t="str">
        <f t="shared" si="4"/>
        <v/>
      </c>
      <c r="M127" s="129" t="str">
        <f t="shared" si="5"/>
        <v/>
      </c>
    </row>
    <row r="128" spans="1:13" ht="18" customHeight="1" thickBot="1" x14ac:dyDescent="0.2">
      <c r="A128" s="37" t="s">
        <v>389</v>
      </c>
      <c r="B128" s="38" t="s">
        <v>1014</v>
      </c>
      <c r="C128" s="127" t="s">
        <v>1024</v>
      </c>
      <c r="D128" s="17"/>
      <c r="E128" s="17"/>
      <c r="F128" s="17"/>
      <c r="G128" s="82"/>
      <c r="H128" s="37" t="s">
        <v>389</v>
      </c>
      <c r="I128" s="38" t="s">
        <v>1014</v>
      </c>
      <c r="J128" s="127" t="s">
        <v>1024</v>
      </c>
      <c r="K128" s="129" t="str">
        <f t="shared" si="6"/>
        <v/>
      </c>
      <c r="L128" s="129" t="str">
        <f t="shared" si="4"/>
        <v/>
      </c>
      <c r="M128" s="129" t="str">
        <f t="shared" si="5"/>
        <v/>
      </c>
    </row>
    <row r="129" spans="1:13" ht="18" customHeight="1" thickBot="1" x14ac:dyDescent="0.2">
      <c r="A129" s="37" t="s">
        <v>389</v>
      </c>
      <c r="B129" s="38" t="s">
        <v>1014</v>
      </c>
      <c r="C129" s="127" t="s">
        <v>1025</v>
      </c>
      <c r="D129" s="17"/>
      <c r="E129" s="17"/>
      <c r="F129" s="17"/>
      <c r="G129" s="82"/>
      <c r="H129" s="37" t="s">
        <v>389</v>
      </c>
      <c r="I129" s="38" t="s">
        <v>1014</v>
      </c>
      <c r="J129" s="127" t="s">
        <v>1025</v>
      </c>
      <c r="K129" s="129" t="str">
        <f t="shared" si="6"/>
        <v/>
      </c>
      <c r="L129" s="129" t="str">
        <f t="shared" si="4"/>
        <v/>
      </c>
      <c r="M129" s="129" t="str">
        <f t="shared" si="5"/>
        <v/>
      </c>
    </row>
    <row r="130" spans="1:13" ht="18" customHeight="1" thickBot="1" x14ac:dyDescent="0.2">
      <c r="A130" s="37" t="s">
        <v>389</v>
      </c>
      <c r="B130" s="38" t="s">
        <v>1014</v>
      </c>
      <c r="C130" s="109" t="str">
        <f>HYPERLINK(Hoofddocument!$H$130,Hoofddocument!$G$130)</f>
        <v>Certified Information Privacy Professional Europe (CIPP/E)</v>
      </c>
      <c r="D130" s="17"/>
      <c r="E130" s="17"/>
      <c r="F130" s="17"/>
      <c r="G130" s="82"/>
      <c r="H130" s="37" t="s">
        <v>389</v>
      </c>
      <c r="I130" s="38" t="s">
        <v>1014</v>
      </c>
      <c r="J130" s="109" t="str">
        <f>HYPERLINK(Hoofddocument!$H$130,Hoofddocument!$G$130)</f>
        <v>Certified Information Privacy Professional Europe (CIPP/E)</v>
      </c>
      <c r="K130" s="129" t="str">
        <f t="shared" si="6"/>
        <v/>
      </c>
      <c r="L130" s="129" t="str">
        <f t="shared" ref="L130:L193" si="7">IF(OR(AND(Niveau2="Basis",E130="B"),AND(Niveau2="Verdiepend",E130="V"),AND(Niveau2="Toon Alles",NOT(ISBLANK(E130)))),$U$2,"")</f>
        <v/>
      </c>
      <c r="M130" s="129" t="str">
        <f t="shared" ref="M130:M193" si="8">IF(OR(AND(Niveau3="Basis",F130="B"),AND(Niveau3="Verdiepend",F130="V"),AND(Niveau3="Toon Alles",NOT(ISBLANK(F130)))),$U$2,"")</f>
        <v/>
      </c>
    </row>
    <row r="131" spans="1:13" ht="18" customHeight="1" thickBot="1" x14ac:dyDescent="0.2">
      <c r="A131" s="37" t="s">
        <v>389</v>
      </c>
      <c r="B131" s="38" t="s">
        <v>1014</v>
      </c>
      <c r="C131" s="109" t="str">
        <f>HYPERLINK(Hoofddocument!$H$131,Hoofddocument!$G$131)</f>
        <v>ITIL® 4 Foundation</v>
      </c>
      <c r="D131" s="17"/>
      <c r="E131" s="17"/>
      <c r="F131" s="17"/>
      <c r="G131" s="82"/>
      <c r="H131" s="37" t="s">
        <v>389</v>
      </c>
      <c r="I131" s="38" t="s">
        <v>1014</v>
      </c>
      <c r="J131" s="109" t="str">
        <f>HYPERLINK(Hoofddocument!$H$131,Hoofddocument!$G$131)</f>
        <v>ITIL® 4 Foundation</v>
      </c>
      <c r="K131" s="129" t="str">
        <f t="shared" ref="K131:K194" si="9">IF(OR(AND(Niveau1="Basis",D131="B"),AND(Niveau1="Verdiepend",D131="V"),AND(Niveau1="Toon Alles",NOT(ISBLANK(D131)))),$U$2,"")</f>
        <v/>
      </c>
      <c r="L131" s="129" t="str">
        <f t="shared" si="7"/>
        <v/>
      </c>
      <c r="M131" s="129" t="str">
        <f t="shared" si="8"/>
        <v/>
      </c>
    </row>
    <row r="132" spans="1:13" ht="18" customHeight="1" thickBot="1" x14ac:dyDescent="0.2">
      <c r="A132" s="37" t="s">
        <v>389</v>
      </c>
      <c r="B132" s="38" t="s">
        <v>1014</v>
      </c>
      <c r="C132" s="109" t="str">
        <f>HYPERLINK(Hoofddocument!$H$132,Hoofddocument!$G$132)</f>
        <v>PRINCE2® Foundation</v>
      </c>
      <c r="D132" s="17"/>
      <c r="E132" s="17"/>
      <c r="F132" s="17"/>
      <c r="G132" s="82"/>
      <c r="H132" s="37" t="s">
        <v>389</v>
      </c>
      <c r="I132" s="38" t="s">
        <v>1014</v>
      </c>
      <c r="J132" s="109" t="str">
        <f>HYPERLINK(Hoofddocument!$H$132,Hoofddocument!$G$132)</f>
        <v>PRINCE2® Foundation</v>
      </c>
      <c r="K132" s="129" t="str">
        <f t="shared" si="9"/>
        <v/>
      </c>
      <c r="L132" s="129" t="str">
        <f t="shared" si="7"/>
        <v/>
      </c>
      <c r="M132" s="129" t="str">
        <f t="shared" si="8"/>
        <v/>
      </c>
    </row>
    <row r="133" spans="1:13" ht="18" customHeight="1" thickBot="1" x14ac:dyDescent="0.2">
      <c r="A133" s="37" t="s">
        <v>389</v>
      </c>
      <c r="B133" s="38" t="s">
        <v>721</v>
      </c>
      <c r="C133" s="109" t="str">
        <f>HYPERLINK(Hoofddocument!$H$133,Hoofddocument!$G$133)</f>
        <v>Associate SOC Analist</v>
      </c>
      <c r="D133" s="17"/>
      <c r="E133" s="17"/>
      <c r="F133" s="17"/>
      <c r="G133" s="82"/>
      <c r="H133" s="37" t="s">
        <v>389</v>
      </c>
      <c r="I133" s="38" t="s">
        <v>721</v>
      </c>
      <c r="J133" s="109" t="str">
        <f>HYPERLINK(Hoofddocument!$H$133,Hoofddocument!$G$133)</f>
        <v>Associate SOC Analist</v>
      </c>
      <c r="K133" s="129" t="str">
        <f t="shared" si="9"/>
        <v/>
      </c>
      <c r="L133" s="129" t="str">
        <f t="shared" si="7"/>
        <v/>
      </c>
      <c r="M133" s="129" t="str">
        <f t="shared" si="8"/>
        <v/>
      </c>
    </row>
    <row r="134" spans="1:13" ht="18" customHeight="1" thickBot="1" x14ac:dyDescent="0.2">
      <c r="A134" s="37" t="s">
        <v>389</v>
      </c>
      <c r="B134" s="38" t="s">
        <v>722</v>
      </c>
      <c r="C134" s="38" t="s">
        <v>812</v>
      </c>
      <c r="D134" s="17"/>
      <c r="E134" s="17"/>
      <c r="F134" s="17"/>
      <c r="G134" s="82"/>
      <c r="H134" s="37" t="s">
        <v>389</v>
      </c>
      <c r="I134" s="38" t="s">
        <v>722</v>
      </c>
      <c r="J134" s="38" t="s">
        <v>812</v>
      </c>
      <c r="K134" s="129" t="str">
        <f t="shared" si="9"/>
        <v/>
      </c>
      <c r="L134" s="129" t="str">
        <f t="shared" si="7"/>
        <v/>
      </c>
      <c r="M134" s="129" t="str">
        <f t="shared" si="8"/>
        <v/>
      </c>
    </row>
    <row r="135" spans="1:13" ht="18" customHeight="1" thickBot="1" x14ac:dyDescent="0.2">
      <c r="A135" s="37" t="s">
        <v>45</v>
      </c>
      <c r="B135" s="38" t="s">
        <v>46</v>
      </c>
      <c r="C135" s="109" t="str">
        <f>HYPERLINK(Hoofddocument!$H$135,Hoofddocument!$G$135)</f>
        <v>Effectief Adviseren in de Publieke Sector</v>
      </c>
      <c r="D135" s="17"/>
      <c r="E135" s="17"/>
      <c r="F135" s="17"/>
      <c r="G135" s="82"/>
      <c r="H135" s="37" t="s">
        <v>45</v>
      </c>
      <c r="I135" s="38" t="s">
        <v>46</v>
      </c>
      <c r="J135" s="109" t="str">
        <f>HYPERLINK(Hoofddocument!$H$135,Hoofddocument!$G$135)</f>
        <v>Effectief Adviseren in de Publieke Sector</v>
      </c>
      <c r="K135" s="129" t="str">
        <f t="shared" si="9"/>
        <v/>
      </c>
      <c r="L135" s="17" t="str">
        <f t="shared" si="7"/>
        <v/>
      </c>
      <c r="M135" s="129" t="str">
        <f t="shared" si="8"/>
        <v/>
      </c>
    </row>
    <row r="136" spans="1:13" ht="18" customHeight="1" thickBot="1" x14ac:dyDescent="0.2">
      <c r="A136" s="37" t="s">
        <v>45</v>
      </c>
      <c r="B136" s="38" t="s">
        <v>46</v>
      </c>
      <c r="C136" s="109" t="str">
        <f>HYPERLINK(Hoofddocument!$H$136,Hoofddocument!$G$136)</f>
        <v>Basistraining Adviesvaardigheden</v>
      </c>
      <c r="D136" s="17"/>
      <c r="E136" s="17"/>
      <c r="F136" s="17"/>
      <c r="G136" s="82"/>
      <c r="H136" s="37" t="s">
        <v>45</v>
      </c>
      <c r="I136" s="38" t="s">
        <v>46</v>
      </c>
      <c r="J136" s="109" t="str">
        <f>HYPERLINK(Hoofddocument!$H$136,Hoofddocument!$G$136)</f>
        <v>Basistraining Adviesvaardigheden</v>
      </c>
      <c r="K136" s="129" t="str">
        <f t="shared" si="9"/>
        <v/>
      </c>
      <c r="L136" s="17" t="str">
        <f t="shared" si="7"/>
        <v/>
      </c>
      <c r="M136" s="129" t="str">
        <f t="shared" si="8"/>
        <v/>
      </c>
    </row>
    <row r="137" spans="1:13" ht="18" customHeight="1" thickBot="1" x14ac:dyDescent="0.2">
      <c r="A137" s="37" t="s">
        <v>45</v>
      </c>
      <c r="B137" s="38" t="s">
        <v>46</v>
      </c>
      <c r="C137" s="109" t="str">
        <f>HYPERLINK(Hoofddocument!$H$137,Hoofddocument!$G$137)</f>
        <v>Professioneel Adviseren</v>
      </c>
      <c r="D137" s="17"/>
      <c r="E137" s="17"/>
      <c r="F137" s="17"/>
      <c r="G137" s="82"/>
      <c r="H137" s="37" t="s">
        <v>45</v>
      </c>
      <c r="I137" s="38" t="s">
        <v>46</v>
      </c>
      <c r="J137" s="109" t="str">
        <f>HYPERLINK(Hoofddocument!$H$137,Hoofddocument!$G$137)</f>
        <v>Professioneel Adviseren</v>
      </c>
      <c r="K137" s="125" t="str">
        <f t="shared" si="9"/>
        <v/>
      </c>
      <c r="L137" s="125" t="str">
        <f t="shared" si="7"/>
        <v/>
      </c>
      <c r="M137" s="129" t="str">
        <f t="shared" si="8"/>
        <v/>
      </c>
    </row>
    <row r="138" spans="1:13" ht="18" customHeight="1" thickBot="1" x14ac:dyDescent="0.2">
      <c r="A138" s="37" t="s">
        <v>45</v>
      </c>
      <c r="B138" s="38" t="s">
        <v>46</v>
      </c>
      <c r="C138" s="109" t="str">
        <f>HYPERLINK(Hoofddocument!$H$138,Hoofddocument!$G$138)</f>
        <v>Masterclass Adviseren op Strategisch Niveau</v>
      </c>
      <c r="D138" s="17"/>
      <c r="E138" s="17"/>
      <c r="F138" s="17"/>
      <c r="G138" s="82"/>
      <c r="H138" s="37" t="s">
        <v>45</v>
      </c>
      <c r="I138" s="38" t="s">
        <v>46</v>
      </c>
      <c r="J138" s="109" t="str">
        <f>HYPERLINK(Hoofddocument!$H$138,Hoofddocument!$G$138)</f>
        <v>Masterclass Adviseren op Strategisch Niveau</v>
      </c>
      <c r="K138" s="129" t="str">
        <f t="shared" si="9"/>
        <v/>
      </c>
      <c r="L138" s="129" t="str">
        <f t="shared" si="7"/>
        <v/>
      </c>
      <c r="M138" s="129" t="str">
        <f t="shared" si="8"/>
        <v/>
      </c>
    </row>
    <row r="139" spans="1:13" ht="18" customHeight="1" thickBot="1" x14ac:dyDescent="0.2">
      <c r="A139" s="37" t="s">
        <v>45</v>
      </c>
      <c r="B139" s="38" t="s">
        <v>970</v>
      </c>
      <c r="C139" s="109" t="str">
        <f>HYPERLINK(Hoofddocument!$H$139,Hoofddocument!$G$139)</f>
        <v xml:space="preserve">Powerboost Beïnvloeden </v>
      </c>
      <c r="D139" s="17"/>
      <c r="E139" s="17"/>
      <c r="F139" s="17"/>
      <c r="G139" s="82"/>
      <c r="H139" s="37" t="s">
        <v>45</v>
      </c>
      <c r="I139" s="38" t="s">
        <v>970</v>
      </c>
      <c r="J139" s="109" t="str">
        <f>HYPERLINK(Hoofddocument!$H$139,Hoofddocument!$G$139)</f>
        <v xml:space="preserve">Powerboost Beïnvloeden </v>
      </c>
      <c r="K139" s="129" t="str">
        <f t="shared" si="9"/>
        <v/>
      </c>
      <c r="L139" s="129" t="str">
        <f t="shared" si="7"/>
        <v/>
      </c>
      <c r="M139" s="129" t="str">
        <f t="shared" si="8"/>
        <v/>
      </c>
    </row>
    <row r="140" spans="1:13" ht="18" customHeight="1" thickBot="1" x14ac:dyDescent="0.2">
      <c r="A140" s="37" t="s">
        <v>45</v>
      </c>
      <c r="B140" s="38" t="s">
        <v>970</v>
      </c>
      <c r="C140" s="109" t="str">
        <f>HYPERLINK(Hoofddocument!$H$140,Hoofddocument!$G$140)</f>
        <v>Effectief Beïnvloeden</v>
      </c>
      <c r="D140" s="17"/>
      <c r="E140" s="17"/>
      <c r="F140" s="17"/>
      <c r="G140" s="82"/>
      <c r="H140" s="37" t="s">
        <v>45</v>
      </c>
      <c r="I140" s="38" t="s">
        <v>970</v>
      </c>
      <c r="J140" s="109" t="str">
        <f>HYPERLINK(Hoofddocument!$H$140,Hoofddocument!$G$140)</f>
        <v>Effectief Beïnvloeden</v>
      </c>
      <c r="K140" s="129" t="str">
        <f t="shared" si="9"/>
        <v/>
      </c>
      <c r="L140" s="129" t="str">
        <f t="shared" si="7"/>
        <v/>
      </c>
      <c r="M140" s="129" t="str">
        <f t="shared" si="8"/>
        <v/>
      </c>
    </row>
    <row r="141" spans="1:13" ht="18" customHeight="1" thickBot="1" x14ac:dyDescent="0.2">
      <c r="A141" s="37" t="s">
        <v>45</v>
      </c>
      <c r="B141" s="38" t="s">
        <v>970</v>
      </c>
      <c r="C141" s="109" t="str">
        <f>HYPERLINK(Hoofddocument!$H$141,Hoofddocument!$G$141)</f>
        <v>Doelgericht Communiceren en Beïnvloeden</v>
      </c>
      <c r="D141" s="17"/>
      <c r="E141" s="17"/>
      <c r="F141" s="17"/>
      <c r="G141" s="82"/>
      <c r="H141" s="37" t="s">
        <v>45</v>
      </c>
      <c r="I141" s="38" t="s">
        <v>970</v>
      </c>
      <c r="J141" s="109" t="str">
        <f>HYPERLINK(Hoofddocument!$H$141,Hoofddocument!$G$141)</f>
        <v>Doelgericht Communiceren en Beïnvloeden</v>
      </c>
      <c r="K141" s="129" t="str">
        <f t="shared" si="9"/>
        <v/>
      </c>
      <c r="L141" s="129" t="str">
        <f t="shared" si="7"/>
        <v/>
      </c>
      <c r="M141" s="129" t="str">
        <f t="shared" si="8"/>
        <v/>
      </c>
    </row>
    <row r="142" spans="1:13" ht="18" customHeight="1" thickBot="1" x14ac:dyDescent="0.2">
      <c r="A142" s="37" t="s">
        <v>45</v>
      </c>
      <c r="B142" s="38" t="s">
        <v>147</v>
      </c>
      <c r="C142" s="109" t="str">
        <f>HYPERLINK(Hoofddocument!$H$142,Hoofddocument!$G$142)</f>
        <v>Big Data Strategy and Analytics</v>
      </c>
      <c r="D142" s="17"/>
      <c r="E142" s="17"/>
      <c r="F142" s="17"/>
      <c r="G142" s="82"/>
      <c r="H142" s="37" t="s">
        <v>45</v>
      </c>
      <c r="I142" s="38" t="s">
        <v>147</v>
      </c>
      <c r="J142" s="109" t="str">
        <f>HYPERLINK(Hoofddocument!$H$142,Hoofddocument!$G$142)</f>
        <v>Big Data Strategy and Analytics</v>
      </c>
      <c r="K142" s="129" t="str">
        <f t="shared" si="9"/>
        <v/>
      </c>
      <c r="L142" s="129" t="str">
        <f t="shared" si="7"/>
        <v/>
      </c>
      <c r="M142" s="129" t="str">
        <f t="shared" si="8"/>
        <v/>
      </c>
    </row>
    <row r="143" spans="1:13" ht="18" customHeight="1" thickBot="1" x14ac:dyDescent="0.2">
      <c r="A143" s="37" t="s">
        <v>45</v>
      </c>
      <c r="B143" s="38" t="s">
        <v>375</v>
      </c>
      <c r="C143" s="109" t="str">
        <f>HYPERLINK(Hoofddocument!$H$143,Hoofddocument!$G$143)</f>
        <v>Business Intelligence</v>
      </c>
      <c r="D143" s="17"/>
      <c r="E143" s="17"/>
      <c r="F143" s="17"/>
      <c r="G143" s="82"/>
      <c r="H143" s="37" t="s">
        <v>45</v>
      </c>
      <c r="I143" s="38" t="s">
        <v>375</v>
      </c>
      <c r="J143" s="109" t="str">
        <f>HYPERLINK(Hoofddocument!$H$143,Hoofddocument!$G$143)</f>
        <v>Business Intelligence</v>
      </c>
      <c r="K143" s="129" t="str">
        <f t="shared" si="9"/>
        <v/>
      </c>
      <c r="L143" s="129" t="str">
        <f t="shared" si="7"/>
        <v/>
      </c>
      <c r="M143" s="129" t="str">
        <f t="shared" si="8"/>
        <v/>
      </c>
    </row>
    <row r="144" spans="1:13" ht="18" customHeight="1" thickBot="1" x14ac:dyDescent="0.2">
      <c r="A144" s="37" t="s">
        <v>45</v>
      </c>
      <c r="B144" s="38" t="s">
        <v>282</v>
      </c>
      <c r="C144" s="109" t="str">
        <f>HYPERLINK(Hoofddocument!$H$144,Hoofddocument!$G$144)</f>
        <v>Cursus Object Orientation, RUP and UML 2.0 | Computrain</v>
      </c>
      <c r="D144" s="17"/>
      <c r="E144" s="17"/>
      <c r="F144" s="17"/>
      <c r="G144" s="82"/>
      <c r="H144" s="37" t="s">
        <v>45</v>
      </c>
      <c r="I144" s="38" t="s">
        <v>282</v>
      </c>
      <c r="J144" s="109" t="str">
        <f>HYPERLINK(Hoofddocument!$H$144,Hoofddocument!$G$144)</f>
        <v>Cursus Object Orientation, RUP and UML 2.0 | Computrain</v>
      </c>
      <c r="K144" s="17" t="str">
        <f t="shared" si="9"/>
        <v/>
      </c>
      <c r="L144" s="129" t="str">
        <f t="shared" si="7"/>
        <v/>
      </c>
      <c r="M144" s="129" t="str">
        <f t="shared" si="8"/>
        <v/>
      </c>
    </row>
    <row r="145" spans="1:13" ht="18" customHeight="1" thickBot="1" x14ac:dyDescent="0.2">
      <c r="A145" s="37" t="s">
        <v>45</v>
      </c>
      <c r="B145" s="38" t="s">
        <v>364</v>
      </c>
      <c r="C145" s="109" t="str">
        <f>HYPERLINK(Hoofddocument!$H$145,Hoofddocument!$G$145)</f>
        <v>Omgaan met weerstand en tegengestelde belangen</v>
      </c>
      <c r="D145" s="17"/>
      <c r="E145" s="17"/>
      <c r="F145" s="17"/>
      <c r="G145" s="82"/>
      <c r="H145" s="37" t="s">
        <v>45</v>
      </c>
      <c r="I145" s="38" t="s">
        <v>364</v>
      </c>
      <c r="J145" s="109" t="str">
        <f>HYPERLINK(Hoofddocument!$H$145,Hoofddocument!$G$145)</f>
        <v>Omgaan met weerstand en tegengestelde belangen</v>
      </c>
      <c r="K145" s="129" t="str">
        <f t="shared" si="9"/>
        <v/>
      </c>
      <c r="L145" s="125" t="str">
        <f t="shared" si="7"/>
        <v/>
      </c>
      <c r="M145" s="129" t="str">
        <f t="shared" si="8"/>
        <v/>
      </c>
    </row>
    <row r="146" spans="1:13" ht="18" customHeight="1" thickBot="1" x14ac:dyDescent="0.2">
      <c r="A146" s="37" t="s">
        <v>45</v>
      </c>
      <c r="B146" s="38" t="s">
        <v>364</v>
      </c>
      <c r="C146" s="109" t="str">
        <f>HYPERLINK(Hoofddocument!$H$146,Hoofddocument!$G$146)</f>
        <v>Draagvlak Creëren</v>
      </c>
      <c r="D146" s="17"/>
      <c r="E146" s="17"/>
      <c r="F146" s="17"/>
      <c r="G146" s="82"/>
      <c r="H146" s="37" t="s">
        <v>45</v>
      </c>
      <c r="I146" s="38" t="s">
        <v>364</v>
      </c>
      <c r="J146" s="109" t="str">
        <f>HYPERLINK(Hoofddocument!$H$146,Hoofddocument!$G$146)</f>
        <v>Draagvlak Creëren</v>
      </c>
      <c r="K146" s="129" t="str">
        <f t="shared" si="9"/>
        <v/>
      </c>
      <c r="L146" s="129" t="str">
        <f t="shared" si="7"/>
        <v/>
      </c>
      <c r="M146" s="129" t="str">
        <f t="shared" si="8"/>
        <v/>
      </c>
    </row>
    <row r="147" spans="1:13" ht="18" customHeight="1" thickBot="1" x14ac:dyDescent="0.2">
      <c r="A147" s="37" t="s">
        <v>45</v>
      </c>
      <c r="B147" s="38" t="s">
        <v>723</v>
      </c>
      <c r="C147" s="109" t="str">
        <f>HYPERLINK(Hoofddocument!$H$147,Hoofddocument!$G$147)</f>
        <v>Effectief Onderhandelen</v>
      </c>
      <c r="D147" s="17"/>
      <c r="E147" s="17"/>
      <c r="F147" s="17"/>
      <c r="G147" s="82"/>
      <c r="H147" s="37" t="s">
        <v>45</v>
      </c>
      <c r="I147" s="38" t="s">
        <v>723</v>
      </c>
      <c r="J147" s="109" t="str">
        <f>HYPERLINK(Hoofddocument!$H$147,Hoofddocument!$G$147)</f>
        <v>Effectief Onderhandelen</v>
      </c>
      <c r="K147" s="129" t="str">
        <f t="shared" si="9"/>
        <v/>
      </c>
      <c r="L147" s="129" t="str">
        <f t="shared" si="7"/>
        <v/>
      </c>
      <c r="M147" s="129" t="str">
        <f t="shared" si="8"/>
        <v/>
      </c>
    </row>
    <row r="148" spans="1:13" ht="18" customHeight="1" thickBot="1" x14ac:dyDescent="0.2">
      <c r="A148" s="37" t="s">
        <v>45</v>
      </c>
      <c r="B148" s="38" t="s">
        <v>723</v>
      </c>
      <c r="C148" s="109" t="str">
        <f>HYPERLINK(Hoofddocument!$H$148,Hoofddocument!$G$148)</f>
        <v>Commercieel Onderhandelen en beïnvloeden</v>
      </c>
      <c r="D148" s="17"/>
      <c r="E148" s="17"/>
      <c r="F148" s="17"/>
      <c r="G148" s="82"/>
      <c r="H148" s="37" t="s">
        <v>45</v>
      </c>
      <c r="I148" s="38" t="s">
        <v>723</v>
      </c>
      <c r="J148" s="109" t="str">
        <f>HYPERLINK(Hoofddocument!$H$148,Hoofddocument!$G$148)</f>
        <v>Commercieel Onderhandelen en beïnvloeden</v>
      </c>
      <c r="K148" s="129" t="str">
        <f t="shared" si="9"/>
        <v/>
      </c>
      <c r="L148" s="129" t="str">
        <f t="shared" si="7"/>
        <v/>
      </c>
      <c r="M148" s="129" t="str">
        <f t="shared" si="8"/>
        <v/>
      </c>
    </row>
    <row r="149" spans="1:13" ht="18" customHeight="1" thickBot="1" x14ac:dyDescent="0.2">
      <c r="A149" s="37" t="s">
        <v>45</v>
      </c>
      <c r="B149" s="38" t="s">
        <v>367</v>
      </c>
      <c r="C149" s="109" t="str">
        <f>HYPERLINK(Hoofddocument!$H$149,Hoofddocument!$G$149)</f>
        <v>Training Invloed en Macht in Organisaties</v>
      </c>
      <c r="D149" s="17"/>
      <c r="E149" s="17"/>
      <c r="F149" s="17"/>
      <c r="G149" s="82"/>
      <c r="H149" s="37" t="s">
        <v>45</v>
      </c>
      <c r="I149" s="38" t="s">
        <v>367</v>
      </c>
      <c r="J149" s="109" t="str">
        <f>HYPERLINK(Hoofddocument!$H$149,Hoofddocument!$G$149)</f>
        <v>Training Invloed en Macht in Organisaties</v>
      </c>
      <c r="K149" s="129" t="str">
        <f t="shared" si="9"/>
        <v/>
      </c>
      <c r="L149" s="129" t="str">
        <f t="shared" si="7"/>
        <v/>
      </c>
      <c r="M149" s="129" t="str">
        <f t="shared" si="8"/>
        <v/>
      </c>
    </row>
    <row r="150" spans="1:13" ht="18" customHeight="1" thickBot="1" x14ac:dyDescent="0.2">
      <c r="A150" s="37" t="s">
        <v>45</v>
      </c>
      <c r="B150" s="38" t="s">
        <v>724</v>
      </c>
      <c r="C150" s="109" t="str">
        <f>HYPERLINK(Hoofddocument!$H$150,Hoofddocument!$G$150)</f>
        <v>Excel Expert: Analyse en Rapportage</v>
      </c>
      <c r="D150" s="17"/>
      <c r="E150" s="17"/>
      <c r="F150" s="17"/>
      <c r="G150" s="82"/>
      <c r="H150" s="37" t="s">
        <v>45</v>
      </c>
      <c r="I150" s="38" t="s">
        <v>724</v>
      </c>
      <c r="J150" s="109" t="str">
        <f>HYPERLINK(Hoofddocument!$H$150,Hoofddocument!$G$150)</f>
        <v>Excel Expert: Analyse en Rapportage</v>
      </c>
      <c r="K150" s="129" t="str">
        <f t="shared" si="9"/>
        <v/>
      </c>
      <c r="L150" s="129" t="str">
        <f t="shared" si="7"/>
        <v/>
      </c>
      <c r="M150" s="129" t="str">
        <f t="shared" si="8"/>
        <v/>
      </c>
    </row>
    <row r="151" spans="1:13" ht="18" customHeight="1" thickBot="1" x14ac:dyDescent="0.2">
      <c r="A151" s="37" t="s">
        <v>45</v>
      </c>
      <c r="B151" s="38" t="s">
        <v>281</v>
      </c>
      <c r="C151" s="109" t="str">
        <f>HYPERLINK(Hoofddocument!$H$151,Hoofddocument!$G$151)</f>
        <v>HBO Bestuurlijk Adviseren en Beïnvloeden</v>
      </c>
      <c r="D151" s="17"/>
      <c r="E151" s="17"/>
      <c r="F151" s="17"/>
      <c r="G151" s="82"/>
      <c r="H151" s="37" t="s">
        <v>45</v>
      </c>
      <c r="I151" s="38" t="s">
        <v>281</v>
      </c>
      <c r="J151" s="109" t="str">
        <f>HYPERLINK(Hoofddocument!$H$151,Hoofddocument!$G$151)</f>
        <v>HBO Bestuurlijk Adviseren en Beïnvloeden</v>
      </c>
      <c r="K151" s="129" t="str">
        <f t="shared" si="9"/>
        <v/>
      </c>
      <c r="L151" s="129" t="str">
        <f t="shared" si="7"/>
        <v/>
      </c>
      <c r="M151" s="129" t="str">
        <f t="shared" si="8"/>
        <v/>
      </c>
    </row>
    <row r="152" spans="1:13" ht="18" customHeight="1" thickBot="1" x14ac:dyDescent="0.2">
      <c r="A152" s="37" t="s">
        <v>45</v>
      </c>
      <c r="B152" s="38" t="s">
        <v>223</v>
      </c>
      <c r="C152" s="109" t="str">
        <f>HYPERLINK(Hoofddocument!$H$152,Hoofddocument!$G$152)</f>
        <v>Wendbaarheid in een Veranderende Wereld</v>
      </c>
      <c r="D152" s="17"/>
      <c r="E152" s="17"/>
      <c r="F152" s="17"/>
      <c r="G152" s="82"/>
      <c r="H152" s="37" t="s">
        <v>45</v>
      </c>
      <c r="I152" s="38" t="s">
        <v>223</v>
      </c>
      <c r="J152" s="109" t="str">
        <f>HYPERLINK(Hoofddocument!$H$152,Hoofddocument!$G$152)</f>
        <v>Wendbaarheid in een Veranderende Wereld</v>
      </c>
      <c r="K152" s="129" t="str">
        <f t="shared" si="9"/>
        <v/>
      </c>
      <c r="L152" s="129" t="str">
        <f t="shared" si="7"/>
        <v/>
      </c>
      <c r="M152" s="129" t="str">
        <f t="shared" si="8"/>
        <v/>
      </c>
    </row>
    <row r="153" spans="1:13" ht="18" customHeight="1" thickBot="1" x14ac:dyDescent="0.2">
      <c r="A153" s="37" t="s">
        <v>45</v>
      </c>
      <c r="B153" s="38" t="s">
        <v>223</v>
      </c>
      <c r="C153" s="109" t="str">
        <f>HYPERLINK(Hoofddocument!$H$153,Hoofddocument!$G$153)</f>
        <v>Leidinggeven aan Verandering</v>
      </c>
      <c r="D153" s="17"/>
      <c r="E153" s="17"/>
      <c r="F153" s="17"/>
      <c r="G153" s="82"/>
      <c r="H153" s="37" t="s">
        <v>45</v>
      </c>
      <c r="I153" s="38" t="s">
        <v>223</v>
      </c>
      <c r="J153" s="109" t="str">
        <f>HYPERLINK(Hoofddocument!$H$153,Hoofddocument!$G$153)</f>
        <v>Leidinggeven aan Verandering</v>
      </c>
      <c r="K153" s="129" t="str">
        <f t="shared" si="9"/>
        <v/>
      </c>
      <c r="L153" s="125" t="str">
        <f t="shared" si="7"/>
        <v/>
      </c>
      <c r="M153" s="129" t="str">
        <f t="shared" si="8"/>
        <v/>
      </c>
    </row>
    <row r="154" spans="1:13" ht="18" customHeight="1" thickBot="1" x14ac:dyDescent="0.2">
      <c r="A154" s="37" t="s">
        <v>45</v>
      </c>
      <c r="B154" s="38" t="s">
        <v>223</v>
      </c>
      <c r="C154" s="109" t="str">
        <f>HYPERLINK(Hoofddocument!$H$154,Hoofddocument!$G$154)</f>
        <v>Sturing Geven aan Transitie</v>
      </c>
      <c r="D154" s="17"/>
      <c r="E154" s="17"/>
      <c r="F154" s="17"/>
      <c r="G154" s="82"/>
      <c r="H154" s="37" t="s">
        <v>45</v>
      </c>
      <c r="I154" s="38" t="s">
        <v>223</v>
      </c>
      <c r="J154" s="109" t="str">
        <f>HYPERLINK(Hoofddocument!$H$154,Hoofddocument!$G$154)</f>
        <v>Sturing Geven aan Transitie</v>
      </c>
      <c r="K154" s="129" t="str">
        <f t="shared" si="9"/>
        <v/>
      </c>
      <c r="L154" s="129" t="str">
        <f t="shared" si="7"/>
        <v/>
      </c>
      <c r="M154" s="129" t="str">
        <f t="shared" si="8"/>
        <v/>
      </c>
    </row>
    <row r="155" spans="1:13" ht="18" customHeight="1" thickBot="1" x14ac:dyDescent="0.2">
      <c r="A155" s="37" t="s">
        <v>45</v>
      </c>
      <c r="B155" s="38" t="s">
        <v>223</v>
      </c>
      <c r="C155" s="109" t="str">
        <f>HYPERLINK(Hoofddocument!$H$155,Hoofddocument!$G$155)</f>
        <v>Masterclass Innoverende Overheid</v>
      </c>
      <c r="D155" s="17"/>
      <c r="E155" s="17"/>
      <c r="F155" s="17"/>
      <c r="G155" s="82"/>
      <c r="H155" s="37" t="s">
        <v>45</v>
      </c>
      <c r="I155" s="38" t="s">
        <v>223</v>
      </c>
      <c r="J155" s="109" t="str">
        <f>HYPERLINK(Hoofddocument!$H$155,Hoofddocument!$G$155)</f>
        <v>Masterclass Innoverende Overheid</v>
      </c>
      <c r="K155" s="129" t="str">
        <f t="shared" si="9"/>
        <v/>
      </c>
      <c r="L155" s="129" t="str">
        <f t="shared" si="7"/>
        <v/>
      </c>
      <c r="M155" s="129" t="str">
        <f t="shared" si="8"/>
        <v/>
      </c>
    </row>
    <row r="156" spans="1:13" ht="18" customHeight="1" thickBot="1" x14ac:dyDescent="0.2">
      <c r="A156" s="37" t="s">
        <v>45</v>
      </c>
      <c r="B156" s="38" t="s">
        <v>223</v>
      </c>
      <c r="C156" s="109" t="str">
        <f>HYPERLINK(Hoofddocument!$H$156,Hoofddocument!$G$156)</f>
        <v>Change Management Foundation</v>
      </c>
      <c r="D156" s="17"/>
      <c r="E156" s="17"/>
      <c r="F156" s="17"/>
      <c r="G156" s="82"/>
      <c r="H156" s="37" t="s">
        <v>45</v>
      </c>
      <c r="I156" s="38" t="s">
        <v>223</v>
      </c>
      <c r="J156" s="109" t="str">
        <f>HYPERLINK(Hoofddocument!$H$156,Hoofddocument!$G$156)</f>
        <v>Change Management Foundation</v>
      </c>
      <c r="K156" s="129" t="str">
        <f t="shared" si="9"/>
        <v/>
      </c>
      <c r="L156" s="129" t="str">
        <f t="shared" si="7"/>
        <v/>
      </c>
      <c r="M156" s="129" t="str">
        <f t="shared" si="8"/>
        <v/>
      </c>
    </row>
    <row r="157" spans="1:13" ht="18" customHeight="1" thickBot="1" x14ac:dyDescent="0.2">
      <c r="A157" s="37" t="s">
        <v>45</v>
      </c>
      <c r="B157" s="38" t="s">
        <v>223</v>
      </c>
      <c r="C157" s="109" t="str">
        <f>HYPERLINK(Hoofddocument!$H$157,Hoofddocument!$G$157)</f>
        <v>Lean Green belt</v>
      </c>
      <c r="D157" s="17"/>
      <c r="E157" s="17"/>
      <c r="F157" s="17"/>
      <c r="G157" s="82"/>
      <c r="H157" s="37" t="s">
        <v>45</v>
      </c>
      <c r="I157" s="38" t="s">
        <v>223</v>
      </c>
      <c r="J157" s="109" t="str">
        <f>HYPERLINK(Hoofddocument!$H$157,Hoofddocument!$G$157)</f>
        <v>Lean Green belt</v>
      </c>
      <c r="K157" s="129" t="str">
        <f t="shared" si="9"/>
        <v/>
      </c>
      <c r="L157" s="129" t="str">
        <f t="shared" si="7"/>
        <v/>
      </c>
      <c r="M157" s="129" t="str">
        <f t="shared" si="8"/>
        <v/>
      </c>
    </row>
    <row r="158" spans="1:13" ht="18" customHeight="1" thickBot="1" x14ac:dyDescent="0.2">
      <c r="A158" s="37" t="s">
        <v>45</v>
      </c>
      <c r="B158" s="38" t="s">
        <v>223</v>
      </c>
      <c r="C158" s="109" t="str">
        <f>HYPERLINK(Hoofddocument!$H$158,Hoofddocument!$G$158)</f>
        <v>Masterclass Innovatiemanagement</v>
      </c>
      <c r="D158" s="17"/>
      <c r="E158" s="17"/>
      <c r="F158" s="17"/>
      <c r="G158" s="82"/>
      <c r="H158" s="37" t="s">
        <v>45</v>
      </c>
      <c r="I158" s="38" t="s">
        <v>223</v>
      </c>
      <c r="J158" s="109" t="str">
        <f>HYPERLINK(Hoofddocument!$H$158,Hoofddocument!$G$158)</f>
        <v>Masterclass Innovatiemanagement</v>
      </c>
      <c r="K158" s="129" t="str">
        <f t="shared" si="9"/>
        <v/>
      </c>
      <c r="L158" s="129" t="str">
        <f t="shared" si="7"/>
        <v/>
      </c>
      <c r="M158" s="129" t="str">
        <f t="shared" si="8"/>
        <v/>
      </c>
    </row>
    <row r="159" spans="1:13" ht="18" customHeight="1" thickBot="1" x14ac:dyDescent="0.2">
      <c r="A159" s="37" t="s">
        <v>45</v>
      </c>
      <c r="B159" s="38" t="s">
        <v>223</v>
      </c>
      <c r="C159" s="109" t="str">
        <f>HYPERLINK(Hoofddocument!$H$159,Hoofddocument!$G$159)</f>
        <v>Executive Masterclass Verandermanagement</v>
      </c>
      <c r="D159" s="17"/>
      <c r="E159" s="17"/>
      <c r="F159" s="17"/>
      <c r="G159" s="82"/>
      <c r="H159" s="37" t="s">
        <v>45</v>
      </c>
      <c r="I159" s="38" t="s">
        <v>223</v>
      </c>
      <c r="J159" s="109" t="str">
        <f>HYPERLINK(Hoofddocument!$H$159,Hoofddocument!$G$159)</f>
        <v>Executive Masterclass Verandermanagement</v>
      </c>
      <c r="K159" s="129" t="str">
        <f t="shared" si="9"/>
        <v/>
      </c>
      <c r="L159" s="129" t="str">
        <f t="shared" si="7"/>
        <v/>
      </c>
      <c r="M159" s="129" t="str">
        <f t="shared" si="8"/>
        <v/>
      </c>
    </row>
    <row r="160" spans="1:13" ht="18" customHeight="1" thickBot="1" x14ac:dyDescent="0.2">
      <c r="A160" s="37" t="s">
        <v>45</v>
      </c>
      <c r="B160" s="38" t="s">
        <v>223</v>
      </c>
      <c r="C160" s="109" t="str">
        <f>HYPERLINK(Hoofddocument!$H$160,Hoofddocument!$G$160)</f>
        <v>Masterclass Verandermanagement</v>
      </c>
      <c r="D160" s="17"/>
      <c r="E160" s="17"/>
      <c r="F160" s="17"/>
      <c r="G160" s="82"/>
      <c r="H160" s="37" t="s">
        <v>45</v>
      </c>
      <c r="I160" s="38" t="s">
        <v>223</v>
      </c>
      <c r="J160" s="109" t="str">
        <f>HYPERLINK(Hoofddocument!$H$160,Hoofddocument!$G$160)</f>
        <v>Masterclass Verandermanagement</v>
      </c>
      <c r="K160" s="129" t="str">
        <f t="shared" si="9"/>
        <v/>
      </c>
      <c r="L160" s="129" t="str">
        <f t="shared" si="7"/>
        <v/>
      </c>
      <c r="M160" s="129" t="str">
        <f t="shared" si="8"/>
        <v/>
      </c>
    </row>
    <row r="161" spans="1:13" ht="18" customHeight="1" thickBot="1" x14ac:dyDescent="0.2">
      <c r="A161" s="37" t="s">
        <v>45</v>
      </c>
      <c r="B161" s="38" t="s">
        <v>223</v>
      </c>
      <c r="C161" s="109" t="str">
        <f>HYPERLINK(Hoofddocument!$H$161,Hoofddocument!$G$161)</f>
        <v>Persoonlijke Effectiviteit in het sturen van Verandering</v>
      </c>
      <c r="D161" s="17"/>
      <c r="E161" s="17"/>
      <c r="F161" s="17"/>
      <c r="G161" s="82"/>
      <c r="H161" s="37" t="s">
        <v>45</v>
      </c>
      <c r="I161" s="38" t="s">
        <v>223</v>
      </c>
      <c r="J161" s="109" t="str">
        <f>HYPERLINK(Hoofddocument!$H$161,Hoofddocument!$G$161)</f>
        <v>Persoonlijke Effectiviteit in het sturen van Verandering</v>
      </c>
      <c r="K161" s="129" t="str">
        <f t="shared" si="9"/>
        <v/>
      </c>
      <c r="L161" s="129" t="str">
        <f t="shared" si="7"/>
        <v/>
      </c>
      <c r="M161" s="129" t="str">
        <f t="shared" si="8"/>
        <v/>
      </c>
    </row>
    <row r="162" spans="1:13" ht="18" customHeight="1" thickBot="1" x14ac:dyDescent="0.2">
      <c r="A162" s="43" t="s">
        <v>7</v>
      </c>
      <c r="B162" s="44" t="s">
        <v>730</v>
      </c>
      <c r="C162" s="109" t="str">
        <f>HYPERLINK(Hoofddocument!$H$162,Hoofddocument!$G$162)</f>
        <v>Effectieve Gespreksvaardigheden</v>
      </c>
      <c r="D162" s="17"/>
      <c r="E162" s="17"/>
      <c r="F162" s="17"/>
      <c r="G162" s="82"/>
      <c r="H162" s="43" t="s">
        <v>7</v>
      </c>
      <c r="I162" s="44" t="s">
        <v>730</v>
      </c>
      <c r="J162" s="109" t="str">
        <f>HYPERLINK(Hoofddocument!$H$162,Hoofddocument!$G$162)</f>
        <v>Effectieve Gespreksvaardigheden</v>
      </c>
      <c r="K162" s="129" t="str">
        <f t="shared" si="9"/>
        <v/>
      </c>
      <c r="L162" s="129" t="str">
        <f t="shared" si="7"/>
        <v/>
      </c>
      <c r="M162" s="129" t="str">
        <f t="shared" si="8"/>
        <v/>
      </c>
    </row>
    <row r="163" spans="1:13" ht="18" customHeight="1" thickBot="1" x14ac:dyDescent="0.2">
      <c r="A163" s="37" t="s">
        <v>7</v>
      </c>
      <c r="B163" s="38" t="s">
        <v>969</v>
      </c>
      <c r="C163" s="109" t="str">
        <f>HYPERLINK(Hoofddocument!$H$163,Hoofddocument!$G$163)</f>
        <v>Overtuigend en Inspirerend Presenteren</v>
      </c>
      <c r="D163" s="17"/>
      <c r="E163" s="17"/>
      <c r="F163" s="17"/>
      <c r="G163" s="82"/>
      <c r="H163" s="37" t="s">
        <v>7</v>
      </c>
      <c r="I163" s="38" t="s">
        <v>969</v>
      </c>
      <c r="J163" s="109" t="str">
        <f>HYPERLINK(Hoofddocument!$H$163,Hoofddocument!$G$163)</f>
        <v>Overtuigend en Inspirerend Presenteren</v>
      </c>
      <c r="K163" s="129" t="str">
        <f t="shared" si="9"/>
        <v/>
      </c>
      <c r="L163" s="129" t="str">
        <f t="shared" si="7"/>
        <v/>
      </c>
      <c r="M163" s="129" t="str">
        <f t="shared" si="8"/>
        <v/>
      </c>
    </row>
    <row r="164" spans="1:13" ht="18" customHeight="1" thickBot="1" x14ac:dyDescent="0.2">
      <c r="A164" s="37" t="s">
        <v>59</v>
      </c>
      <c r="B164" s="38" t="s">
        <v>147</v>
      </c>
      <c r="C164" s="109" t="str">
        <f>HYPERLINK(Hoofddocument!$H$164,Hoofddocument!$G$164)</f>
        <v>Big Data Fundamentals</v>
      </c>
      <c r="D164" s="17"/>
      <c r="E164" s="17"/>
      <c r="F164" s="17"/>
      <c r="G164" s="82"/>
      <c r="H164" s="37" t="s">
        <v>59</v>
      </c>
      <c r="I164" s="38" t="s">
        <v>147</v>
      </c>
      <c r="J164" s="109" t="str">
        <f>HYPERLINK(Hoofddocument!$H$164,Hoofddocument!$G$164)</f>
        <v>Big Data Fundamentals</v>
      </c>
      <c r="K164" s="129" t="str">
        <f t="shared" si="9"/>
        <v/>
      </c>
      <c r="L164" s="17" t="str">
        <f t="shared" si="7"/>
        <v/>
      </c>
      <c r="M164" s="129" t="str">
        <f t="shared" si="8"/>
        <v/>
      </c>
    </row>
    <row r="165" spans="1:13" ht="18" customHeight="1" thickBot="1" x14ac:dyDescent="0.2">
      <c r="A165" s="37" t="s">
        <v>59</v>
      </c>
      <c r="B165" s="38" t="s">
        <v>147</v>
      </c>
      <c r="C165" s="109" t="str">
        <f>HYPERLINK(Hoofddocument!$H$165,Hoofddocument!$G$165)</f>
        <v>DAMA DMBOK Data Management Fundamentals</v>
      </c>
      <c r="D165" s="17"/>
      <c r="E165" s="17"/>
      <c r="F165" s="17"/>
      <c r="G165" s="82"/>
      <c r="H165" s="37" t="s">
        <v>59</v>
      </c>
      <c r="I165" s="38" t="s">
        <v>147</v>
      </c>
      <c r="J165" s="109" t="str">
        <f>HYPERLINK(Hoofddocument!$H$165,Hoofddocument!$G$165)</f>
        <v>DAMA DMBOK Data Management Fundamentals</v>
      </c>
      <c r="K165" s="129" t="str">
        <f t="shared" si="9"/>
        <v/>
      </c>
      <c r="L165" s="129" t="str">
        <f t="shared" si="7"/>
        <v/>
      </c>
      <c r="M165" s="129" t="str">
        <f t="shared" si="8"/>
        <v/>
      </c>
    </row>
    <row r="166" spans="1:13" ht="18" customHeight="1" thickBot="1" x14ac:dyDescent="0.2">
      <c r="A166" s="37" t="s">
        <v>59</v>
      </c>
      <c r="B166" s="38" t="s">
        <v>147</v>
      </c>
      <c r="C166" s="109" t="str">
        <f>HYPERLINK(Hoofddocument!$H$166,Hoofddocument!$G$166)</f>
        <v>Datawarehouse Concepts</v>
      </c>
      <c r="D166" s="17"/>
      <c r="E166" s="17"/>
      <c r="F166" s="17"/>
      <c r="G166" s="82"/>
      <c r="H166" s="37" t="s">
        <v>59</v>
      </c>
      <c r="I166" s="38" t="s">
        <v>147</v>
      </c>
      <c r="J166" s="109" t="str">
        <f>HYPERLINK(Hoofddocument!$H$166,Hoofddocument!$G$166)</f>
        <v>Datawarehouse Concepts</v>
      </c>
      <c r="K166" s="129" t="str">
        <f t="shared" si="9"/>
        <v/>
      </c>
      <c r="L166" s="129" t="str">
        <f t="shared" si="7"/>
        <v/>
      </c>
      <c r="M166" s="129" t="str">
        <f t="shared" si="8"/>
        <v/>
      </c>
    </row>
    <row r="167" spans="1:13" ht="18" customHeight="1" thickBot="1" x14ac:dyDescent="0.2">
      <c r="A167" s="37" t="s">
        <v>59</v>
      </c>
      <c r="B167" s="38" t="s">
        <v>147</v>
      </c>
      <c r="C167" s="109" t="str">
        <f>HYPERLINK(Hoofddocument!$H$167,Hoofddocument!$G$167)</f>
        <v>Master Data Management</v>
      </c>
      <c r="D167" s="17"/>
      <c r="E167" s="17"/>
      <c r="F167" s="17"/>
      <c r="G167" s="82"/>
      <c r="H167" s="37" t="s">
        <v>59</v>
      </c>
      <c r="I167" s="38" t="s">
        <v>147</v>
      </c>
      <c r="J167" s="109" t="str">
        <f>HYPERLINK(Hoofddocument!$H$167,Hoofddocument!$G$167)</f>
        <v>Master Data Management</v>
      </c>
      <c r="K167" s="129" t="str">
        <f t="shared" si="9"/>
        <v/>
      </c>
      <c r="L167" s="129" t="str">
        <f t="shared" si="7"/>
        <v/>
      </c>
      <c r="M167" s="129" t="str">
        <f t="shared" si="8"/>
        <v/>
      </c>
    </row>
    <row r="168" spans="1:13" ht="18" customHeight="1" thickBot="1" x14ac:dyDescent="0.2">
      <c r="A168" s="37" t="s">
        <v>59</v>
      </c>
      <c r="B168" s="38" t="s">
        <v>458</v>
      </c>
      <c r="C168" s="109" t="str">
        <f>HYPERLINK(Hoofddocument!$H$168,Hoofddocument!$G$168)</f>
        <v>SQL Fundamentals</v>
      </c>
      <c r="D168" s="17"/>
      <c r="E168" s="17"/>
      <c r="F168" s="17"/>
      <c r="G168" s="82"/>
      <c r="H168" s="37" t="s">
        <v>59</v>
      </c>
      <c r="I168" s="38" t="s">
        <v>458</v>
      </c>
      <c r="J168" s="109" t="str">
        <f>HYPERLINK(Hoofddocument!$H$168,Hoofddocument!$G$168)</f>
        <v>SQL Fundamentals</v>
      </c>
      <c r="K168" s="17" t="str">
        <f t="shared" si="9"/>
        <v/>
      </c>
      <c r="L168" s="129" t="str">
        <f t="shared" si="7"/>
        <v/>
      </c>
      <c r="M168" s="129" t="str">
        <f t="shared" si="8"/>
        <v/>
      </c>
    </row>
    <row r="169" spans="1:13" ht="18" customHeight="1" thickBot="1" x14ac:dyDescent="0.2">
      <c r="A169" s="37" t="s">
        <v>59</v>
      </c>
      <c r="B169" s="38" t="s">
        <v>414</v>
      </c>
      <c r="C169" s="109" t="str">
        <f>HYPERLINK(Hoofddocument!$H$169,Hoofddocument!$G$169)</f>
        <v>Cursus Object Orientation, RUP and UML 2.0 | Computrain</v>
      </c>
      <c r="D169" s="17"/>
      <c r="E169" s="17"/>
      <c r="F169" s="17"/>
      <c r="G169" s="82"/>
      <c r="H169" s="37" t="s">
        <v>59</v>
      </c>
      <c r="I169" s="38" t="s">
        <v>414</v>
      </c>
      <c r="J169" s="109" t="str">
        <f>HYPERLINK(Hoofddocument!$H$169,Hoofddocument!$G$169)</f>
        <v>Cursus Object Orientation, RUP and UML 2.0 | Computrain</v>
      </c>
      <c r="K169" s="129" t="str">
        <f t="shared" si="9"/>
        <v/>
      </c>
      <c r="L169" s="129" t="str">
        <f t="shared" si="7"/>
        <v/>
      </c>
      <c r="M169" s="129" t="str">
        <f t="shared" si="8"/>
        <v/>
      </c>
    </row>
    <row r="170" spans="1:13" ht="18" customHeight="1" thickBot="1" x14ac:dyDescent="0.2">
      <c r="A170" s="37" t="s">
        <v>68</v>
      </c>
      <c r="B170" s="38" t="s">
        <v>726</v>
      </c>
      <c r="C170" s="109" t="str">
        <f>HYPERLINK(Hoofddocument!$H$170,Hoofddocument!$G$170)</f>
        <v>Aanbestedingsrecht Basis</v>
      </c>
      <c r="D170" s="17"/>
      <c r="E170" s="17"/>
      <c r="F170" s="17"/>
      <c r="G170" s="82"/>
      <c r="H170" s="37" t="s">
        <v>68</v>
      </c>
      <c r="I170" s="38" t="s">
        <v>726</v>
      </c>
      <c r="J170" s="109" t="str">
        <f>HYPERLINK(Hoofddocument!$H$170,Hoofddocument!$G$170)</f>
        <v>Aanbestedingsrecht Basis</v>
      </c>
      <c r="K170" s="129" t="str">
        <f t="shared" si="9"/>
        <v/>
      </c>
      <c r="L170" s="129" t="str">
        <f t="shared" si="7"/>
        <v/>
      </c>
      <c r="M170" s="129" t="str">
        <f t="shared" si="8"/>
        <v/>
      </c>
    </row>
    <row r="171" spans="1:13" ht="18" customHeight="1" thickBot="1" x14ac:dyDescent="0.2">
      <c r="A171" s="37" t="s">
        <v>68</v>
      </c>
      <c r="B171" s="38" t="s">
        <v>991</v>
      </c>
      <c r="C171" s="109" t="str">
        <f>HYPERLINK(Hoofddocument!$H$171,Hoofddocument!$G$171)</f>
        <v>IAITAM Certified Software Asset Manager (CSAM)</v>
      </c>
      <c r="D171" s="17"/>
      <c r="E171" s="17"/>
      <c r="F171" s="17"/>
      <c r="G171" s="82"/>
      <c r="H171" s="37" t="s">
        <v>68</v>
      </c>
      <c r="I171" s="38" t="s">
        <v>991</v>
      </c>
      <c r="J171" s="109" t="str">
        <f>HYPERLINK(Hoofddocument!$H$171,Hoofddocument!$G$171)</f>
        <v>IAITAM Certified Software Asset Manager (CSAM)</v>
      </c>
      <c r="K171" s="129" t="str">
        <f t="shared" si="9"/>
        <v/>
      </c>
      <c r="L171" s="129" t="str">
        <f t="shared" si="7"/>
        <v/>
      </c>
      <c r="M171" s="129" t="str">
        <f t="shared" si="8"/>
        <v/>
      </c>
    </row>
    <row r="172" spans="1:13" ht="18" customHeight="1" thickBot="1" x14ac:dyDescent="0.2">
      <c r="A172" s="37" t="s">
        <v>68</v>
      </c>
      <c r="B172" s="38" t="s">
        <v>725</v>
      </c>
      <c r="C172" s="38" t="s">
        <v>819</v>
      </c>
      <c r="D172" s="17"/>
      <c r="E172" s="17"/>
      <c r="F172" s="17"/>
      <c r="G172" s="82"/>
      <c r="H172" s="37" t="s">
        <v>68</v>
      </c>
      <c r="I172" s="38" t="s">
        <v>725</v>
      </c>
      <c r="J172" s="38" t="s">
        <v>819</v>
      </c>
      <c r="K172" s="129" t="str">
        <f t="shared" si="9"/>
        <v/>
      </c>
      <c r="L172" s="129" t="str">
        <f t="shared" si="7"/>
        <v/>
      </c>
      <c r="M172" s="129" t="str">
        <f t="shared" si="8"/>
        <v/>
      </c>
    </row>
    <row r="173" spans="1:13" ht="18" customHeight="1" thickBot="1" x14ac:dyDescent="0.2">
      <c r="A173" s="37" t="s">
        <v>68</v>
      </c>
      <c r="B173" s="38" t="s">
        <v>995</v>
      </c>
      <c r="C173" s="109" t="str">
        <f>HYPERLINK(Hoofddocument!$H$173,Hoofddocument!$G$173)</f>
        <v>IAITAM Certified IT Asset Manager (CITAM)</v>
      </c>
      <c r="D173" s="17"/>
      <c r="E173" s="17"/>
      <c r="F173" s="17"/>
      <c r="G173" s="82"/>
      <c r="H173" s="37" t="s">
        <v>68</v>
      </c>
      <c r="I173" s="38" t="s">
        <v>995</v>
      </c>
      <c r="J173" s="109" t="str">
        <f>HYPERLINK(Hoofddocument!$H$173,Hoofddocument!$G$173)</f>
        <v>IAITAM Certified IT Asset Manager (CITAM)</v>
      </c>
      <c r="K173" s="129" t="str">
        <f t="shared" si="9"/>
        <v/>
      </c>
      <c r="L173" s="129" t="str">
        <f t="shared" si="7"/>
        <v/>
      </c>
      <c r="M173" s="129" t="str">
        <f t="shared" si="8"/>
        <v/>
      </c>
    </row>
    <row r="174" spans="1:13" ht="18" customHeight="1" thickBot="1" x14ac:dyDescent="0.2">
      <c r="A174" s="37" t="s">
        <v>68</v>
      </c>
      <c r="B174" s="38" t="s">
        <v>68</v>
      </c>
      <c r="C174" s="109" t="str">
        <f>HYPERLINK(Hoofddocument!$H$174,Hoofddocument!$G$174)</f>
        <v>Masterclass IT Demand- en Leveranciersmanagement</v>
      </c>
      <c r="D174" s="17"/>
      <c r="E174" s="17"/>
      <c r="F174" s="17"/>
      <c r="G174" s="82"/>
      <c r="H174" s="37" t="s">
        <v>68</v>
      </c>
      <c r="I174" s="38" t="s">
        <v>68</v>
      </c>
      <c r="J174" s="109" t="str">
        <f>HYPERLINK(Hoofddocument!$H$174,Hoofddocument!$G$174)</f>
        <v>Masterclass IT Demand- en Leveranciersmanagement</v>
      </c>
      <c r="K174" s="129" t="str">
        <f t="shared" si="9"/>
        <v/>
      </c>
      <c r="L174" s="125" t="str">
        <f t="shared" si="7"/>
        <v/>
      </c>
      <c r="M174" s="129" t="str">
        <f t="shared" si="8"/>
        <v/>
      </c>
    </row>
    <row r="175" spans="1:13" ht="18" customHeight="1" thickBot="1" x14ac:dyDescent="0.2">
      <c r="A175" s="37" t="s">
        <v>68</v>
      </c>
      <c r="B175" s="38" t="s">
        <v>68</v>
      </c>
      <c r="C175" s="109" t="str">
        <f>HYPERLINK(Hoofddocument!$H$175,Hoofddocument!$G$175)</f>
        <v>Leveranciersmanagement</v>
      </c>
      <c r="D175" s="17"/>
      <c r="E175" s="17"/>
      <c r="F175" s="17"/>
      <c r="G175" s="82"/>
      <c r="H175" s="37" t="s">
        <v>68</v>
      </c>
      <c r="I175" s="38" t="s">
        <v>68</v>
      </c>
      <c r="J175" s="109" t="str">
        <f>HYPERLINK(Hoofddocument!$H$175,Hoofddocument!$G$175)</f>
        <v>Leveranciersmanagement</v>
      </c>
      <c r="K175" s="129" t="str">
        <f t="shared" si="9"/>
        <v/>
      </c>
      <c r="L175" s="129" t="str">
        <f t="shared" si="7"/>
        <v/>
      </c>
      <c r="M175" s="129" t="str">
        <f t="shared" si="8"/>
        <v/>
      </c>
    </row>
    <row r="176" spans="1:13" ht="18" customHeight="1" thickBot="1" x14ac:dyDescent="0.2">
      <c r="A176" s="37" t="s">
        <v>68</v>
      </c>
      <c r="B176" s="38" t="s">
        <v>68</v>
      </c>
      <c r="C176" s="109" t="str">
        <f>HYPERLINK(Hoofddocument!$H$176,Hoofddocument!$G$176)</f>
        <v>Sourcing Foundation</v>
      </c>
      <c r="D176" s="17"/>
      <c r="E176" s="17"/>
      <c r="F176" s="17"/>
      <c r="G176" s="82"/>
      <c r="H176" s="37" t="s">
        <v>68</v>
      </c>
      <c r="I176" s="38" t="s">
        <v>68</v>
      </c>
      <c r="J176" s="109" t="str">
        <f>HYPERLINK(Hoofddocument!$H$176,Hoofddocument!$G$176)</f>
        <v>Sourcing Foundation</v>
      </c>
      <c r="K176" s="129" t="str">
        <f t="shared" si="9"/>
        <v/>
      </c>
      <c r="L176" s="129" t="str">
        <f t="shared" si="7"/>
        <v/>
      </c>
      <c r="M176" s="129" t="str">
        <f t="shared" si="8"/>
        <v/>
      </c>
    </row>
    <row r="177" spans="1:13" ht="18" customHeight="1" thickBot="1" x14ac:dyDescent="0.2">
      <c r="A177" s="46" t="s">
        <v>65</v>
      </c>
      <c r="B177" s="55" t="s">
        <v>332</v>
      </c>
      <c r="C177" s="109" t="str">
        <f>HYPERLINK(Hoofddocument!$H$177,Hoofddocument!$G$177)</f>
        <v>Natuurlijk Assertief Gedrag</v>
      </c>
      <c r="D177" s="17"/>
      <c r="E177" s="17"/>
      <c r="F177" s="17"/>
      <c r="G177" s="82"/>
      <c r="H177" s="46" t="s">
        <v>65</v>
      </c>
      <c r="I177" s="55" t="s">
        <v>332</v>
      </c>
      <c r="J177" s="109" t="str">
        <f>HYPERLINK(Hoofddocument!$H$177,Hoofddocument!$G$177)</f>
        <v>Natuurlijk Assertief Gedrag</v>
      </c>
      <c r="K177" s="129" t="str">
        <f t="shared" si="9"/>
        <v/>
      </c>
      <c r="L177" s="17" t="str">
        <f t="shared" si="7"/>
        <v/>
      </c>
      <c r="M177" s="129" t="str">
        <f t="shared" si="8"/>
        <v/>
      </c>
    </row>
    <row r="178" spans="1:13" ht="18" customHeight="1" thickBot="1" x14ac:dyDescent="0.2">
      <c r="A178" s="37" t="s">
        <v>65</v>
      </c>
      <c r="B178" s="55" t="s">
        <v>332</v>
      </c>
      <c r="C178" s="109" t="str">
        <f>HYPERLINK(Hoofddocument!$H$178,Hoofddocument!$G$178)</f>
        <v>Assertief en Zelfverzekerd Communiceren</v>
      </c>
      <c r="D178" s="17"/>
      <c r="E178" s="17"/>
      <c r="F178" s="17"/>
      <c r="G178" s="82"/>
      <c r="H178" s="37" t="s">
        <v>65</v>
      </c>
      <c r="I178" s="55" t="s">
        <v>332</v>
      </c>
      <c r="J178" s="109" t="str">
        <f>HYPERLINK(Hoofddocument!$H$178,Hoofddocument!$G$178)</f>
        <v>Assertief en Zelfverzekerd Communiceren</v>
      </c>
      <c r="K178" s="129" t="str">
        <f t="shared" si="9"/>
        <v/>
      </c>
      <c r="L178" s="125" t="str">
        <f t="shared" si="7"/>
        <v/>
      </c>
      <c r="M178" s="129" t="str">
        <f t="shared" si="8"/>
        <v/>
      </c>
    </row>
    <row r="179" spans="1:13" ht="18" customHeight="1" thickBot="1" x14ac:dyDescent="0.2">
      <c r="A179" s="37" t="s">
        <v>65</v>
      </c>
      <c r="B179" s="38" t="s">
        <v>727</v>
      </c>
      <c r="C179" s="109" t="str">
        <f>HYPERLINK(Hoofddocument!$H$179,Hoofddocument!$G$179)</f>
        <v>Schrijven van Beschikkingen en Rapportages</v>
      </c>
      <c r="D179" s="17"/>
      <c r="E179" s="17"/>
      <c r="F179" s="17"/>
      <c r="G179" s="82"/>
      <c r="H179" s="37" t="s">
        <v>65</v>
      </c>
      <c r="I179" s="38" t="s">
        <v>727</v>
      </c>
      <c r="J179" s="109" t="str">
        <f>HYPERLINK(Hoofddocument!$H$179,Hoofddocument!$G$179)</f>
        <v>Schrijven van Beschikkingen en Rapportages</v>
      </c>
      <c r="K179" s="129" t="str">
        <f t="shared" si="9"/>
        <v/>
      </c>
      <c r="L179" s="129" t="str">
        <f t="shared" si="7"/>
        <v/>
      </c>
      <c r="M179" s="129" t="str">
        <f t="shared" si="8"/>
        <v/>
      </c>
    </row>
    <row r="180" spans="1:13" ht="18" customHeight="1" thickBot="1" x14ac:dyDescent="0.2">
      <c r="A180" s="37" t="s">
        <v>65</v>
      </c>
      <c r="B180" s="38" t="s">
        <v>727</v>
      </c>
      <c r="C180" s="109" t="str">
        <f>HYPERLINK(Hoofddocument!$H$180,Hoofddocument!$G$180)</f>
        <v>Beleid maken en Beleid schrijven</v>
      </c>
      <c r="D180" s="17"/>
      <c r="E180" s="17"/>
      <c r="F180" s="17"/>
      <c r="G180" s="82"/>
      <c r="H180" s="37" t="s">
        <v>65</v>
      </c>
      <c r="I180" s="38" t="s">
        <v>727</v>
      </c>
      <c r="J180" s="109" t="str">
        <f>HYPERLINK(Hoofddocument!$H$180,Hoofddocument!$G$180)</f>
        <v>Beleid maken en Beleid schrijven</v>
      </c>
      <c r="K180" s="129" t="str">
        <f t="shared" si="9"/>
        <v/>
      </c>
      <c r="L180" s="129" t="str">
        <f t="shared" si="7"/>
        <v/>
      </c>
      <c r="M180" s="129" t="str">
        <f t="shared" si="8"/>
        <v/>
      </c>
    </row>
    <row r="181" spans="1:13" ht="18" customHeight="1" thickBot="1" x14ac:dyDescent="0.2">
      <c r="A181" s="37" t="s">
        <v>65</v>
      </c>
      <c r="B181" s="38" t="s">
        <v>252</v>
      </c>
      <c r="C181" s="109" t="str">
        <f>HYPERLINK(Hoofddocument!$H$181,Hoofddocument!$G$181)</f>
        <v>Coachingsvaardigheden</v>
      </c>
      <c r="D181" s="17"/>
      <c r="E181" s="17"/>
      <c r="F181" s="17"/>
      <c r="G181" s="82"/>
      <c r="H181" s="37" t="s">
        <v>65</v>
      </c>
      <c r="I181" s="38" t="s">
        <v>252</v>
      </c>
      <c r="J181" s="109" t="str">
        <f>HYPERLINK(Hoofddocument!$H$181,Hoofddocument!$G$181)</f>
        <v>Coachingsvaardigheden</v>
      </c>
      <c r="K181" s="129" t="str">
        <f t="shared" si="9"/>
        <v/>
      </c>
      <c r="L181" s="129" t="str">
        <f t="shared" si="7"/>
        <v/>
      </c>
      <c r="M181" s="129" t="str">
        <f t="shared" si="8"/>
        <v/>
      </c>
    </row>
    <row r="182" spans="1:13" ht="18" customHeight="1" thickBot="1" x14ac:dyDescent="0.2">
      <c r="A182" s="37" t="s">
        <v>65</v>
      </c>
      <c r="B182" s="38" t="s">
        <v>252</v>
      </c>
      <c r="C182" s="109" t="str">
        <f>HYPERLINK(Hoofddocument!$H$182,Hoofddocument!$G$182)</f>
        <v>Coachend Leidinggeven</v>
      </c>
      <c r="D182" s="17"/>
      <c r="E182" s="17"/>
      <c r="F182" s="17"/>
      <c r="G182" s="82"/>
      <c r="H182" s="37" t="s">
        <v>65</v>
      </c>
      <c r="I182" s="38" t="s">
        <v>252</v>
      </c>
      <c r="J182" s="109" t="str">
        <f>HYPERLINK(Hoofddocument!$H$182,Hoofddocument!$G$182)</f>
        <v>Coachend Leidinggeven</v>
      </c>
      <c r="K182" s="129" t="str">
        <f t="shared" si="9"/>
        <v/>
      </c>
      <c r="L182" s="129" t="str">
        <f t="shared" si="7"/>
        <v/>
      </c>
      <c r="M182" s="129" t="str">
        <f t="shared" si="8"/>
        <v/>
      </c>
    </row>
    <row r="183" spans="1:13" ht="18" customHeight="1" thickBot="1" x14ac:dyDescent="0.2">
      <c r="A183" s="37" t="s">
        <v>65</v>
      </c>
      <c r="B183" s="38" t="s">
        <v>7</v>
      </c>
      <c r="C183" s="109" t="str">
        <f>HYPERLINK(Hoofddocument!$H$183,Hoofddocument!$G$183)</f>
        <v>Verbindende Communicatie</v>
      </c>
      <c r="D183" s="17"/>
      <c r="E183" s="17"/>
      <c r="F183" s="17"/>
      <c r="G183" s="82"/>
      <c r="H183" s="37" t="s">
        <v>65</v>
      </c>
      <c r="I183" s="38" t="s">
        <v>7</v>
      </c>
      <c r="J183" s="109" t="str">
        <f>HYPERLINK(Hoofddocument!$H$183,Hoofddocument!$G$183)</f>
        <v>Verbindende Communicatie</v>
      </c>
      <c r="K183" s="129" t="str">
        <f t="shared" si="9"/>
        <v/>
      </c>
      <c r="L183" s="129" t="str">
        <f t="shared" si="7"/>
        <v/>
      </c>
      <c r="M183" s="129" t="str">
        <f t="shared" si="8"/>
        <v/>
      </c>
    </row>
    <row r="184" spans="1:13" ht="18" customHeight="1" thickBot="1" x14ac:dyDescent="0.2">
      <c r="A184" s="37" t="s">
        <v>65</v>
      </c>
      <c r="B184" s="38" t="s">
        <v>7</v>
      </c>
      <c r="C184" s="109" t="str">
        <f>HYPERLINK(Hoofddocument!$H$184,Hoofddocument!$G$184)</f>
        <v>Effectief Communiceren met NLP</v>
      </c>
      <c r="D184" s="17"/>
      <c r="E184" s="17"/>
      <c r="F184" s="17"/>
      <c r="G184" s="82"/>
      <c r="H184" s="37" t="s">
        <v>65</v>
      </c>
      <c r="I184" s="38" t="s">
        <v>7</v>
      </c>
      <c r="J184" s="109" t="str">
        <f>HYPERLINK(Hoofddocument!$H$184,Hoofddocument!$G$184)</f>
        <v>Effectief Communiceren met NLP</v>
      </c>
      <c r="K184" s="129" t="str">
        <f t="shared" si="9"/>
        <v/>
      </c>
      <c r="L184" s="129" t="str">
        <f t="shared" si="7"/>
        <v/>
      </c>
      <c r="M184" s="129" t="str">
        <f t="shared" si="8"/>
        <v/>
      </c>
    </row>
    <row r="185" spans="1:13" ht="18" customHeight="1" thickBot="1" x14ac:dyDescent="0.2">
      <c r="A185" s="43" t="s">
        <v>65</v>
      </c>
      <c r="B185" s="38" t="s">
        <v>7</v>
      </c>
      <c r="C185" s="109" t="str">
        <f>HYPERLINK(Hoofddocument!$H$185,Hoofddocument!$G$185)</f>
        <v>Powerboost Communicatie en Samenwerking</v>
      </c>
      <c r="D185" s="17"/>
      <c r="E185" s="17"/>
      <c r="F185" s="17"/>
      <c r="G185" s="82"/>
      <c r="H185" s="43" t="s">
        <v>65</v>
      </c>
      <c r="I185" s="38" t="s">
        <v>7</v>
      </c>
      <c r="J185" s="109" t="str">
        <f>HYPERLINK(Hoofddocument!$H$185,Hoofddocument!$G$185)</f>
        <v>Powerboost Communicatie en Samenwerking</v>
      </c>
      <c r="K185" s="129" t="str">
        <f t="shared" si="9"/>
        <v/>
      </c>
      <c r="L185" s="129" t="str">
        <f t="shared" si="7"/>
        <v/>
      </c>
      <c r="M185" s="129" t="str">
        <f t="shared" si="8"/>
        <v/>
      </c>
    </row>
    <row r="186" spans="1:13" ht="18" customHeight="1" thickBot="1" x14ac:dyDescent="0.2">
      <c r="A186" s="37" t="s">
        <v>65</v>
      </c>
      <c r="B186" s="38" t="s">
        <v>7</v>
      </c>
      <c r="C186" s="109" t="str">
        <f>HYPERLINK(Hoofddocument!$H$186,Hoofddocument!$G$186)</f>
        <v>Communicatie met  Impact!</v>
      </c>
      <c r="D186" s="17"/>
      <c r="E186" s="17"/>
      <c r="F186" s="17"/>
      <c r="G186" s="82"/>
      <c r="H186" s="37" t="s">
        <v>65</v>
      </c>
      <c r="I186" s="38" t="s">
        <v>7</v>
      </c>
      <c r="J186" s="109" t="str">
        <f>HYPERLINK(Hoofddocument!$H$186,Hoofddocument!$G$186)</f>
        <v>Communicatie met  Impact!</v>
      </c>
      <c r="K186" s="129" t="str">
        <f t="shared" si="9"/>
        <v/>
      </c>
      <c r="L186" s="129" t="str">
        <f t="shared" si="7"/>
        <v/>
      </c>
      <c r="M186" s="129" t="str">
        <f t="shared" si="8"/>
        <v/>
      </c>
    </row>
    <row r="187" spans="1:13" ht="18" customHeight="1" thickBot="1" x14ac:dyDescent="0.2">
      <c r="A187" s="37" t="s">
        <v>65</v>
      </c>
      <c r="B187" s="38" t="s">
        <v>7</v>
      </c>
      <c r="C187" s="109" t="str">
        <f>HYPERLINK(Hoofddocument!$H$187,Hoofddocument!$G$187)</f>
        <v>Professioneel communiceren voor managers en hoger opgeleiden</v>
      </c>
      <c r="D187" s="17"/>
      <c r="E187" s="17"/>
      <c r="F187" s="17"/>
      <c r="G187" s="82"/>
      <c r="H187" s="37" t="s">
        <v>65</v>
      </c>
      <c r="I187" s="38" t="s">
        <v>7</v>
      </c>
      <c r="J187" s="109" t="str">
        <f>HYPERLINK(Hoofddocument!$H$187,Hoofddocument!$G$187)</f>
        <v>Professioneel communiceren voor managers en hoger opgeleiden</v>
      </c>
      <c r="K187" s="129" t="str">
        <f t="shared" si="9"/>
        <v/>
      </c>
      <c r="L187" s="129" t="str">
        <f t="shared" si="7"/>
        <v/>
      </c>
      <c r="M187" s="129" t="str">
        <f t="shared" si="8"/>
        <v/>
      </c>
    </row>
    <row r="188" spans="1:13" ht="18" customHeight="1" thickBot="1" x14ac:dyDescent="0.2">
      <c r="A188" s="37" t="s">
        <v>65</v>
      </c>
      <c r="B188" s="38" t="s">
        <v>7</v>
      </c>
      <c r="C188" s="109" t="str">
        <f>HYPERLINK(Hoofddocument!$H$188,Hoofddocument!$G$188)</f>
        <v>Effectief communiceren in het kort</v>
      </c>
      <c r="D188" s="17"/>
      <c r="E188" s="17"/>
      <c r="F188" s="17"/>
      <c r="G188" s="82"/>
      <c r="H188" s="37" t="s">
        <v>65</v>
      </c>
      <c r="I188" s="38" t="s">
        <v>7</v>
      </c>
      <c r="J188" s="109" t="str">
        <f>HYPERLINK(Hoofddocument!$H$188,Hoofddocument!$G$188)</f>
        <v>Effectief communiceren in het kort</v>
      </c>
      <c r="K188" s="129" t="str">
        <f t="shared" si="9"/>
        <v/>
      </c>
      <c r="L188" s="129" t="str">
        <f t="shared" si="7"/>
        <v/>
      </c>
      <c r="M188" s="129" t="str">
        <f t="shared" si="8"/>
        <v/>
      </c>
    </row>
    <row r="189" spans="1:13" ht="18" customHeight="1" thickBot="1" x14ac:dyDescent="0.2">
      <c r="A189" s="43" t="s">
        <v>65</v>
      </c>
      <c r="B189" s="38" t="s">
        <v>7</v>
      </c>
      <c r="C189" s="109" t="str">
        <f>HYPERLINK(Hoofddocument!$H$189,Hoofddocument!$G$189)</f>
        <v>Trainingsprogramma Effectief Communiceren en Beinvloeden</v>
      </c>
      <c r="D189" s="17"/>
      <c r="E189" s="17"/>
      <c r="F189" s="17"/>
      <c r="G189" s="82"/>
      <c r="H189" s="43" t="s">
        <v>65</v>
      </c>
      <c r="I189" s="38" t="s">
        <v>7</v>
      </c>
      <c r="J189" s="109" t="str">
        <f>HYPERLINK(Hoofddocument!$H$189,Hoofddocument!$G$189)</f>
        <v>Trainingsprogramma Effectief Communiceren en Beinvloeden</v>
      </c>
      <c r="K189" s="129" t="str">
        <f t="shared" si="9"/>
        <v/>
      </c>
      <c r="L189" s="129" t="str">
        <f t="shared" si="7"/>
        <v/>
      </c>
      <c r="M189" s="129" t="str">
        <f t="shared" si="8"/>
        <v/>
      </c>
    </row>
    <row r="190" spans="1:13" ht="18" customHeight="1" thickBot="1" x14ac:dyDescent="0.2">
      <c r="A190" s="37" t="s">
        <v>65</v>
      </c>
      <c r="B190" s="38" t="s">
        <v>728</v>
      </c>
      <c r="C190" s="109" t="str">
        <f>HYPERLINK(Hoofddocument!$H$190,Hoofddocument!$G$190)</f>
        <v>Contractmanagement</v>
      </c>
      <c r="D190" s="17"/>
      <c r="E190" s="17"/>
      <c r="F190" s="17"/>
      <c r="G190" s="82"/>
      <c r="H190" s="37" t="s">
        <v>65</v>
      </c>
      <c r="I190" s="38" t="s">
        <v>728</v>
      </c>
      <c r="J190" s="109" t="str">
        <f>HYPERLINK(Hoofddocument!$H$190,Hoofddocument!$G$190)</f>
        <v>Contractmanagement</v>
      </c>
      <c r="K190" s="129" t="str">
        <f t="shared" si="9"/>
        <v/>
      </c>
      <c r="L190" s="129" t="str">
        <f t="shared" si="7"/>
        <v/>
      </c>
      <c r="M190" s="129" t="str">
        <f t="shared" si="8"/>
        <v/>
      </c>
    </row>
    <row r="191" spans="1:13" ht="18" customHeight="1" thickBot="1" x14ac:dyDescent="0.2">
      <c r="A191" s="37" t="s">
        <v>65</v>
      </c>
      <c r="B191" s="38" t="s">
        <v>5</v>
      </c>
      <c r="C191" s="109" t="str">
        <f>HYPERLINK(Hoofddocument!$H$191,Hoofddocument!$G$191)</f>
        <v>Creatief Denken en Doen</v>
      </c>
      <c r="D191" s="17"/>
      <c r="E191" s="17"/>
      <c r="F191" s="17"/>
      <c r="G191" s="82"/>
      <c r="H191" s="37" t="s">
        <v>65</v>
      </c>
      <c r="I191" s="38" t="s">
        <v>5</v>
      </c>
      <c r="J191" s="109" t="str">
        <f>HYPERLINK(Hoofddocument!$H$191,Hoofddocument!$G$191)</f>
        <v>Creatief Denken en Doen</v>
      </c>
      <c r="K191" s="129" t="str">
        <f t="shared" si="9"/>
        <v/>
      </c>
      <c r="L191" s="129" t="str">
        <f t="shared" si="7"/>
        <v/>
      </c>
      <c r="M191" s="129" t="str">
        <f t="shared" si="8"/>
        <v/>
      </c>
    </row>
    <row r="192" spans="1:13" ht="18" customHeight="1" thickBot="1" x14ac:dyDescent="0.2">
      <c r="A192" s="37" t="s">
        <v>65</v>
      </c>
      <c r="B192" s="38" t="s">
        <v>5</v>
      </c>
      <c r="C192" s="109" t="str">
        <f>HYPERLINK(Hoofddocument!$H$192,Hoofddocument!$G$192)</f>
        <v>Training Creativiteit en Resultaat</v>
      </c>
      <c r="D192" s="17"/>
      <c r="E192" s="17"/>
      <c r="F192" s="17"/>
      <c r="G192" s="82"/>
      <c r="H192" s="37" t="s">
        <v>65</v>
      </c>
      <c r="I192" s="38" t="s">
        <v>5</v>
      </c>
      <c r="J192" s="109" t="str">
        <f>HYPERLINK(Hoofddocument!$H$192,Hoofddocument!$G$192)</f>
        <v>Training Creativiteit en Resultaat</v>
      </c>
      <c r="K192" s="129" t="str">
        <f t="shared" si="9"/>
        <v/>
      </c>
      <c r="L192" s="125" t="str">
        <f t="shared" si="7"/>
        <v/>
      </c>
      <c r="M192" s="129" t="str">
        <f t="shared" si="8"/>
        <v/>
      </c>
    </row>
    <row r="193" spans="1:13" ht="18" customHeight="1" thickBot="1" x14ac:dyDescent="0.2">
      <c r="A193" s="37" t="s">
        <v>65</v>
      </c>
      <c r="B193" s="38" t="s">
        <v>971</v>
      </c>
      <c r="C193" s="109" t="str">
        <f>HYPERLINK(Hoofddocument!$H$193,Hoofddocument!$G$193)</f>
        <v>HBO Module Crisismanagement</v>
      </c>
      <c r="D193" s="17"/>
      <c r="E193" s="17"/>
      <c r="F193" s="17"/>
      <c r="G193" s="82"/>
      <c r="H193" s="37" t="s">
        <v>65</v>
      </c>
      <c r="I193" s="38" t="s">
        <v>971</v>
      </c>
      <c r="J193" s="109" t="str">
        <f>HYPERLINK(Hoofddocument!$H$193,Hoofddocument!$G$193)</f>
        <v>HBO Module Crisismanagement</v>
      </c>
      <c r="K193" s="129" t="str">
        <f t="shared" si="9"/>
        <v/>
      </c>
      <c r="L193" s="129" t="str">
        <f t="shared" si="7"/>
        <v/>
      </c>
      <c r="M193" s="129" t="str">
        <f t="shared" si="8"/>
        <v/>
      </c>
    </row>
    <row r="194" spans="1:13" ht="18" customHeight="1" thickBot="1" x14ac:dyDescent="0.2">
      <c r="A194" s="57" t="s">
        <v>65</v>
      </c>
      <c r="B194" s="38" t="s">
        <v>729</v>
      </c>
      <c r="C194" s="109" t="str">
        <f>HYPERLINK(Hoofddocument!$H$194,Hoofddocument!$G$194)</f>
        <v>Training Delegeren en Loslaten</v>
      </c>
      <c r="D194" s="17"/>
      <c r="E194" s="17"/>
      <c r="F194" s="17"/>
      <c r="G194" s="82"/>
      <c r="H194" s="57" t="s">
        <v>65</v>
      </c>
      <c r="I194" s="38" t="s">
        <v>729</v>
      </c>
      <c r="J194" s="109" t="str">
        <f>HYPERLINK(Hoofddocument!$H$194,Hoofddocument!$G$194)</f>
        <v>Training Delegeren en Loslaten</v>
      </c>
      <c r="K194" s="129" t="str">
        <f t="shared" si="9"/>
        <v/>
      </c>
      <c r="L194" s="129" t="str">
        <f t="shared" ref="L194:L257" si="10">IF(OR(AND(Niveau2="Basis",E194="B"),AND(Niveau2="Verdiepend",E194="V"),AND(Niveau2="Toon Alles",NOT(ISBLANK(E194)))),$U$2,"")</f>
        <v/>
      </c>
      <c r="M194" s="129" t="str">
        <f t="shared" ref="M194:M257" si="11">IF(OR(AND(Niveau3="Basis",F194="B"),AND(Niveau3="Verdiepend",F194="V"),AND(Niveau3="Toon Alles",NOT(ISBLANK(F194)))),$U$2,"")</f>
        <v/>
      </c>
    </row>
    <row r="195" spans="1:13" ht="18" customHeight="1" thickBot="1" x14ac:dyDescent="0.2">
      <c r="A195" s="37" t="s">
        <v>65</v>
      </c>
      <c r="B195" s="38" t="s">
        <v>325</v>
      </c>
      <c r="C195" s="109" t="str">
        <f>HYPERLINK(Hoofddocument!$H$195,Hoofddocument!$G$195)</f>
        <v>Masterclass Digitale Transformatie</v>
      </c>
      <c r="D195" s="17"/>
      <c r="E195" s="17"/>
      <c r="F195" s="17"/>
      <c r="G195" s="82"/>
      <c r="H195" s="37" t="s">
        <v>65</v>
      </c>
      <c r="I195" s="38" t="s">
        <v>325</v>
      </c>
      <c r="J195" s="109" t="str">
        <f>HYPERLINK(Hoofddocument!$H$195,Hoofddocument!$G$195)</f>
        <v>Masterclass Digitale Transformatie</v>
      </c>
      <c r="K195" s="129" t="str">
        <f t="shared" ref="K195:K258" si="12">IF(OR(AND(Niveau1="Basis",D195="B"),AND(Niveau1="Verdiepend",D195="V"),AND(Niveau1="Toon Alles",NOT(ISBLANK(D195)))),$U$2,"")</f>
        <v/>
      </c>
      <c r="L195" s="129" t="str">
        <f t="shared" si="10"/>
        <v/>
      </c>
      <c r="M195" s="129" t="str">
        <f t="shared" si="11"/>
        <v/>
      </c>
    </row>
    <row r="196" spans="1:13" ht="18" customHeight="1" thickBot="1" x14ac:dyDescent="0.2">
      <c r="A196" s="46" t="s">
        <v>65</v>
      </c>
      <c r="B196" s="45" t="s">
        <v>233</v>
      </c>
      <c r="C196" s="109" t="str">
        <f>HYPERLINK(Hoofddocument!$H$196,Hoofddocument!$G$196)</f>
        <v>Feedback Geven en Ontvangen</v>
      </c>
      <c r="D196" s="17"/>
      <c r="E196" s="17"/>
      <c r="F196" s="17"/>
      <c r="G196" s="82"/>
      <c r="H196" s="46" t="s">
        <v>65</v>
      </c>
      <c r="I196" s="45" t="s">
        <v>233</v>
      </c>
      <c r="J196" s="109" t="str">
        <f>HYPERLINK(Hoofddocument!$H$196,Hoofddocument!$G$196)</f>
        <v>Feedback Geven en Ontvangen</v>
      </c>
      <c r="K196" s="129" t="str">
        <f t="shared" si="12"/>
        <v/>
      </c>
      <c r="L196" s="129" t="str">
        <f t="shared" si="10"/>
        <v/>
      </c>
      <c r="M196" s="129" t="str">
        <f t="shared" si="11"/>
        <v/>
      </c>
    </row>
    <row r="197" spans="1:13" ht="18" customHeight="1" thickBot="1" x14ac:dyDescent="0.2">
      <c r="A197" s="37" t="s">
        <v>65</v>
      </c>
      <c r="B197" s="38" t="s">
        <v>725</v>
      </c>
      <c r="C197" s="38" t="s">
        <v>820</v>
      </c>
      <c r="D197" s="17"/>
      <c r="E197" s="17"/>
      <c r="F197" s="17"/>
      <c r="G197" s="82"/>
      <c r="H197" s="37" t="s">
        <v>65</v>
      </c>
      <c r="I197" s="38" t="s">
        <v>725</v>
      </c>
      <c r="J197" s="38" t="s">
        <v>820</v>
      </c>
      <c r="K197" s="129" t="str">
        <f t="shared" si="12"/>
        <v/>
      </c>
      <c r="L197" s="129" t="str">
        <f t="shared" si="10"/>
        <v/>
      </c>
      <c r="M197" s="129" t="str">
        <f t="shared" si="11"/>
        <v/>
      </c>
    </row>
    <row r="198" spans="1:13" ht="18" customHeight="1" thickBot="1" x14ac:dyDescent="0.2">
      <c r="A198" s="37" t="s">
        <v>65</v>
      </c>
      <c r="B198" s="44" t="s">
        <v>319</v>
      </c>
      <c r="C198" s="109" t="str">
        <f>HYPERLINK(Hoofddocument!$H$198,Hoofddocument!$G$198)</f>
        <v>Masterclass IT Developments</v>
      </c>
      <c r="D198" s="17"/>
      <c r="E198" s="17"/>
      <c r="F198" s="17"/>
      <c r="G198" s="82"/>
      <c r="H198" s="37" t="s">
        <v>65</v>
      </c>
      <c r="I198" s="44" t="s">
        <v>319</v>
      </c>
      <c r="J198" s="109" t="str">
        <f>HYPERLINK(Hoofddocument!$H$198,Hoofddocument!$G$198)</f>
        <v>Masterclass IT Developments</v>
      </c>
      <c r="K198" s="129" t="str">
        <f t="shared" si="12"/>
        <v/>
      </c>
      <c r="L198" s="129" t="str">
        <f t="shared" si="10"/>
        <v/>
      </c>
      <c r="M198" s="129" t="str">
        <f t="shared" si="11"/>
        <v/>
      </c>
    </row>
    <row r="199" spans="1:13" ht="18" customHeight="1" thickBot="1" x14ac:dyDescent="0.2">
      <c r="A199" s="37" t="s">
        <v>65</v>
      </c>
      <c r="B199" s="44" t="s">
        <v>11</v>
      </c>
      <c r="C199" s="109" t="str">
        <f>HYPERLINK(Hoofddocument!$H$199,Hoofddocument!$G$199)</f>
        <v>Slim Leren op de Werkplek</v>
      </c>
      <c r="D199" s="17"/>
      <c r="E199" s="17"/>
      <c r="F199" s="17"/>
      <c r="G199" s="82"/>
      <c r="H199" s="37" t="s">
        <v>65</v>
      </c>
      <c r="I199" s="44" t="s">
        <v>11</v>
      </c>
      <c r="J199" s="109" t="str">
        <f>HYPERLINK(Hoofddocument!$H$199,Hoofddocument!$G$199)</f>
        <v>Slim Leren op de Werkplek</v>
      </c>
      <c r="K199" s="129" t="str">
        <f t="shared" si="12"/>
        <v/>
      </c>
      <c r="L199" s="129" t="str">
        <f t="shared" si="10"/>
        <v/>
      </c>
      <c r="M199" s="129" t="str">
        <f t="shared" si="11"/>
        <v/>
      </c>
    </row>
    <row r="200" spans="1:13" ht="18" customHeight="1" thickBot="1" x14ac:dyDescent="0.2">
      <c r="A200" s="43" t="s">
        <v>65</v>
      </c>
      <c r="B200" s="44" t="s">
        <v>731</v>
      </c>
      <c r="C200" s="109" t="str">
        <f>HYPERLINK(Hoofddocument!$H$200,Hoofddocument!$G$200)</f>
        <v>Leidinggeven zonder Macht</v>
      </c>
      <c r="D200" s="17"/>
      <c r="E200" s="17"/>
      <c r="F200" s="17"/>
      <c r="G200" s="82"/>
      <c r="H200" s="43" t="s">
        <v>65</v>
      </c>
      <c r="I200" s="44" t="s">
        <v>731</v>
      </c>
      <c r="J200" s="109" t="str">
        <f>HYPERLINK(Hoofddocument!$H$200,Hoofddocument!$G$200)</f>
        <v>Leidinggeven zonder Macht</v>
      </c>
      <c r="K200" s="129" t="str">
        <f t="shared" si="12"/>
        <v/>
      </c>
      <c r="L200" s="129" t="str">
        <f t="shared" si="10"/>
        <v/>
      </c>
      <c r="M200" s="129" t="str">
        <f t="shared" si="11"/>
        <v/>
      </c>
    </row>
    <row r="201" spans="1:13" ht="18" customHeight="1" thickBot="1" x14ac:dyDescent="0.2">
      <c r="A201" s="43" t="s">
        <v>65</v>
      </c>
      <c r="B201" s="44" t="s">
        <v>731</v>
      </c>
      <c r="C201" s="109" t="str">
        <f>HYPERLINK(Hoofddocument!$H$201,Hoofddocument!$G$201)</f>
        <v>Basistraining Leidinggeven</v>
      </c>
      <c r="D201" s="17"/>
      <c r="E201" s="17"/>
      <c r="F201" s="17"/>
      <c r="G201" s="82"/>
      <c r="H201" s="43" t="s">
        <v>65</v>
      </c>
      <c r="I201" s="44" t="s">
        <v>731</v>
      </c>
      <c r="J201" s="109" t="str">
        <f>HYPERLINK(Hoofddocument!$H$201,Hoofddocument!$G$201)</f>
        <v>Basistraining Leidinggeven</v>
      </c>
      <c r="K201" s="129" t="str">
        <f t="shared" si="12"/>
        <v/>
      </c>
      <c r="L201" s="129" t="str">
        <f t="shared" si="10"/>
        <v/>
      </c>
      <c r="M201" s="129" t="str">
        <f t="shared" si="11"/>
        <v/>
      </c>
    </row>
    <row r="202" spans="1:13" ht="18" customHeight="1" thickBot="1" x14ac:dyDescent="0.2">
      <c r="A202" s="43" t="s">
        <v>65</v>
      </c>
      <c r="B202" s="44" t="s">
        <v>14</v>
      </c>
      <c r="C202" s="109" t="str">
        <f>HYPERLINK(Hoofddocument!$H$202,Hoofddocument!$G$202)</f>
        <v>Basisvaardigheden in Communicatie</v>
      </c>
      <c r="D202" s="17"/>
      <c r="E202" s="17"/>
      <c r="F202" s="17"/>
      <c r="G202" s="82"/>
      <c r="H202" s="43" t="s">
        <v>65</v>
      </c>
      <c r="I202" s="44" t="s">
        <v>14</v>
      </c>
      <c r="J202" s="109" t="str">
        <f>HYPERLINK(Hoofddocument!$H$202,Hoofddocument!$G$202)</f>
        <v>Basisvaardigheden in Communicatie</v>
      </c>
      <c r="K202" s="129" t="str">
        <f t="shared" si="12"/>
        <v/>
      </c>
      <c r="L202" s="129" t="str">
        <f t="shared" si="10"/>
        <v/>
      </c>
      <c r="M202" s="129" t="str">
        <f t="shared" si="11"/>
        <v/>
      </c>
    </row>
    <row r="203" spans="1:13" ht="18" customHeight="1" thickBot="1" x14ac:dyDescent="0.2">
      <c r="A203" s="43" t="s">
        <v>65</v>
      </c>
      <c r="B203" s="44" t="s">
        <v>14</v>
      </c>
      <c r="C203" s="109" t="str">
        <f>HYPERLINK(Hoofddocument!$H$203,Hoofddocument!$G$203)</f>
        <v>Powerboost Basis Gespreksvaardigheden</v>
      </c>
      <c r="D203" s="17"/>
      <c r="E203" s="17"/>
      <c r="F203" s="17"/>
      <c r="G203" s="82"/>
      <c r="H203" s="43" t="s">
        <v>65</v>
      </c>
      <c r="I203" s="44" t="s">
        <v>14</v>
      </c>
      <c r="J203" s="109" t="str">
        <f>HYPERLINK(Hoofddocument!$H$203,Hoofddocument!$G$203)</f>
        <v>Powerboost Basis Gespreksvaardigheden</v>
      </c>
      <c r="K203" s="129" t="str">
        <f t="shared" si="12"/>
        <v/>
      </c>
      <c r="L203" s="129" t="str">
        <f t="shared" si="10"/>
        <v/>
      </c>
      <c r="M203" s="129" t="str">
        <f t="shared" si="11"/>
        <v/>
      </c>
    </row>
    <row r="204" spans="1:13" ht="18" customHeight="1" thickBot="1" x14ac:dyDescent="0.2">
      <c r="A204" s="43" t="s">
        <v>65</v>
      </c>
      <c r="B204" s="44" t="s">
        <v>230</v>
      </c>
      <c r="C204" s="109" t="str">
        <f>HYPERLINK(Hoofddocument!$H$204,Hoofddocument!$G$204)</f>
        <v>Invloed in Complexiteit</v>
      </c>
      <c r="D204" s="17"/>
      <c r="E204" s="17"/>
      <c r="F204" s="17"/>
      <c r="G204" s="82"/>
      <c r="H204" s="43" t="s">
        <v>65</v>
      </c>
      <c r="I204" s="44" t="s">
        <v>230</v>
      </c>
      <c r="J204" s="109" t="str">
        <f>HYPERLINK(Hoofddocument!$H$204,Hoofddocument!$G$204)</f>
        <v>Invloed in Complexiteit</v>
      </c>
      <c r="K204" s="129" t="str">
        <f t="shared" si="12"/>
        <v/>
      </c>
      <c r="L204" s="129" t="str">
        <f t="shared" si="10"/>
        <v/>
      </c>
      <c r="M204" s="129" t="str">
        <f t="shared" si="11"/>
        <v/>
      </c>
    </row>
    <row r="205" spans="1:13" ht="18" customHeight="1" thickBot="1" x14ac:dyDescent="0.2">
      <c r="A205" s="43" t="s">
        <v>65</v>
      </c>
      <c r="B205" s="44" t="s">
        <v>22</v>
      </c>
      <c r="C205" s="109" t="str">
        <f>HYPERLINK(Hoofddocument!$H$205,Hoofddocument!$G$205)</f>
        <v>Emotionele Intelligentie</v>
      </c>
      <c r="D205" s="17"/>
      <c r="E205" s="17"/>
      <c r="F205" s="17"/>
      <c r="G205" s="82"/>
      <c r="H205" s="43" t="s">
        <v>65</v>
      </c>
      <c r="I205" s="44" t="s">
        <v>22</v>
      </c>
      <c r="J205" s="109" t="str">
        <f>HYPERLINK(Hoofddocument!$H$205,Hoofddocument!$G$205)</f>
        <v>Emotionele Intelligentie</v>
      </c>
      <c r="K205" s="129" t="str">
        <f t="shared" si="12"/>
        <v/>
      </c>
      <c r="L205" s="129" t="str">
        <f t="shared" si="10"/>
        <v/>
      </c>
      <c r="M205" s="129" t="str">
        <f t="shared" si="11"/>
        <v/>
      </c>
    </row>
    <row r="206" spans="1:13" ht="18" customHeight="1" thickBot="1" x14ac:dyDescent="0.2">
      <c r="A206" s="43" t="s">
        <v>65</v>
      </c>
      <c r="B206" s="44" t="s">
        <v>22</v>
      </c>
      <c r="C206" s="109" t="str">
        <f>HYPERLINK(Hoofddocument!$H$206,Hoofddocument!$G$206)</f>
        <v>Politiek-bestuurlijke Sensitiviteit en Beïnvloeding</v>
      </c>
      <c r="D206" s="17"/>
      <c r="E206" s="17"/>
      <c r="F206" s="17"/>
      <c r="G206" s="82"/>
      <c r="H206" s="43" t="s">
        <v>65</v>
      </c>
      <c r="I206" s="44" t="s">
        <v>22</v>
      </c>
      <c r="J206" s="109" t="str">
        <f>HYPERLINK(Hoofddocument!$H$206,Hoofddocument!$G$206)</f>
        <v>Politiek-bestuurlijke Sensitiviteit en Beïnvloeding</v>
      </c>
      <c r="K206" s="129" t="str">
        <f t="shared" si="12"/>
        <v/>
      </c>
      <c r="L206" s="129" t="str">
        <f t="shared" si="10"/>
        <v/>
      </c>
      <c r="M206" s="129" t="str">
        <f t="shared" si="11"/>
        <v/>
      </c>
    </row>
    <row r="207" spans="1:13" ht="18" customHeight="1" thickBot="1" x14ac:dyDescent="0.2">
      <c r="A207" s="43" t="s">
        <v>65</v>
      </c>
      <c r="B207" s="44" t="s">
        <v>23</v>
      </c>
      <c r="C207" s="109" t="str">
        <f>HYPERLINK(Hoofddocument!$H$207,Hoofddocument!$G$207)</f>
        <v>Overtuigingskracht</v>
      </c>
      <c r="D207" s="17"/>
      <c r="E207" s="17"/>
      <c r="F207" s="17"/>
      <c r="G207" s="82"/>
      <c r="H207" s="43" t="s">
        <v>65</v>
      </c>
      <c r="I207" s="44" t="s">
        <v>23</v>
      </c>
      <c r="J207" s="109" t="str">
        <f>HYPERLINK(Hoofddocument!$H$207,Hoofddocument!$G$207)</f>
        <v>Overtuigingskracht</v>
      </c>
      <c r="K207" s="129" t="str">
        <f t="shared" si="12"/>
        <v/>
      </c>
      <c r="L207" s="17" t="str">
        <f t="shared" si="10"/>
        <v/>
      </c>
      <c r="M207" s="129" t="str">
        <f t="shared" si="11"/>
        <v/>
      </c>
    </row>
    <row r="208" spans="1:13" ht="18" customHeight="1" thickBot="1" x14ac:dyDescent="0.2">
      <c r="A208" s="43" t="s">
        <v>65</v>
      </c>
      <c r="B208" s="44" t="s">
        <v>23</v>
      </c>
      <c r="C208" s="109" t="str">
        <f>HYPERLINK(Hoofddocument!$H$208,Hoofddocument!$G$208)</f>
        <v>Masterclass Effectief Beïnvloeden en Overtuigen</v>
      </c>
      <c r="D208" s="17"/>
      <c r="E208" s="17"/>
      <c r="F208" s="17"/>
      <c r="G208" s="82"/>
      <c r="H208" s="43" t="s">
        <v>65</v>
      </c>
      <c r="I208" s="44" t="s">
        <v>23</v>
      </c>
      <c r="J208" s="109" t="str">
        <f>HYPERLINK(Hoofddocument!$H$208,Hoofddocument!$G$208)</f>
        <v>Masterclass Effectief Beïnvloeden en Overtuigen</v>
      </c>
      <c r="K208" s="129" t="str">
        <f t="shared" si="12"/>
        <v/>
      </c>
      <c r="L208" s="129" t="str">
        <f t="shared" si="10"/>
        <v/>
      </c>
      <c r="M208" s="129" t="str">
        <f t="shared" si="11"/>
        <v/>
      </c>
    </row>
    <row r="209" spans="1:13" ht="18" customHeight="1" thickBot="1" x14ac:dyDescent="0.2">
      <c r="A209" s="37" t="s">
        <v>65</v>
      </c>
      <c r="B209" s="44" t="s">
        <v>23</v>
      </c>
      <c r="C209" s="109" t="str">
        <f>HYPERLINK(Hoofddocument!$H$209,Hoofddocument!$G$209)</f>
        <v>Storytelling</v>
      </c>
      <c r="D209" s="17"/>
      <c r="E209" s="17"/>
      <c r="F209" s="17"/>
      <c r="G209" s="82"/>
      <c r="H209" s="37" t="s">
        <v>65</v>
      </c>
      <c r="I209" s="44" t="s">
        <v>23</v>
      </c>
      <c r="J209" s="109" t="str">
        <f>HYPERLINK(Hoofddocument!$H$209,Hoofddocument!$G$209)</f>
        <v>Storytelling</v>
      </c>
      <c r="K209" s="129" t="str">
        <f t="shared" si="12"/>
        <v/>
      </c>
      <c r="L209" s="129" t="str">
        <f t="shared" si="10"/>
        <v/>
      </c>
      <c r="M209" s="129" t="str">
        <f t="shared" si="11"/>
        <v/>
      </c>
    </row>
    <row r="210" spans="1:13" ht="18" customHeight="1" thickBot="1" x14ac:dyDescent="0.2">
      <c r="A210" s="43" t="s">
        <v>65</v>
      </c>
      <c r="B210" s="44" t="s">
        <v>23</v>
      </c>
      <c r="C210" s="109" t="str">
        <f>HYPERLINK(Hoofddocument!$H$210,Hoofddocument!$G$210)</f>
        <v>Strategisch Onderhandelen bij de Overheid</v>
      </c>
      <c r="D210" s="17"/>
      <c r="E210" s="17"/>
      <c r="F210" s="17"/>
      <c r="G210" s="82"/>
      <c r="H210" s="43" t="s">
        <v>65</v>
      </c>
      <c r="I210" s="44" t="s">
        <v>23</v>
      </c>
      <c r="J210" s="109" t="str">
        <f>HYPERLINK(Hoofddocument!$H$210,Hoofddocument!$G$210)</f>
        <v>Strategisch Onderhandelen bij de Overheid</v>
      </c>
      <c r="K210" s="129" t="str">
        <f t="shared" si="12"/>
        <v/>
      </c>
      <c r="L210" s="129" t="str">
        <f t="shared" si="10"/>
        <v/>
      </c>
      <c r="M210" s="129" t="str">
        <f t="shared" si="11"/>
        <v/>
      </c>
    </row>
    <row r="211" spans="1:13" ht="18" customHeight="1" thickBot="1" x14ac:dyDescent="0.2">
      <c r="A211" s="43" t="s">
        <v>65</v>
      </c>
      <c r="B211" s="44" t="s">
        <v>25</v>
      </c>
      <c r="C211" s="109" t="str">
        <f>HYPERLINK(Hoofddocument!$H$211,Hoofddocument!$G$211)</f>
        <v>Training Goed Waarnemen, Juist interpreteren en Effectief Communiceren</v>
      </c>
      <c r="D211" s="17"/>
      <c r="E211" s="17"/>
      <c r="F211" s="17"/>
      <c r="G211" s="82"/>
      <c r="H211" s="43" t="s">
        <v>65</v>
      </c>
      <c r="I211" s="44" t="s">
        <v>25</v>
      </c>
      <c r="J211" s="109" t="str">
        <f>HYPERLINK(Hoofddocument!$H$211,Hoofddocument!$G$211)</f>
        <v>Training Goed Waarnemen, Juist interpreteren en Effectief Communiceren</v>
      </c>
      <c r="K211" s="129" t="str">
        <f t="shared" si="12"/>
        <v/>
      </c>
      <c r="L211" s="17" t="str">
        <f t="shared" si="10"/>
        <v/>
      </c>
      <c r="M211" s="129" t="str">
        <f t="shared" si="11"/>
        <v/>
      </c>
    </row>
    <row r="212" spans="1:13" ht="18" customHeight="1" thickBot="1" x14ac:dyDescent="0.2">
      <c r="A212" s="43" t="s">
        <v>65</v>
      </c>
      <c r="B212" s="44" t="s">
        <v>28</v>
      </c>
      <c r="C212" s="109" t="str">
        <f>HYPERLINK(Hoofddocument!$H$212,Hoofddocument!$G$212)</f>
        <v>Schrijven met het piramideprincipe</v>
      </c>
      <c r="D212" s="17"/>
      <c r="E212" s="17"/>
      <c r="F212" s="17"/>
      <c r="G212" s="82"/>
      <c r="H212" s="43" t="s">
        <v>65</v>
      </c>
      <c r="I212" s="44" t="s">
        <v>28</v>
      </c>
      <c r="J212" s="109" t="str">
        <f>HYPERLINK(Hoofddocument!$H$212,Hoofddocument!$G$212)</f>
        <v>Schrijven met het piramideprincipe</v>
      </c>
      <c r="K212" s="129" t="str">
        <f t="shared" si="12"/>
        <v/>
      </c>
      <c r="L212" s="17" t="str">
        <f t="shared" si="10"/>
        <v/>
      </c>
      <c r="M212" s="129" t="str">
        <f t="shared" si="11"/>
        <v/>
      </c>
    </row>
    <row r="213" spans="1:13" ht="18" customHeight="1" thickBot="1" x14ac:dyDescent="0.2">
      <c r="A213" s="43" t="s">
        <v>65</v>
      </c>
      <c r="B213" s="44" t="s">
        <v>28</v>
      </c>
      <c r="C213" s="109" t="str">
        <f>HYPERLINK(Hoofddocument!$H$213,Hoofddocument!$G$213)</f>
        <v>Powerboost Schriftelijke Vaardigheden</v>
      </c>
      <c r="D213" s="17"/>
      <c r="E213" s="17"/>
      <c r="F213" s="17"/>
      <c r="G213" s="82"/>
      <c r="H213" s="43" t="s">
        <v>65</v>
      </c>
      <c r="I213" s="44" t="s">
        <v>28</v>
      </c>
      <c r="J213" s="109" t="str">
        <f>HYPERLINK(Hoofddocument!$H$213,Hoofddocument!$G$213)</f>
        <v>Powerboost Schriftelijke Vaardigheden</v>
      </c>
      <c r="K213" s="129" t="str">
        <f t="shared" si="12"/>
        <v/>
      </c>
      <c r="L213" s="129" t="str">
        <f t="shared" si="10"/>
        <v/>
      </c>
      <c r="M213" s="129" t="str">
        <f t="shared" si="11"/>
        <v/>
      </c>
    </row>
    <row r="214" spans="1:13" ht="18" customHeight="1" thickBot="1" x14ac:dyDescent="0.2">
      <c r="A214" s="37" t="s">
        <v>65</v>
      </c>
      <c r="B214" s="44" t="s">
        <v>28</v>
      </c>
      <c r="C214" s="109" t="str">
        <f>HYPERLINK(Hoofddocument!$H$214,Hoofddocument!$G$214)</f>
        <v>Kort en Krachtig formuleren</v>
      </c>
      <c r="D214" s="17"/>
      <c r="E214" s="17"/>
      <c r="F214" s="17"/>
      <c r="G214" s="82"/>
      <c r="H214" s="37" t="s">
        <v>65</v>
      </c>
      <c r="I214" s="44" t="s">
        <v>28</v>
      </c>
      <c r="J214" s="109" t="str">
        <f>HYPERLINK(Hoofddocument!$H$214,Hoofddocument!$G$214)</f>
        <v>Kort en Krachtig formuleren</v>
      </c>
      <c r="K214" s="129" t="str">
        <f t="shared" si="12"/>
        <v/>
      </c>
      <c r="L214" s="129" t="str">
        <f t="shared" si="10"/>
        <v/>
      </c>
      <c r="M214" s="129" t="str">
        <f t="shared" si="11"/>
        <v/>
      </c>
    </row>
    <row r="215" spans="1:13" ht="18" customHeight="1" thickBot="1" x14ac:dyDescent="0.2">
      <c r="A215" s="43" t="s">
        <v>65</v>
      </c>
      <c r="B215" s="44" t="s">
        <v>28</v>
      </c>
      <c r="C215" s="109" t="str">
        <f>HYPERLINK(Hoofddocument!$H$215,Hoofddocument!$G$215)</f>
        <v>Powerboost Schriftelijke Vaardigheden</v>
      </c>
      <c r="D215" s="17"/>
      <c r="E215" s="17"/>
      <c r="F215" s="17"/>
      <c r="G215" s="82"/>
      <c r="H215" s="43" t="s">
        <v>65</v>
      </c>
      <c r="I215" s="44" t="s">
        <v>28</v>
      </c>
      <c r="J215" s="109" t="str">
        <f>HYPERLINK(Hoofddocument!$H$215,Hoofddocument!$G$215)</f>
        <v>Powerboost Schriftelijke Vaardigheden</v>
      </c>
      <c r="K215" s="129" t="str">
        <f t="shared" si="12"/>
        <v/>
      </c>
      <c r="L215" s="129" t="str">
        <f t="shared" si="10"/>
        <v/>
      </c>
      <c r="M215" s="129" t="str">
        <f t="shared" si="11"/>
        <v/>
      </c>
    </row>
    <row r="216" spans="1:13" ht="18" customHeight="1" thickBot="1" x14ac:dyDescent="0.2">
      <c r="A216" s="43" t="s">
        <v>65</v>
      </c>
      <c r="B216" s="44" t="s">
        <v>29</v>
      </c>
      <c r="C216" s="109" t="str">
        <f>HYPERLINK(Hoofddocument!$H$216,Hoofddocument!$G$216)</f>
        <v>Sensitief Communiceren</v>
      </c>
      <c r="D216" s="17"/>
      <c r="E216" s="17"/>
      <c r="F216" s="17"/>
      <c r="G216" s="82"/>
      <c r="H216" s="43" t="s">
        <v>65</v>
      </c>
      <c r="I216" s="44" t="s">
        <v>29</v>
      </c>
      <c r="J216" s="109" t="str">
        <f>HYPERLINK(Hoofddocument!$H$216,Hoofddocument!$G$216)</f>
        <v>Sensitief Communiceren</v>
      </c>
      <c r="K216" s="129" t="str">
        <f t="shared" si="12"/>
        <v/>
      </c>
      <c r="L216" s="129" t="str">
        <f t="shared" si="10"/>
        <v/>
      </c>
      <c r="M216" s="129" t="str">
        <f t="shared" si="11"/>
        <v/>
      </c>
    </row>
    <row r="217" spans="1:13" ht="18" customHeight="1" thickBot="1" x14ac:dyDescent="0.2">
      <c r="A217" s="37" t="s">
        <v>65</v>
      </c>
      <c r="B217" s="44" t="s">
        <v>972</v>
      </c>
      <c r="C217" s="109" t="str">
        <f>HYPERLINK(Hoofddocument!$H$217,Hoofddocument!$G$217)</f>
        <v>Didactische vaardigheden</v>
      </c>
      <c r="D217" s="17"/>
      <c r="E217" s="17"/>
      <c r="F217" s="17"/>
      <c r="G217" s="82"/>
      <c r="H217" s="37" t="s">
        <v>65</v>
      </c>
      <c r="I217" s="44" t="s">
        <v>972</v>
      </c>
      <c r="J217" s="109" t="str">
        <f>HYPERLINK(Hoofddocument!$H$217,Hoofddocument!$G$217)</f>
        <v>Didactische vaardigheden</v>
      </c>
      <c r="K217" s="129" t="str">
        <f t="shared" si="12"/>
        <v/>
      </c>
      <c r="L217" s="129" t="str">
        <f t="shared" si="10"/>
        <v/>
      </c>
      <c r="M217" s="129" t="str">
        <f t="shared" si="11"/>
        <v/>
      </c>
    </row>
    <row r="218" spans="1:13" ht="18" customHeight="1" thickBot="1" x14ac:dyDescent="0.2">
      <c r="A218" s="43" t="s">
        <v>65</v>
      </c>
      <c r="B218" s="44" t="s">
        <v>972</v>
      </c>
      <c r="C218" s="109" t="str">
        <f>HYPERLINK(Hoofddocument!$H$218,Hoofddocument!$G$218)</f>
        <v>Post HBO Train de trainer</v>
      </c>
      <c r="D218" s="17"/>
      <c r="E218" s="17"/>
      <c r="F218" s="17"/>
      <c r="G218" s="82"/>
      <c r="H218" s="43" t="s">
        <v>65</v>
      </c>
      <c r="I218" s="44" t="s">
        <v>972</v>
      </c>
      <c r="J218" s="109" t="str">
        <f>HYPERLINK(Hoofddocument!$H$218,Hoofddocument!$G$218)</f>
        <v>Post HBO Train de trainer</v>
      </c>
      <c r="K218" s="129" t="str">
        <f t="shared" si="12"/>
        <v/>
      </c>
      <c r="L218" s="129" t="str">
        <f t="shared" si="10"/>
        <v/>
      </c>
      <c r="M218" s="129" t="str">
        <f t="shared" si="11"/>
        <v/>
      </c>
    </row>
    <row r="219" spans="1:13" ht="18" customHeight="1" thickBot="1" x14ac:dyDescent="0.2">
      <c r="A219" s="43" t="s">
        <v>65</v>
      </c>
      <c r="B219" s="44" t="s">
        <v>973</v>
      </c>
      <c r="C219" s="109" t="str">
        <f>HYPERLINK(Hoofddocument!$H$219,Hoofddocument!$G$219)</f>
        <v>Sociale Veiligheid op het werk</v>
      </c>
      <c r="D219" s="17"/>
      <c r="E219" s="17"/>
      <c r="F219" s="17"/>
      <c r="G219" s="82"/>
      <c r="H219" s="43" t="s">
        <v>65</v>
      </c>
      <c r="I219" s="44" t="s">
        <v>973</v>
      </c>
      <c r="J219" s="109" t="str">
        <f>HYPERLINK(Hoofddocument!$H$219,Hoofddocument!$G$219)</f>
        <v>Sociale Veiligheid op het werk</v>
      </c>
      <c r="K219" s="129" t="str">
        <f t="shared" si="12"/>
        <v/>
      </c>
      <c r="L219" s="129" t="str">
        <f t="shared" si="10"/>
        <v/>
      </c>
      <c r="M219" s="129" t="str">
        <f t="shared" si="11"/>
        <v/>
      </c>
    </row>
    <row r="220" spans="1:13" ht="18" customHeight="1" thickBot="1" x14ac:dyDescent="0.2">
      <c r="A220" s="37" t="s">
        <v>65</v>
      </c>
      <c r="B220" s="44" t="s">
        <v>973</v>
      </c>
      <c r="C220" s="109" t="str">
        <f>HYPERLINK(Hoofddocument!$H$220,Hoofddocument!$G$220)</f>
        <v>Sociale Veiligheid op het werk voor leidinggevenden</v>
      </c>
      <c r="D220" s="17"/>
      <c r="E220" s="17"/>
      <c r="F220" s="17"/>
      <c r="G220" s="82"/>
      <c r="H220" s="37" t="s">
        <v>65</v>
      </c>
      <c r="I220" s="44" t="s">
        <v>973</v>
      </c>
      <c r="J220" s="109" t="str">
        <f>HYPERLINK(Hoofddocument!$H$220,Hoofddocument!$G$220)</f>
        <v>Sociale Veiligheid op het werk voor leidinggevenden</v>
      </c>
      <c r="K220" s="129" t="str">
        <f t="shared" si="12"/>
        <v/>
      </c>
      <c r="L220" s="129" t="str">
        <f t="shared" si="10"/>
        <v/>
      </c>
      <c r="M220" s="129" t="str">
        <f t="shared" si="11"/>
        <v/>
      </c>
    </row>
    <row r="221" spans="1:13" ht="18" customHeight="1" thickBot="1" x14ac:dyDescent="0.2">
      <c r="A221" s="43" t="s">
        <v>65</v>
      </c>
      <c r="B221" s="44" t="s">
        <v>974</v>
      </c>
      <c r="C221" s="109" t="str">
        <f>HYPERLINK(Hoofddocument!$H$221,Hoofddocument!$G$221)</f>
        <v>Masterclass Strategie en Beleid in een Politieke Omgeving</v>
      </c>
      <c r="D221" s="17"/>
      <c r="E221" s="17"/>
      <c r="F221" s="17"/>
      <c r="G221" s="82"/>
      <c r="H221" s="43" t="s">
        <v>65</v>
      </c>
      <c r="I221" s="44" t="s">
        <v>974</v>
      </c>
      <c r="J221" s="109" t="str">
        <f>HYPERLINK(Hoofddocument!$H$221,Hoofddocument!$G$221)</f>
        <v>Masterclass Strategie en Beleid in een Politieke Omgeving</v>
      </c>
      <c r="K221" s="129" t="str">
        <f t="shared" si="12"/>
        <v/>
      </c>
      <c r="L221" s="129" t="str">
        <f t="shared" si="10"/>
        <v/>
      </c>
      <c r="M221" s="129" t="str">
        <f t="shared" si="11"/>
        <v/>
      </c>
    </row>
    <row r="222" spans="1:13" ht="18" customHeight="1" thickBot="1" x14ac:dyDescent="0.2">
      <c r="A222" s="43" t="s">
        <v>67</v>
      </c>
      <c r="B222" s="38" t="s">
        <v>432</v>
      </c>
      <c r="C222" s="109" t="str">
        <f>HYPERLINK(Hoofddocument!$H$222,Hoofddocument!$G$222)</f>
        <v>Management of Portfolios (MoP®) Foundation</v>
      </c>
      <c r="D222" s="17"/>
      <c r="E222" s="17"/>
      <c r="F222" s="17"/>
      <c r="G222" s="82"/>
      <c r="H222" s="43" t="s">
        <v>67</v>
      </c>
      <c r="I222" s="38" t="s">
        <v>432</v>
      </c>
      <c r="J222" s="109" t="str">
        <f>HYPERLINK(Hoofddocument!$H$222,Hoofddocument!$G$222)</f>
        <v>Management of Portfolios (MoP®) Foundation</v>
      </c>
      <c r="K222" s="129" t="str">
        <f t="shared" si="12"/>
        <v/>
      </c>
      <c r="L222" s="129" t="str">
        <f t="shared" si="10"/>
        <v/>
      </c>
      <c r="M222" s="129" t="str">
        <f t="shared" si="11"/>
        <v/>
      </c>
    </row>
    <row r="223" spans="1:13" ht="18" customHeight="1" thickBot="1" x14ac:dyDescent="0.2">
      <c r="A223" s="43" t="s">
        <v>67</v>
      </c>
      <c r="B223" s="44" t="s">
        <v>432</v>
      </c>
      <c r="C223" s="109" t="str">
        <f>HYPERLINK(Hoofddocument!$H$223,Hoofddocument!$G$223)</f>
        <v>Management of Portfolios (MoP®) Practitioner</v>
      </c>
      <c r="D223" s="17"/>
      <c r="E223" s="17"/>
      <c r="F223" s="17"/>
      <c r="G223" s="82"/>
      <c r="H223" s="43" t="s">
        <v>67</v>
      </c>
      <c r="I223" s="44" t="s">
        <v>432</v>
      </c>
      <c r="J223" s="109" t="str">
        <f>HYPERLINK(Hoofddocument!$H$223,Hoofddocument!$G$223)</f>
        <v>Management of Portfolios (MoP®) Practitioner</v>
      </c>
      <c r="K223" s="129" t="str">
        <f t="shared" si="12"/>
        <v/>
      </c>
      <c r="L223" s="129" t="str">
        <f t="shared" si="10"/>
        <v/>
      </c>
      <c r="M223" s="129" t="str">
        <f t="shared" si="11"/>
        <v/>
      </c>
    </row>
    <row r="224" spans="1:13" ht="18" customHeight="1" thickBot="1" x14ac:dyDescent="0.2">
      <c r="A224" s="37" t="s">
        <v>67</v>
      </c>
      <c r="B224" s="38" t="s">
        <v>314</v>
      </c>
      <c r="C224" s="109" t="str">
        <f>HYPERLINK(Hoofddocument!$H$224,Hoofddocument!$G$224)</f>
        <v>SAFe Lean Portfolio Management ©</v>
      </c>
      <c r="D224" s="17"/>
      <c r="E224" s="17"/>
      <c r="F224" s="17"/>
      <c r="G224" s="82"/>
      <c r="H224" s="37" t="s">
        <v>67</v>
      </c>
      <c r="I224" s="38" t="s">
        <v>314</v>
      </c>
      <c r="J224" s="109" t="str">
        <f>HYPERLINK(Hoofddocument!$H$224,Hoofddocument!$G$224)</f>
        <v>SAFe Lean Portfolio Management ©</v>
      </c>
      <c r="K224" s="129" t="str">
        <f t="shared" si="12"/>
        <v/>
      </c>
      <c r="L224" s="129" t="str">
        <f t="shared" si="10"/>
        <v/>
      </c>
      <c r="M224" s="129" t="str">
        <f t="shared" si="11"/>
        <v/>
      </c>
    </row>
    <row r="225" spans="1:13" ht="18" customHeight="1" thickBot="1" x14ac:dyDescent="0.2">
      <c r="A225" s="37" t="s">
        <v>67</v>
      </c>
      <c r="B225" s="44" t="s">
        <v>434</v>
      </c>
      <c r="C225" s="38" t="s">
        <v>434</v>
      </c>
      <c r="D225" s="17"/>
      <c r="E225" s="17"/>
      <c r="F225" s="17"/>
      <c r="G225" s="82"/>
      <c r="H225" s="37" t="s">
        <v>67</v>
      </c>
      <c r="I225" s="44" t="s">
        <v>434</v>
      </c>
      <c r="J225" s="38" t="s">
        <v>434</v>
      </c>
      <c r="K225" s="129" t="str">
        <f t="shared" si="12"/>
        <v/>
      </c>
      <c r="L225" s="129" t="str">
        <f t="shared" si="10"/>
        <v/>
      </c>
      <c r="M225" s="129" t="str">
        <f t="shared" si="11"/>
        <v/>
      </c>
    </row>
    <row r="226" spans="1:13" ht="18" customHeight="1" thickBot="1" x14ac:dyDescent="0.2">
      <c r="A226" s="37" t="s">
        <v>51</v>
      </c>
      <c r="B226" s="44" t="s">
        <v>284</v>
      </c>
      <c r="C226" s="109" t="str">
        <f>HYPERLINK(Hoofddocument!$H$226,Hoofddocument!$G$226)</f>
        <v>Active Directory</v>
      </c>
      <c r="D226" s="17"/>
      <c r="E226" s="17"/>
      <c r="F226" s="17"/>
      <c r="G226" s="82"/>
      <c r="H226" s="37" t="s">
        <v>51</v>
      </c>
      <c r="I226" s="44" t="s">
        <v>284</v>
      </c>
      <c r="J226" s="109" t="str">
        <f>HYPERLINK(Hoofddocument!$H$226,Hoofddocument!$G$226)</f>
        <v>Active Directory</v>
      </c>
      <c r="K226" s="129" t="str">
        <f t="shared" si="12"/>
        <v/>
      </c>
      <c r="L226" s="129" t="str">
        <f t="shared" si="10"/>
        <v/>
      </c>
      <c r="M226" s="129" t="str">
        <f t="shared" si="11"/>
        <v/>
      </c>
    </row>
    <row r="227" spans="1:13" ht="18" customHeight="1" thickBot="1" x14ac:dyDescent="0.2">
      <c r="A227" s="43" t="s">
        <v>51</v>
      </c>
      <c r="B227" s="44" t="s">
        <v>399</v>
      </c>
      <c r="C227" s="109" t="str">
        <f>HYPERLINK(Hoofddocument!$H$227,Hoofddocument!$G$227)</f>
        <v>Active Directory Fundamentals</v>
      </c>
      <c r="D227" s="17"/>
      <c r="E227" s="17"/>
      <c r="F227" s="17"/>
      <c r="G227" s="82"/>
      <c r="H227" s="43" t="s">
        <v>51</v>
      </c>
      <c r="I227" s="44" t="s">
        <v>399</v>
      </c>
      <c r="J227" s="109" t="str">
        <f>HYPERLINK(Hoofddocument!$H$227,Hoofddocument!$G$227)</f>
        <v>Active Directory Fundamentals</v>
      </c>
      <c r="K227" s="129" t="str">
        <f t="shared" si="12"/>
        <v/>
      </c>
      <c r="L227" s="129" t="str">
        <f t="shared" si="10"/>
        <v/>
      </c>
      <c r="M227" s="129" t="str">
        <f t="shared" si="11"/>
        <v/>
      </c>
    </row>
    <row r="228" spans="1:13" ht="18" customHeight="1" thickBot="1" x14ac:dyDescent="0.2">
      <c r="A228" s="37" t="s">
        <v>51</v>
      </c>
      <c r="B228" s="44" t="s">
        <v>285</v>
      </c>
      <c r="C228" s="109" t="str">
        <f>HYPERLINK(Hoofddocument!$H$228,Hoofddocument!$G$228)</f>
        <v>ITIL® 4 Foundation</v>
      </c>
      <c r="D228" s="17"/>
      <c r="E228" s="17"/>
      <c r="F228" s="17"/>
      <c r="G228" s="82"/>
      <c r="H228" s="37" t="s">
        <v>51</v>
      </c>
      <c r="I228" s="44" t="s">
        <v>285</v>
      </c>
      <c r="J228" s="109" t="str">
        <f>HYPERLINK(Hoofddocument!$H$228,Hoofddocument!$G$228)</f>
        <v>ITIL® 4 Foundation</v>
      </c>
      <c r="K228" s="129" t="str">
        <f t="shared" si="12"/>
        <v/>
      </c>
      <c r="L228" s="17" t="str">
        <f t="shared" si="10"/>
        <v/>
      </c>
      <c r="M228" s="129" t="str">
        <f t="shared" si="11"/>
        <v/>
      </c>
    </row>
    <row r="229" spans="1:13" ht="18" customHeight="1" thickBot="1" x14ac:dyDescent="0.2">
      <c r="A229" s="37" t="s">
        <v>51</v>
      </c>
      <c r="B229" s="44" t="s">
        <v>285</v>
      </c>
      <c r="C229" s="109" t="str">
        <f>HYPERLINK(Hoofddocument!$H$229,Hoofddocument!$G$229)</f>
        <v>BiSL® Foundation</v>
      </c>
      <c r="D229" s="17"/>
      <c r="E229" s="17"/>
      <c r="F229" s="17"/>
      <c r="G229" s="82"/>
      <c r="H229" s="37" t="s">
        <v>51</v>
      </c>
      <c r="I229" s="44" t="s">
        <v>285</v>
      </c>
      <c r="J229" s="109" t="str">
        <f>HYPERLINK(Hoofddocument!$H$229,Hoofddocument!$G$229)</f>
        <v>BiSL® Foundation</v>
      </c>
      <c r="K229" s="129" t="str">
        <f t="shared" si="12"/>
        <v/>
      </c>
      <c r="L229" s="17" t="str">
        <f t="shared" si="10"/>
        <v/>
      </c>
      <c r="M229" s="129" t="str">
        <f t="shared" si="11"/>
        <v/>
      </c>
    </row>
    <row r="230" spans="1:13" ht="18" customHeight="1" thickBot="1" x14ac:dyDescent="0.2">
      <c r="A230" s="37" t="s">
        <v>51</v>
      </c>
      <c r="B230" s="44" t="s">
        <v>285</v>
      </c>
      <c r="C230" s="109" t="str">
        <f>HYPERLINK(Hoofddocument!$H$230,Hoofddocument!$G$230)</f>
        <v>ITIL® 4 Strategist: Direct, Plan and Improve</v>
      </c>
      <c r="D230" s="17"/>
      <c r="E230" s="17"/>
      <c r="F230" s="17"/>
      <c r="G230" s="82"/>
      <c r="H230" s="37" t="s">
        <v>51</v>
      </c>
      <c r="I230" s="44" t="s">
        <v>285</v>
      </c>
      <c r="J230" s="109" t="str">
        <f>HYPERLINK(Hoofddocument!$H$230,Hoofddocument!$G$230)</f>
        <v>ITIL® 4 Strategist: Direct, Plan and Improve</v>
      </c>
      <c r="K230" s="129" t="str">
        <f t="shared" si="12"/>
        <v/>
      </c>
      <c r="L230" s="129" t="str">
        <f t="shared" si="10"/>
        <v/>
      </c>
      <c r="M230" s="129" t="str">
        <f t="shared" si="11"/>
        <v/>
      </c>
    </row>
    <row r="231" spans="1:13" ht="18" customHeight="1" thickBot="1" x14ac:dyDescent="0.2">
      <c r="A231" s="43" t="s">
        <v>51</v>
      </c>
      <c r="B231" s="44" t="s">
        <v>285</v>
      </c>
      <c r="C231" s="109" t="str">
        <f>HYPERLINK(Hoofddocument!$H$231,Hoofddocument!$G$231)</f>
        <v>ASL® Foundation</v>
      </c>
      <c r="D231" s="17"/>
      <c r="E231" s="17"/>
      <c r="F231" s="17"/>
      <c r="G231" s="82"/>
      <c r="H231" s="43" t="s">
        <v>51</v>
      </c>
      <c r="I231" s="44" t="s">
        <v>285</v>
      </c>
      <c r="J231" s="109" t="str">
        <f>HYPERLINK(Hoofddocument!$H$231,Hoofddocument!$G$231)</f>
        <v>ASL® Foundation</v>
      </c>
      <c r="K231" s="129" t="str">
        <f t="shared" si="12"/>
        <v/>
      </c>
      <c r="L231" s="17" t="str">
        <f t="shared" si="10"/>
        <v/>
      </c>
      <c r="M231" s="129" t="str">
        <f t="shared" si="11"/>
        <v/>
      </c>
    </row>
    <row r="232" spans="1:13" ht="18" customHeight="1" thickBot="1" x14ac:dyDescent="0.2">
      <c r="A232" s="43" t="s">
        <v>51</v>
      </c>
      <c r="B232" s="44" t="s">
        <v>285</v>
      </c>
      <c r="C232" s="109" t="str">
        <f>HYPERLINK(Hoofddocument!$H$232,Hoofddocument!$G$232)</f>
        <v>HBO Module Integrale procesbeheersing</v>
      </c>
      <c r="D232" s="17"/>
      <c r="E232" s="17"/>
      <c r="F232" s="17"/>
      <c r="G232" s="82"/>
      <c r="H232" s="43" t="s">
        <v>51</v>
      </c>
      <c r="I232" s="44" t="s">
        <v>285</v>
      </c>
      <c r="J232" s="109" t="str">
        <f>HYPERLINK(Hoofddocument!$H$232,Hoofddocument!$G$232)</f>
        <v>HBO Module Integrale procesbeheersing</v>
      </c>
      <c r="K232" s="129" t="str">
        <f t="shared" si="12"/>
        <v/>
      </c>
      <c r="L232" s="129" t="str">
        <f t="shared" si="10"/>
        <v/>
      </c>
      <c r="M232" s="129" t="str">
        <f t="shared" si="11"/>
        <v/>
      </c>
    </row>
    <row r="233" spans="1:13" ht="18" customHeight="1" thickBot="1" x14ac:dyDescent="0.2">
      <c r="A233" s="43" t="s">
        <v>51</v>
      </c>
      <c r="B233" s="44" t="s">
        <v>732</v>
      </c>
      <c r="C233" s="38" t="s">
        <v>976</v>
      </c>
      <c r="D233" s="17"/>
      <c r="E233" s="17"/>
      <c r="F233" s="17"/>
      <c r="G233" s="82"/>
      <c r="H233" s="43" t="s">
        <v>51</v>
      </c>
      <c r="I233" s="44" t="s">
        <v>732</v>
      </c>
      <c r="J233" s="38" t="s">
        <v>976</v>
      </c>
      <c r="K233" s="129" t="str">
        <f t="shared" si="12"/>
        <v/>
      </c>
      <c r="L233" s="129" t="str">
        <f t="shared" si="10"/>
        <v/>
      </c>
      <c r="M233" s="129" t="str">
        <f t="shared" si="11"/>
        <v/>
      </c>
    </row>
    <row r="234" spans="1:13" ht="18" customHeight="1" thickBot="1" x14ac:dyDescent="0.2">
      <c r="A234" s="43" t="s">
        <v>51</v>
      </c>
      <c r="B234" s="44" t="s">
        <v>400</v>
      </c>
      <c r="C234" s="109" t="str">
        <f>HYPERLINK(Hoofddocument!$H$234,Hoofddocument!$G$234)</f>
        <v>IPMA D PM</v>
      </c>
      <c r="D234" s="17"/>
      <c r="E234" s="17"/>
      <c r="F234" s="17"/>
      <c r="G234" s="82"/>
      <c r="H234" s="43" t="s">
        <v>51</v>
      </c>
      <c r="I234" s="44" t="s">
        <v>400</v>
      </c>
      <c r="J234" s="109" t="str">
        <f>HYPERLINK(Hoofddocument!$H$234,Hoofddocument!$G$234)</f>
        <v>IPMA D PM</v>
      </c>
      <c r="K234" s="129" t="str">
        <f t="shared" si="12"/>
        <v/>
      </c>
      <c r="L234" s="129" t="str">
        <f t="shared" si="10"/>
        <v/>
      </c>
      <c r="M234" s="129" t="str">
        <f t="shared" si="11"/>
        <v/>
      </c>
    </row>
    <row r="235" spans="1:13" ht="18" customHeight="1" thickBot="1" x14ac:dyDescent="0.2">
      <c r="A235" s="43" t="s">
        <v>51</v>
      </c>
      <c r="B235" s="44" t="s">
        <v>124</v>
      </c>
      <c r="C235" s="109" t="str">
        <f>HYPERLINK(Hoofddocument!$H$235,Hoofddocument!$G$235)</f>
        <v>Cloud Fundamentals</v>
      </c>
      <c r="D235" s="17"/>
      <c r="E235" s="17"/>
      <c r="F235" s="17"/>
      <c r="G235" s="82"/>
      <c r="H235" s="43" t="s">
        <v>51</v>
      </c>
      <c r="I235" s="44" t="s">
        <v>124</v>
      </c>
      <c r="J235" s="109" t="str">
        <f>HYPERLINK(Hoofddocument!$H$235,Hoofddocument!$G$235)</f>
        <v>Cloud Fundamentals</v>
      </c>
      <c r="K235" s="129" t="str">
        <f t="shared" si="12"/>
        <v/>
      </c>
      <c r="L235" s="129" t="str">
        <f t="shared" si="10"/>
        <v/>
      </c>
      <c r="M235" s="129" t="str">
        <f t="shared" si="11"/>
        <v/>
      </c>
    </row>
    <row r="236" spans="1:13" ht="18" customHeight="1" thickBot="1" x14ac:dyDescent="0.2">
      <c r="A236" s="44" t="s">
        <v>51</v>
      </c>
      <c r="B236" s="44" t="s">
        <v>286</v>
      </c>
      <c r="C236" s="109" t="str">
        <f>HYPERLINK(Hoofddocument!$H$236,Hoofddocument!$G$236)</f>
        <v>Containers &amp; Kubernetes</v>
      </c>
      <c r="D236" s="17"/>
      <c r="E236" s="17"/>
      <c r="F236" s="17"/>
      <c r="G236" s="82"/>
      <c r="H236" s="44" t="s">
        <v>51</v>
      </c>
      <c r="I236" s="44" t="s">
        <v>286</v>
      </c>
      <c r="J236" s="109" t="str">
        <f>HYPERLINK(Hoofddocument!$H$236,Hoofddocument!$G$236)</f>
        <v>Containers &amp; Kubernetes</v>
      </c>
      <c r="K236" s="17" t="str">
        <f t="shared" si="12"/>
        <v/>
      </c>
      <c r="L236" s="129" t="str">
        <f t="shared" si="10"/>
        <v/>
      </c>
      <c r="M236" s="129" t="str">
        <f t="shared" si="11"/>
        <v/>
      </c>
    </row>
    <row r="237" spans="1:13" ht="18" customHeight="1" thickBot="1" x14ac:dyDescent="0.2">
      <c r="A237" s="37" t="s">
        <v>51</v>
      </c>
      <c r="B237" s="38" t="s">
        <v>406</v>
      </c>
      <c r="C237" s="109" t="str">
        <f>HYPERLINK(Hoofddocument!$H$237,Hoofddocument!$G$237)</f>
        <v>Big Data Strategy and Analytics</v>
      </c>
      <c r="D237" s="17"/>
      <c r="E237" s="17"/>
      <c r="F237" s="17"/>
      <c r="G237" s="82"/>
      <c r="H237" s="37" t="s">
        <v>51</v>
      </c>
      <c r="I237" s="38" t="s">
        <v>406</v>
      </c>
      <c r="J237" s="109" t="str">
        <f>HYPERLINK(Hoofddocument!$H$237,Hoofddocument!$G$237)</f>
        <v>Big Data Strategy and Analytics</v>
      </c>
      <c r="K237" s="129" t="str">
        <f t="shared" si="12"/>
        <v/>
      </c>
      <c r="L237" s="129" t="str">
        <f t="shared" si="10"/>
        <v/>
      </c>
      <c r="M237" s="129" t="str">
        <f t="shared" si="11"/>
        <v/>
      </c>
    </row>
    <row r="238" spans="1:13" ht="18" customHeight="1" thickBot="1" x14ac:dyDescent="0.2">
      <c r="A238" s="37" t="s">
        <v>51</v>
      </c>
      <c r="B238" s="38" t="s">
        <v>838</v>
      </c>
      <c r="C238" s="109" t="str">
        <f>HYPERLINK(Hoofddocument!$H$238,Hoofddocument!$G$238)</f>
        <v>Data gedreven werken</v>
      </c>
      <c r="D238" s="17"/>
      <c r="E238" s="17"/>
      <c r="F238" s="17"/>
      <c r="G238" s="82"/>
      <c r="H238" s="37" t="s">
        <v>51</v>
      </c>
      <c r="I238" s="38" t="s">
        <v>838</v>
      </c>
      <c r="J238" s="109" t="str">
        <f>HYPERLINK(Hoofddocument!$H$238,Hoofddocument!$G$238)</f>
        <v>Data gedreven werken</v>
      </c>
      <c r="K238" s="129" t="str">
        <f t="shared" si="12"/>
        <v/>
      </c>
      <c r="L238" s="129" t="str">
        <f t="shared" si="10"/>
        <v/>
      </c>
      <c r="M238" s="129" t="str">
        <f t="shared" si="11"/>
        <v/>
      </c>
    </row>
    <row r="239" spans="1:13" ht="18" customHeight="1" thickBot="1" x14ac:dyDescent="0.2">
      <c r="A239" s="37" t="s">
        <v>51</v>
      </c>
      <c r="B239" s="38" t="s">
        <v>401</v>
      </c>
      <c r="C239" s="109" t="str">
        <f>HYPERLINK(Hoofddocument!$H$239,Hoofddocument!$G$239)</f>
        <v>Microsoft Security, Compliance and Identity</v>
      </c>
      <c r="D239" s="17"/>
      <c r="E239" s="17"/>
      <c r="F239" s="17"/>
      <c r="G239" s="82"/>
      <c r="H239" s="37" t="s">
        <v>51</v>
      </c>
      <c r="I239" s="38" t="s">
        <v>401</v>
      </c>
      <c r="J239" s="109" t="str">
        <f>HYPERLINK(Hoofddocument!$H$239,Hoofddocument!$G$239)</f>
        <v>Microsoft Security, Compliance and Identity</v>
      </c>
      <c r="K239" s="129" t="str">
        <f t="shared" si="12"/>
        <v/>
      </c>
      <c r="L239" s="129" t="str">
        <f t="shared" si="10"/>
        <v/>
      </c>
      <c r="M239" s="129" t="str">
        <f t="shared" si="11"/>
        <v/>
      </c>
    </row>
    <row r="240" spans="1:13" ht="18" customHeight="1" thickBot="1" x14ac:dyDescent="0.2">
      <c r="A240" s="37" t="s">
        <v>51</v>
      </c>
      <c r="B240" s="38" t="s">
        <v>129</v>
      </c>
      <c r="C240" s="109" t="str">
        <f>HYPERLINK(Hoofddocument!$H$240,Hoofddocument!$G$240)</f>
        <v>Curriculum CIO Adviseur (Overheid masterclass)</v>
      </c>
      <c r="D240" s="17"/>
      <c r="E240" s="17"/>
      <c r="F240" s="17"/>
      <c r="G240" s="82"/>
      <c r="H240" s="37" t="s">
        <v>51</v>
      </c>
      <c r="I240" s="38" t="s">
        <v>129</v>
      </c>
      <c r="J240" s="109" t="str">
        <f>HYPERLINK(Hoofddocument!$H$240,Hoofddocument!$G$240)</f>
        <v>Curriculum CIO Adviseur (Overheid masterclass)</v>
      </c>
      <c r="K240" s="129" t="str">
        <f t="shared" si="12"/>
        <v/>
      </c>
      <c r="L240" s="129" t="str">
        <f t="shared" si="10"/>
        <v/>
      </c>
      <c r="M240" s="129" t="str">
        <f t="shared" si="11"/>
        <v/>
      </c>
    </row>
    <row r="241" spans="1:13" ht="18" customHeight="1" thickBot="1" x14ac:dyDescent="0.2">
      <c r="A241" s="37" t="s">
        <v>51</v>
      </c>
      <c r="B241" s="38" t="s">
        <v>129</v>
      </c>
      <c r="C241" s="109" t="str">
        <f>HYPERLINK(Hoofddocument!$H$241,Hoofddocument!$G$241)</f>
        <v>COBIT 2019 Foundation</v>
      </c>
      <c r="D241" s="17"/>
      <c r="E241" s="17"/>
      <c r="F241" s="17"/>
      <c r="G241" s="82"/>
      <c r="H241" s="37" t="s">
        <v>51</v>
      </c>
      <c r="I241" s="38" t="s">
        <v>129</v>
      </c>
      <c r="J241" s="109" t="str">
        <f>HYPERLINK(Hoofddocument!$H$241,Hoofddocument!$G$241)</f>
        <v>COBIT 2019 Foundation</v>
      </c>
      <c r="K241" s="129" t="str">
        <f t="shared" si="12"/>
        <v/>
      </c>
      <c r="L241" s="129" t="str">
        <f t="shared" si="10"/>
        <v/>
      </c>
      <c r="M241" s="129" t="str">
        <f t="shared" si="11"/>
        <v/>
      </c>
    </row>
    <row r="242" spans="1:13" ht="18" customHeight="1" thickBot="1" x14ac:dyDescent="0.2">
      <c r="A242" s="37" t="s">
        <v>51</v>
      </c>
      <c r="B242" s="38" t="s">
        <v>144</v>
      </c>
      <c r="C242" s="109" t="str">
        <f>HYPERLINK(Hoofddocument!$H$242,Hoofddocument!$G$242)</f>
        <v>Six Sigma voor Lean Green Belts</v>
      </c>
      <c r="D242" s="17"/>
      <c r="E242" s="17"/>
      <c r="F242" s="17"/>
      <c r="G242" s="82"/>
      <c r="H242" s="37" t="s">
        <v>51</v>
      </c>
      <c r="I242" s="38" t="s">
        <v>144</v>
      </c>
      <c r="J242" s="109" t="str">
        <f>HYPERLINK(Hoofddocument!$H$242,Hoofddocument!$G$242)</f>
        <v>Six Sigma voor Lean Green Belts</v>
      </c>
      <c r="K242" s="129" t="str">
        <f t="shared" si="12"/>
        <v/>
      </c>
      <c r="L242" s="129" t="str">
        <f t="shared" si="10"/>
        <v/>
      </c>
      <c r="M242" s="129" t="str">
        <f t="shared" si="11"/>
        <v/>
      </c>
    </row>
    <row r="243" spans="1:13" ht="18" customHeight="1" thickBot="1" x14ac:dyDescent="0.2">
      <c r="A243" s="37" t="s">
        <v>51</v>
      </c>
      <c r="B243" s="38" t="s">
        <v>289</v>
      </c>
      <c r="C243" s="109" t="str">
        <f>HYPERLINK(Hoofddocument!$H$243,Hoofddocument!$G$243)</f>
        <v>Microsoft Office 365 Fundamentals</v>
      </c>
      <c r="D243" s="17"/>
      <c r="E243" s="17"/>
      <c r="F243" s="17"/>
      <c r="G243" s="82"/>
      <c r="H243" s="37" t="s">
        <v>51</v>
      </c>
      <c r="I243" s="38" t="s">
        <v>289</v>
      </c>
      <c r="J243" s="109" t="str">
        <f>HYPERLINK(Hoofddocument!$H$243,Hoofddocument!$G$243)</f>
        <v>Microsoft Office 365 Fundamentals</v>
      </c>
      <c r="K243" s="129" t="str">
        <f t="shared" si="12"/>
        <v/>
      </c>
      <c r="L243" s="129" t="str">
        <f t="shared" si="10"/>
        <v/>
      </c>
      <c r="M243" s="129" t="str">
        <f t="shared" si="11"/>
        <v/>
      </c>
    </row>
    <row r="244" spans="1:13" ht="18" customHeight="1" thickBot="1" x14ac:dyDescent="0.2">
      <c r="A244" s="37" t="s">
        <v>51</v>
      </c>
      <c r="B244" s="38" t="s">
        <v>289</v>
      </c>
      <c r="C244" s="109" t="str">
        <f>HYPERLINK(Hoofddocument!$H$244,Hoofddocument!$G$244)</f>
        <v>Microsoft Azure Fundamentals (AZ-900)</v>
      </c>
      <c r="D244" s="17"/>
      <c r="E244" s="17"/>
      <c r="F244" s="17"/>
      <c r="G244" s="82"/>
      <c r="H244" s="37" t="s">
        <v>51</v>
      </c>
      <c r="I244" s="38" t="s">
        <v>289</v>
      </c>
      <c r="J244" s="109" t="str">
        <f>HYPERLINK(Hoofddocument!$H$244,Hoofddocument!$G$244)</f>
        <v>Microsoft Azure Fundamentals (AZ-900)</v>
      </c>
      <c r="K244" s="129" t="str">
        <f t="shared" si="12"/>
        <v/>
      </c>
      <c r="L244" s="129" t="str">
        <f t="shared" si="10"/>
        <v/>
      </c>
      <c r="M244" s="129" t="str">
        <f t="shared" si="11"/>
        <v/>
      </c>
    </row>
    <row r="245" spans="1:13" ht="18" customHeight="1" thickBot="1" x14ac:dyDescent="0.2">
      <c r="A245" s="37" t="s">
        <v>51</v>
      </c>
      <c r="B245" s="38" t="s">
        <v>289</v>
      </c>
      <c r="C245" s="109" t="str">
        <f>HYPERLINK(Hoofddocument!$H$245,Hoofddocument!$G$245)</f>
        <v>Microsoft Office 365 Administration and Troubleshooting</v>
      </c>
      <c r="D245" s="17"/>
      <c r="E245" s="17"/>
      <c r="F245" s="17"/>
      <c r="G245" s="82"/>
      <c r="H245" s="37" t="s">
        <v>51</v>
      </c>
      <c r="I245" s="38" t="s">
        <v>289</v>
      </c>
      <c r="J245" s="109" t="str">
        <f>HYPERLINK(Hoofddocument!$H$245,Hoofddocument!$G$245)</f>
        <v>Microsoft Office 365 Administration and Troubleshooting</v>
      </c>
      <c r="K245" s="129" t="str">
        <f t="shared" si="12"/>
        <v/>
      </c>
      <c r="L245" s="129" t="str">
        <f t="shared" si="10"/>
        <v/>
      </c>
      <c r="M245" s="129" t="str">
        <f t="shared" si="11"/>
        <v/>
      </c>
    </row>
    <row r="246" spans="1:13" ht="18" customHeight="1" thickBot="1" x14ac:dyDescent="0.2">
      <c r="A246" s="37" t="s">
        <v>51</v>
      </c>
      <c r="B246" s="38" t="s">
        <v>289</v>
      </c>
      <c r="C246" s="109" t="str">
        <f>HYPERLINK(Hoofddocument!$H$246,Hoofddocument!$G$246)</f>
        <v>Automating Administration with Powershel (AZ-040)</v>
      </c>
      <c r="D246" s="17"/>
      <c r="E246" s="17"/>
      <c r="F246" s="17"/>
      <c r="G246" s="82"/>
      <c r="H246" s="37" t="s">
        <v>51</v>
      </c>
      <c r="I246" s="38" t="s">
        <v>289</v>
      </c>
      <c r="J246" s="109" t="str">
        <f>HYPERLINK(Hoofddocument!$H$246,Hoofddocument!$G$246)</f>
        <v>Automating Administration with Powershel (AZ-040)</v>
      </c>
      <c r="K246" s="129" t="str">
        <f t="shared" si="12"/>
        <v/>
      </c>
      <c r="L246" s="129" t="str">
        <f t="shared" si="10"/>
        <v/>
      </c>
      <c r="M246" s="129" t="str">
        <f t="shared" si="11"/>
        <v/>
      </c>
    </row>
    <row r="247" spans="1:13" ht="18" customHeight="1" thickBot="1" x14ac:dyDescent="0.2">
      <c r="A247" s="37" t="s">
        <v>51</v>
      </c>
      <c r="B247" s="38" t="s">
        <v>289</v>
      </c>
      <c r="C247" s="109" t="str">
        <f>HYPERLINK(Hoofddocument!$H$247,Hoofddocument!$G$247)</f>
        <v>Windows 10 (MD-100)</v>
      </c>
      <c r="D247" s="17"/>
      <c r="E247" s="17"/>
      <c r="F247" s="17"/>
      <c r="G247" s="82"/>
      <c r="H247" s="37" t="s">
        <v>51</v>
      </c>
      <c r="I247" s="38" t="s">
        <v>289</v>
      </c>
      <c r="J247" s="109" t="str">
        <f>HYPERLINK(Hoofddocument!$H$247,Hoofddocument!$G$247)</f>
        <v>Windows 10 (MD-100)</v>
      </c>
      <c r="K247" s="129" t="str">
        <f t="shared" si="12"/>
        <v/>
      </c>
      <c r="L247" s="129" t="str">
        <f t="shared" si="10"/>
        <v/>
      </c>
      <c r="M247" s="129" t="str">
        <f t="shared" si="11"/>
        <v/>
      </c>
    </row>
    <row r="248" spans="1:13" ht="18" customHeight="1" thickBot="1" x14ac:dyDescent="0.2">
      <c r="A248" s="37" t="s">
        <v>51</v>
      </c>
      <c r="B248" s="38" t="s">
        <v>289</v>
      </c>
      <c r="C248" s="109" t="str">
        <f>HYPERLINK(Hoofddocument!$H$248,Hoofddocument!$G$248)</f>
        <v>Windows Powershell (AZ-040)</v>
      </c>
      <c r="D248" s="17"/>
      <c r="E248" s="17"/>
      <c r="F248" s="17"/>
      <c r="G248" s="82"/>
      <c r="H248" s="37" t="s">
        <v>51</v>
      </c>
      <c r="I248" s="38" t="s">
        <v>289</v>
      </c>
      <c r="J248" s="109" t="str">
        <f>HYPERLINK(Hoofddocument!$H$248,Hoofddocument!$G$248)</f>
        <v>Windows Powershell (AZ-040)</v>
      </c>
      <c r="K248" s="129" t="str">
        <f t="shared" si="12"/>
        <v/>
      </c>
      <c r="L248" s="129" t="str">
        <f t="shared" si="10"/>
        <v/>
      </c>
      <c r="M248" s="129" t="str">
        <f t="shared" si="11"/>
        <v/>
      </c>
    </row>
    <row r="249" spans="1:13" ht="18" customHeight="1" thickBot="1" x14ac:dyDescent="0.2">
      <c r="A249" s="37" t="s">
        <v>51</v>
      </c>
      <c r="B249" s="38" t="s">
        <v>289</v>
      </c>
      <c r="C249" s="38" t="s">
        <v>405</v>
      </c>
      <c r="D249" s="17"/>
      <c r="E249" s="17"/>
      <c r="F249" s="17"/>
      <c r="G249" s="82"/>
      <c r="H249" s="37" t="s">
        <v>51</v>
      </c>
      <c r="I249" s="38" t="s">
        <v>289</v>
      </c>
      <c r="J249" s="38" t="s">
        <v>405</v>
      </c>
      <c r="K249" s="129" t="str">
        <f t="shared" si="12"/>
        <v/>
      </c>
      <c r="L249" s="129" t="str">
        <f t="shared" si="10"/>
        <v/>
      </c>
      <c r="M249" s="129" t="str">
        <f t="shared" si="11"/>
        <v/>
      </c>
    </row>
    <row r="250" spans="1:13" ht="18" customHeight="1" thickBot="1" x14ac:dyDescent="0.2">
      <c r="A250" s="37" t="s">
        <v>51</v>
      </c>
      <c r="B250" s="38" t="s">
        <v>289</v>
      </c>
      <c r="C250" s="109" t="str">
        <f>HYPERLINK(Hoofddocument!$H$250,Hoofddocument!$G$250)</f>
        <v>Excel Basis</v>
      </c>
      <c r="D250" s="17"/>
      <c r="E250" s="17"/>
      <c r="F250" s="17"/>
      <c r="G250" s="82"/>
      <c r="H250" s="37" t="s">
        <v>51</v>
      </c>
      <c r="I250" s="38" t="s">
        <v>289</v>
      </c>
      <c r="J250" s="109" t="str">
        <f>HYPERLINK(Hoofddocument!$H$250,Hoofddocument!$G$250)</f>
        <v>Excel Basis</v>
      </c>
      <c r="K250" s="129" t="str">
        <f t="shared" si="12"/>
        <v/>
      </c>
      <c r="L250" s="129" t="str">
        <f t="shared" si="10"/>
        <v/>
      </c>
      <c r="M250" s="129" t="str">
        <f t="shared" si="11"/>
        <v/>
      </c>
    </row>
    <row r="251" spans="1:13" ht="18" customHeight="1" thickBot="1" x14ac:dyDescent="0.2">
      <c r="A251" s="37" t="s">
        <v>51</v>
      </c>
      <c r="B251" s="38" t="s">
        <v>733</v>
      </c>
      <c r="C251" s="109" t="str">
        <f>HYPERLINK(Hoofddocument!$H$251,Hoofddocument!$G$251)</f>
        <v>MBO Microsoft Officevaardigheden</v>
      </c>
      <c r="D251" s="17"/>
      <c r="E251" s="17"/>
      <c r="F251" s="17"/>
      <c r="G251" s="82"/>
      <c r="H251" s="37" t="s">
        <v>51</v>
      </c>
      <c r="I251" s="38" t="s">
        <v>733</v>
      </c>
      <c r="J251" s="109" t="str">
        <f>HYPERLINK(Hoofddocument!$H$251,Hoofddocument!$G$251)</f>
        <v>MBO Microsoft Officevaardigheden</v>
      </c>
      <c r="K251" s="129" t="str">
        <f t="shared" si="12"/>
        <v/>
      </c>
      <c r="L251" s="129" t="str">
        <f t="shared" si="10"/>
        <v/>
      </c>
      <c r="M251" s="129" t="str">
        <f t="shared" si="11"/>
        <v/>
      </c>
    </row>
    <row r="252" spans="1:13" ht="18" customHeight="1" thickBot="1" x14ac:dyDescent="0.2">
      <c r="A252" s="37" t="s">
        <v>51</v>
      </c>
      <c r="B252" s="38" t="s">
        <v>411</v>
      </c>
      <c r="C252" s="109" t="str">
        <f>HYPERLINK(Hoofddocument!$H$252,Hoofddocument!$G$252)</f>
        <v>BCS Modelling Business Processes</v>
      </c>
      <c r="D252" s="17"/>
      <c r="E252" s="17"/>
      <c r="F252" s="17"/>
      <c r="G252" s="82"/>
      <c r="H252" s="37" t="s">
        <v>51</v>
      </c>
      <c r="I252" s="38" t="s">
        <v>411</v>
      </c>
      <c r="J252" s="109" t="str">
        <f>HYPERLINK(Hoofddocument!$H$252,Hoofddocument!$G$252)</f>
        <v>BCS Modelling Business Processes</v>
      </c>
      <c r="K252" s="129" t="str">
        <f t="shared" si="12"/>
        <v/>
      </c>
      <c r="L252" s="129" t="str">
        <f t="shared" si="10"/>
        <v/>
      </c>
      <c r="M252" s="129" t="str">
        <f t="shared" si="11"/>
        <v/>
      </c>
    </row>
    <row r="253" spans="1:13" ht="18" customHeight="1" thickBot="1" x14ac:dyDescent="0.2">
      <c r="A253" s="37" t="s">
        <v>734</v>
      </c>
      <c r="B253" s="38" t="s">
        <v>735</v>
      </c>
      <c r="C253" s="38" t="s">
        <v>837</v>
      </c>
      <c r="D253" s="17"/>
      <c r="E253" s="17"/>
      <c r="F253" s="17"/>
      <c r="G253" s="82"/>
      <c r="H253" s="37" t="s">
        <v>734</v>
      </c>
      <c r="I253" s="38" t="s">
        <v>735</v>
      </c>
      <c r="J253" s="38" t="s">
        <v>837</v>
      </c>
      <c r="K253" s="129" t="str">
        <f t="shared" si="12"/>
        <v/>
      </c>
      <c r="L253" s="129" t="str">
        <f t="shared" si="10"/>
        <v/>
      </c>
      <c r="M253" s="129" t="str">
        <f t="shared" si="11"/>
        <v/>
      </c>
    </row>
    <row r="254" spans="1:13" ht="18" customHeight="1" thickBot="1" x14ac:dyDescent="0.2">
      <c r="A254" s="37" t="s">
        <v>66</v>
      </c>
      <c r="B254" s="38" t="s">
        <v>416</v>
      </c>
      <c r="C254" s="109" t="str">
        <f>HYPERLINK(Hoofddocument!$H$254,Hoofddocument!$G$254)</f>
        <v>Vakopleiding Functioneel Beheer</v>
      </c>
      <c r="D254" s="17"/>
      <c r="E254" s="17"/>
      <c r="F254" s="17"/>
      <c r="G254" s="82"/>
      <c r="H254" s="37" t="s">
        <v>66</v>
      </c>
      <c r="I254" s="38" t="s">
        <v>416</v>
      </c>
      <c r="J254" s="109" t="str">
        <f>HYPERLINK(Hoofddocument!$H$254,Hoofddocument!$G$254)</f>
        <v>Vakopleiding Functioneel Beheer</v>
      </c>
      <c r="K254" s="129" t="str">
        <f t="shared" si="12"/>
        <v/>
      </c>
      <c r="L254" s="129" t="str">
        <f t="shared" si="10"/>
        <v/>
      </c>
      <c r="M254" s="129" t="str">
        <f t="shared" si="11"/>
        <v/>
      </c>
    </row>
    <row r="255" spans="1:13" ht="18" customHeight="1" thickBot="1" x14ac:dyDescent="0.2">
      <c r="A255" s="37" t="s">
        <v>53</v>
      </c>
      <c r="B255" s="38" t="s">
        <v>728</v>
      </c>
      <c r="C255" s="109" t="str">
        <f>HYPERLINK(Hoofddocument!$H$255,Hoofddocument!$G$255)</f>
        <v>Contractmanagement CATS CM Foundation</v>
      </c>
      <c r="D255" s="17"/>
      <c r="E255" s="17"/>
      <c r="F255" s="17"/>
      <c r="G255" s="82"/>
      <c r="H255" s="37" t="s">
        <v>53</v>
      </c>
      <c r="I255" s="38" t="s">
        <v>728</v>
      </c>
      <c r="J255" s="109" t="str">
        <f>HYPERLINK(Hoofddocument!$H$255,Hoofddocument!$G$255)</f>
        <v>Contractmanagement CATS CM Foundation</v>
      </c>
      <c r="K255" s="129" t="str">
        <f t="shared" si="12"/>
        <v/>
      </c>
      <c r="L255" s="129" t="str">
        <f t="shared" si="10"/>
        <v/>
      </c>
      <c r="M255" s="129" t="str">
        <f t="shared" si="11"/>
        <v/>
      </c>
    </row>
    <row r="256" spans="1:13" ht="18" customHeight="1" thickBot="1" x14ac:dyDescent="0.2">
      <c r="A256" s="37" t="s">
        <v>53</v>
      </c>
      <c r="B256" s="38" t="s">
        <v>728</v>
      </c>
      <c r="C256" s="109" t="str">
        <f>HYPERLINK(Hoofddocument!$H$256,Hoofddocument!$G$256)</f>
        <v>Contractmanagement CATS CM Practitioner</v>
      </c>
      <c r="D256" s="17"/>
      <c r="E256" s="17"/>
      <c r="F256" s="17"/>
      <c r="G256" s="82"/>
      <c r="H256" s="37" t="s">
        <v>53</v>
      </c>
      <c r="I256" s="38" t="s">
        <v>728</v>
      </c>
      <c r="J256" s="109" t="str">
        <f>HYPERLINK(Hoofddocument!$H$256,Hoofddocument!$G$256)</f>
        <v>Contractmanagement CATS CM Practitioner</v>
      </c>
      <c r="K256" s="129" t="str">
        <f t="shared" si="12"/>
        <v/>
      </c>
      <c r="L256" s="129" t="str">
        <f t="shared" si="10"/>
        <v/>
      </c>
      <c r="M256" s="129" t="str">
        <f t="shared" si="11"/>
        <v/>
      </c>
    </row>
    <row r="257" spans="1:13" ht="18" customHeight="1" thickBot="1" x14ac:dyDescent="0.2">
      <c r="A257" s="37" t="s">
        <v>53</v>
      </c>
      <c r="B257" s="38" t="s">
        <v>728</v>
      </c>
      <c r="C257" s="109" t="str">
        <f>HYPERLINK(Hoofddocument!$H$257,Hoofddocument!$G$257)</f>
        <v>Contractmanagement CATS CM Expert</v>
      </c>
      <c r="D257" s="17"/>
      <c r="E257" s="17"/>
      <c r="F257" s="17"/>
      <c r="G257" s="82"/>
      <c r="H257" s="37" t="s">
        <v>53</v>
      </c>
      <c r="I257" s="38" t="s">
        <v>728</v>
      </c>
      <c r="J257" s="109" t="str">
        <f>HYPERLINK(Hoofddocument!$H$257,Hoofddocument!$G$257)</f>
        <v>Contractmanagement CATS CM Expert</v>
      </c>
      <c r="K257" s="129" t="str">
        <f t="shared" si="12"/>
        <v/>
      </c>
      <c r="L257" s="129" t="str">
        <f t="shared" si="10"/>
        <v/>
      </c>
      <c r="M257" s="129" t="str">
        <f t="shared" si="11"/>
        <v/>
      </c>
    </row>
    <row r="258" spans="1:13" ht="18" customHeight="1" thickBot="1" x14ac:dyDescent="0.2">
      <c r="A258" s="37" t="s">
        <v>53</v>
      </c>
      <c r="B258" s="38" t="s">
        <v>728</v>
      </c>
      <c r="C258" s="109" t="str">
        <f>HYPERLINK(Hoofddocument!$H$258,Hoofddocument!$G$258)</f>
        <v>Inkoop- en Contractmanagement binnen de Publieke Sector</v>
      </c>
      <c r="D258" s="17"/>
      <c r="E258" s="17"/>
      <c r="F258" s="17"/>
      <c r="G258" s="82"/>
      <c r="H258" s="37" t="s">
        <v>53</v>
      </c>
      <c r="I258" s="38" t="s">
        <v>728</v>
      </c>
      <c r="J258" s="109" t="str">
        <f>HYPERLINK(Hoofddocument!$H$258,Hoofddocument!$G$258)</f>
        <v>Inkoop- en Contractmanagement binnen de Publieke Sector</v>
      </c>
      <c r="K258" s="129" t="str">
        <f t="shared" si="12"/>
        <v/>
      </c>
      <c r="L258" s="129" t="str">
        <f t="shared" ref="L258:L321" si="13">IF(OR(AND(Niveau2="Basis",E258="B"),AND(Niveau2="Verdiepend",E258="V"),AND(Niveau2="Toon Alles",NOT(ISBLANK(E258)))),$U$2,"")</f>
        <v/>
      </c>
      <c r="M258" s="129" t="str">
        <f t="shared" ref="M258:M321" si="14">IF(OR(AND(Niveau3="Basis",F258="B"),AND(Niveau3="Verdiepend",F258="V"),AND(Niveau3="Toon Alles",NOT(ISBLANK(F258)))),$U$2,"")</f>
        <v/>
      </c>
    </row>
    <row r="259" spans="1:13" ht="18" customHeight="1" thickBot="1" x14ac:dyDescent="0.2">
      <c r="A259" s="37" t="s">
        <v>53</v>
      </c>
      <c r="B259" s="38" t="s">
        <v>438</v>
      </c>
      <c r="C259" s="109" t="str">
        <f>HYPERLINK(Hoofddocument!$H$259,Hoofddocument!$G$259)</f>
        <v>Module Financiering PDB</v>
      </c>
      <c r="D259" s="17"/>
      <c r="E259" s="17"/>
      <c r="F259" s="17"/>
      <c r="G259" s="82"/>
      <c r="H259" s="37" t="s">
        <v>53</v>
      </c>
      <c r="I259" s="38" t="s">
        <v>438</v>
      </c>
      <c r="J259" s="109" t="str">
        <f>HYPERLINK(Hoofddocument!$H$259,Hoofddocument!$G$259)</f>
        <v>Module Financiering PDB</v>
      </c>
      <c r="K259" s="129" t="str">
        <f t="shared" ref="K259:K322" si="15">IF(OR(AND(Niveau1="Basis",D259="B"),AND(Niveau1="Verdiepend",D259="V"),AND(Niveau1="Toon Alles",NOT(ISBLANK(D259)))),$U$2,"")</f>
        <v/>
      </c>
      <c r="L259" s="129" t="str">
        <f t="shared" si="13"/>
        <v/>
      </c>
      <c r="M259" s="129" t="str">
        <f t="shared" si="14"/>
        <v/>
      </c>
    </row>
    <row r="260" spans="1:13" ht="18" customHeight="1" thickBot="1" x14ac:dyDescent="0.2">
      <c r="A260" s="37" t="s">
        <v>53</v>
      </c>
      <c r="B260" s="38" t="s">
        <v>463</v>
      </c>
      <c r="C260" s="109" t="str">
        <f>HYPERLINK(Hoofddocument!$H$260,Hoofddocument!$G$260)</f>
        <v>IPMA B en C</v>
      </c>
      <c r="D260" s="17"/>
      <c r="E260" s="17"/>
      <c r="F260" s="17"/>
      <c r="G260" s="82"/>
      <c r="H260" s="37" t="s">
        <v>53</v>
      </c>
      <c r="I260" s="38" t="s">
        <v>463</v>
      </c>
      <c r="J260" s="109" t="str">
        <f>HYPERLINK(Hoofddocument!$H$260,Hoofddocument!$G$260)</f>
        <v>IPMA B en C</v>
      </c>
      <c r="K260" s="129" t="str">
        <f t="shared" si="15"/>
        <v/>
      </c>
      <c r="L260" s="129" t="str">
        <f t="shared" si="13"/>
        <v/>
      </c>
      <c r="M260" s="129" t="str">
        <f t="shared" si="14"/>
        <v/>
      </c>
    </row>
    <row r="261" spans="1:13" ht="18" customHeight="1" thickBot="1" x14ac:dyDescent="0.2">
      <c r="A261" s="37" t="s">
        <v>53</v>
      </c>
      <c r="B261" s="38" t="s">
        <v>465</v>
      </c>
      <c r="C261" s="109" t="str">
        <f>HYPERLINK(Hoofddocument!$H$261,Hoofddocument!$G$261)</f>
        <v>IPMA C Project Management</v>
      </c>
      <c r="D261" s="17"/>
      <c r="E261" s="17"/>
      <c r="F261" s="17"/>
      <c r="G261" s="82"/>
      <c r="H261" s="37" t="s">
        <v>53</v>
      </c>
      <c r="I261" s="38" t="s">
        <v>465</v>
      </c>
      <c r="J261" s="109" t="str">
        <f>HYPERLINK(Hoofddocument!$H$261,Hoofddocument!$G$261)</f>
        <v>IPMA C Project Management</v>
      </c>
      <c r="K261" s="129" t="str">
        <f t="shared" si="15"/>
        <v/>
      </c>
      <c r="L261" s="125" t="str">
        <f t="shared" si="13"/>
        <v/>
      </c>
      <c r="M261" s="129" t="str">
        <f t="shared" si="14"/>
        <v/>
      </c>
    </row>
    <row r="262" spans="1:13" ht="18" customHeight="1" thickBot="1" x14ac:dyDescent="0.2">
      <c r="A262" s="37" t="s">
        <v>53</v>
      </c>
      <c r="B262" s="38" t="s">
        <v>468</v>
      </c>
      <c r="C262" s="109" t="str">
        <f>HYPERLINK(Hoofddocument!$H$262,Hoofddocument!$G$262)</f>
        <v>IPMA D PM</v>
      </c>
      <c r="D262" s="17"/>
      <c r="E262" s="17"/>
      <c r="F262" s="17"/>
      <c r="G262" s="82"/>
      <c r="H262" s="37" t="s">
        <v>53</v>
      </c>
      <c r="I262" s="38" t="s">
        <v>468</v>
      </c>
      <c r="J262" s="109" t="str">
        <f>HYPERLINK(Hoofddocument!$H$262,Hoofddocument!$G$262)</f>
        <v>IPMA D PM</v>
      </c>
      <c r="K262" s="129" t="str">
        <f t="shared" si="15"/>
        <v/>
      </c>
      <c r="L262" s="17" t="str">
        <f t="shared" si="13"/>
        <v/>
      </c>
      <c r="M262" s="129" t="str">
        <f t="shared" si="14"/>
        <v/>
      </c>
    </row>
    <row r="263" spans="1:13" ht="18" customHeight="1" thickBot="1" x14ac:dyDescent="0.2">
      <c r="A263" s="37" t="s">
        <v>53</v>
      </c>
      <c r="B263" s="38" t="s">
        <v>419</v>
      </c>
      <c r="C263" s="109" t="str">
        <f>HYPERLINK(Hoofddocument!$H$263,Hoofddocument!$G$263)</f>
        <v>Leergang Netwerk- en Ketenregie in de Publieke Sector</v>
      </c>
      <c r="D263" s="17"/>
      <c r="E263" s="17"/>
      <c r="F263" s="17"/>
      <c r="G263" s="82"/>
      <c r="H263" s="37" t="s">
        <v>53</v>
      </c>
      <c r="I263" s="38" t="s">
        <v>419</v>
      </c>
      <c r="J263" s="109" t="str">
        <f>HYPERLINK(Hoofddocument!$H$263,Hoofddocument!$G$263)</f>
        <v>Leergang Netwerk- en Ketenregie in de Publieke Sector</v>
      </c>
      <c r="K263" s="129" t="str">
        <f t="shared" si="15"/>
        <v/>
      </c>
      <c r="L263" s="129" t="str">
        <f t="shared" si="13"/>
        <v/>
      </c>
      <c r="M263" s="129" t="str">
        <f t="shared" si="14"/>
        <v/>
      </c>
    </row>
    <row r="264" spans="1:13" ht="18" customHeight="1" thickBot="1" x14ac:dyDescent="0.2">
      <c r="A264" s="37" t="s">
        <v>53</v>
      </c>
      <c r="B264" s="38" t="s">
        <v>470</v>
      </c>
      <c r="C264" s="38" t="s">
        <v>433</v>
      </c>
      <c r="D264" s="17"/>
      <c r="E264" s="17"/>
      <c r="F264" s="17"/>
      <c r="G264" s="82"/>
      <c r="H264" s="37" t="s">
        <v>53</v>
      </c>
      <c r="I264" s="38" t="s">
        <v>470</v>
      </c>
      <c r="J264" s="38" t="s">
        <v>433</v>
      </c>
      <c r="K264" s="129" t="str">
        <f t="shared" si="15"/>
        <v/>
      </c>
      <c r="L264" s="129" t="str">
        <f t="shared" si="13"/>
        <v/>
      </c>
      <c r="M264" s="129" t="str">
        <f t="shared" si="14"/>
        <v/>
      </c>
    </row>
    <row r="265" spans="1:13" ht="18" customHeight="1" thickBot="1" x14ac:dyDescent="0.2">
      <c r="A265" s="37" t="s">
        <v>53</v>
      </c>
      <c r="B265" s="38" t="s">
        <v>222</v>
      </c>
      <c r="C265" s="109" t="str">
        <f>HYPERLINK(Hoofddocument!$H$265,Hoofddocument!$G$265)</f>
        <v>PRINCE2 Agile® Foundation</v>
      </c>
      <c r="D265" s="17"/>
      <c r="E265" s="17"/>
      <c r="F265" s="17"/>
      <c r="G265" s="82"/>
      <c r="H265" s="37" t="s">
        <v>53</v>
      </c>
      <c r="I265" s="38" t="s">
        <v>222</v>
      </c>
      <c r="J265" s="109" t="str">
        <f>HYPERLINK(Hoofddocument!$H$265,Hoofddocument!$G$265)</f>
        <v>PRINCE2 Agile® Foundation</v>
      </c>
      <c r="K265" s="129" t="str">
        <f t="shared" si="15"/>
        <v/>
      </c>
      <c r="L265" s="17" t="str">
        <f t="shared" si="13"/>
        <v/>
      </c>
      <c r="M265" s="129" t="str">
        <f t="shared" si="14"/>
        <v/>
      </c>
    </row>
    <row r="266" spans="1:13" ht="18" customHeight="1" thickBot="1" x14ac:dyDescent="0.2">
      <c r="A266" s="37" t="s">
        <v>53</v>
      </c>
      <c r="B266" s="38" t="s">
        <v>383</v>
      </c>
      <c r="C266" s="109" t="str">
        <f>HYPERLINK(Hoofddocument!$H$266,Hoofddocument!$G$266)</f>
        <v>PRINCE2 Agile® Practitioner</v>
      </c>
      <c r="D266" s="17"/>
      <c r="E266" s="17"/>
      <c r="F266" s="17"/>
      <c r="G266" s="82"/>
      <c r="H266" s="37" t="s">
        <v>53</v>
      </c>
      <c r="I266" s="38" t="s">
        <v>383</v>
      </c>
      <c r="J266" s="109" t="str">
        <f>HYPERLINK(Hoofddocument!$H$266,Hoofddocument!$G$266)</f>
        <v>PRINCE2 Agile® Practitioner</v>
      </c>
      <c r="K266" s="129" t="str">
        <f t="shared" si="15"/>
        <v/>
      </c>
      <c r="L266" s="129" t="str">
        <f t="shared" si="13"/>
        <v/>
      </c>
      <c r="M266" s="129" t="str">
        <f t="shared" si="14"/>
        <v/>
      </c>
    </row>
    <row r="267" spans="1:13" ht="18" customHeight="1" thickBot="1" x14ac:dyDescent="0.2">
      <c r="A267" s="37" t="s">
        <v>53</v>
      </c>
      <c r="B267" s="38" t="s">
        <v>295</v>
      </c>
      <c r="C267" s="109" t="str">
        <f>HYPERLINK(Hoofddocument!$H$267,Hoofddocument!$G$267)</f>
        <v>PRINCE2® Foundation</v>
      </c>
      <c r="D267" s="17"/>
      <c r="E267" s="17"/>
      <c r="F267" s="17"/>
      <c r="G267" s="82"/>
      <c r="H267" s="37" t="s">
        <v>53</v>
      </c>
      <c r="I267" s="38" t="s">
        <v>295</v>
      </c>
      <c r="J267" s="109" t="str">
        <f>HYPERLINK(Hoofddocument!$H$267,Hoofddocument!$G$267)</f>
        <v>PRINCE2® Foundation</v>
      </c>
      <c r="K267" s="129" t="str">
        <f t="shared" si="15"/>
        <v/>
      </c>
      <c r="L267" s="17" t="str">
        <f t="shared" si="13"/>
        <v/>
      </c>
      <c r="M267" s="129" t="str">
        <f t="shared" si="14"/>
        <v/>
      </c>
    </row>
    <row r="268" spans="1:13" ht="18" customHeight="1" thickBot="1" x14ac:dyDescent="0.2">
      <c r="A268" s="37" t="s">
        <v>53</v>
      </c>
      <c r="B268" s="38" t="s">
        <v>439</v>
      </c>
      <c r="C268" s="109" t="str">
        <f>HYPERLINK(Hoofddocument!$H$268,Hoofddocument!$G$268)</f>
        <v>PRINCE2® Practitioner</v>
      </c>
      <c r="D268" s="17"/>
      <c r="E268" s="17"/>
      <c r="F268" s="17"/>
      <c r="G268" s="82"/>
      <c r="H268" s="37" t="s">
        <v>53</v>
      </c>
      <c r="I268" s="38" t="s">
        <v>439</v>
      </c>
      <c r="J268" s="109" t="str">
        <f>HYPERLINK(Hoofddocument!$H$268,Hoofddocument!$G$268)</f>
        <v>PRINCE2® Practitioner</v>
      </c>
      <c r="K268" s="129" t="str">
        <f t="shared" si="15"/>
        <v/>
      </c>
      <c r="L268" s="125" t="str">
        <f t="shared" si="13"/>
        <v/>
      </c>
      <c r="M268" s="129" t="str">
        <f t="shared" si="14"/>
        <v/>
      </c>
    </row>
    <row r="269" spans="1:13" ht="18" customHeight="1" thickBot="1" x14ac:dyDescent="0.2">
      <c r="A269" s="37" t="s">
        <v>53</v>
      </c>
      <c r="B269" s="38" t="s">
        <v>498</v>
      </c>
      <c r="C269" s="109" t="str">
        <f>HYPERLINK(Hoofddocument!$H$269,Hoofddocument!$G$269)</f>
        <v>Persoonlijke Effectiviteit - Kort en intensief</v>
      </c>
      <c r="D269" s="17"/>
      <c r="E269" s="17"/>
      <c r="F269" s="17"/>
      <c r="G269" s="82"/>
      <c r="H269" s="37" t="s">
        <v>53</v>
      </c>
      <c r="I269" s="38" t="s">
        <v>498</v>
      </c>
      <c r="J269" s="109" t="str">
        <f>HYPERLINK(Hoofddocument!$H$269,Hoofddocument!$G$269)</f>
        <v>Persoonlijke Effectiviteit - Kort en intensief</v>
      </c>
      <c r="K269" s="129" t="str">
        <f t="shared" si="15"/>
        <v/>
      </c>
      <c r="L269" s="17" t="str">
        <f t="shared" si="13"/>
        <v/>
      </c>
      <c r="M269" s="129" t="str">
        <f t="shared" si="14"/>
        <v/>
      </c>
    </row>
    <row r="270" spans="1:13" ht="18" customHeight="1" thickBot="1" x14ac:dyDescent="0.2">
      <c r="A270" s="37" t="s">
        <v>53</v>
      </c>
      <c r="B270" s="38" t="s">
        <v>498</v>
      </c>
      <c r="C270" s="109" t="str">
        <f>HYPERLINK(Hoofddocument!$H$270,Hoofddocument!$G$270)</f>
        <v>Persoonlijke effectiviteit</v>
      </c>
      <c r="D270" s="17"/>
      <c r="E270" s="17"/>
      <c r="F270" s="17"/>
      <c r="G270" s="82"/>
      <c r="H270" s="37" t="s">
        <v>53</v>
      </c>
      <c r="I270" s="38" t="s">
        <v>498</v>
      </c>
      <c r="J270" s="109" t="str">
        <f>HYPERLINK(Hoofddocument!$H$270,Hoofddocument!$G$270)</f>
        <v>Persoonlijke effectiviteit</v>
      </c>
      <c r="K270" s="129" t="str">
        <f t="shared" si="15"/>
        <v/>
      </c>
      <c r="L270" s="129" t="str">
        <f t="shared" si="13"/>
        <v/>
      </c>
      <c r="M270" s="129" t="str">
        <f t="shared" si="14"/>
        <v/>
      </c>
    </row>
    <row r="271" spans="1:13" ht="18" customHeight="1" thickBot="1" x14ac:dyDescent="0.2">
      <c r="A271" s="37" t="s">
        <v>53</v>
      </c>
      <c r="B271" s="38" t="s">
        <v>498</v>
      </c>
      <c r="C271" s="109" t="str">
        <f>HYPERLINK(Hoofddocument!$H$271,Hoofddocument!$G$271)</f>
        <v>Projectmatig Werken binnen de Overheid</v>
      </c>
      <c r="D271" s="17"/>
      <c r="E271" s="17"/>
      <c r="F271" s="17"/>
      <c r="G271" s="82"/>
      <c r="H271" s="37" t="s">
        <v>53</v>
      </c>
      <c r="I271" s="38" t="s">
        <v>498</v>
      </c>
      <c r="J271" s="109" t="str">
        <f>HYPERLINK(Hoofddocument!$H$271,Hoofddocument!$G$271)</f>
        <v>Projectmatig Werken binnen de Overheid</v>
      </c>
      <c r="K271" s="129" t="str">
        <f t="shared" si="15"/>
        <v/>
      </c>
      <c r="L271" s="129" t="str">
        <f t="shared" si="13"/>
        <v/>
      </c>
      <c r="M271" s="129" t="str">
        <f t="shared" si="14"/>
        <v/>
      </c>
    </row>
    <row r="272" spans="1:13" ht="18" customHeight="1" thickBot="1" x14ac:dyDescent="0.2">
      <c r="A272" s="37" t="s">
        <v>53</v>
      </c>
      <c r="B272" s="38" t="s">
        <v>437</v>
      </c>
      <c r="C272" s="109" t="str">
        <f>HYPERLINK(Hoofddocument!$H$272,Hoofddocument!$G$272)</f>
        <v>Managing Successful Programmes (MSP®) Foundation</v>
      </c>
      <c r="D272" s="17"/>
      <c r="E272" s="17"/>
      <c r="F272" s="17"/>
      <c r="G272" s="82"/>
      <c r="H272" s="37" t="s">
        <v>53</v>
      </c>
      <c r="I272" s="38" t="s">
        <v>437</v>
      </c>
      <c r="J272" s="109" t="str">
        <f>HYPERLINK(Hoofddocument!$H$272,Hoofddocument!$G$272)</f>
        <v>Managing Successful Programmes (MSP®) Foundation</v>
      </c>
      <c r="K272" s="129" t="str">
        <f t="shared" si="15"/>
        <v/>
      </c>
      <c r="L272" s="129" t="str">
        <f t="shared" si="13"/>
        <v/>
      </c>
      <c r="M272" s="129" t="str">
        <f t="shared" si="14"/>
        <v/>
      </c>
    </row>
    <row r="273" spans="1:13" ht="18" customHeight="1" thickBot="1" x14ac:dyDescent="0.2">
      <c r="A273" s="37" t="s">
        <v>53</v>
      </c>
      <c r="B273" s="38" t="s">
        <v>437</v>
      </c>
      <c r="C273" s="109" t="str">
        <f>HYPERLINK(Hoofddocument!$H$273,Hoofddocument!$G$273)</f>
        <v>Managing Successful Programmes (MSP®) Practitioner</v>
      </c>
      <c r="D273" s="17"/>
      <c r="E273" s="17"/>
      <c r="F273" s="17"/>
      <c r="G273" s="82"/>
      <c r="H273" s="37" t="s">
        <v>53</v>
      </c>
      <c r="I273" s="38" t="s">
        <v>437</v>
      </c>
      <c r="J273" s="109" t="str">
        <f>HYPERLINK(Hoofddocument!$H$273,Hoofddocument!$G$273)</f>
        <v>Managing Successful Programmes (MSP®) Practitioner</v>
      </c>
      <c r="K273" s="129" t="str">
        <f t="shared" si="15"/>
        <v/>
      </c>
      <c r="L273" s="129" t="str">
        <f t="shared" si="13"/>
        <v/>
      </c>
      <c r="M273" s="129" t="str">
        <f t="shared" si="14"/>
        <v/>
      </c>
    </row>
    <row r="274" spans="1:13" ht="18" customHeight="1" thickBot="1" x14ac:dyDescent="0.2">
      <c r="A274" s="37" t="s">
        <v>53</v>
      </c>
      <c r="B274" s="38" t="s">
        <v>53</v>
      </c>
      <c r="C274" s="109" t="str">
        <f>HYPERLINK(Hoofddocument!$H$274,Hoofddocument!$G$274)</f>
        <v xml:space="preserve">Werken met Business Case </v>
      </c>
      <c r="D274" s="17"/>
      <c r="E274" s="17"/>
      <c r="F274" s="17"/>
      <c r="G274" s="82"/>
      <c r="H274" s="37" t="s">
        <v>53</v>
      </c>
      <c r="I274" s="38" t="s">
        <v>53</v>
      </c>
      <c r="J274" s="109" t="str">
        <f>HYPERLINK(Hoofddocument!$H$274,Hoofddocument!$G$274)</f>
        <v xml:space="preserve">Werken met Business Case </v>
      </c>
      <c r="K274" s="129" t="str">
        <f t="shared" si="15"/>
        <v/>
      </c>
      <c r="L274" s="129" t="str">
        <f t="shared" si="13"/>
        <v/>
      </c>
      <c r="M274" s="129" t="str">
        <f t="shared" si="14"/>
        <v/>
      </c>
    </row>
    <row r="275" spans="1:13" ht="18" customHeight="1" thickBot="1" x14ac:dyDescent="0.2">
      <c r="A275" s="37" t="s">
        <v>53</v>
      </c>
      <c r="B275" s="38" t="s">
        <v>471</v>
      </c>
      <c r="C275" s="38" t="s">
        <v>979</v>
      </c>
      <c r="D275" s="17"/>
      <c r="E275" s="17"/>
      <c r="F275" s="17"/>
      <c r="G275" s="82"/>
      <c r="H275" s="37" t="s">
        <v>53</v>
      </c>
      <c r="I275" s="38" t="s">
        <v>471</v>
      </c>
      <c r="J275" s="38" t="s">
        <v>979</v>
      </c>
      <c r="K275" s="129" t="str">
        <f t="shared" si="15"/>
        <v/>
      </c>
      <c r="L275" s="129" t="str">
        <f t="shared" si="13"/>
        <v/>
      </c>
      <c r="M275" s="129" t="str">
        <f t="shared" si="14"/>
        <v/>
      </c>
    </row>
    <row r="276" spans="1:13" ht="18" customHeight="1" thickBot="1" x14ac:dyDescent="0.2">
      <c r="A276" s="37" t="s">
        <v>53</v>
      </c>
      <c r="B276" s="38" t="s">
        <v>224</v>
      </c>
      <c r="C276" s="109" t="str">
        <f>HYPERLINK(Hoofddocument!$H$276,Hoofddocument!$G$276)</f>
        <v>ITIL® 4 Specialist: Drive Stakeholder Value</v>
      </c>
      <c r="D276" s="17"/>
      <c r="E276" s="17"/>
      <c r="F276" s="17"/>
      <c r="G276" s="82"/>
      <c r="H276" s="37" t="s">
        <v>53</v>
      </c>
      <c r="I276" s="38" t="s">
        <v>224</v>
      </c>
      <c r="J276" s="109" t="str">
        <f>HYPERLINK(Hoofddocument!$H$276,Hoofddocument!$G$276)</f>
        <v>ITIL® 4 Specialist: Drive Stakeholder Value</v>
      </c>
      <c r="K276" s="129" t="str">
        <f t="shared" si="15"/>
        <v/>
      </c>
      <c r="L276" s="129" t="str">
        <f t="shared" si="13"/>
        <v/>
      </c>
      <c r="M276" s="129" t="str">
        <f t="shared" si="14"/>
        <v/>
      </c>
    </row>
    <row r="277" spans="1:13" ht="18" customHeight="1" thickBot="1" x14ac:dyDescent="0.2">
      <c r="A277" s="37" t="s">
        <v>53</v>
      </c>
      <c r="B277" s="38" t="s">
        <v>224</v>
      </c>
      <c r="C277" s="109" t="str">
        <f>HYPERLINK(Hoofddocument!$H$277,Hoofddocument!$G$277)</f>
        <v>Stakeholdermanagement</v>
      </c>
      <c r="D277" s="17"/>
      <c r="E277" s="17"/>
      <c r="F277" s="17"/>
      <c r="G277" s="82"/>
      <c r="H277" s="37" t="s">
        <v>53</v>
      </c>
      <c r="I277" s="38" t="s">
        <v>224</v>
      </c>
      <c r="J277" s="109" t="str">
        <f>HYPERLINK(Hoofddocument!$H$277,Hoofddocument!$G$277)</f>
        <v>Stakeholdermanagement</v>
      </c>
      <c r="K277" s="129" t="str">
        <f t="shared" si="15"/>
        <v/>
      </c>
      <c r="L277" s="125" t="str">
        <f t="shared" si="13"/>
        <v/>
      </c>
      <c r="M277" s="129" t="str">
        <f t="shared" si="14"/>
        <v/>
      </c>
    </row>
    <row r="278" spans="1:13" ht="18" customHeight="1" thickBot="1" x14ac:dyDescent="0.2">
      <c r="A278" s="37" t="s">
        <v>53</v>
      </c>
      <c r="B278" s="38" t="s">
        <v>224</v>
      </c>
      <c r="C278" s="109" t="str">
        <f>HYPERLINK(Hoofddocument!$H$278,Hoofddocument!$G$278)</f>
        <v>Effectief Regie Voeren</v>
      </c>
      <c r="D278" s="17"/>
      <c r="E278" s="17"/>
      <c r="F278" s="17"/>
      <c r="G278" s="82"/>
      <c r="H278" s="37" t="s">
        <v>53</v>
      </c>
      <c r="I278" s="38" t="s">
        <v>224</v>
      </c>
      <c r="J278" s="109" t="str">
        <f>HYPERLINK(Hoofddocument!$H$278,Hoofddocument!$G$278)</f>
        <v>Effectief Regie Voeren</v>
      </c>
      <c r="K278" s="129" t="str">
        <f t="shared" si="15"/>
        <v/>
      </c>
      <c r="L278" s="129" t="str">
        <f t="shared" si="13"/>
        <v/>
      </c>
      <c r="M278" s="129" t="str">
        <f t="shared" si="14"/>
        <v/>
      </c>
    </row>
    <row r="279" spans="1:13" ht="18" customHeight="1" thickBot="1" x14ac:dyDescent="0.2">
      <c r="A279" s="37" t="s">
        <v>53</v>
      </c>
      <c r="B279" s="38" t="s">
        <v>241</v>
      </c>
      <c r="C279" s="109" t="str">
        <f>HYPERLINK(Hoofddocument!$H$279,Hoofddocument!$G$279)</f>
        <v>Timemanagement Training</v>
      </c>
      <c r="D279" s="17"/>
      <c r="E279" s="17"/>
      <c r="F279" s="17"/>
      <c r="G279" s="82"/>
      <c r="H279" s="37" t="s">
        <v>53</v>
      </c>
      <c r="I279" s="38" t="s">
        <v>241</v>
      </c>
      <c r="J279" s="109" t="str">
        <f>HYPERLINK(Hoofddocument!$H$279,Hoofddocument!$G$279)</f>
        <v>Timemanagement Training</v>
      </c>
      <c r="K279" s="129" t="str">
        <f t="shared" si="15"/>
        <v/>
      </c>
      <c r="L279" s="129" t="str">
        <f t="shared" si="13"/>
        <v/>
      </c>
      <c r="M279" s="129" t="str">
        <f t="shared" si="14"/>
        <v/>
      </c>
    </row>
    <row r="280" spans="1:13" ht="18" customHeight="1" thickBot="1" x14ac:dyDescent="0.2">
      <c r="A280" s="37" t="s">
        <v>60</v>
      </c>
      <c r="B280" s="38" t="s">
        <v>495</v>
      </c>
      <c r="C280" s="109" t="str">
        <f>HYPERLINK(Hoofddocument!$H$280,Hoofddocument!$G$280)</f>
        <v>Cursus Change management Foundation</v>
      </c>
      <c r="D280" s="17"/>
      <c r="E280" s="17"/>
      <c r="F280" s="17"/>
      <c r="G280" s="82"/>
      <c r="H280" s="37" t="s">
        <v>60</v>
      </c>
      <c r="I280" s="38" t="s">
        <v>495</v>
      </c>
      <c r="J280" s="109" t="str">
        <f>HYPERLINK(Hoofddocument!$H$280,Hoofddocument!$G$280)</f>
        <v>Cursus Change management Foundation</v>
      </c>
      <c r="K280" s="129" t="str">
        <f t="shared" si="15"/>
        <v/>
      </c>
      <c r="L280" s="129" t="str">
        <f t="shared" si="13"/>
        <v/>
      </c>
      <c r="M280" s="129" t="str">
        <f t="shared" si="14"/>
        <v/>
      </c>
    </row>
    <row r="281" spans="1:13" ht="18" customHeight="1" thickBot="1" x14ac:dyDescent="0.2">
      <c r="A281" s="37" t="s">
        <v>736</v>
      </c>
      <c r="B281" s="44" t="s">
        <v>737</v>
      </c>
      <c r="C281" s="38" t="s">
        <v>737</v>
      </c>
      <c r="D281" s="17"/>
      <c r="E281" s="17"/>
      <c r="F281" s="17"/>
      <c r="G281" s="82"/>
      <c r="H281" s="37" t="s">
        <v>736</v>
      </c>
      <c r="I281" s="44" t="s">
        <v>737</v>
      </c>
      <c r="J281" s="38" t="s">
        <v>737</v>
      </c>
      <c r="K281" s="129" t="str">
        <f t="shared" si="15"/>
        <v/>
      </c>
      <c r="L281" s="129" t="str">
        <f t="shared" si="13"/>
        <v/>
      </c>
      <c r="M281" s="129" t="str">
        <f t="shared" si="14"/>
        <v/>
      </c>
    </row>
    <row r="282" spans="1:13" ht="18" customHeight="1" thickBot="1" x14ac:dyDescent="0.2">
      <c r="A282" s="37" t="s">
        <v>736</v>
      </c>
      <c r="B282" s="44" t="s">
        <v>738</v>
      </c>
      <c r="C282" s="38" t="s">
        <v>845</v>
      </c>
      <c r="D282" s="17"/>
      <c r="E282" s="17"/>
      <c r="F282" s="17"/>
      <c r="G282" s="82"/>
      <c r="H282" s="37" t="s">
        <v>736</v>
      </c>
      <c r="I282" s="44" t="s">
        <v>738</v>
      </c>
      <c r="J282" s="38" t="s">
        <v>845</v>
      </c>
      <c r="K282" s="129" t="str">
        <f t="shared" si="15"/>
        <v/>
      </c>
      <c r="L282" s="129" t="str">
        <f t="shared" si="13"/>
        <v/>
      </c>
      <c r="M282" s="129" t="str">
        <f t="shared" si="14"/>
        <v/>
      </c>
    </row>
    <row r="283" spans="1:13" ht="18" customHeight="1" thickBot="1" x14ac:dyDescent="0.2">
      <c r="A283" s="37" t="s">
        <v>736</v>
      </c>
      <c r="B283" s="38" t="s">
        <v>739</v>
      </c>
      <c r="C283" s="38" t="s">
        <v>846</v>
      </c>
      <c r="D283" s="17"/>
      <c r="E283" s="17"/>
      <c r="F283" s="17"/>
      <c r="G283" s="82"/>
      <c r="H283" s="37" t="s">
        <v>736</v>
      </c>
      <c r="I283" s="38" t="s">
        <v>739</v>
      </c>
      <c r="J283" s="38" t="s">
        <v>846</v>
      </c>
      <c r="K283" s="129" t="str">
        <f t="shared" si="15"/>
        <v/>
      </c>
      <c r="L283" s="129" t="str">
        <f t="shared" si="13"/>
        <v/>
      </c>
      <c r="M283" s="129" t="str">
        <f t="shared" si="14"/>
        <v/>
      </c>
    </row>
    <row r="284" spans="1:13" ht="18" customHeight="1" thickBot="1" x14ac:dyDescent="0.2">
      <c r="A284" s="37" t="s">
        <v>736</v>
      </c>
      <c r="B284" s="38" t="s">
        <v>740</v>
      </c>
      <c r="C284" s="38" t="s">
        <v>847</v>
      </c>
      <c r="D284" s="17"/>
      <c r="E284" s="17"/>
      <c r="F284" s="17"/>
      <c r="G284" s="82"/>
      <c r="H284" s="37" t="s">
        <v>736</v>
      </c>
      <c r="I284" s="38" t="s">
        <v>740</v>
      </c>
      <c r="J284" s="38" t="s">
        <v>847</v>
      </c>
      <c r="K284" s="129" t="str">
        <f t="shared" si="15"/>
        <v/>
      </c>
      <c r="L284" s="129" t="str">
        <f t="shared" si="13"/>
        <v/>
      </c>
      <c r="M284" s="129" t="str">
        <f t="shared" si="14"/>
        <v/>
      </c>
    </row>
    <row r="285" spans="1:13" ht="18" customHeight="1" thickBot="1" x14ac:dyDescent="0.2">
      <c r="A285" s="37" t="s">
        <v>736</v>
      </c>
      <c r="B285" s="38" t="s">
        <v>741</v>
      </c>
      <c r="C285" s="38" t="s">
        <v>741</v>
      </c>
      <c r="D285" s="17"/>
      <c r="E285" s="17"/>
      <c r="F285" s="17"/>
      <c r="G285" s="82"/>
      <c r="H285" s="37" t="s">
        <v>736</v>
      </c>
      <c r="I285" s="38" t="s">
        <v>741</v>
      </c>
      <c r="J285" s="38" t="s">
        <v>741</v>
      </c>
      <c r="K285" s="129" t="str">
        <f t="shared" si="15"/>
        <v/>
      </c>
      <c r="L285" s="129" t="str">
        <f t="shared" si="13"/>
        <v/>
      </c>
      <c r="M285" s="129" t="str">
        <f t="shared" si="14"/>
        <v/>
      </c>
    </row>
    <row r="286" spans="1:13" ht="18" customHeight="1" thickBot="1" x14ac:dyDescent="0.2">
      <c r="A286" s="37" t="s">
        <v>61</v>
      </c>
      <c r="B286" s="38" t="s">
        <v>742</v>
      </c>
      <c r="C286" s="38" t="s">
        <v>742</v>
      </c>
      <c r="D286" s="17"/>
      <c r="E286" s="17"/>
      <c r="F286" s="17"/>
      <c r="G286" s="82"/>
      <c r="H286" s="37" t="s">
        <v>61</v>
      </c>
      <c r="I286" s="38" t="s">
        <v>742</v>
      </c>
      <c r="J286" s="38" t="s">
        <v>742</v>
      </c>
      <c r="K286" s="129" t="str">
        <f t="shared" si="15"/>
        <v/>
      </c>
      <c r="L286" s="129" t="str">
        <f t="shared" si="13"/>
        <v/>
      </c>
      <c r="M286" s="129" t="str">
        <f t="shared" si="14"/>
        <v/>
      </c>
    </row>
    <row r="287" spans="1:13" ht="18" customHeight="1" thickBot="1" x14ac:dyDescent="0.2">
      <c r="A287" s="37" t="s">
        <v>61</v>
      </c>
      <c r="B287" s="38" t="s">
        <v>285</v>
      </c>
      <c r="C287" s="109" t="str">
        <f>HYPERLINK(Hoofddocument!$H$287,Hoofddocument!$G$287)</f>
        <v>ITIL® 4 Specialist: High-Velocity IT Training</v>
      </c>
      <c r="D287" s="17"/>
      <c r="E287" s="17"/>
      <c r="F287" s="17"/>
      <c r="G287" s="82"/>
      <c r="H287" s="37" t="s">
        <v>61</v>
      </c>
      <c r="I287" s="38" t="s">
        <v>285</v>
      </c>
      <c r="J287" s="109" t="str">
        <f>HYPERLINK(Hoofddocument!$H$287,Hoofddocument!$G$287)</f>
        <v>ITIL® 4 Specialist: High-Velocity IT Training</v>
      </c>
      <c r="K287" s="129" t="str">
        <f t="shared" si="15"/>
        <v/>
      </c>
      <c r="L287" s="129" t="str">
        <f t="shared" si="13"/>
        <v/>
      </c>
      <c r="M287" s="129" t="str">
        <f t="shared" si="14"/>
        <v/>
      </c>
    </row>
    <row r="288" spans="1:13" ht="18" customHeight="1" thickBot="1" x14ac:dyDescent="0.2">
      <c r="A288" s="37" t="s">
        <v>61</v>
      </c>
      <c r="B288" s="38" t="s">
        <v>285</v>
      </c>
      <c r="C288" s="109" t="str">
        <f>HYPERLINK(Hoofddocument!$H$288,Hoofddocument!$G$288)</f>
        <v>ITIL® 4 Specialist: Create, Deliver, and Support CDS Course</v>
      </c>
      <c r="D288" s="17"/>
      <c r="E288" s="17"/>
      <c r="F288" s="17"/>
      <c r="G288" s="82"/>
      <c r="H288" s="37" t="s">
        <v>61</v>
      </c>
      <c r="I288" s="38" t="s">
        <v>285</v>
      </c>
      <c r="J288" s="109" t="str">
        <f>HYPERLINK(Hoofddocument!$H$288,Hoofddocument!$G$288)</f>
        <v>ITIL® 4 Specialist: Create, Deliver, and Support CDS Course</v>
      </c>
      <c r="K288" s="129" t="str">
        <f t="shared" si="15"/>
        <v/>
      </c>
      <c r="L288" s="129" t="str">
        <f t="shared" si="13"/>
        <v/>
      </c>
      <c r="M288" s="129" t="str">
        <f t="shared" si="14"/>
        <v/>
      </c>
    </row>
    <row r="289" spans="1:13" ht="18" customHeight="1" thickBot="1" x14ac:dyDescent="0.2">
      <c r="A289" s="37" t="s">
        <v>61</v>
      </c>
      <c r="B289" s="38" t="s">
        <v>285</v>
      </c>
      <c r="C289" s="109" t="str">
        <f>HYPERLINK(Hoofddocument!$H$289,Hoofddocument!$G$289)</f>
        <v>HBO Module Procesmanagement</v>
      </c>
      <c r="D289" s="17"/>
      <c r="E289" s="17"/>
      <c r="F289" s="17"/>
      <c r="G289" s="82"/>
      <c r="H289" s="37" t="s">
        <v>61</v>
      </c>
      <c r="I289" s="38" t="s">
        <v>285</v>
      </c>
      <c r="J289" s="109" t="str">
        <f>HYPERLINK(Hoofddocument!$H$289,Hoofddocument!$G$289)</f>
        <v>HBO Module Procesmanagement</v>
      </c>
      <c r="K289" s="129" t="str">
        <f t="shared" si="15"/>
        <v/>
      </c>
      <c r="L289" s="129" t="str">
        <f t="shared" si="13"/>
        <v/>
      </c>
      <c r="M289" s="129" t="str">
        <f t="shared" si="14"/>
        <v/>
      </c>
    </row>
    <row r="290" spans="1:13" ht="18" customHeight="1" thickBot="1" x14ac:dyDescent="0.2">
      <c r="A290" s="37" t="s">
        <v>61</v>
      </c>
      <c r="B290" s="38" t="s">
        <v>743</v>
      </c>
      <c r="C290" s="38" t="s">
        <v>849</v>
      </c>
      <c r="D290" s="17"/>
      <c r="E290" s="17"/>
      <c r="F290" s="17"/>
      <c r="G290" s="82"/>
      <c r="H290" s="37" t="s">
        <v>61</v>
      </c>
      <c r="I290" s="38" t="s">
        <v>743</v>
      </c>
      <c r="J290" s="38" t="s">
        <v>849</v>
      </c>
      <c r="K290" s="129" t="str">
        <f t="shared" si="15"/>
        <v/>
      </c>
      <c r="L290" s="129" t="str">
        <f t="shared" si="13"/>
        <v/>
      </c>
      <c r="M290" s="129" t="str">
        <f t="shared" si="14"/>
        <v/>
      </c>
    </row>
    <row r="291" spans="1:13" ht="18" customHeight="1" thickBot="1" x14ac:dyDescent="0.2">
      <c r="A291" s="37" t="s">
        <v>61</v>
      </c>
      <c r="B291" s="38" t="s">
        <v>143</v>
      </c>
      <c r="C291" s="109" t="str">
        <f>HYPERLINK(Hoofddocument!$H$291,Hoofddocument!$G$291)</f>
        <v>COBIT 2019 Foundation</v>
      </c>
      <c r="D291" s="17"/>
      <c r="E291" s="17"/>
      <c r="F291" s="17"/>
      <c r="G291" s="82"/>
      <c r="H291" s="37" t="s">
        <v>61</v>
      </c>
      <c r="I291" s="38" t="s">
        <v>143</v>
      </c>
      <c r="J291" s="109" t="str">
        <f>HYPERLINK(Hoofddocument!$H$291,Hoofddocument!$G$291)</f>
        <v>COBIT 2019 Foundation</v>
      </c>
      <c r="K291" s="129" t="str">
        <f t="shared" si="15"/>
        <v/>
      </c>
      <c r="L291" s="129" t="str">
        <f t="shared" si="13"/>
        <v/>
      </c>
      <c r="M291" s="129" t="str">
        <f t="shared" si="14"/>
        <v/>
      </c>
    </row>
    <row r="292" spans="1:13" ht="18" customHeight="1" thickBot="1" x14ac:dyDescent="0.2">
      <c r="A292" s="37" t="s">
        <v>61</v>
      </c>
      <c r="B292" s="38" t="s">
        <v>62</v>
      </c>
      <c r="C292" s="109" t="str">
        <f>HYPERLINK(Hoofddocument!$H$292,Hoofddocument!$G$292)</f>
        <v>DevOps Fundamentals</v>
      </c>
      <c r="D292" s="17"/>
      <c r="E292" s="17"/>
      <c r="F292" s="17"/>
      <c r="G292" s="82"/>
      <c r="H292" s="37" t="s">
        <v>61</v>
      </c>
      <c r="I292" s="38" t="s">
        <v>62</v>
      </c>
      <c r="J292" s="109" t="str">
        <f>HYPERLINK(Hoofddocument!$H$292,Hoofddocument!$G$292)</f>
        <v>DevOps Fundamentals</v>
      </c>
      <c r="K292" s="129" t="str">
        <f t="shared" si="15"/>
        <v/>
      </c>
      <c r="L292" s="129" t="str">
        <f t="shared" si="13"/>
        <v/>
      </c>
      <c r="M292" s="129" t="str">
        <f t="shared" si="14"/>
        <v/>
      </c>
    </row>
    <row r="293" spans="1:13" ht="18" customHeight="1" thickBot="1" x14ac:dyDescent="0.2">
      <c r="A293" s="37" t="s">
        <v>61</v>
      </c>
      <c r="B293" s="38" t="s">
        <v>62</v>
      </c>
      <c r="C293" s="109" t="str">
        <f>HYPERLINK(Hoofddocument!$H$293,Hoofddocument!$G$293)</f>
        <v>DevOps Practioner Enable en Scale</v>
      </c>
      <c r="D293" s="17"/>
      <c r="E293" s="17"/>
      <c r="F293" s="17"/>
      <c r="G293" s="82"/>
      <c r="H293" s="37" t="s">
        <v>61</v>
      </c>
      <c r="I293" s="38" t="s">
        <v>62</v>
      </c>
      <c r="J293" s="109" t="str">
        <f>HYPERLINK(Hoofddocument!$H$293,Hoofddocument!$G$293)</f>
        <v>DevOps Practioner Enable en Scale</v>
      </c>
      <c r="K293" s="129" t="str">
        <f t="shared" si="15"/>
        <v/>
      </c>
      <c r="L293" s="129" t="str">
        <f t="shared" si="13"/>
        <v/>
      </c>
      <c r="M293" s="129" t="str">
        <f t="shared" si="14"/>
        <v/>
      </c>
    </row>
    <row r="294" spans="1:13" ht="18" customHeight="1" thickBot="1" x14ac:dyDescent="0.2">
      <c r="A294" s="37" t="s">
        <v>61</v>
      </c>
      <c r="B294" s="44" t="s">
        <v>237</v>
      </c>
      <c r="C294" s="109" t="str">
        <f>HYPERLINK(Hoofddocument!$H$294,Hoofddocument!$G$294)</f>
        <v>Devops Coaching</v>
      </c>
      <c r="D294" s="17"/>
      <c r="E294" s="17"/>
      <c r="F294" s="17"/>
      <c r="G294" s="82"/>
      <c r="H294" s="37" t="s">
        <v>61</v>
      </c>
      <c r="I294" s="44" t="s">
        <v>237</v>
      </c>
      <c r="J294" s="109" t="str">
        <f>HYPERLINK(Hoofddocument!$H$294,Hoofddocument!$G$294)</f>
        <v>Devops Coaching</v>
      </c>
      <c r="K294" s="129" t="str">
        <f t="shared" si="15"/>
        <v/>
      </c>
      <c r="L294" s="129" t="str">
        <f t="shared" si="13"/>
        <v/>
      </c>
      <c r="M294" s="129" t="str">
        <f t="shared" si="14"/>
        <v/>
      </c>
    </row>
    <row r="295" spans="1:13" ht="18" customHeight="1" thickBot="1" x14ac:dyDescent="0.2">
      <c r="A295" s="37" t="s">
        <v>61</v>
      </c>
      <c r="B295" s="38" t="s">
        <v>744</v>
      </c>
      <c r="C295" s="38" t="s">
        <v>850</v>
      </c>
      <c r="D295" s="17"/>
      <c r="E295" s="17"/>
      <c r="F295" s="17"/>
      <c r="G295" s="82"/>
      <c r="H295" s="37" t="s">
        <v>61</v>
      </c>
      <c r="I295" s="38" t="s">
        <v>744</v>
      </c>
      <c r="J295" s="38" t="s">
        <v>850</v>
      </c>
      <c r="K295" s="129" t="str">
        <f t="shared" si="15"/>
        <v/>
      </c>
      <c r="L295" s="129" t="str">
        <f t="shared" si="13"/>
        <v/>
      </c>
      <c r="M295" s="129" t="str">
        <f t="shared" si="14"/>
        <v/>
      </c>
    </row>
    <row r="296" spans="1:13" ht="18" customHeight="1" thickBot="1" x14ac:dyDescent="0.2">
      <c r="A296" s="37" t="s">
        <v>61</v>
      </c>
      <c r="B296" s="38" t="s">
        <v>44</v>
      </c>
      <c r="C296" s="109" t="str">
        <f>HYPERLINK(Hoofddocument!$H$296,Hoofddocument!$G$296)</f>
        <v>ITIL® 4 Foundation Bridge Training</v>
      </c>
      <c r="D296" s="17"/>
      <c r="E296" s="17"/>
      <c r="F296" s="17"/>
      <c r="G296" s="82"/>
      <c r="H296" s="37" t="s">
        <v>61</v>
      </c>
      <c r="I296" s="38" t="s">
        <v>44</v>
      </c>
      <c r="J296" s="109" t="str">
        <f>HYPERLINK(Hoofddocument!$H$296,Hoofddocument!$G$296)</f>
        <v>ITIL® 4 Foundation Bridge Training</v>
      </c>
      <c r="K296" s="129" t="str">
        <f t="shared" si="15"/>
        <v/>
      </c>
      <c r="L296" s="129" t="str">
        <f t="shared" si="13"/>
        <v/>
      </c>
      <c r="M296" s="129" t="str">
        <f t="shared" si="14"/>
        <v/>
      </c>
    </row>
    <row r="297" spans="1:13" ht="18" customHeight="1" thickBot="1" x14ac:dyDescent="0.2">
      <c r="A297" s="37" t="s">
        <v>61</v>
      </c>
      <c r="B297" s="38" t="s">
        <v>44</v>
      </c>
      <c r="C297" s="109" t="str">
        <f>HYPERLINK(Hoofddocument!$H$297,Hoofddocument!$G$297)</f>
        <v>ITIL® 4 Leader: Digital and IT Strategy DITS</v>
      </c>
      <c r="D297" s="17"/>
      <c r="E297" s="17"/>
      <c r="F297" s="17"/>
      <c r="G297" s="82"/>
      <c r="H297" s="37" t="s">
        <v>61</v>
      </c>
      <c r="I297" s="38" t="s">
        <v>44</v>
      </c>
      <c r="J297" s="109" t="str">
        <f>HYPERLINK(Hoofddocument!$H$297,Hoofddocument!$G$297)</f>
        <v>ITIL® 4 Leader: Digital and IT Strategy DITS</v>
      </c>
      <c r="K297" s="129" t="str">
        <f t="shared" si="15"/>
        <v/>
      </c>
      <c r="L297" s="129" t="str">
        <f t="shared" si="13"/>
        <v/>
      </c>
      <c r="M297" s="129" t="str">
        <f t="shared" si="14"/>
        <v/>
      </c>
    </row>
    <row r="298" spans="1:13" ht="18" customHeight="1" thickBot="1" x14ac:dyDescent="0.2">
      <c r="A298" s="37" t="s">
        <v>61</v>
      </c>
      <c r="B298" s="38" t="s">
        <v>745</v>
      </c>
      <c r="C298" s="38" t="s">
        <v>745</v>
      </c>
      <c r="D298" s="17"/>
      <c r="E298" s="17"/>
      <c r="F298" s="17"/>
      <c r="G298" s="82"/>
      <c r="H298" s="37" t="s">
        <v>61</v>
      </c>
      <c r="I298" s="38" t="s">
        <v>745</v>
      </c>
      <c r="J298" s="38" t="s">
        <v>745</v>
      </c>
      <c r="K298" s="129" t="str">
        <f t="shared" si="15"/>
        <v/>
      </c>
      <c r="L298" s="129" t="str">
        <f t="shared" si="13"/>
        <v/>
      </c>
      <c r="M298" s="129" t="str">
        <f t="shared" si="14"/>
        <v/>
      </c>
    </row>
    <row r="299" spans="1:13" ht="18" customHeight="1" thickBot="1" x14ac:dyDescent="0.2">
      <c r="A299" s="37" t="s">
        <v>61</v>
      </c>
      <c r="B299" s="38" t="s">
        <v>510</v>
      </c>
      <c r="C299" s="109" t="str">
        <f>HYPERLINK(Hoofddocument!$H$299,Hoofddocument!$G$299)</f>
        <v>Masterclass IT Services</v>
      </c>
      <c r="D299" s="17"/>
      <c r="E299" s="17"/>
      <c r="F299" s="17"/>
      <c r="G299" s="82"/>
      <c r="H299" s="37" t="s">
        <v>61</v>
      </c>
      <c r="I299" s="38" t="s">
        <v>510</v>
      </c>
      <c r="J299" s="109" t="str">
        <f>HYPERLINK(Hoofddocument!$H$299,Hoofddocument!$G$299)</f>
        <v>Masterclass IT Services</v>
      </c>
      <c r="K299" s="129" t="str">
        <f t="shared" si="15"/>
        <v/>
      </c>
      <c r="L299" s="129" t="str">
        <f t="shared" si="13"/>
        <v/>
      </c>
      <c r="M299" s="129" t="str">
        <f t="shared" si="14"/>
        <v/>
      </c>
    </row>
    <row r="300" spans="1:13" ht="18" customHeight="1" thickBot="1" x14ac:dyDescent="0.2">
      <c r="A300" s="37" t="s">
        <v>61</v>
      </c>
      <c r="B300" s="38" t="s">
        <v>61</v>
      </c>
      <c r="C300" s="109" t="str">
        <f>HYPERLINK(Hoofddocument!$H$300,Hoofddocument!$G$300)</f>
        <v>HBO Module Kwaliteits- en Servicemanagement</v>
      </c>
      <c r="D300" s="61"/>
      <c r="E300" s="61"/>
      <c r="F300" s="61"/>
      <c r="G300" s="82"/>
      <c r="H300" s="37" t="s">
        <v>61</v>
      </c>
      <c r="I300" s="38" t="s">
        <v>61</v>
      </c>
      <c r="J300" s="109" t="str">
        <f>HYPERLINK(Hoofddocument!$H$300,Hoofddocument!$G$300)</f>
        <v>HBO Module Kwaliteits- en Servicemanagement</v>
      </c>
      <c r="K300" s="129" t="str">
        <f t="shared" si="15"/>
        <v/>
      </c>
      <c r="L300" s="129" t="str">
        <f t="shared" si="13"/>
        <v/>
      </c>
      <c r="M300" s="129" t="str">
        <f t="shared" si="14"/>
        <v/>
      </c>
    </row>
    <row r="301" spans="1:13" ht="18" customHeight="1" thickBot="1" x14ac:dyDescent="0.2">
      <c r="A301" s="37" t="s">
        <v>61</v>
      </c>
      <c r="B301" s="38" t="s">
        <v>61</v>
      </c>
      <c r="C301" s="38" t="s">
        <v>851</v>
      </c>
      <c r="D301" s="17"/>
      <c r="E301" s="17"/>
      <c r="F301" s="17"/>
      <c r="G301" s="82"/>
      <c r="H301" s="37" t="s">
        <v>61</v>
      </c>
      <c r="I301" s="38" t="s">
        <v>61</v>
      </c>
      <c r="J301" s="38" t="s">
        <v>851</v>
      </c>
      <c r="K301" s="129" t="str">
        <f t="shared" si="15"/>
        <v/>
      </c>
      <c r="L301" s="129" t="str">
        <f t="shared" si="13"/>
        <v/>
      </c>
      <c r="M301" s="129" t="str">
        <f t="shared" si="14"/>
        <v/>
      </c>
    </row>
    <row r="302" spans="1:13" ht="18" customHeight="1" thickBot="1" x14ac:dyDescent="0.2">
      <c r="A302" s="37" t="s">
        <v>61</v>
      </c>
      <c r="B302" s="38" t="s">
        <v>61</v>
      </c>
      <c r="C302" s="38" t="s">
        <v>852</v>
      </c>
      <c r="D302" s="17"/>
      <c r="E302" s="17"/>
      <c r="F302" s="17"/>
      <c r="G302" s="82"/>
      <c r="H302" s="37" t="s">
        <v>61</v>
      </c>
      <c r="I302" s="38" t="s">
        <v>61</v>
      </c>
      <c r="J302" s="38" t="s">
        <v>852</v>
      </c>
      <c r="K302" s="129" t="str">
        <f t="shared" si="15"/>
        <v/>
      </c>
      <c r="L302" s="129" t="str">
        <f t="shared" si="13"/>
        <v/>
      </c>
      <c r="M302" s="129" t="str">
        <f t="shared" si="14"/>
        <v/>
      </c>
    </row>
    <row r="303" spans="1:13" ht="18" customHeight="1" thickBot="1" x14ac:dyDescent="0.2">
      <c r="A303" s="37" t="s">
        <v>61</v>
      </c>
      <c r="B303" s="38" t="s">
        <v>512</v>
      </c>
      <c r="C303" s="109" t="str">
        <f>HYPERLINK(Hoofddocument!$H$303,Hoofddocument!$G$303)</f>
        <v>Masterclass SLA ITMG (IT Management Group)</v>
      </c>
      <c r="D303" s="17"/>
      <c r="E303" s="17"/>
      <c r="F303" s="17"/>
      <c r="G303" s="82"/>
      <c r="H303" s="37" t="s">
        <v>61</v>
      </c>
      <c r="I303" s="38" t="s">
        <v>512</v>
      </c>
      <c r="J303" s="109" t="str">
        <f>HYPERLINK(Hoofddocument!$H$303,Hoofddocument!$G$303)</f>
        <v>Masterclass SLA ITMG (IT Management Group)</v>
      </c>
      <c r="K303" s="129" t="str">
        <f t="shared" si="15"/>
        <v/>
      </c>
      <c r="L303" s="129" t="str">
        <f t="shared" si="13"/>
        <v/>
      </c>
      <c r="M303" s="129" t="str">
        <f t="shared" si="14"/>
        <v/>
      </c>
    </row>
    <row r="304" spans="1:13" ht="18" customHeight="1" thickBot="1" x14ac:dyDescent="0.2">
      <c r="A304" s="37" t="s">
        <v>746</v>
      </c>
      <c r="B304" s="38" t="s">
        <v>300</v>
      </c>
      <c r="C304" s="109" t="str">
        <f>HYPERLINK(Hoofddocument!$H$304,Hoofddocument!$G$304)</f>
        <v>C# Funfamentals</v>
      </c>
      <c r="D304" s="17"/>
      <c r="E304" s="17"/>
      <c r="F304" s="17"/>
      <c r="G304" s="82"/>
      <c r="H304" s="37" t="s">
        <v>746</v>
      </c>
      <c r="I304" s="38" t="s">
        <v>300</v>
      </c>
      <c r="J304" s="109" t="str">
        <f>HYPERLINK(Hoofddocument!$H$304,Hoofddocument!$G$304)</f>
        <v>C# Funfamentals</v>
      </c>
      <c r="K304" s="17" t="str">
        <f t="shared" si="15"/>
        <v/>
      </c>
      <c r="L304" s="129" t="str">
        <f t="shared" si="13"/>
        <v/>
      </c>
      <c r="M304" s="129" t="str">
        <f t="shared" si="14"/>
        <v/>
      </c>
    </row>
    <row r="305" spans="1:13" ht="18" customHeight="1" thickBot="1" x14ac:dyDescent="0.2">
      <c r="A305" s="37" t="s">
        <v>746</v>
      </c>
      <c r="B305" s="38" t="s">
        <v>297</v>
      </c>
      <c r="C305" s="109" t="str">
        <f>HYPERLINK(Hoofddocument!$H$305,Hoofddocument!$G$305)</f>
        <v>Data Warehousing</v>
      </c>
      <c r="D305" s="17"/>
      <c r="E305" s="17"/>
      <c r="F305" s="17"/>
      <c r="G305" s="82"/>
      <c r="H305" s="37" t="s">
        <v>746</v>
      </c>
      <c r="I305" s="38" t="s">
        <v>297</v>
      </c>
      <c r="J305" s="109" t="str">
        <f>HYPERLINK(Hoofddocument!$H$305,Hoofddocument!$G$305)</f>
        <v>Data Warehousing</v>
      </c>
      <c r="K305" s="17" t="str">
        <f t="shared" si="15"/>
        <v/>
      </c>
      <c r="L305" s="129" t="str">
        <f t="shared" si="13"/>
        <v/>
      </c>
      <c r="M305" s="129" t="str">
        <f t="shared" si="14"/>
        <v/>
      </c>
    </row>
    <row r="306" spans="1:13" ht="18" customHeight="1" thickBot="1" x14ac:dyDescent="0.2">
      <c r="A306" s="46" t="s">
        <v>746</v>
      </c>
      <c r="B306" s="45" t="s">
        <v>459</v>
      </c>
      <c r="C306" s="109" t="str">
        <f>HYPERLINK(Hoofddocument!$H$306,Hoofddocument!$G$306)</f>
        <v>HBO Module Ontwikkelen van Databases</v>
      </c>
      <c r="D306" s="17"/>
      <c r="E306" s="17"/>
      <c r="F306" s="17"/>
      <c r="G306" s="82"/>
      <c r="H306" s="46" t="s">
        <v>746</v>
      </c>
      <c r="I306" s="45" t="s">
        <v>459</v>
      </c>
      <c r="J306" s="109" t="str">
        <f>HYPERLINK(Hoofddocument!$H$306,Hoofddocument!$G$306)</f>
        <v>HBO Module Ontwikkelen van Databases</v>
      </c>
      <c r="K306" s="129" t="str">
        <f t="shared" si="15"/>
        <v/>
      </c>
      <c r="L306" s="125" t="str">
        <f t="shared" si="13"/>
        <v/>
      </c>
      <c r="M306" s="129" t="str">
        <f t="shared" si="14"/>
        <v/>
      </c>
    </row>
    <row r="307" spans="1:13" ht="18" customHeight="1" thickBot="1" x14ac:dyDescent="0.2">
      <c r="A307" s="37" t="s">
        <v>746</v>
      </c>
      <c r="B307" s="38" t="s">
        <v>299</v>
      </c>
      <c r="C307" s="109" t="str">
        <f>HYPERLINK(Hoofddocument!$H$307,Hoofddocument!$G$307)</f>
        <v>Designing Applications for Microsoft SharePoint 2010</v>
      </c>
      <c r="D307" s="17"/>
      <c r="E307" s="17"/>
      <c r="F307" s="17"/>
      <c r="G307" s="82"/>
      <c r="H307" s="37" t="s">
        <v>746</v>
      </c>
      <c r="I307" s="38" t="s">
        <v>299</v>
      </c>
      <c r="J307" s="109" t="str">
        <f>HYPERLINK(Hoofddocument!$H$307,Hoofddocument!$G$307)</f>
        <v>Designing Applications for Microsoft SharePoint 2010</v>
      </c>
      <c r="K307" s="17" t="str">
        <f t="shared" si="15"/>
        <v/>
      </c>
      <c r="L307" s="129" t="str">
        <f t="shared" si="13"/>
        <v/>
      </c>
      <c r="M307" s="129" t="str">
        <f t="shared" si="14"/>
        <v/>
      </c>
    </row>
    <row r="308" spans="1:13" ht="18" customHeight="1" thickBot="1" x14ac:dyDescent="0.2">
      <c r="A308" s="37" t="s">
        <v>746</v>
      </c>
      <c r="B308" s="38" t="s">
        <v>304</v>
      </c>
      <c r="C308" s="109" t="str">
        <f>HYPERLINK(Hoofddocument!$H$308,Hoofddocument!$G$308)</f>
        <v>Red Hat Liunix administrtaion</v>
      </c>
      <c r="D308" s="17"/>
      <c r="E308" s="17"/>
      <c r="F308" s="17"/>
      <c r="G308" s="82"/>
      <c r="H308" s="37" t="s">
        <v>746</v>
      </c>
      <c r="I308" s="38" t="s">
        <v>304</v>
      </c>
      <c r="J308" s="109" t="str">
        <f>HYPERLINK(Hoofddocument!$H$308,Hoofddocument!$G$308)</f>
        <v>Red Hat Liunix administrtaion</v>
      </c>
      <c r="K308" s="125" t="str">
        <f t="shared" si="15"/>
        <v/>
      </c>
      <c r="L308" s="129" t="str">
        <f t="shared" si="13"/>
        <v/>
      </c>
      <c r="M308" s="129" t="str">
        <f t="shared" si="14"/>
        <v/>
      </c>
    </row>
    <row r="309" spans="1:13" ht="18" customHeight="1" thickBot="1" x14ac:dyDescent="0.2">
      <c r="A309" s="37" t="s">
        <v>746</v>
      </c>
      <c r="B309" s="38" t="s">
        <v>301</v>
      </c>
      <c r="C309" s="109" t="str">
        <f>HYPERLINK(Hoofddocument!$H$309,Hoofddocument!$G$309)</f>
        <v>SharePoint Content management fundamentals</v>
      </c>
      <c r="D309" s="17"/>
      <c r="E309" s="17"/>
      <c r="F309" s="17"/>
      <c r="G309" s="82"/>
      <c r="H309" s="37" t="s">
        <v>746</v>
      </c>
      <c r="I309" s="38" t="s">
        <v>301</v>
      </c>
      <c r="J309" s="109" t="str">
        <f>HYPERLINK(Hoofddocument!$H$309,Hoofddocument!$G$309)</f>
        <v>SharePoint Content management fundamentals</v>
      </c>
      <c r="K309" s="17" t="str">
        <f t="shared" si="15"/>
        <v/>
      </c>
      <c r="L309" s="129" t="str">
        <f t="shared" si="13"/>
        <v/>
      </c>
      <c r="M309" s="129" t="str">
        <f t="shared" si="14"/>
        <v/>
      </c>
    </row>
    <row r="310" spans="1:13" ht="18" customHeight="1" thickBot="1" x14ac:dyDescent="0.2">
      <c r="A310" s="37" t="s">
        <v>746</v>
      </c>
      <c r="B310" s="38" t="s">
        <v>303</v>
      </c>
      <c r="C310" s="109" t="str">
        <f>HYPERLINK(Hoofddocument!$H$310,Hoofddocument!$G$310)</f>
        <v>Visual C# Fundamentals (VCF)</v>
      </c>
      <c r="D310" s="17"/>
      <c r="E310" s="17"/>
      <c r="F310" s="17"/>
      <c r="G310" s="82"/>
      <c r="H310" s="37" t="s">
        <v>746</v>
      </c>
      <c r="I310" s="38" t="s">
        <v>303</v>
      </c>
      <c r="J310" s="109" t="str">
        <f>HYPERLINK(Hoofddocument!$H$310,Hoofddocument!$G$310)</f>
        <v>Visual C# Fundamentals (VCF)</v>
      </c>
      <c r="K310" s="17" t="str">
        <f t="shared" si="15"/>
        <v/>
      </c>
      <c r="L310" s="129" t="str">
        <f t="shared" si="13"/>
        <v/>
      </c>
      <c r="M310" s="129" t="str">
        <f t="shared" si="14"/>
        <v/>
      </c>
    </row>
    <row r="311" spans="1:13" ht="18" customHeight="1" thickBot="1" x14ac:dyDescent="0.2">
      <c r="A311" s="37" t="s">
        <v>47</v>
      </c>
      <c r="B311" s="38" t="s">
        <v>47</v>
      </c>
      <c r="C311" s="38" t="s">
        <v>698</v>
      </c>
      <c r="D311" s="17"/>
      <c r="E311" s="17"/>
      <c r="F311" s="17"/>
      <c r="G311" s="82"/>
      <c r="H311" s="37" t="s">
        <v>47</v>
      </c>
      <c r="I311" s="38" t="s">
        <v>47</v>
      </c>
      <c r="J311" s="38" t="s">
        <v>698</v>
      </c>
      <c r="K311" s="17" t="str">
        <f t="shared" si="15"/>
        <v/>
      </c>
      <c r="L311" s="129" t="str">
        <f t="shared" si="13"/>
        <v/>
      </c>
      <c r="M311" s="129" t="str">
        <f t="shared" si="14"/>
        <v/>
      </c>
    </row>
    <row r="312" spans="1:13" ht="18" customHeight="1" thickBot="1" x14ac:dyDescent="0.2">
      <c r="A312" s="37" t="s">
        <v>47</v>
      </c>
      <c r="B312" s="38" t="s">
        <v>47</v>
      </c>
      <c r="C312" s="109" t="str">
        <f>HYPERLINK(Hoofddocument!$H$312,Hoofddocument!$G$312)</f>
        <v>Testautomatiosering fundamentals</v>
      </c>
      <c r="D312" s="17"/>
      <c r="E312" s="17"/>
      <c r="F312" s="17"/>
      <c r="G312" s="82"/>
      <c r="H312" s="37" t="s">
        <v>47</v>
      </c>
      <c r="I312" s="38" t="s">
        <v>47</v>
      </c>
      <c r="J312" s="109" t="str">
        <f>HYPERLINK(Hoofddocument!$H$312,Hoofddocument!$G$312)</f>
        <v>Testautomatiosering fundamentals</v>
      </c>
      <c r="K312" s="129" t="str">
        <f t="shared" si="15"/>
        <v/>
      </c>
      <c r="L312" s="17" t="str">
        <f t="shared" si="13"/>
        <v/>
      </c>
      <c r="M312" s="129" t="str">
        <f t="shared" si="14"/>
        <v/>
      </c>
    </row>
    <row r="313" spans="1:13" ht="18" customHeight="1" thickBot="1" x14ac:dyDescent="0.2">
      <c r="A313" s="37" t="s">
        <v>47</v>
      </c>
      <c r="B313" s="38" t="s">
        <v>48</v>
      </c>
      <c r="C313" s="109" t="str">
        <f>HYPERLINK(Hoofddocument!$H$313,Hoofddocument!$G$313)</f>
        <v>Tmap Suite Test Engineer</v>
      </c>
      <c r="D313" s="17"/>
      <c r="E313" s="17"/>
      <c r="F313" s="17"/>
      <c r="G313" s="82"/>
      <c r="H313" s="37" t="s">
        <v>47</v>
      </c>
      <c r="I313" s="38" t="s">
        <v>48</v>
      </c>
      <c r="J313" s="109" t="str">
        <f>HYPERLINK(Hoofddocument!$H$313,Hoofddocument!$G$313)</f>
        <v>Tmap Suite Test Engineer</v>
      </c>
      <c r="K313" s="129" t="str">
        <f t="shared" si="15"/>
        <v/>
      </c>
      <c r="L313" s="129" t="str">
        <f t="shared" si="13"/>
        <v/>
      </c>
      <c r="M313" s="129" t="str">
        <f t="shared" si="14"/>
        <v/>
      </c>
    </row>
    <row r="314" spans="1:13" ht="18" customHeight="1" thickBot="1" x14ac:dyDescent="0.2">
      <c r="A314" s="37" t="s">
        <v>47</v>
      </c>
      <c r="B314" s="38" t="s">
        <v>48</v>
      </c>
      <c r="C314" s="109" t="str">
        <f>HYPERLINK(Hoofddocument!$H$314,Hoofddocument!$G$314)</f>
        <v>HBO Module Testmanagement</v>
      </c>
      <c r="D314" s="17"/>
      <c r="E314" s="17"/>
      <c r="F314" s="17"/>
      <c r="G314" s="82"/>
      <c r="H314" s="37" t="s">
        <v>47</v>
      </c>
      <c r="I314" s="38" t="s">
        <v>48</v>
      </c>
      <c r="J314" s="109" t="str">
        <f>HYPERLINK(Hoofddocument!$H$314,Hoofddocument!$G$314)</f>
        <v>HBO Module Testmanagement</v>
      </c>
      <c r="K314" s="17" t="str">
        <f t="shared" si="15"/>
        <v/>
      </c>
      <c r="L314" s="129" t="str">
        <f t="shared" si="13"/>
        <v/>
      </c>
      <c r="M314" s="129" t="str">
        <f t="shared" si="14"/>
        <v/>
      </c>
    </row>
    <row r="315" spans="1:13" ht="18" customHeight="1" thickBot="1" x14ac:dyDescent="0.2">
      <c r="A315" s="37" t="s">
        <v>114</v>
      </c>
      <c r="B315" s="38" t="s">
        <v>163</v>
      </c>
      <c r="C315" s="109" t="str">
        <f>HYPERLINK(Hoofddocument!$H$315,Hoofddocument!$G$315)</f>
        <v>Professioneel Adviseren</v>
      </c>
      <c r="D315" s="17"/>
      <c r="E315" s="17"/>
      <c r="F315" s="17"/>
      <c r="G315" s="82"/>
      <c r="H315" s="37" t="s">
        <v>114</v>
      </c>
      <c r="I315" s="38" t="s">
        <v>163</v>
      </c>
      <c r="J315" s="109" t="str">
        <f>HYPERLINK(Hoofddocument!$H$315,Hoofddocument!$G$315)</f>
        <v>Professioneel Adviseren</v>
      </c>
      <c r="K315" s="129" t="str">
        <f t="shared" si="15"/>
        <v/>
      </c>
      <c r="L315" s="129" t="str">
        <f t="shared" si="13"/>
        <v/>
      </c>
      <c r="M315" s="129" t="str">
        <f t="shared" si="14"/>
        <v/>
      </c>
    </row>
    <row r="316" spans="1:13" ht="18" customHeight="1" thickBot="1" x14ac:dyDescent="0.2">
      <c r="A316" s="37" t="s">
        <v>114</v>
      </c>
      <c r="B316" s="38" t="s">
        <v>163</v>
      </c>
      <c r="C316" s="109" t="str">
        <f>HYPERLINK(Hoofddocument!$H$316,Hoofddocument!$G$316)</f>
        <v>Klantgerichte Adviesrapporten Schrijven</v>
      </c>
      <c r="D316" s="17"/>
      <c r="E316" s="17"/>
      <c r="F316" s="17"/>
      <c r="G316" s="82"/>
      <c r="H316" s="37" t="s">
        <v>114</v>
      </c>
      <c r="I316" s="38" t="s">
        <v>163</v>
      </c>
      <c r="J316" s="109" t="str">
        <f>HYPERLINK(Hoofddocument!$H$316,Hoofddocument!$G$316)</f>
        <v>Klantgerichte Adviesrapporten Schrijven</v>
      </c>
      <c r="K316" s="129" t="str">
        <f t="shared" si="15"/>
        <v/>
      </c>
      <c r="L316" s="17" t="str">
        <f t="shared" si="13"/>
        <v/>
      </c>
      <c r="M316" s="129" t="str">
        <f t="shared" si="14"/>
        <v/>
      </c>
    </row>
    <row r="317" spans="1:13" ht="18" customHeight="1" thickBot="1" x14ac:dyDescent="0.2">
      <c r="A317" s="37" t="s">
        <v>114</v>
      </c>
      <c r="B317" s="38" t="s">
        <v>163</v>
      </c>
      <c r="C317" s="109" t="str">
        <f>HYPERLINK(Hoofddocument!$H$317,Hoofddocument!$G$317)</f>
        <v>Klantgericht Denken en Handelen</v>
      </c>
      <c r="D317" s="17"/>
      <c r="E317" s="17"/>
      <c r="F317" s="17"/>
      <c r="G317" s="82"/>
      <c r="H317" s="37" t="s">
        <v>114</v>
      </c>
      <c r="I317" s="38" t="s">
        <v>163</v>
      </c>
      <c r="J317" s="109" t="str">
        <f>HYPERLINK(Hoofddocument!$H$317,Hoofddocument!$G$317)</f>
        <v>Klantgericht Denken en Handelen</v>
      </c>
      <c r="K317" s="129" t="str">
        <f t="shared" si="15"/>
        <v/>
      </c>
      <c r="L317" s="129" t="str">
        <f t="shared" si="13"/>
        <v/>
      </c>
      <c r="M317" s="129" t="str">
        <f t="shared" si="14"/>
        <v/>
      </c>
    </row>
    <row r="318" spans="1:13" ht="18" customHeight="1" thickBot="1" x14ac:dyDescent="0.2">
      <c r="A318" s="37" t="s">
        <v>114</v>
      </c>
      <c r="B318" s="38" t="s">
        <v>163</v>
      </c>
      <c r="C318" s="109" t="str">
        <f>HYPERLINK(Hoofddocument!$H$318,Hoofddocument!$G$318)</f>
        <v>Skills Lab Sales en Klantgerichtheid</v>
      </c>
      <c r="D318" s="17"/>
      <c r="E318" s="17"/>
      <c r="F318" s="17"/>
      <c r="G318" s="82"/>
      <c r="H318" s="37" t="s">
        <v>114</v>
      </c>
      <c r="I318" s="38" t="s">
        <v>163</v>
      </c>
      <c r="J318" s="109" t="str">
        <f>HYPERLINK(Hoofddocument!$H$318,Hoofddocument!$G$318)</f>
        <v>Skills Lab Sales en Klantgerichtheid</v>
      </c>
      <c r="K318" s="129" t="str">
        <f t="shared" si="15"/>
        <v/>
      </c>
      <c r="L318" s="129" t="str">
        <f t="shared" si="13"/>
        <v/>
      </c>
      <c r="M318" s="129" t="str">
        <f t="shared" si="14"/>
        <v/>
      </c>
    </row>
    <row r="319" spans="1:13" ht="18" customHeight="1" thickBot="1" x14ac:dyDescent="0.2">
      <c r="A319" s="37" t="s">
        <v>114</v>
      </c>
      <c r="B319" s="38" t="s">
        <v>163</v>
      </c>
      <c r="C319" s="109" t="str">
        <f>HYPERLINK(Hoofddocument!$H$319,Hoofddocument!$G$319)</f>
        <v>Commercieel Onderhandelen en beïnvloeden</v>
      </c>
      <c r="D319" s="17"/>
      <c r="E319" s="17"/>
      <c r="F319" s="17"/>
      <c r="G319" s="82"/>
      <c r="H319" s="37" t="s">
        <v>114</v>
      </c>
      <c r="I319" s="38" t="s">
        <v>163</v>
      </c>
      <c r="J319" s="109" t="str">
        <f>HYPERLINK(Hoofddocument!$H$319,Hoofddocument!$G$319)</f>
        <v>Commercieel Onderhandelen en beïnvloeden</v>
      </c>
      <c r="K319" s="129" t="str">
        <f t="shared" si="15"/>
        <v/>
      </c>
      <c r="L319" s="129" t="str">
        <f t="shared" si="13"/>
        <v/>
      </c>
      <c r="M319" s="129" t="str">
        <f t="shared" si="14"/>
        <v/>
      </c>
    </row>
    <row r="320" spans="1:13" ht="18" customHeight="1" thickBot="1" x14ac:dyDescent="0.2">
      <c r="A320" s="37" t="s">
        <v>114</v>
      </c>
      <c r="B320" s="38" t="s">
        <v>163</v>
      </c>
      <c r="C320" s="109" t="str">
        <f>HYPERLINK(Hoofddocument!$H$320,Hoofddocument!$G$320)</f>
        <v>Zakelijk Schrijven voor Managers en Hogeropgeleiden</v>
      </c>
      <c r="D320" s="17"/>
      <c r="E320" s="17"/>
      <c r="F320" s="17"/>
      <c r="G320" s="82"/>
      <c r="H320" s="37" t="s">
        <v>114</v>
      </c>
      <c r="I320" s="38" t="s">
        <v>163</v>
      </c>
      <c r="J320" s="109" t="str">
        <f>HYPERLINK(Hoofddocument!$H$320,Hoofddocument!$G$320)</f>
        <v>Zakelijk Schrijven voor Managers en Hogeropgeleiden</v>
      </c>
      <c r="K320" s="129" t="str">
        <f t="shared" si="15"/>
        <v/>
      </c>
      <c r="L320" s="129" t="str">
        <f t="shared" si="13"/>
        <v/>
      </c>
      <c r="M320" s="129" t="str">
        <f t="shared" si="14"/>
        <v/>
      </c>
    </row>
    <row r="321" spans="1:13" ht="18" customHeight="1" thickBot="1" x14ac:dyDescent="0.2">
      <c r="A321" s="37" t="s">
        <v>114</v>
      </c>
      <c r="B321" s="38" t="s">
        <v>163</v>
      </c>
      <c r="C321" s="109" t="str">
        <f>HYPERLINK(Hoofddocument!$H$321,Hoofddocument!$G$321)</f>
        <v>Klantgericht Telefoneren</v>
      </c>
      <c r="D321" s="17"/>
      <c r="E321" s="17"/>
      <c r="F321" s="17"/>
      <c r="G321" s="82"/>
      <c r="H321" s="37" t="s">
        <v>114</v>
      </c>
      <c r="I321" s="38" t="s">
        <v>163</v>
      </c>
      <c r="J321" s="109" t="str">
        <f>HYPERLINK(Hoofddocument!$H$321,Hoofddocument!$G$321)</f>
        <v>Klantgericht Telefoneren</v>
      </c>
      <c r="K321" s="129" t="str">
        <f t="shared" si="15"/>
        <v/>
      </c>
      <c r="L321" s="129" t="str">
        <f t="shared" si="13"/>
        <v/>
      </c>
      <c r="M321" s="129" t="str">
        <f t="shared" si="14"/>
        <v/>
      </c>
    </row>
    <row r="322" spans="1:13" ht="18" customHeight="1" thickBot="1" x14ac:dyDescent="0.2">
      <c r="A322" s="37" t="s">
        <v>114</v>
      </c>
      <c r="B322" s="38" t="s">
        <v>26</v>
      </c>
      <c r="C322" s="109" t="str">
        <f>HYPERLINK(Hoofddocument!$H$322,Hoofddocument!$G$322)</f>
        <v>Resultaten Bereiken met je Team</v>
      </c>
      <c r="D322" s="17"/>
      <c r="E322" s="17"/>
      <c r="F322" s="17"/>
      <c r="G322" s="82"/>
      <c r="H322" s="37" t="s">
        <v>114</v>
      </c>
      <c r="I322" s="38" t="s">
        <v>26</v>
      </c>
      <c r="J322" s="109" t="str">
        <f>HYPERLINK(Hoofddocument!$H$322,Hoofddocument!$G$322)</f>
        <v>Resultaten Bereiken met je Team</v>
      </c>
      <c r="K322" s="129" t="str">
        <f t="shared" si="15"/>
        <v/>
      </c>
      <c r="L322" s="17" t="str">
        <f t="shared" ref="L322:L385" si="16">IF(OR(AND(Niveau2="Basis",E322="B"),AND(Niveau2="Verdiepend",E322="V"),AND(Niveau2="Toon Alles",NOT(ISBLANK(E322)))),$U$2,"")</f>
        <v/>
      </c>
      <c r="M322" s="129" t="str">
        <f t="shared" ref="M322:M385" si="17">IF(OR(AND(Niveau3="Basis",F322="B"),AND(Niveau3="Verdiepend",F322="V"),AND(Niveau3="Toon Alles",NOT(ISBLANK(F322)))),$U$2,"")</f>
        <v/>
      </c>
    </row>
    <row r="323" spans="1:13" ht="18" customHeight="1" thickBot="1" x14ac:dyDescent="0.2">
      <c r="A323" s="37" t="s">
        <v>114</v>
      </c>
      <c r="B323" s="38" t="s">
        <v>26</v>
      </c>
      <c r="C323" s="109" t="str">
        <f>HYPERLINK(Hoofddocument!$H$323,Hoofddocument!$G$323)</f>
        <v>Effectief Regie Voeren</v>
      </c>
      <c r="D323" s="17"/>
      <c r="E323" s="17"/>
      <c r="F323" s="17"/>
      <c r="G323" s="82"/>
      <c r="H323" s="37" t="s">
        <v>114</v>
      </c>
      <c r="I323" s="38" t="s">
        <v>26</v>
      </c>
      <c r="J323" s="109" t="str">
        <f>HYPERLINK(Hoofddocument!$H$323,Hoofddocument!$G$323)</f>
        <v>Effectief Regie Voeren</v>
      </c>
      <c r="K323" s="129" t="str">
        <f t="shared" ref="K323:K386" si="18">IF(OR(AND(Niveau1="Basis",D323="B"),AND(Niveau1="Verdiepend",D323="V"),AND(Niveau1="Toon Alles",NOT(ISBLANK(D323)))),$U$2,"")</f>
        <v/>
      </c>
      <c r="L323" s="129" t="str">
        <f t="shared" si="16"/>
        <v/>
      </c>
      <c r="M323" s="129" t="str">
        <f t="shared" si="17"/>
        <v/>
      </c>
    </row>
    <row r="324" spans="1:13" ht="18" customHeight="1" thickBot="1" x14ac:dyDescent="0.2">
      <c r="A324" s="37" t="s">
        <v>114</v>
      </c>
      <c r="B324" s="38" t="s">
        <v>26</v>
      </c>
      <c r="C324" s="109" t="str">
        <f>HYPERLINK(Hoofddocument!$H$324,Hoofddocument!$G$324)</f>
        <v>Training Creativiteit en Resultaat</v>
      </c>
      <c r="D324" s="17"/>
      <c r="E324" s="17"/>
      <c r="F324" s="17"/>
      <c r="G324" s="82"/>
      <c r="H324" s="37" t="s">
        <v>114</v>
      </c>
      <c r="I324" s="38" t="s">
        <v>26</v>
      </c>
      <c r="J324" s="109" t="str">
        <f>HYPERLINK(Hoofddocument!$H$324,Hoofddocument!$G$324)</f>
        <v>Training Creativiteit en Resultaat</v>
      </c>
      <c r="K324" s="129" t="str">
        <f t="shared" si="18"/>
        <v/>
      </c>
      <c r="L324" s="129" t="str">
        <f t="shared" si="16"/>
        <v/>
      </c>
      <c r="M324" s="129" t="str">
        <f t="shared" si="17"/>
        <v/>
      </c>
    </row>
    <row r="325" spans="1:13" ht="18" customHeight="1" thickBot="1" x14ac:dyDescent="0.2">
      <c r="A325" s="37" t="s">
        <v>114</v>
      </c>
      <c r="B325" s="38" t="s">
        <v>26</v>
      </c>
      <c r="C325" s="109" t="str">
        <f>HYPERLINK(Hoofddocument!$H$325,Hoofddocument!$G$325)</f>
        <v>Creatief Denken en Doen</v>
      </c>
      <c r="D325" s="17"/>
      <c r="E325" s="17"/>
      <c r="F325" s="17"/>
      <c r="G325" s="82"/>
      <c r="H325" s="37" t="s">
        <v>114</v>
      </c>
      <c r="I325" s="38" t="s">
        <v>26</v>
      </c>
      <c r="J325" s="109" t="str">
        <f>HYPERLINK(Hoofddocument!$H$325,Hoofddocument!$G$325)</f>
        <v>Creatief Denken en Doen</v>
      </c>
      <c r="K325" s="129" t="str">
        <f t="shared" si="18"/>
        <v/>
      </c>
      <c r="L325" s="129" t="str">
        <f t="shared" si="16"/>
        <v/>
      </c>
      <c r="M325" s="129" t="str">
        <f t="shared" si="17"/>
        <v/>
      </c>
    </row>
    <row r="326" spans="1:13" ht="18" customHeight="1" thickBot="1" x14ac:dyDescent="0.2">
      <c r="A326" s="37" t="s">
        <v>114</v>
      </c>
      <c r="B326" s="38" t="s">
        <v>26</v>
      </c>
      <c r="C326" s="109" t="str">
        <f>HYPERLINK(Hoofddocument!$H$326,Hoofddocument!$G$326)</f>
        <v>Masterclass Performancemanagement</v>
      </c>
      <c r="D326" s="17"/>
      <c r="E326" s="17"/>
      <c r="F326" s="17"/>
      <c r="G326" s="82"/>
      <c r="H326" s="37" t="s">
        <v>114</v>
      </c>
      <c r="I326" s="38" t="s">
        <v>26</v>
      </c>
      <c r="J326" s="109" t="str">
        <f>HYPERLINK(Hoofddocument!$H$326,Hoofddocument!$G$326)</f>
        <v>Masterclass Performancemanagement</v>
      </c>
      <c r="K326" s="129" t="str">
        <f t="shared" si="18"/>
        <v/>
      </c>
      <c r="L326" s="129" t="str">
        <f t="shared" si="16"/>
        <v/>
      </c>
      <c r="M326" s="129" t="str">
        <f t="shared" si="17"/>
        <v/>
      </c>
    </row>
    <row r="327" spans="1:13" ht="18" customHeight="1" thickBot="1" x14ac:dyDescent="0.2">
      <c r="A327" s="37" t="s">
        <v>114</v>
      </c>
      <c r="B327" s="38" t="s">
        <v>26</v>
      </c>
      <c r="C327" s="109" t="str">
        <f>HYPERLINK(Hoofddocument!$H$327,Hoofddocument!$G$327)</f>
        <v>Persoonlijke Effectiviteit</v>
      </c>
      <c r="D327" s="17"/>
      <c r="E327" s="17"/>
      <c r="F327" s="17"/>
      <c r="G327" s="82"/>
      <c r="H327" s="37" t="s">
        <v>114</v>
      </c>
      <c r="I327" s="38" t="s">
        <v>26</v>
      </c>
      <c r="J327" s="109" t="str">
        <f>HYPERLINK(Hoofddocument!$H$327,Hoofddocument!$G$327)</f>
        <v>Persoonlijke Effectiviteit</v>
      </c>
      <c r="K327" s="129" t="str">
        <f t="shared" si="18"/>
        <v/>
      </c>
      <c r="L327" s="129" t="str">
        <f t="shared" si="16"/>
        <v/>
      </c>
      <c r="M327" s="129" t="str">
        <f t="shared" si="17"/>
        <v/>
      </c>
    </row>
    <row r="328" spans="1:13" ht="18" customHeight="1" thickBot="1" x14ac:dyDescent="0.2">
      <c r="A328" s="37" t="s">
        <v>114</v>
      </c>
      <c r="B328" s="38" t="s">
        <v>27</v>
      </c>
      <c r="C328" s="109" t="str">
        <f>HYPERLINK(Hoofddocument!$H$328,Hoofddocument!$G$328)</f>
        <v>Effectieve gespreksvaardigheden</v>
      </c>
      <c r="D328" s="17"/>
      <c r="E328" s="17"/>
      <c r="F328" s="17"/>
      <c r="G328" s="82"/>
      <c r="H328" s="37" t="s">
        <v>114</v>
      </c>
      <c r="I328" s="38" t="s">
        <v>27</v>
      </c>
      <c r="J328" s="109" t="str">
        <f>HYPERLINK(Hoofddocument!$H$328,Hoofddocument!$G$328)</f>
        <v>Effectieve gespreksvaardigheden</v>
      </c>
      <c r="K328" s="129" t="str">
        <f t="shared" si="18"/>
        <v/>
      </c>
      <c r="L328" s="129" t="str">
        <f t="shared" si="16"/>
        <v/>
      </c>
      <c r="M328" s="129" t="str">
        <f t="shared" si="17"/>
        <v/>
      </c>
    </row>
    <row r="329" spans="1:13" ht="18" customHeight="1" thickBot="1" x14ac:dyDescent="0.2">
      <c r="A329" s="37" t="s">
        <v>114</v>
      </c>
      <c r="B329" s="38" t="s">
        <v>27</v>
      </c>
      <c r="C329" s="109" t="str">
        <f>HYPERLINK(Hoofddocument!$H$329,Hoofddocument!$G$329)</f>
        <v>Verbindende Communicatie</v>
      </c>
      <c r="D329" s="17"/>
      <c r="E329" s="17"/>
      <c r="F329" s="17"/>
      <c r="G329" s="82"/>
      <c r="H329" s="37" t="s">
        <v>114</v>
      </c>
      <c r="I329" s="38" t="s">
        <v>27</v>
      </c>
      <c r="J329" s="109" t="str">
        <f>HYPERLINK(Hoofddocument!$H$329,Hoofddocument!$G$329)</f>
        <v>Verbindende Communicatie</v>
      </c>
      <c r="K329" s="129" t="str">
        <f t="shared" si="18"/>
        <v/>
      </c>
      <c r="L329" s="129" t="str">
        <f t="shared" si="16"/>
        <v/>
      </c>
      <c r="M329" s="129" t="str">
        <f t="shared" si="17"/>
        <v/>
      </c>
    </row>
    <row r="330" spans="1:13" ht="18" customHeight="1" thickBot="1" x14ac:dyDescent="0.2">
      <c r="A330" s="37" t="s">
        <v>114</v>
      </c>
      <c r="B330" s="38" t="s">
        <v>27</v>
      </c>
      <c r="C330" s="109" t="str">
        <f>HYPERLINK(Hoofddocument!$H$330,Hoofddocument!$G$330)</f>
        <v>Interne Communicatie en Samenwerking</v>
      </c>
      <c r="D330" s="17"/>
      <c r="E330" s="17"/>
      <c r="F330" s="17"/>
      <c r="G330" s="82"/>
      <c r="H330" s="37" t="s">
        <v>114</v>
      </c>
      <c r="I330" s="38" t="s">
        <v>27</v>
      </c>
      <c r="J330" s="109" t="str">
        <f>HYPERLINK(Hoofddocument!$H$330,Hoofddocument!$G$330)</f>
        <v>Interne Communicatie en Samenwerking</v>
      </c>
      <c r="K330" s="129" t="str">
        <f t="shared" si="18"/>
        <v/>
      </c>
      <c r="L330" s="129" t="str">
        <f t="shared" si="16"/>
        <v/>
      </c>
      <c r="M330" s="129" t="str">
        <f t="shared" si="17"/>
        <v/>
      </c>
    </row>
    <row r="331" spans="1:13" ht="18" customHeight="1" thickBot="1" x14ac:dyDescent="0.2">
      <c r="A331" s="37" t="s">
        <v>114</v>
      </c>
      <c r="B331" s="38" t="s">
        <v>27</v>
      </c>
      <c r="C331" s="109" t="str">
        <f>HYPERLINK(Hoofddocument!$H$331,Hoofddocument!$G$331)</f>
        <v>Effectief Communiceren met NLP</v>
      </c>
      <c r="D331" s="17"/>
      <c r="E331" s="17"/>
      <c r="F331" s="17"/>
      <c r="G331" s="82"/>
      <c r="H331" s="37" t="s">
        <v>114</v>
      </c>
      <c r="I331" s="38" t="s">
        <v>27</v>
      </c>
      <c r="J331" s="109" t="str">
        <f>HYPERLINK(Hoofddocument!$H$331,Hoofddocument!$G$331)</f>
        <v>Effectief Communiceren met NLP</v>
      </c>
      <c r="K331" s="129" t="str">
        <f t="shared" si="18"/>
        <v/>
      </c>
      <c r="L331" s="129" t="str">
        <f t="shared" si="16"/>
        <v/>
      </c>
      <c r="M331" s="129" t="str">
        <f t="shared" si="17"/>
        <v/>
      </c>
    </row>
    <row r="332" spans="1:13" ht="18" customHeight="1" thickBot="1" x14ac:dyDescent="0.2">
      <c r="A332" s="37" t="s">
        <v>114</v>
      </c>
      <c r="B332" s="38" t="s">
        <v>27</v>
      </c>
      <c r="C332" s="109" t="str">
        <f>HYPERLINK(Hoofddocument!$H$332,Hoofddocument!$G$332)</f>
        <v>Effectief Samenwerken in Teams</v>
      </c>
      <c r="D332" s="17"/>
      <c r="E332" s="17"/>
      <c r="F332" s="17"/>
      <c r="G332" s="82"/>
      <c r="H332" s="37" t="s">
        <v>114</v>
      </c>
      <c r="I332" s="38" t="s">
        <v>27</v>
      </c>
      <c r="J332" s="109" t="str">
        <f>HYPERLINK(Hoofddocument!$H$332,Hoofddocument!$G$332)</f>
        <v>Effectief Samenwerken in Teams</v>
      </c>
      <c r="K332" s="129" t="str">
        <f t="shared" si="18"/>
        <v/>
      </c>
      <c r="L332" s="129" t="str">
        <f t="shared" si="16"/>
        <v/>
      </c>
      <c r="M332" s="129" t="str">
        <f t="shared" si="17"/>
        <v/>
      </c>
    </row>
    <row r="333" spans="1:13" ht="18" customHeight="1" thickBot="1" x14ac:dyDescent="0.2">
      <c r="A333" s="37" t="s">
        <v>114</v>
      </c>
      <c r="B333" s="38" t="s">
        <v>27</v>
      </c>
      <c r="C333" s="109" t="str">
        <f>HYPERLINK(Hoofddocument!$H$333,Hoofddocument!$G$333)</f>
        <v>Basisopleiding coaching</v>
      </c>
      <c r="D333" s="17"/>
      <c r="E333" s="17"/>
      <c r="F333" s="17"/>
      <c r="G333" s="82"/>
      <c r="H333" s="37" t="s">
        <v>114</v>
      </c>
      <c r="I333" s="38" t="s">
        <v>27</v>
      </c>
      <c r="J333" s="109" t="str">
        <f>HYPERLINK(Hoofddocument!$H$333,Hoofddocument!$G$333)</f>
        <v>Basisopleiding coaching</v>
      </c>
      <c r="K333" s="129" t="str">
        <f t="shared" si="18"/>
        <v/>
      </c>
      <c r="L333" s="129" t="str">
        <f t="shared" si="16"/>
        <v/>
      </c>
      <c r="M333" s="129" t="str">
        <f t="shared" si="17"/>
        <v/>
      </c>
    </row>
    <row r="334" spans="1:13" ht="18" customHeight="1" thickBot="1" x14ac:dyDescent="0.2">
      <c r="A334" s="37" t="s">
        <v>114</v>
      </c>
      <c r="B334" s="38" t="s">
        <v>27</v>
      </c>
      <c r="C334" s="109" t="str">
        <f>HYPERLINK(Hoofddocument!$H$334,Hoofddocument!$G$334)</f>
        <v>Feedback Geven en Ontvangen</v>
      </c>
      <c r="D334" s="17"/>
      <c r="E334" s="17"/>
      <c r="F334" s="17"/>
      <c r="G334" s="82"/>
      <c r="H334" s="37" t="s">
        <v>114</v>
      </c>
      <c r="I334" s="38" t="s">
        <v>27</v>
      </c>
      <c r="J334" s="109" t="str">
        <f>HYPERLINK(Hoofddocument!$H$334,Hoofddocument!$G$334)</f>
        <v>Feedback Geven en Ontvangen</v>
      </c>
      <c r="K334" s="129" t="str">
        <f t="shared" si="18"/>
        <v/>
      </c>
      <c r="L334" s="17" t="str">
        <f t="shared" si="16"/>
        <v/>
      </c>
      <c r="M334" s="129" t="str">
        <f t="shared" si="17"/>
        <v/>
      </c>
    </row>
    <row r="335" spans="1:13" ht="18" customHeight="1" thickBot="1" x14ac:dyDescent="0.2">
      <c r="A335" s="37" t="s">
        <v>114</v>
      </c>
      <c r="B335" s="38" t="s">
        <v>27</v>
      </c>
      <c r="C335" s="109" t="str">
        <f>HYPERLINK(Hoofddocument!$H$335,Hoofddocument!$G$335)</f>
        <v>Masterclass Effectief Beïnvloeden en Overtuigen</v>
      </c>
      <c r="D335" s="17"/>
      <c r="E335" s="17"/>
      <c r="F335" s="17"/>
      <c r="G335" s="82"/>
      <c r="H335" s="37" t="s">
        <v>114</v>
      </c>
      <c r="I335" s="38" t="s">
        <v>27</v>
      </c>
      <c r="J335" s="109" t="str">
        <f>HYPERLINK(Hoofddocument!$H$335,Hoofddocument!$G$335)</f>
        <v>Masterclass Effectief Beïnvloeden en Overtuigen</v>
      </c>
      <c r="K335" s="129" t="str">
        <f t="shared" si="18"/>
        <v/>
      </c>
      <c r="L335" s="129" t="str">
        <f t="shared" si="16"/>
        <v/>
      </c>
      <c r="M335" s="129" t="str">
        <f t="shared" si="17"/>
        <v/>
      </c>
    </row>
    <row r="336" spans="1:13" ht="18" customHeight="1" thickBot="1" x14ac:dyDescent="0.2">
      <c r="A336" s="37" t="s">
        <v>114</v>
      </c>
      <c r="B336" s="38" t="s">
        <v>27</v>
      </c>
      <c r="C336" s="109" t="str">
        <f>HYPERLINK(Hoofddocument!$H$336,Hoofddocument!$G$336)</f>
        <v>Draagvlak Creëren</v>
      </c>
      <c r="D336" s="17"/>
      <c r="E336" s="17"/>
      <c r="F336" s="17"/>
      <c r="G336" s="82"/>
      <c r="H336" s="37" t="s">
        <v>114</v>
      </c>
      <c r="I336" s="38" t="s">
        <v>27</v>
      </c>
      <c r="J336" s="109" t="str">
        <f>HYPERLINK(Hoofddocument!$H$336,Hoofddocument!$G$336)</f>
        <v>Draagvlak Creëren</v>
      </c>
      <c r="K336" s="129" t="str">
        <f t="shared" si="18"/>
        <v/>
      </c>
      <c r="L336" s="129" t="str">
        <f t="shared" si="16"/>
        <v/>
      </c>
      <c r="M336" s="129" t="str">
        <f t="shared" si="17"/>
        <v/>
      </c>
    </row>
    <row r="337" spans="1:13" ht="18" customHeight="1" thickBot="1" x14ac:dyDescent="0.2">
      <c r="A337" s="46" t="s">
        <v>114</v>
      </c>
      <c r="B337" s="45" t="s">
        <v>27</v>
      </c>
      <c r="C337" s="109" t="str">
        <f>HYPERLINK(Hoofddocument!$H$337,Hoofddocument!$G$337)</f>
        <v>Effectief Samenwerken in Zelfsturende Teams</v>
      </c>
      <c r="D337" s="17"/>
      <c r="E337" s="17"/>
      <c r="F337" s="17"/>
      <c r="G337" s="82"/>
      <c r="H337" s="46" t="s">
        <v>114</v>
      </c>
      <c r="I337" s="45" t="s">
        <v>27</v>
      </c>
      <c r="J337" s="109" t="str">
        <f>HYPERLINK(Hoofddocument!$H$337,Hoofddocument!$G$337)</f>
        <v>Effectief Samenwerken in Zelfsturende Teams</v>
      </c>
      <c r="K337" s="125" t="str">
        <f t="shared" si="18"/>
        <v/>
      </c>
      <c r="L337" s="129" t="str">
        <f t="shared" si="16"/>
        <v/>
      </c>
      <c r="M337" s="129" t="str">
        <f t="shared" si="17"/>
        <v/>
      </c>
    </row>
    <row r="338" spans="1:13" ht="18" customHeight="1" thickBot="1" x14ac:dyDescent="0.2">
      <c r="A338" s="37" t="s">
        <v>114</v>
      </c>
      <c r="B338" s="38" t="s">
        <v>27</v>
      </c>
      <c r="C338" s="109" t="str">
        <f>HYPERLINK(Hoofddocument!$H$338,Hoofddocument!$G$338)</f>
        <v>Netwerken</v>
      </c>
      <c r="D338" s="17"/>
      <c r="E338" s="17"/>
      <c r="F338" s="17"/>
      <c r="G338" s="82"/>
      <c r="H338" s="37" t="s">
        <v>114</v>
      </c>
      <c r="I338" s="38" t="s">
        <v>27</v>
      </c>
      <c r="J338" s="109" t="str">
        <f>HYPERLINK(Hoofddocument!$H$338,Hoofddocument!$G$338)</f>
        <v>Netwerken</v>
      </c>
      <c r="K338" s="129" t="str">
        <f t="shared" si="18"/>
        <v/>
      </c>
      <c r="L338" s="129" t="str">
        <f t="shared" si="16"/>
        <v/>
      </c>
      <c r="M338" s="129" t="str">
        <f t="shared" si="17"/>
        <v/>
      </c>
    </row>
    <row r="339" spans="1:13" ht="18" customHeight="1" thickBot="1" x14ac:dyDescent="0.2">
      <c r="A339" s="37" t="s">
        <v>114</v>
      </c>
      <c r="B339" s="38" t="s">
        <v>27</v>
      </c>
      <c r="C339" s="109" t="str">
        <f>HYPERLINK(Hoofddocument!$H$339,Hoofddocument!$G$339)</f>
        <v>Powerboost Presentatievaardigheden</v>
      </c>
      <c r="D339" s="17"/>
      <c r="E339" s="17"/>
      <c r="F339" s="17"/>
      <c r="G339" s="82"/>
      <c r="H339" s="37" t="s">
        <v>114</v>
      </c>
      <c r="I339" s="38" t="s">
        <v>27</v>
      </c>
      <c r="J339" s="109" t="str">
        <f>HYPERLINK(Hoofddocument!$H$339,Hoofddocument!$G$339)</f>
        <v>Powerboost Presentatievaardigheden</v>
      </c>
      <c r="K339" s="129" t="str">
        <f t="shared" si="18"/>
        <v/>
      </c>
      <c r="L339" s="129" t="str">
        <f t="shared" si="16"/>
        <v/>
      </c>
      <c r="M339" s="129" t="str">
        <f t="shared" si="17"/>
        <v/>
      </c>
    </row>
    <row r="340" spans="1:13" ht="18" customHeight="1" thickBot="1" x14ac:dyDescent="0.2">
      <c r="A340" s="37" t="s">
        <v>114</v>
      </c>
      <c r="B340" s="38" t="s">
        <v>27</v>
      </c>
      <c r="C340" s="109" t="str">
        <f>HYPERLINK(Hoofddocument!$H$340,Hoofddocument!$G$340)</f>
        <v>Powerboost Communicatie en Samenwerking</v>
      </c>
      <c r="D340" s="17"/>
      <c r="E340" s="17"/>
      <c r="F340" s="17"/>
      <c r="G340" s="82"/>
      <c r="H340" s="37" t="s">
        <v>114</v>
      </c>
      <c r="I340" s="38" t="s">
        <v>27</v>
      </c>
      <c r="J340" s="109" t="str">
        <f>HYPERLINK(Hoofddocument!$H$340,Hoofddocument!$G$340)</f>
        <v>Powerboost Communicatie en Samenwerking</v>
      </c>
      <c r="K340" s="129" t="str">
        <f t="shared" si="18"/>
        <v/>
      </c>
      <c r="L340" s="129" t="str">
        <f t="shared" si="16"/>
        <v/>
      </c>
      <c r="M340" s="129" t="str">
        <f t="shared" si="17"/>
        <v/>
      </c>
    </row>
    <row r="341" spans="1:13" ht="18" customHeight="1" thickBot="1" x14ac:dyDescent="0.2">
      <c r="A341" s="37" t="s">
        <v>114</v>
      </c>
      <c r="B341" s="38" t="s">
        <v>27</v>
      </c>
      <c r="C341" s="109" t="str">
        <f>HYPERLINK(Hoofddocument!$H$341,Hoofddocument!$G$341)</f>
        <v>Introductie op Teamontwikkeling</v>
      </c>
      <c r="D341" s="17"/>
      <c r="E341" s="17"/>
      <c r="F341" s="17"/>
      <c r="G341" s="82"/>
      <c r="H341" s="37" t="s">
        <v>114</v>
      </c>
      <c r="I341" s="38" t="s">
        <v>27</v>
      </c>
      <c r="J341" s="109" t="str">
        <f>HYPERLINK(Hoofddocument!$H$341,Hoofddocument!$G$341)</f>
        <v>Introductie op Teamontwikkeling</v>
      </c>
      <c r="K341" s="17" t="str">
        <f t="shared" si="18"/>
        <v/>
      </c>
      <c r="L341" s="129" t="str">
        <f t="shared" si="16"/>
        <v/>
      </c>
      <c r="M341" s="129" t="str">
        <f t="shared" si="17"/>
        <v/>
      </c>
    </row>
    <row r="342" spans="1:13" ht="18" customHeight="1" thickBot="1" x14ac:dyDescent="0.2">
      <c r="A342" s="37" t="s">
        <v>114</v>
      </c>
      <c r="B342" s="38" t="s">
        <v>27</v>
      </c>
      <c r="C342" s="109" t="str">
        <f>HYPERLINK(Hoofddocument!$H$342,Hoofddocument!$G$342)</f>
        <v>Conflicthantering</v>
      </c>
      <c r="D342" s="17"/>
      <c r="E342" s="17"/>
      <c r="F342" s="17"/>
      <c r="G342" s="82"/>
      <c r="H342" s="37" t="s">
        <v>114</v>
      </c>
      <c r="I342" s="38" t="s">
        <v>27</v>
      </c>
      <c r="J342" s="109" t="str">
        <f>HYPERLINK(Hoofddocument!$H$342,Hoofddocument!$G$342)</f>
        <v>Conflicthantering</v>
      </c>
      <c r="K342" s="129" t="str">
        <f t="shared" si="18"/>
        <v/>
      </c>
      <c r="L342" s="129" t="str">
        <f t="shared" si="16"/>
        <v/>
      </c>
      <c r="M342" s="129" t="str">
        <f t="shared" si="17"/>
        <v/>
      </c>
    </row>
    <row r="343" spans="1:13" ht="18" customHeight="1" thickBot="1" x14ac:dyDescent="0.2">
      <c r="A343" s="37" t="s">
        <v>114</v>
      </c>
      <c r="B343" s="38" t="s">
        <v>27</v>
      </c>
      <c r="C343" s="109" t="str">
        <f>HYPERLINK(Hoofddocument!$H$343,Hoofddocument!$G$343)</f>
        <v>Doelgericht Communiceren en Beinvloeden</v>
      </c>
      <c r="D343" s="17"/>
      <c r="E343" s="17"/>
      <c r="F343" s="17"/>
      <c r="G343" s="82"/>
      <c r="H343" s="37" t="s">
        <v>114</v>
      </c>
      <c r="I343" s="38" t="s">
        <v>27</v>
      </c>
      <c r="J343" s="109" t="str">
        <f>HYPERLINK(Hoofddocument!$H$343,Hoofddocument!$G$343)</f>
        <v>Doelgericht Communiceren en Beinvloeden</v>
      </c>
      <c r="K343" s="129" t="str">
        <f t="shared" si="18"/>
        <v/>
      </c>
      <c r="L343" s="129" t="str">
        <f t="shared" si="16"/>
        <v/>
      </c>
      <c r="M343" s="129" t="str">
        <f t="shared" si="17"/>
        <v/>
      </c>
    </row>
    <row r="344" spans="1:13" ht="18" customHeight="1" thickBot="1" x14ac:dyDescent="0.2">
      <c r="A344" s="37" t="s">
        <v>114</v>
      </c>
      <c r="B344" s="38" t="s">
        <v>27</v>
      </c>
      <c r="C344" s="109" t="str">
        <f>HYPERLINK(Hoofddocument!$H$344,Hoofddocument!$G$344)</f>
        <v>Stakeholdermanagement</v>
      </c>
      <c r="D344" s="17"/>
      <c r="E344" s="17"/>
      <c r="F344" s="17"/>
      <c r="G344" s="82"/>
      <c r="H344" s="37" t="s">
        <v>114</v>
      </c>
      <c r="I344" s="38" t="s">
        <v>27</v>
      </c>
      <c r="J344" s="109" t="str">
        <f>HYPERLINK(Hoofddocument!$H$344,Hoofddocument!$G$344)</f>
        <v>Stakeholdermanagement</v>
      </c>
      <c r="K344" s="129" t="str">
        <f t="shared" si="18"/>
        <v/>
      </c>
      <c r="L344" s="129" t="str">
        <f t="shared" si="16"/>
        <v/>
      </c>
      <c r="M344" s="129" t="str">
        <f t="shared" si="17"/>
        <v/>
      </c>
    </row>
    <row r="345" spans="1:13" ht="18" customHeight="1" thickBot="1" x14ac:dyDescent="0.2">
      <c r="A345" s="37" t="s">
        <v>94</v>
      </c>
      <c r="B345" s="38" t="s">
        <v>2</v>
      </c>
      <c r="C345" s="109" t="str">
        <f>HYPERLINK(Hoofddocument!$H$345,Hoofddocument!$G$345)</f>
        <v>Interne Communicatie en Samenwerking</v>
      </c>
      <c r="D345" s="17"/>
      <c r="E345" s="17"/>
      <c r="F345" s="17"/>
      <c r="G345" s="82"/>
      <c r="H345" s="37" t="s">
        <v>94</v>
      </c>
      <c r="I345" s="38" t="s">
        <v>2</v>
      </c>
      <c r="J345" s="109" t="str">
        <f>HYPERLINK(Hoofddocument!$H$345,Hoofddocument!$G$345)</f>
        <v>Interne Communicatie en Samenwerking</v>
      </c>
      <c r="K345" s="129" t="str">
        <f t="shared" si="18"/>
        <v/>
      </c>
      <c r="L345" s="129" t="str">
        <f t="shared" si="16"/>
        <v/>
      </c>
      <c r="M345" s="129" t="str">
        <f t="shared" si="17"/>
        <v/>
      </c>
    </row>
    <row r="346" spans="1:13" ht="18" customHeight="1" thickBot="1" x14ac:dyDescent="0.2">
      <c r="A346" s="37" t="s">
        <v>94</v>
      </c>
      <c r="B346" s="38" t="s">
        <v>2</v>
      </c>
      <c r="C346" s="109" t="str">
        <f>HYPERLINK(Hoofddocument!$H$346,Hoofddocument!$G$346)</f>
        <v>Effectief Communiceren met NLP</v>
      </c>
      <c r="D346" s="17"/>
      <c r="E346" s="17"/>
      <c r="F346" s="17"/>
      <c r="G346" s="82"/>
      <c r="H346" s="37" t="s">
        <v>94</v>
      </c>
      <c r="I346" s="38" t="s">
        <v>2</v>
      </c>
      <c r="J346" s="109" t="str">
        <f>HYPERLINK(Hoofddocument!$H$346,Hoofddocument!$G$346)</f>
        <v>Effectief Communiceren met NLP</v>
      </c>
      <c r="K346" s="129" t="str">
        <f t="shared" si="18"/>
        <v/>
      </c>
      <c r="L346" s="129" t="str">
        <f t="shared" si="16"/>
        <v/>
      </c>
      <c r="M346" s="129" t="str">
        <f t="shared" si="17"/>
        <v/>
      </c>
    </row>
    <row r="347" spans="1:13" ht="18" customHeight="1" thickBot="1" x14ac:dyDescent="0.2">
      <c r="A347" s="37" t="s">
        <v>94</v>
      </c>
      <c r="B347" s="38" t="s">
        <v>2</v>
      </c>
      <c r="C347" s="109" t="str">
        <f>HYPERLINK(Hoofddocument!$H$347,Hoofddocument!$G$347)</f>
        <v>Overtuigingskracht</v>
      </c>
      <c r="D347" s="17"/>
      <c r="E347" s="17"/>
      <c r="F347" s="17"/>
      <c r="G347" s="82"/>
      <c r="H347" s="37" t="s">
        <v>94</v>
      </c>
      <c r="I347" s="38" t="s">
        <v>2</v>
      </c>
      <c r="J347" s="109" t="str">
        <f>HYPERLINK(Hoofddocument!$H$347,Hoofddocument!$G$347)</f>
        <v>Overtuigingskracht</v>
      </c>
      <c r="K347" s="129" t="str">
        <f t="shared" si="18"/>
        <v/>
      </c>
      <c r="L347" s="129" t="str">
        <f t="shared" si="16"/>
        <v/>
      </c>
      <c r="M347" s="129" t="str">
        <f t="shared" si="17"/>
        <v/>
      </c>
    </row>
    <row r="348" spans="1:13" ht="18" customHeight="1" thickBot="1" x14ac:dyDescent="0.2">
      <c r="A348" s="37" t="s">
        <v>94</v>
      </c>
      <c r="B348" s="38" t="s">
        <v>2</v>
      </c>
      <c r="C348" s="109" t="str">
        <f>HYPERLINK(Hoofddocument!$H$348,Hoofddocument!$G$348)</f>
        <v>Politiek-bestuurlijke Sensitiviteit en Beïnvloeding</v>
      </c>
      <c r="D348" s="17"/>
      <c r="E348" s="17"/>
      <c r="F348" s="17"/>
      <c r="G348" s="82"/>
      <c r="H348" s="37" t="s">
        <v>94</v>
      </c>
      <c r="I348" s="38" t="s">
        <v>2</v>
      </c>
      <c r="J348" s="109" t="str">
        <f>HYPERLINK(Hoofddocument!$H$348,Hoofddocument!$G$348)</f>
        <v>Politiek-bestuurlijke Sensitiviteit en Beïnvloeding</v>
      </c>
      <c r="K348" s="125" t="str">
        <f t="shared" si="18"/>
        <v/>
      </c>
      <c r="L348" s="129" t="str">
        <f t="shared" si="16"/>
        <v/>
      </c>
      <c r="M348" s="129" t="str">
        <f t="shared" si="17"/>
        <v/>
      </c>
    </row>
    <row r="349" spans="1:13" ht="18" customHeight="1" thickBot="1" x14ac:dyDescent="0.2">
      <c r="A349" s="37" t="s">
        <v>94</v>
      </c>
      <c r="B349" s="38" t="s">
        <v>2</v>
      </c>
      <c r="C349" s="109" t="str">
        <f>HYPERLINK(Hoofddocument!$H$349,Hoofddocument!$G$349)</f>
        <v>Slim Leren op de Werkplek</v>
      </c>
      <c r="D349" s="17"/>
      <c r="E349" s="17"/>
      <c r="F349" s="17"/>
      <c r="G349" s="82"/>
      <c r="H349" s="37" t="s">
        <v>94</v>
      </c>
      <c r="I349" s="38" t="s">
        <v>2</v>
      </c>
      <c r="J349" s="109" t="str">
        <f>HYPERLINK(Hoofddocument!$H$349,Hoofddocument!$G$349)</f>
        <v>Slim Leren op de Werkplek</v>
      </c>
      <c r="K349" s="129" t="str">
        <f t="shared" si="18"/>
        <v/>
      </c>
      <c r="L349" s="129" t="str">
        <f t="shared" si="16"/>
        <v/>
      </c>
      <c r="M349" s="129" t="str">
        <f t="shared" si="17"/>
        <v/>
      </c>
    </row>
    <row r="350" spans="1:13" ht="18" customHeight="1" thickBot="1" x14ac:dyDescent="0.2">
      <c r="A350" s="37" t="s">
        <v>94</v>
      </c>
      <c r="B350" s="38" t="s">
        <v>2</v>
      </c>
      <c r="C350" s="109" t="str">
        <f>HYPERLINK(Hoofddocument!$H$350,Hoofddocument!$G$350)</f>
        <v>Wendbaarheid in een Veranderende Wereld</v>
      </c>
      <c r="D350" s="17"/>
      <c r="E350" s="17"/>
      <c r="F350" s="17"/>
      <c r="G350" s="82"/>
      <c r="H350" s="37" t="s">
        <v>94</v>
      </c>
      <c r="I350" s="38" t="s">
        <v>2</v>
      </c>
      <c r="J350" s="109" t="str">
        <f>HYPERLINK(Hoofddocument!$H$350,Hoofddocument!$G$350)</f>
        <v>Wendbaarheid in een Veranderende Wereld</v>
      </c>
      <c r="K350" s="129" t="str">
        <f t="shared" si="18"/>
        <v/>
      </c>
      <c r="L350" s="129" t="str">
        <f t="shared" si="16"/>
        <v/>
      </c>
      <c r="M350" s="129" t="str">
        <f t="shared" si="17"/>
        <v/>
      </c>
    </row>
    <row r="351" spans="1:13" ht="18" customHeight="1" thickBot="1" x14ac:dyDescent="0.2">
      <c r="A351" s="37" t="s">
        <v>94</v>
      </c>
      <c r="B351" s="38" t="s">
        <v>332</v>
      </c>
      <c r="C351" s="109" t="str">
        <f>HYPERLINK(Hoofddocument!$H$351,Hoofddocument!$G$351)</f>
        <v>Natuurlijk Assertief Gedrag</v>
      </c>
      <c r="D351" s="17"/>
      <c r="E351" s="17"/>
      <c r="F351" s="17"/>
      <c r="G351" s="82"/>
      <c r="H351" s="37" t="s">
        <v>94</v>
      </c>
      <c r="I351" s="38" t="s">
        <v>332</v>
      </c>
      <c r="J351" s="109" t="str">
        <f>HYPERLINK(Hoofddocument!$H$351,Hoofddocument!$G$351)</f>
        <v>Natuurlijk Assertief Gedrag</v>
      </c>
      <c r="K351" s="129" t="str">
        <f t="shared" si="18"/>
        <v/>
      </c>
      <c r="L351" s="129" t="str">
        <f t="shared" si="16"/>
        <v/>
      </c>
      <c r="M351" s="129" t="str">
        <f t="shared" si="17"/>
        <v/>
      </c>
    </row>
    <row r="352" spans="1:13" ht="18" customHeight="1" thickBot="1" x14ac:dyDescent="0.2">
      <c r="A352" s="37" t="s">
        <v>94</v>
      </c>
      <c r="B352" s="38" t="s">
        <v>3</v>
      </c>
      <c r="C352" s="109" t="str">
        <f>HYPERLINK(Hoofddocument!$H$352,Hoofddocument!$G$352)</f>
        <v>Executive Masterclass Persoonlijk Leiderschap</v>
      </c>
      <c r="D352" s="17"/>
      <c r="E352" s="17"/>
      <c r="F352" s="17"/>
      <c r="G352" s="82"/>
      <c r="H352" s="37" t="s">
        <v>94</v>
      </c>
      <c r="I352" s="38" t="s">
        <v>3</v>
      </c>
      <c r="J352" s="109" t="str">
        <f>HYPERLINK(Hoofddocument!$H$352,Hoofddocument!$G$352)</f>
        <v>Executive Masterclass Persoonlijk Leiderschap</v>
      </c>
      <c r="K352" s="129" t="str">
        <f t="shared" si="18"/>
        <v/>
      </c>
      <c r="L352" s="129" t="str">
        <f t="shared" si="16"/>
        <v/>
      </c>
      <c r="M352" s="129" t="str">
        <f t="shared" si="17"/>
        <v/>
      </c>
    </row>
    <row r="353" spans="1:13" ht="18" customHeight="1" thickBot="1" x14ac:dyDescent="0.2">
      <c r="A353" s="37" t="s">
        <v>94</v>
      </c>
      <c r="B353" s="38" t="s">
        <v>3</v>
      </c>
      <c r="C353" s="109" t="str">
        <f>HYPERLINK(Hoofddocument!$H$353,Hoofddocument!$G$353)</f>
        <v>Persoonlijke Effectiviteit - Kort en intensief</v>
      </c>
      <c r="D353" s="17"/>
      <c r="E353" s="17"/>
      <c r="F353" s="17"/>
      <c r="G353" s="82"/>
      <c r="H353" s="37" t="s">
        <v>94</v>
      </c>
      <c r="I353" s="38" t="s">
        <v>3</v>
      </c>
      <c r="J353" s="109" t="str">
        <f>HYPERLINK(Hoofddocument!$H$353,Hoofddocument!$G$353)</f>
        <v>Persoonlijke Effectiviteit - Kort en intensief</v>
      </c>
      <c r="K353" s="129" t="str">
        <f t="shared" si="18"/>
        <v/>
      </c>
      <c r="L353" s="129" t="str">
        <f t="shared" si="16"/>
        <v/>
      </c>
      <c r="M353" s="129" t="str">
        <f t="shared" si="17"/>
        <v/>
      </c>
    </row>
    <row r="354" spans="1:13" ht="18" customHeight="1" thickBot="1" x14ac:dyDescent="0.2">
      <c r="A354" s="37" t="s">
        <v>94</v>
      </c>
      <c r="B354" s="38" t="s">
        <v>3</v>
      </c>
      <c r="C354" s="109" t="str">
        <f>HYPERLINK(Hoofddocument!$H$354,Hoofddocument!$G$354)</f>
        <v>Effectief Beïnvloeden</v>
      </c>
      <c r="D354" s="17"/>
      <c r="E354" s="17"/>
      <c r="F354" s="17"/>
      <c r="G354" s="82"/>
      <c r="H354" s="37" t="s">
        <v>94</v>
      </c>
      <c r="I354" s="38" t="s">
        <v>3</v>
      </c>
      <c r="J354" s="109" t="str">
        <f>HYPERLINK(Hoofddocument!$H$354,Hoofddocument!$G$354)</f>
        <v>Effectief Beïnvloeden</v>
      </c>
      <c r="K354" s="129" t="str">
        <f t="shared" si="18"/>
        <v/>
      </c>
      <c r="L354" s="129" t="str">
        <f t="shared" si="16"/>
        <v/>
      </c>
      <c r="M354" s="129" t="str">
        <f t="shared" si="17"/>
        <v/>
      </c>
    </row>
    <row r="355" spans="1:13" ht="18" customHeight="1" thickBot="1" x14ac:dyDescent="0.2">
      <c r="A355" s="37" t="s">
        <v>94</v>
      </c>
      <c r="B355" s="38" t="s">
        <v>3</v>
      </c>
      <c r="C355" s="109" t="str">
        <f>HYPERLINK(Hoofddocument!$H$355,Hoofddocument!$G$355)</f>
        <v>Personal Power voor Managers</v>
      </c>
      <c r="D355" s="17"/>
      <c r="E355" s="17"/>
      <c r="F355" s="17"/>
      <c r="G355" s="82"/>
      <c r="H355" s="37" t="s">
        <v>94</v>
      </c>
      <c r="I355" s="38" t="s">
        <v>3</v>
      </c>
      <c r="J355" s="109" t="str">
        <f>HYPERLINK(Hoofddocument!$H$355,Hoofddocument!$G$355)</f>
        <v>Personal Power voor Managers</v>
      </c>
      <c r="K355" s="129" t="str">
        <f t="shared" si="18"/>
        <v/>
      </c>
      <c r="L355" s="129" t="str">
        <f t="shared" si="16"/>
        <v/>
      </c>
      <c r="M355" s="129" t="str">
        <f t="shared" si="17"/>
        <v/>
      </c>
    </row>
    <row r="356" spans="1:13" ht="18" customHeight="1" thickBot="1" x14ac:dyDescent="0.2">
      <c r="A356" s="37" t="s">
        <v>94</v>
      </c>
      <c r="B356" s="38" t="s">
        <v>3</v>
      </c>
      <c r="C356" s="109" t="str">
        <f>HYPERLINK(Hoofddocument!$H$356,Hoofddocument!$G$356)</f>
        <v>Persoonlijk inzicht en beinvloedingsvaardigheden</v>
      </c>
      <c r="D356" s="17"/>
      <c r="E356" s="17"/>
      <c r="F356" s="17"/>
      <c r="G356" s="82"/>
      <c r="H356" s="37" t="s">
        <v>94</v>
      </c>
      <c r="I356" s="38" t="s">
        <v>3</v>
      </c>
      <c r="J356" s="109" t="str">
        <f>HYPERLINK(Hoofddocument!$H$356,Hoofddocument!$G$356)</f>
        <v>Persoonlijk inzicht en beinvloedingsvaardigheden</v>
      </c>
      <c r="K356" s="129" t="str">
        <f t="shared" si="18"/>
        <v/>
      </c>
      <c r="L356" s="129" t="str">
        <f t="shared" si="16"/>
        <v/>
      </c>
      <c r="M356" s="129" t="str">
        <f t="shared" si="17"/>
        <v/>
      </c>
    </row>
    <row r="357" spans="1:13" ht="18" customHeight="1" thickBot="1" x14ac:dyDescent="0.2">
      <c r="A357" s="37" t="s">
        <v>94</v>
      </c>
      <c r="B357" s="38" t="s">
        <v>4</v>
      </c>
      <c r="C357" s="109" t="str">
        <f>HYPERLINK(Hoofddocument!$H$357,Hoofddocument!$G$357)</f>
        <v>Coachingsvaardigheden</v>
      </c>
      <c r="D357" s="17"/>
      <c r="E357" s="17"/>
      <c r="F357" s="17"/>
      <c r="G357" s="82"/>
      <c r="H357" s="37" t="s">
        <v>94</v>
      </c>
      <c r="I357" s="38" t="s">
        <v>4</v>
      </c>
      <c r="J357" s="109" t="str">
        <f>HYPERLINK(Hoofddocument!$H$357,Hoofddocument!$G$357)</f>
        <v>Coachingsvaardigheden</v>
      </c>
      <c r="K357" s="129" t="str">
        <f t="shared" si="18"/>
        <v/>
      </c>
      <c r="L357" s="129" t="str">
        <f t="shared" si="16"/>
        <v/>
      </c>
      <c r="M357" s="129" t="str">
        <f t="shared" si="17"/>
        <v/>
      </c>
    </row>
    <row r="358" spans="1:13" ht="18" customHeight="1" thickBot="1" x14ac:dyDescent="0.2">
      <c r="A358" s="37" t="s">
        <v>94</v>
      </c>
      <c r="B358" s="45" t="s">
        <v>4</v>
      </c>
      <c r="C358" s="109" t="str">
        <f>HYPERLINK(Hoofddocument!$H$358,Hoofddocument!$G$358)</f>
        <v>Powerboost Coachingsvaardigheden</v>
      </c>
      <c r="D358" s="17"/>
      <c r="E358" s="17"/>
      <c r="F358" s="17"/>
      <c r="G358" s="82"/>
      <c r="H358" s="37" t="s">
        <v>94</v>
      </c>
      <c r="I358" s="45" t="s">
        <v>4</v>
      </c>
      <c r="J358" s="109" t="str">
        <f>HYPERLINK(Hoofddocument!$H$358,Hoofddocument!$G$358)</f>
        <v>Powerboost Coachingsvaardigheden</v>
      </c>
      <c r="K358" s="129" t="str">
        <f t="shared" si="18"/>
        <v/>
      </c>
      <c r="L358" s="129" t="str">
        <f t="shared" si="16"/>
        <v/>
      </c>
      <c r="M358" s="129" t="str">
        <f t="shared" si="17"/>
        <v/>
      </c>
    </row>
    <row r="359" spans="1:13" ht="18" customHeight="1" thickBot="1" x14ac:dyDescent="0.2">
      <c r="A359" s="37" t="s">
        <v>94</v>
      </c>
      <c r="B359" s="45" t="s">
        <v>4</v>
      </c>
      <c r="C359" s="109" t="str">
        <f>HYPERLINK(Hoofddocument!$H$359,Hoofddocument!$G$359)</f>
        <v>Eigenaarschap in je Team</v>
      </c>
      <c r="D359" s="17"/>
      <c r="E359" s="17"/>
      <c r="F359" s="17"/>
      <c r="G359" s="82"/>
      <c r="H359" s="37" t="s">
        <v>94</v>
      </c>
      <c r="I359" s="45" t="s">
        <v>4</v>
      </c>
      <c r="J359" s="109" t="str">
        <f>HYPERLINK(Hoofddocument!$H$359,Hoofddocument!$G$359)</f>
        <v>Eigenaarschap in je Team</v>
      </c>
      <c r="K359" s="129" t="str">
        <f t="shared" si="18"/>
        <v/>
      </c>
      <c r="L359" s="129" t="str">
        <f t="shared" si="16"/>
        <v/>
      </c>
      <c r="M359" s="129" t="str">
        <f t="shared" si="17"/>
        <v/>
      </c>
    </row>
    <row r="360" spans="1:13" ht="18" customHeight="1" thickBot="1" x14ac:dyDescent="0.2">
      <c r="A360" s="37" t="s">
        <v>94</v>
      </c>
      <c r="B360" s="38" t="s">
        <v>4</v>
      </c>
      <c r="C360" s="109" t="str">
        <f>HYPERLINK(Hoofddocument!$H$360,Hoofddocument!$G$360)</f>
        <v>Agile coaching</v>
      </c>
      <c r="D360" s="17"/>
      <c r="E360" s="17"/>
      <c r="F360" s="17"/>
      <c r="G360" s="82"/>
      <c r="H360" s="37" t="s">
        <v>94</v>
      </c>
      <c r="I360" s="38" t="s">
        <v>4</v>
      </c>
      <c r="J360" s="109" t="str">
        <f>HYPERLINK(Hoofddocument!$H$360,Hoofddocument!$G$360)</f>
        <v>Agile coaching</v>
      </c>
      <c r="K360" s="129" t="str">
        <f t="shared" si="18"/>
        <v/>
      </c>
      <c r="L360" s="129" t="str">
        <f t="shared" si="16"/>
        <v/>
      </c>
      <c r="M360" s="129" t="str">
        <f t="shared" si="17"/>
        <v/>
      </c>
    </row>
    <row r="361" spans="1:13" ht="18" customHeight="1" thickBot="1" x14ac:dyDescent="0.2">
      <c r="A361" s="37" t="s">
        <v>94</v>
      </c>
      <c r="B361" s="38" t="s">
        <v>4</v>
      </c>
      <c r="C361" s="109" t="str">
        <f>HYPERLINK(Hoofddocument!$H$361,Hoofddocument!$G$361)</f>
        <v>Training Introductie op Coaching (1 dag)</v>
      </c>
      <c r="D361" s="17"/>
      <c r="E361" s="17"/>
      <c r="F361" s="17"/>
      <c r="G361" s="82"/>
      <c r="H361" s="37" t="s">
        <v>94</v>
      </c>
      <c r="I361" s="38" t="s">
        <v>4</v>
      </c>
      <c r="J361" s="109" t="str">
        <f>HYPERLINK(Hoofddocument!$H$361,Hoofddocument!$G$361)</f>
        <v>Training Introductie op Coaching (1 dag)</v>
      </c>
      <c r="K361" s="129" t="str">
        <f t="shared" si="18"/>
        <v/>
      </c>
      <c r="L361" s="129" t="str">
        <f t="shared" si="16"/>
        <v/>
      </c>
      <c r="M361" s="129" t="str">
        <f t="shared" si="17"/>
        <v/>
      </c>
    </row>
    <row r="362" spans="1:13" ht="18" customHeight="1" thickBot="1" x14ac:dyDescent="0.2">
      <c r="A362" s="37" t="s">
        <v>94</v>
      </c>
      <c r="B362" s="38" t="s">
        <v>252</v>
      </c>
      <c r="C362" s="109" t="str">
        <f>HYPERLINK(Hoofddocument!$H$362,Hoofddocument!$G$362)</f>
        <v>Coachend Leidinggeven</v>
      </c>
      <c r="D362" s="17"/>
      <c r="E362" s="17"/>
      <c r="F362" s="17"/>
      <c r="G362" s="82"/>
      <c r="H362" s="37" t="s">
        <v>94</v>
      </c>
      <c r="I362" s="38" t="s">
        <v>252</v>
      </c>
      <c r="J362" s="109" t="str">
        <f>HYPERLINK(Hoofddocument!$H$362,Hoofddocument!$G$362)</f>
        <v>Coachend Leidinggeven</v>
      </c>
      <c r="K362" s="129" t="str">
        <f t="shared" si="18"/>
        <v/>
      </c>
      <c r="L362" s="129" t="str">
        <f t="shared" si="16"/>
        <v/>
      </c>
      <c r="M362" s="129" t="str">
        <f t="shared" si="17"/>
        <v/>
      </c>
    </row>
    <row r="363" spans="1:13" ht="18" customHeight="1" thickBot="1" x14ac:dyDescent="0.2">
      <c r="A363" s="37" t="s">
        <v>94</v>
      </c>
      <c r="B363" s="38" t="s">
        <v>252</v>
      </c>
      <c r="C363" s="109" t="str">
        <f>HYPERLINK(Hoofddocument!$H$363,Hoofddocument!$G$363)</f>
        <v>Leergang Operationeel Management voor Coördinatoren en Teamleiders</v>
      </c>
      <c r="D363" s="17"/>
      <c r="E363" s="17"/>
      <c r="F363" s="17"/>
      <c r="G363" s="82"/>
      <c r="H363" s="37" t="s">
        <v>94</v>
      </c>
      <c r="I363" s="38" t="s">
        <v>252</v>
      </c>
      <c r="J363" s="109" t="str">
        <f>HYPERLINK(Hoofddocument!$H$363,Hoofddocument!$G$363)</f>
        <v>Leergang Operationeel Management voor Coördinatoren en Teamleiders</v>
      </c>
      <c r="K363" s="125" t="str">
        <f t="shared" si="18"/>
        <v/>
      </c>
      <c r="L363" s="129" t="str">
        <f t="shared" si="16"/>
        <v/>
      </c>
      <c r="M363" s="129" t="str">
        <f t="shared" si="17"/>
        <v/>
      </c>
    </row>
    <row r="364" spans="1:13" ht="18" customHeight="1" thickBot="1" x14ac:dyDescent="0.2">
      <c r="A364" s="37" t="s">
        <v>94</v>
      </c>
      <c r="B364" s="38" t="s">
        <v>7</v>
      </c>
      <c r="C364" s="109" t="str">
        <f>HYPERLINK(Hoofddocument!$H$364,Hoofddocument!$G$364)</f>
        <v>Omgaan met weerstand en tegengestelde belangen</v>
      </c>
      <c r="D364" s="17"/>
      <c r="E364" s="17"/>
      <c r="F364" s="17"/>
      <c r="G364" s="82"/>
      <c r="H364" s="37" t="s">
        <v>94</v>
      </c>
      <c r="I364" s="38" t="s">
        <v>7</v>
      </c>
      <c r="J364" s="109" t="str">
        <f>HYPERLINK(Hoofddocument!$H$364,Hoofddocument!$G$364)</f>
        <v>Omgaan met weerstand en tegengestelde belangen</v>
      </c>
      <c r="K364" s="129" t="str">
        <f t="shared" si="18"/>
        <v/>
      </c>
      <c r="L364" s="129" t="str">
        <f t="shared" si="16"/>
        <v/>
      </c>
      <c r="M364" s="129" t="str">
        <f t="shared" si="17"/>
        <v/>
      </c>
    </row>
    <row r="365" spans="1:13" ht="18" customHeight="1" thickBot="1" x14ac:dyDescent="0.2">
      <c r="A365" s="37" t="s">
        <v>94</v>
      </c>
      <c r="B365" s="38" t="s">
        <v>7</v>
      </c>
      <c r="C365" s="109" t="str">
        <f>HYPERLINK(Hoofddocument!$H$365,Hoofddocument!$G$365)</f>
        <v xml:space="preserve">Omgaan met agressie </v>
      </c>
      <c r="D365" s="17"/>
      <c r="E365" s="17"/>
      <c r="F365" s="17"/>
      <c r="G365" s="82"/>
      <c r="H365" s="37" t="s">
        <v>94</v>
      </c>
      <c r="I365" s="38" t="s">
        <v>7</v>
      </c>
      <c r="J365" s="109" t="str">
        <f>HYPERLINK(Hoofddocument!$H$365,Hoofddocument!$G$365)</f>
        <v xml:space="preserve">Omgaan met agressie </v>
      </c>
      <c r="K365" s="129" t="str">
        <f t="shared" si="18"/>
        <v/>
      </c>
      <c r="L365" s="129" t="str">
        <f t="shared" si="16"/>
        <v/>
      </c>
      <c r="M365" s="129" t="str">
        <f t="shared" si="17"/>
        <v/>
      </c>
    </row>
    <row r="366" spans="1:13" ht="18" customHeight="1" thickBot="1" x14ac:dyDescent="0.2">
      <c r="A366" s="37" t="s">
        <v>94</v>
      </c>
      <c r="B366" s="38" t="s">
        <v>7</v>
      </c>
      <c r="C366" s="109" t="str">
        <f>HYPERLINK(Hoofddocument!$H$366,Hoofddocument!$G$366)</f>
        <v>Effectieve gespreksvaardigheden</v>
      </c>
      <c r="D366" s="17"/>
      <c r="E366" s="17"/>
      <c r="F366" s="17"/>
      <c r="G366" s="82"/>
      <c r="H366" s="37" t="s">
        <v>94</v>
      </c>
      <c r="I366" s="38" t="s">
        <v>7</v>
      </c>
      <c r="J366" s="109" t="str">
        <f>HYPERLINK(Hoofddocument!$H$366,Hoofddocument!$G$366)</f>
        <v>Effectieve gespreksvaardigheden</v>
      </c>
      <c r="K366" s="129" t="str">
        <f t="shared" si="18"/>
        <v/>
      </c>
      <c r="L366" s="129" t="str">
        <f t="shared" si="16"/>
        <v/>
      </c>
      <c r="M366" s="129" t="str">
        <f t="shared" si="17"/>
        <v/>
      </c>
    </row>
    <row r="367" spans="1:13" ht="18" customHeight="1" thickBot="1" x14ac:dyDescent="0.2">
      <c r="A367" s="37" t="s">
        <v>94</v>
      </c>
      <c r="B367" s="38" t="s">
        <v>7</v>
      </c>
      <c r="C367" s="109" t="str">
        <f>HYPERLINK(Hoofddocument!$H$367,Hoofddocument!$G$367)</f>
        <v>Schrijven met het piramideprincipe</v>
      </c>
      <c r="D367" s="17"/>
      <c r="E367" s="17"/>
      <c r="F367" s="17"/>
      <c r="G367" s="82"/>
      <c r="H367" s="37" t="s">
        <v>94</v>
      </c>
      <c r="I367" s="38" t="s">
        <v>7</v>
      </c>
      <c r="J367" s="109" t="str">
        <f>HYPERLINK(Hoofddocument!$H$367,Hoofddocument!$G$367)</f>
        <v>Schrijven met het piramideprincipe</v>
      </c>
      <c r="K367" s="129" t="str">
        <f t="shared" si="18"/>
        <v/>
      </c>
      <c r="L367" s="129" t="str">
        <f t="shared" si="16"/>
        <v/>
      </c>
      <c r="M367" s="129" t="str">
        <f t="shared" si="17"/>
        <v/>
      </c>
    </row>
    <row r="368" spans="1:13" ht="18" customHeight="1" thickBot="1" x14ac:dyDescent="0.2">
      <c r="A368" s="37" t="s">
        <v>94</v>
      </c>
      <c r="B368" s="44" t="s">
        <v>95</v>
      </c>
      <c r="C368" s="109" t="str">
        <f>HYPERLINK(Hoofddocument!$H$368,Hoofddocument!$G$368)</f>
        <v>Creatief denken en doen</v>
      </c>
      <c r="D368" s="17"/>
      <c r="E368" s="17"/>
      <c r="F368" s="17"/>
      <c r="G368" s="82"/>
      <c r="H368" s="37" t="s">
        <v>94</v>
      </c>
      <c r="I368" s="44" t="s">
        <v>95</v>
      </c>
      <c r="J368" s="109" t="str">
        <f>HYPERLINK(Hoofddocument!$H$368,Hoofddocument!$G$368)</f>
        <v>Creatief denken en doen</v>
      </c>
      <c r="K368" s="129" t="str">
        <f t="shared" si="18"/>
        <v/>
      </c>
      <c r="L368" s="129" t="str">
        <f t="shared" si="16"/>
        <v/>
      </c>
      <c r="M368" s="129" t="str">
        <f t="shared" si="17"/>
        <v/>
      </c>
    </row>
    <row r="369" spans="1:13" ht="18" customHeight="1" thickBot="1" x14ac:dyDescent="0.2">
      <c r="A369" s="37" t="s">
        <v>94</v>
      </c>
      <c r="B369" s="38" t="s">
        <v>5</v>
      </c>
      <c r="C369" s="109" t="str">
        <f>HYPERLINK(Hoofddocument!$H$369,Hoofddocument!$G$369)</f>
        <v>Creatief denken en doen</v>
      </c>
      <c r="D369" s="17"/>
      <c r="E369" s="17"/>
      <c r="F369" s="17"/>
      <c r="G369" s="82"/>
      <c r="H369" s="37" t="s">
        <v>94</v>
      </c>
      <c r="I369" s="38" t="s">
        <v>5</v>
      </c>
      <c r="J369" s="109" t="str">
        <f>HYPERLINK(Hoofddocument!$H$369,Hoofddocument!$G$369)</f>
        <v>Creatief denken en doen</v>
      </c>
      <c r="K369" s="129" t="str">
        <f t="shared" si="18"/>
        <v/>
      </c>
      <c r="L369" s="129" t="str">
        <f t="shared" si="16"/>
        <v/>
      </c>
      <c r="M369" s="129" t="str">
        <f t="shared" si="17"/>
        <v/>
      </c>
    </row>
    <row r="370" spans="1:13" ht="18" customHeight="1" thickBot="1" x14ac:dyDescent="0.2">
      <c r="A370" s="37" t="s">
        <v>94</v>
      </c>
      <c r="B370" s="38" t="s">
        <v>5</v>
      </c>
      <c r="C370" s="109" t="str">
        <f>HYPERLINK(Hoofddocument!$H$370,Hoofddocument!$G$370)</f>
        <v>Masterclass Innovatiemanagement</v>
      </c>
      <c r="D370" s="17"/>
      <c r="E370" s="17"/>
      <c r="F370" s="17"/>
      <c r="G370" s="82"/>
      <c r="H370" s="37" t="s">
        <v>94</v>
      </c>
      <c r="I370" s="38" t="s">
        <v>5</v>
      </c>
      <c r="J370" s="109" t="str">
        <f>HYPERLINK(Hoofddocument!$H$370,Hoofddocument!$G$370)</f>
        <v>Masterclass Innovatiemanagement</v>
      </c>
      <c r="K370" s="129" t="str">
        <f t="shared" si="18"/>
        <v/>
      </c>
      <c r="L370" s="129" t="str">
        <f t="shared" si="16"/>
        <v/>
      </c>
      <c r="M370" s="129" t="str">
        <f t="shared" si="17"/>
        <v/>
      </c>
    </row>
    <row r="371" spans="1:13" ht="18" customHeight="1" thickBot="1" x14ac:dyDescent="0.2">
      <c r="A371" s="37" t="s">
        <v>94</v>
      </c>
      <c r="B371" s="38" t="s">
        <v>729</v>
      </c>
      <c r="C371" s="109" t="str">
        <f>HYPERLINK(Hoofddocument!$H$371,Hoofddocument!$G$371)</f>
        <v>Training Delegeren en Loslaten</v>
      </c>
      <c r="D371" s="17"/>
      <c r="E371" s="17"/>
      <c r="F371" s="17"/>
      <c r="G371" s="82"/>
      <c r="H371" s="37" t="s">
        <v>94</v>
      </c>
      <c r="I371" s="38" t="s">
        <v>729</v>
      </c>
      <c r="J371" s="109" t="str">
        <f>HYPERLINK(Hoofddocument!$H$371,Hoofddocument!$G$371)</f>
        <v>Training Delegeren en Loslaten</v>
      </c>
      <c r="K371" s="129" t="str">
        <f t="shared" si="18"/>
        <v/>
      </c>
      <c r="L371" s="129" t="str">
        <f t="shared" si="16"/>
        <v/>
      </c>
      <c r="M371" s="129" t="str">
        <f t="shared" si="17"/>
        <v/>
      </c>
    </row>
    <row r="372" spans="1:13" ht="18" customHeight="1" thickBot="1" x14ac:dyDescent="0.2">
      <c r="A372" s="37" t="s">
        <v>94</v>
      </c>
      <c r="B372" s="38" t="s">
        <v>747</v>
      </c>
      <c r="C372" s="109" t="str">
        <f>HYPERLINK(Hoofddocument!$H$372,Hoofddocument!$G$372)</f>
        <v>Timemanagement Training</v>
      </c>
      <c r="D372" s="17"/>
      <c r="E372" s="17"/>
      <c r="F372" s="17"/>
      <c r="G372" s="82"/>
      <c r="H372" s="37" t="s">
        <v>94</v>
      </c>
      <c r="I372" s="38" t="s">
        <v>747</v>
      </c>
      <c r="J372" s="109" t="str">
        <f>HYPERLINK(Hoofddocument!$H$372,Hoofddocument!$G$372)</f>
        <v>Timemanagement Training</v>
      </c>
      <c r="K372" s="129" t="str">
        <f t="shared" si="18"/>
        <v/>
      </c>
      <c r="L372" s="129" t="str">
        <f t="shared" si="16"/>
        <v/>
      </c>
      <c r="M372" s="129" t="str">
        <f t="shared" si="17"/>
        <v/>
      </c>
    </row>
    <row r="373" spans="1:13" ht="18" customHeight="1" thickBot="1" x14ac:dyDescent="0.2">
      <c r="A373" s="37" t="s">
        <v>94</v>
      </c>
      <c r="B373" s="38" t="s">
        <v>747</v>
      </c>
      <c r="C373" s="121" t="s">
        <v>861</v>
      </c>
      <c r="D373" s="17"/>
      <c r="E373" s="17"/>
      <c r="F373" s="17"/>
      <c r="G373" s="82"/>
      <c r="H373" s="37" t="s">
        <v>94</v>
      </c>
      <c r="I373" s="38" t="s">
        <v>747</v>
      </c>
      <c r="J373" s="121" t="s">
        <v>861</v>
      </c>
      <c r="K373" s="129" t="str">
        <f t="shared" si="18"/>
        <v/>
      </c>
      <c r="L373" s="129" t="str">
        <f t="shared" si="16"/>
        <v/>
      </c>
      <c r="M373" s="129" t="str">
        <f t="shared" si="17"/>
        <v/>
      </c>
    </row>
    <row r="374" spans="1:13" ht="18" customHeight="1" thickBot="1" x14ac:dyDescent="0.2">
      <c r="A374" s="37" t="s">
        <v>94</v>
      </c>
      <c r="B374" s="38" t="s">
        <v>6</v>
      </c>
      <c r="C374" s="109" t="str">
        <f>HYPERLINK(Hoofddocument!$H$374,Hoofddocument!$G$374)</f>
        <v>Leidinggeven zonder Macht</v>
      </c>
      <c r="D374" s="17"/>
      <c r="E374" s="17"/>
      <c r="F374" s="17"/>
      <c r="G374" s="82"/>
      <c r="H374" s="37" t="s">
        <v>94</v>
      </c>
      <c r="I374" s="38" t="s">
        <v>6</v>
      </c>
      <c r="J374" s="109" t="str">
        <f>HYPERLINK(Hoofddocument!$H$374,Hoofddocument!$G$374)</f>
        <v>Leidinggeven zonder Macht</v>
      </c>
      <c r="K374" s="129" t="str">
        <f t="shared" si="18"/>
        <v/>
      </c>
      <c r="L374" s="17" t="str">
        <f t="shared" si="16"/>
        <v/>
      </c>
      <c r="M374" s="129" t="str">
        <f t="shared" si="17"/>
        <v/>
      </c>
    </row>
    <row r="375" spans="1:13" ht="18" customHeight="1" thickBot="1" x14ac:dyDescent="0.2">
      <c r="A375" s="37" t="s">
        <v>94</v>
      </c>
      <c r="B375" s="38" t="s">
        <v>6</v>
      </c>
      <c r="C375" s="109" t="str">
        <f>HYPERLINK(Hoofddocument!$H$375,Hoofddocument!$G$375)</f>
        <v>Coachend Leidinggeven</v>
      </c>
      <c r="D375" s="17"/>
      <c r="E375" s="17"/>
      <c r="F375" s="17"/>
      <c r="G375" s="82"/>
      <c r="H375" s="37" t="s">
        <v>94</v>
      </c>
      <c r="I375" s="38" t="s">
        <v>6</v>
      </c>
      <c r="J375" s="109" t="str">
        <f>HYPERLINK(Hoofddocument!$H$375,Hoofddocument!$G$375)</f>
        <v>Coachend Leidinggeven</v>
      </c>
      <c r="K375" s="129" t="str">
        <f t="shared" si="18"/>
        <v/>
      </c>
      <c r="L375" s="129" t="str">
        <f t="shared" si="16"/>
        <v/>
      </c>
      <c r="M375" s="129" t="str">
        <f t="shared" si="17"/>
        <v/>
      </c>
    </row>
    <row r="376" spans="1:13" ht="18" customHeight="1" thickBot="1" x14ac:dyDescent="0.2">
      <c r="A376" s="37" t="s">
        <v>94</v>
      </c>
      <c r="B376" s="38" t="s">
        <v>6</v>
      </c>
      <c r="C376" s="109" t="str">
        <f>HYPERLINK(Hoofddocument!$H$376,Hoofddocument!$G$376)</f>
        <v>Basistraining Leidinggeven</v>
      </c>
      <c r="D376" s="17"/>
      <c r="E376" s="17"/>
      <c r="F376" s="17"/>
      <c r="G376" s="82"/>
      <c r="H376" s="37" t="s">
        <v>94</v>
      </c>
      <c r="I376" s="38" t="s">
        <v>6</v>
      </c>
      <c r="J376" s="109" t="str">
        <f>HYPERLINK(Hoofddocument!$H$376,Hoofddocument!$G$376)</f>
        <v>Basistraining Leidinggeven</v>
      </c>
      <c r="K376" s="129" t="str">
        <f t="shared" si="18"/>
        <v/>
      </c>
      <c r="L376" s="129" t="str">
        <f t="shared" si="16"/>
        <v/>
      </c>
      <c r="M376" s="129" t="str">
        <f t="shared" si="17"/>
        <v/>
      </c>
    </row>
    <row r="377" spans="1:13" ht="18" customHeight="1" thickBot="1" x14ac:dyDescent="0.2">
      <c r="A377" s="37" t="s">
        <v>94</v>
      </c>
      <c r="B377" s="38" t="s">
        <v>6</v>
      </c>
      <c r="C377" s="109" t="str">
        <f>HYPERLINK(Hoofddocument!$H$377,Hoofddocument!$G$377)</f>
        <v>Powerboost Effectief Leidinggeven</v>
      </c>
      <c r="D377" s="17"/>
      <c r="E377" s="17"/>
      <c r="F377" s="17"/>
      <c r="G377" s="82"/>
      <c r="H377" s="37" t="s">
        <v>94</v>
      </c>
      <c r="I377" s="38" t="s">
        <v>6</v>
      </c>
      <c r="J377" s="109" t="str">
        <f>HYPERLINK(Hoofddocument!$H$377,Hoofddocument!$G$377)</f>
        <v>Powerboost Effectief Leidinggeven</v>
      </c>
      <c r="K377" s="129" t="str">
        <f t="shared" si="18"/>
        <v/>
      </c>
      <c r="L377" s="129" t="str">
        <f t="shared" si="16"/>
        <v/>
      </c>
      <c r="M377" s="129" t="str">
        <f t="shared" si="17"/>
        <v/>
      </c>
    </row>
    <row r="378" spans="1:13" ht="18" customHeight="1" thickBot="1" x14ac:dyDescent="0.2">
      <c r="A378" s="37" t="s">
        <v>94</v>
      </c>
      <c r="B378" s="38" t="s">
        <v>8</v>
      </c>
      <c r="C378" s="109" t="str">
        <f>HYPERLINK(Hoofddocument!$H$378,Hoofddocument!$G$378)</f>
        <v>Communicatie met  Impact!</v>
      </c>
      <c r="D378" s="17"/>
      <c r="E378" s="17"/>
      <c r="F378" s="17"/>
      <c r="G378" s="82"/>
      <c r="H378" s="37" t="s">
        <v>94</v>
      </c>
      <c r="I378" s="38" t="s">
        <v>8</v>
      </c>
      <c r="J378" s="109" t="str">
        <f>HYPERLINK(Hoofddocument!$H$378,Hoofddocument!$G$378)</f>
        <v>Communicatie met  Impact!</v>
      </c>
      <c r="K378" s="129" t="str">
        <f t="shared" si="18"/>
        <v/>
      </c>
      <c r="L378" s="129" t="str">
        <f t="shared" si="16"/>
        <v/>
      </c>
      <c r="M378" s="129" t="str">
        <f t="shared" si="17"/>
        <v/>
      </c>
    </row>
    <row r="379" spans="1:13" ht="18" customHeight="1" thickBot="1" x14ac:dyDescent="0.2">
      <c r="A379" s="37" t="s">
        <v>94</v>
      </c>
      <c r="B379" s="38" t="s">
        <v>9</v>
      </c>
      <c r="C379" s="109" t="str">
        <f>HYPERLINK(Hoofddocument!$H$379,Hoofddocument!$G$379)</f>
        <v xml:space="preserve">Powerboost Beïnvloeden </v>
      </c>
      <c r="D379" s="17"/>
      <c r="E379" s="17"/>
      <c r="F379" s="17"/>
      <c r="G379" s="82"/>
      <c r="H379" s="37" t="s">
        <v>94</v>
      </c>
      <c r="I379" s="38" t="s">
        <v>9</v>
      </c>
      <c r="J379" s="109" t="str">
        <f>HYPERLINK(Hoofddocument!$H$379,Hoofddocument!$G$379)</f>
        <v xml:space="preserve">Powerboost Beïnvloeden </v>
      </c>
      <c r="K379" s="129" t="str">
        <f t="shared" si="18"/>
        <v/>
      </c>
      <c r="L379" s="129" t="str">
        <f t="shared" si="16"/>
        <v/>
      </c>
      <c r="M379" s="129" t="str">
        <f t="shared" si="17"/>
        <v/>
      </c>
    </row>
    <row r="380" spans="1:13" ht="18" customHeight="1" thickBot="1" x14ac:dyDescent="0.2">
      <c r="A380" s="37" t="s">
        <v>94</v>
      </c>
      <c r="B380" s="38" t="s">
        <v>9</v>
      </c>
      <c r="C380" s="109" t="str">
        <f>HYPERLINK(Hoofddocument!$H$380,Hoofddocument!$G$380)</f>
        <v>Het Moedige Gesprek</v>
      </c>
      <c r="D380" s="17"/>
      <c r="E380" s="17"/>
      <c r="F380" s="17"/>
      <c r="G380" s="82"/>
      <c r="H380" s="37" t="s">
        <v>94</v>
      </c>
      <c r="I380" s="38" t="s">
        <v>9</v>
      </c>
      <c r="J380" s="109" t="str">
        <f>HYPERLINK(Hoofddocument!$H$380,Hoofddocument!$G$380)</f>
        <v>Het Moedige Gesprek</v>
      </c>
      <c r="K380" s="129" t="str">
        <f t="shared" si="18"/>
        <v/>
      </c>
      <c r="L380" s="129" t="str">
        <f t="shared" si="16"/>
        <v/>
      </c>
      <c r="M380" s="129" t="str">
        <f t="shared" si="17"/>
        <v/>
      </c>
    </row>
    <row r="381" spans="1:13" ht="18" customHeight="1" thickBot="1" x14ac:dyDescent="0.2">
      <c r="A381" s="37" t="s">
        <v>94</v>
      </c>
      <c r="B381" s="38" t="s">
        <v>748</v>
      </c>
      <c r="C381" s="109" t="str">
        <f>HYPERLINK(Hoofddocument!$H$381,Hoofddocument!$G$381)</f>
        <v>Governance en Integriteit</v>
      </c>
      <c r="D381" s="17"/>
      <c r="E381" s="17"/>
      <c r="F381" s="17"/>
      <c r="G381" s="82"/>
      <c r="H381" s="37" t="s">
        <v>94</v>
      </c>
      <c r="I381" s="38" t="s">
        <v>748</v>
      </c>
      <c r="J381" s="109" t="str">
        <f>HYPERLINK(Hoofddocument!$H$381,Hoofddocument!$G$381)</f>
        <v>Governance en Integriteit</v>
      </c>
      <c r="K381" s="129" t="str">
        <f t="shared" si="18"/>
        <v/>
      </c>
      <c r="L381" s="129" t="str">
        <f t="shared" si="16"/>
        <v/>
      </c>
      <c r="M381" s="129" t="str">
        <f t="shared" si="17"/>
        <v/>
      </c>
    </row>
    <row r="382" spans="1:13" ht="18" customHeight="1" thickBot="1" x14ac:dyDescent="0.2">
      <c r="A382" s="37" t="s">
        <v>94</v>
      </c>
      <c r="B382" s="38" t="s">
        <v>748</v>
      </c>
      <c r="C382" s="109" t="str">
        <f>HYPERLINK(Hoofddocument!$H$382,Hoofddocument!$G$382)</f>
        <v>Omgaan met weerstand en tegengestelde belangen</v>
      </c>
      <c r="D382" s="17"/>
      <c r="E382" s="17"/>
      <c r="F382" s="17"/>
      <c r="G382" s="82"/>
      <c r="H382" s="37" t="s">
        <v>94</v>
      </c>
      <c r="I382" s="38" t="s">
        <v>748</v>
      </c>
      <c r="J382" s="109" t="str">
        <f>HYPERLINK(Hoofddocument!$H$382,Hoofddocument!$G$382)</f>
        <v>Omgaan met weerstand en tegengestelde belangen</v>
      </c>
      <c r="K382" s="129" t="str">
        <f t="shared" si="18"/>
        <v/>
      </c>
      <c r="L382" s="129" t="str">
        <f t="shared" si="16"/>
        <v/>
      </c>
      <c r="M382" s="129" t="str">
        <f t="shared" si="17"/>
        <v/>
      </c>
    </row>
    <row r="383" spans="1:13" ht="18" customHeight="1" thickBot="1" x14ac:dyDescent="0.2">
      <c r="A383" s="37" t="s">
        <v>94</v>
      </c>
      <c r="B383" s="38" t="s">
        <v>749</v>
      </c>
      <c r="C383" s="109" t="str">
        <f>HYPERLINK(Hoofddocument!$H$383,Hoofddocument!$G$383)</f>
        <v>Doelgericht Communiceren en Beinvloeden</v>
      </c>
      <c r="D383" s="17"/>
      <c r="E383" s="17"/>
      <c r="F383" s="17"/>
      <c r="G383" s="82"/>
      <c r="H383" s="37" t="s">
        <v>94</v>
      </c>
      <c r="I383" s="38" t="s">
        <v>749</v>
      </c>
      <c r="J383" s="109" t="str">
        <f>HYPERLINK(Hoofddocument!$H$383,Hoofddocument!$G$383)</f>
        <v>Doelgericht Communiceren en Beinvloeden</v>
      </c>
      <c r="K383" s="129" t="str">
        <f t="shared" si="18"/>
        <v/>
      </c>
      <c r="L383" s="129" t="str">
        <f t="shared" si="16"/>
        <v/>
      </c>
      <c r="M383" s="129" t="str">
        <f t="shared" si="17"/>
        <v/>
      </c>
    </row>
    <row r="384" spans="1:13" ht="18" customHeight="1" thickBot="1" x14ac:dyDescent="0.2">
      <c r="A384" s="37" t="s">
        <v>94</v>
      </c>
      <c r="B384" s="38" t="s">
        <v>749</v>
      </c>
      <c r="C384" s="109" t="str">
        <f>HYPERLINK(Hoofddocument!$H$384,Hoofddocument!$G$384)</f>
        <v>Training Creativiteit en Resultaat</v>
      </c>
      <c r="D384" s="17"/>
      <c r="E384" s="17"/>
      <c r="F384" s="17"/>
      <c r="G384" s="82"/>
      <c r="H384" s="37" t="s">
        <v>94</v>
      </c>
      <c r="I384" s="38" t="s">
        <v>749</v>
      </c>
      <c r="J384" s="109" t="str">
        <f>HYPERLINK(Hoofddocument!$H$384,Hoofddocument!$G$384)</f>
        <v>Training Creativiteit en Resultaat</v>
      </c>
      <c r="K384" s="129" t="str">
        <f t="shared" si="18"/>
        <v/>
      </c>
      <c r="L384" s="129" t="str">
        <f t="shared" si="16"/>
        <v/>
      </c>
      <c r="M384" s="129" t="str">
        <f t="shared" si="17"/>
        <v/>
      </c>
    </row>
    <row r="385" spans="1:13" ht="18" customHeight="1" thickBot="1" x14ac:dyDescent="0.2">
      <c r="A385" s="37" t="s">
        <v>94</v>
      </c>
      <c r="B385" s="44" t="s">
        <v>749</v>
      </c>
      <c r="C385" s="109" t="str">
        <f>HYPERLINK(Hoofddocument!$H$385,Hoofddocument!$G$385)</f>
        <v>Persoonlijke Effectiviteit</v>
      </c>
      <c r="D385" s="17"/>
      <c r="E385" s="17"/>
      <c r="F385" s="17"/>
      <c r="G385" s="82"/>
      <c r="H385" s="37" t="s">
        <v>94</v>
      </c>
      <c r="I385" s="44" t="s">
        <v>749</v>
      </c>
      <c r="J385" s="109" t="str">
        <f>HYPERLINK(Hoofddocument!$H$385,Hoofddocument!$G$385)</f>
        <v>Persoonlijke Effectiviteit</v>
      </c>
      <c r="K385" s="129" t="str">
        <f t="shared" si="18"/>
        <v/>
      </c>
      <c r="L385" s="129" t="str">
        <f t="shared" si="16"/>
        <v/>
      </c>
      <c r="M385" s="129" t="str">
        <f t="shared" si="17"/>
        <v/>
      </c>
    </row>
    <row r="386" spans="1:13" ht="18" customHeight="1" thickBot="1" x14ac:dyDescent="0.2">
      <c r="A386" s="37" t="s">
        <v>94</v>
      </c>
      <c r="B386" s="44" t="s">
        <v>749</v>
      </c>
      <c r="C386" s="109" t="str">
        <f>HYPERLINK(Hoofddocument!$H$386,Hoofddocument!$G$386)</f>
        <v>Introductie in Handelen vanuit een Growth Mindset</v>
      </c>
      <c r="D386" s="17"/>
      <c r="E386" s="17"/>
      <c r="F386" s="17"/>
      <c r="G386" s="82"/>
      <c r="H386" s="37" t="s">
        <v>94</v>
      </c>
      <c r="I386" s="44" t="s">
        <v>749</v>
      </c>
      <c r="J386" s="109" t="str">
        <f>HYPERLINK(Hoofddocument!$H$386,Hoofddocument!$G$386)</f>
        <v>Introductie in Handelen vanuit een Growth Mindset</v>
      </c>
      <c r="K386" s="129" t="str">
        <f t="shared" si="18"/>
        <v/>
      </c>
      <c r="L386" s="129" t="str">
        <f t="shared" ref="L386:L449" si="19">IF(OR(AND(Niveau2="Basis",E386="B"),AND(Niveau2="Verdiepend",E386="V"),AND(Niveau2="Toon Alles",NOT(ISBLANK(E386)))),$U$2,"")</f>
        <v/>
      </c>
      <c r="M386" s="129" t="str">
        <f t="shared" ref="M386:M449" si="20">IF(OR(AND(Niveau3="Basis",F386="B"),AND(Niveau3="Verdiepend",F386="V"),AND(Niveau3="Toon Alles",NOT(ISBLANK(F386)))),$U$2,"")</f>
        <v/>
      </c>
    </row>
    <row r="387" spans="1:13" ht="18" customHeight="1" thickBot="1" x14ac:dyDescent="0.2">
      <c r="A387" s="37" t="s">
        <v>94</v>
      </c>
      <c r="B387" s="44" t="s">
        <v>163</v>
      </c>
      <c r="C387" s="109" t="str">
        <f>HYPERLINK(Hoofddocument!$H$387,Hoofddocument!$G$387)</f>
        <v>Klantgerichte Adviesrapporten Schrijven</v>
      </c>
      <c r="D387" s="17"/>
      <c r="E387" s="17"/>
      <c r="F387" s="17"/>
      <c r="G387" s="82"/>
      <c r="H387" s="37" t="s">
        <v>94</v>
      </c>
      <c r="I387" s="44" t="s">
        <v>163</v>
      </c>
      <c r="J387" s="109" t="str">
        <f>HYPERLINK(Hoofddocument!$H$387,Hoofddocument!$G$387)</f>
        <v>Klantgerichte Adviesrapporten Schrijven</v>
      </c>
      <c r="K387" s="129" t="str">
        <f t="shared" ref="K387:K450" si="21">IF(OR(AND(Niveau1="Basis",D387="B"),AND(Niveau1="Verdiepend",D387="V"),AND(Niveau1="Toon Alles",NOT(ISBLANK(D387)))),$U$2,"")</f>
        <v/>
      </c>
      <c r="L387" s="129" t="str">
        <f t="shared" si="19"/>
        <v/>
      </c>
      <c r="M387" s="129" t="str">
        <f t="shared" si="20"/>
        <v/>
      </c>
    </row>
    <row r="388" spans="1:13" ht="18" customHeight="1" thickBot="1" x14ac:dyDescent="0.2">
      <c r="A388" s="43" t="s">
        <v>94</v>
      </c>
      <c r="B388" s="44" t="s">
        <v>163</v>
      </c>
      <c r="C388" s="109" t="str">
        <f>HYPERLINK(Hoofddocument!$H$388,Hoofddocument!$G$388)</f>
        <v>Klantgericht Denken en Handelen</v>
      </c>
      <c r="D388" s="17"/>
      <c r="E388" s="17"/>
      <c r="F388" s="17"/>
      <c r="G388" s="82"/>
      <c r="H388" s="43" t="s">
        <v>94</v>
      </c>
      <c r="I388" s="44" t="s">
        <v>163</v>
      </c>
      <c r="J388" s="109" t="str">
        <f>HYPERLINK(Hoofddocument!$H$388,Hoofddocument!$G$388)</f>
        <v>Klantgericht Denken en Handelen</v>
      </c>
      <c r="K388" s="129" t="str">
        <f t="shared" si="21"/>
        <v/>
      </c>
      <c r="L388" s="129" t="str">
        <f t="shared" si="19"/>
        <v/>
      </c>
      <c r="M388" s="129" t="str">
        <f t="shared" si="20"/>
        <v/>
      </c>
    </row>
    <row r="389" spans="1:13" ht="18" customHeight="1" thickBot="1" x14ac:dyDescent="0.2">
      <c r="A389" s="43" t="s">
        <v>94</v>
      </c>
      <c r="B389" s="44" t="s">
        <v>10</v>
      </c>
      <c r="C389" s="109" t="str">
        <f>HYPERLINK(Hoofddocument!$H$389,Hoofddocument!$G$389)</f>
        <v>Grip op processen</v>
      </c>
      <c r="D389" s="17"/>
      <c r="E389" s="17"/>
      <c r="F389" s="17"/>
      <c r="G389" s="82"/>
      <c r="H389" s="43" t="s">
        <v>94</v>
      </c>
      <c r="I389" s="44" t="s">
        <v>10</v>
      </c>
      <c r="J389" s="109" t="str">
        <f>HYPERLINK(Hoofddocument!$H$389,Hoofddocument!$G$389)</f>
        <v>Grip op processen</v>
      </c>
      <c r="K389" s="125" t="str">
        <f t="shared" si="21"/>
        <v/>
      </c>
      <c r="L389" s="129" t="str">
        <f t="shared" si="19"/>
        <v/>
      </c>
      <c r="M389" s="129" t="str">
        <f t="shared" si="20"/>
        <v/>
      </c>
    </row>
    <row r="390" spans="1:13" ht="18" customHeight="1" thickBot="1" x14ac:dyDescent="0.2">
      <c r="A390" s="43" t="s">
        <v>94</v>
      </c>
      <c r="B390" s="44" t="s">
        <v>10</v>
      </c>
      <c r="C390" s="121" t="s">
        <v>864</v>
      </c>
      <c r="D390" s="17"/>
      <c r="E390" s="17"/>
      <c r="F390" s="17"/>
      <c r="G390" s="82"/>
      <c r="H390" s="43" t="s">
        <v>94</v>
      </c>
      <c r="I390" s="44" t="s">
        <v>10</v>
      </c>
      <c r="J390" s="121" t="s">
        <v>864</v>
      </c>
      <c r="K390" s="129" t="str">
        <f t="shared" si="21"/>
        <v/>
      </c>
      <c r="L390" s="129" t="str">
        <f t="shared" si="19"/>
        <v/>
      </c>
      <c r="M390" s="129" t="str">
        <f t="shared" si="20"/>
        <v/>
      </c>
    </row>
    <row r="391" spans="1:13" ht="18" customHeight="1" thickBot="1" x14ac:dyDescent="0.2">
      <c r="A391" s="43" t="s">
        <v>94</v>
      </c>
      <c r="B391" s="44" t="s">
        <v>10</v>
      </c>
      <c r="C391" s="109" t="str">
        <f>HYPERLINK(Hoofddocument!$H$391,Hoofddocument!$G$391)</f>
        <v>Prioriteiten en doelen stellen</v>
      </c>
      <c r="D391" s="17"/>
      <c r="E391" s="17"/>
      <c r="F391" s="17"/>
      <c r="G391" s="82"/>
      <c r="H391" s="43" t="s">
        <v>94</v>
      </c>
      <c r="I391" s="44" t="s">
        <v>10</v>
      </c>
      <c r="J391" s="109" t="str">
        <f>HYPERLINK(Hoofddocument!$H$391,Hoofddocument!$G$391)</f>
        <v>Prioriteiten en doelen stellen</v>
      </c>
      <c r="K391" s="129" t="str">
        <f t="shared" si="21"/>
        <v/>
      </c>
      <c r="L391" s="129" t="str">
        <f t="shared" si="19"/>
        <v/>
      </c>
      <c r="M391" s="129" t="str">
        <f t="shared" si="20"/>
        <v/>
      </c>
    </row>
    <row r="392" spans="1:13" ht="18" customHeight="1" thickBot="1" x14ac:dyDescent="0.2">
      <c r="A392" s="37" t="s">
        <v>94</v>
      </c>
      <c r="B392" s="38" t="s">
        <v>11</v>
      </c>
      <c r="C392" s="109" t="str">
        <f>HYPERLINK(Hoofddocument!$H$392,Hoofddocument!$G$392)</f>
        <v>Slim Leren op de Werkplek</v>
      </c>
      <c r="D392" s="17"/>
      <c r="E392" s="17"/>
      <c r="F392" s="17"/>
      <c r="G392" s="82"/>
      <c r="H392" s="37" t="s">
        <v>94</v>
      </c>
      <c r="I392" s="38" t="s">
        <v>11</v>
      </c>
      <c r="J392" s="109" t="str">
        <f>HYPERLINK(Hoofddocument!$H$392,Hoofddocument!$G$392)</f>
        <v>Slim Leren op de Werkplek</v>
      </c>
      <c r="K392" s="17" t="str">
        <f t="shared" si="21"/>
        <v/>
      </c>
      <c r="L392" s="129" t="str">
        <f t="shared" si="19"/>
        <v/>
      </c>
      <c r="M392" s="129" t="str">
        <f t="shared" si="20"/>
        <v/>
      </c>
    </row>
    <row r="393" spans="1:13" ht="18" customHeight="1" thickBot="1" x14ac:dyDescent="0.2">
      <c r="A393" s="37" t="s">
        <v>94</v>
      </c>
      <c r="B393" s="38" t="s">
        <v>11</v>
      </c>
      <c r="C393" s="109" t="str">
        <f>HYPERLINK(Hoofddocument!$H$393,Hoofddocument!$G$393)</f>
        <v>Training Creativiteit en Resultaat</v>
      </c>
      <c r="D393" s="17"/>
      <c r="E393" s="17"/>
      <c r="F393" s="17"/>
      <c r="G393" s="82"/>
      <c r="H393" s="37" t="s">
        <v>94</v>
      </c>
      <c r="I393" s="38" t="s">
        <v>11</v>
      </c>
      <c r="J393" s="109" t="str">
        <f>HYPERLINK(Hoofddocument!$H$393,Hoofddocument!$G$393)</f>
        <v>Training Creativiteit en Resultaat</v>
      </c>
      <c r="K393" s="129" t="str">
        <f t="shared" si="21"/>
        <v/>
      </c>
      <c r="L393" s="129" t="str">
        <f t="shared" si="19"/>
        <v/>
      </c>
      <c r="M393" s="129" t="str">
        <f t="shared" si="20"/>
        <v/>
      </c>
    </row>
    <row r="394" spans="1:13" ht="18" customHeight="1" thickBot="1" x14ac:dyDescent="0.2">
      <c r="A394" s="37" t="s">
        <v>94</v>
      </c>
      <c r="B394" s="38" t="s">
        <v>11</v>
      </c>
      <c r="C394" s="109" t="str">
        <f>HYPERLINK(Hoofddocument!$H$394,Hoofddocument!$G$394)</f>
        <v>Bouwen aan een Lerende Organisatie</v>
      </c>
      <c r="D394" s="17"/>
      <c r="E394" s="17"/>
      <c r="F394" s="17"/>
      <c r="G394" s="82"/>
      <c r="H394" s="37" t="s">
        <v>94</v>
      </c>
      <c r="I394" s="38" t="s">
        <v>11</v>
      </c>
      <c r="J394" s="109" t="str">
        <f>HYPERLINK(Hoofddocument!$H$394,Hoofddocument!$G$394)</f>
        <v>Bouwen aan een Lerende Organisatie</v>
      </c>
      <c r="K394" s="129" t="str">
        <f t="shared" si="21"/>
        <v/>
      </c>
      <c r="L394" s="129" t="str">
        <f t="shared" si="19"/>
        <v/>
      </c>
      <c r="M394" s="129" t="str">
        <f t="shared" si="20"/>
        <v/>
      </c>
    </row>
    <row r="395" spans="1:13" ht="18" customHeight="1" thickBot="1" x14ac:dyDescent="0.2">
      <c r="A395" s="37" t="s">
        <v>94</v>
      </c>
      <c r="B395" s="44" t="s">
        <v>245</v>
      </c>
      <c r="C395" s="109" t="str">
        <f>HYPERLINK(Hoofddocument!$H$395,Hoofddocument!$G$395)</f>
        <v>Bewust Handelen vanuit een Growth Mindset</v>
      </c>
      <c r="D395" s="17"/>
      <c r="E395" s="17"/>
      <c r="F395" s="17"/>
      <c r="G395" s="82"/>
      <c r="H395" s="37" t="s">
        <v>94</v>
      </c>
      <c r="I395" s="44" t="s">
        <v>245</v>
      </c>
      <c r="J395" s="109" t="str">
        <f>HYPERLINK(Hoofddocument!$H$395,Hoofddocument!$G$395)</f>
        <v>Bewust Handelen vanuit een Growth Mindset</v>
      </c>
      <c r="K395" s="125" t="str">
        <f t="shared" si="21"/>
        <v/>
      </c>
      <c r="L395" s="125" t="str">
        <f t="shared" si="19"/>
        <v/>
      </c>
      <c r="M395" s="129" t="str">
        <f t="shared" si="20"/>
        <v/>
      </c>
    </row>
    <row r="396" spans="1:13" ht="18" customHeight="1" thickBot="1" x14ac:dyDescent="0.2">
      <c r="A396" s="37" t="s">
        <v>94</v>
      </c>
      <c r="B396" s="44" t="s">
        <v>731</v>
      </c>
      <c r="C396" s="109" t="str">
        <f>HYPERLINK(Hoofddocument!$H$396,Hoofddocument!$G$396)</f>
        <v>Situationeel Leidinggeven</v>
      </c>
      <c r="D396" s="17"/>
      <c r="E396" s="17"/>
      <c r="F396" s="17"/>
      <c r="G396" s="82"/>
      <c r="H396" s="37" t="s">
        <v>94</v>
      </c>
      <c r="I396" s="44" t="s">
        <v>731</v>
      </c>
      <c r="J396" s="109" t="str">
        <f>HYPERLINK(Hoofddocument!$H$396,Hoofddocument!$G$396)</f>
        <v>Situationeel Leidinggeven</v>
      </c>
      <c r="K396" s="129" t="str">
        <f t="shared" si="21"/>
        <v/>
      </c>
      <c r="L396" s="129" t="str">
        <f t="shared" si="19"/>
        <v/>
      </c>
      <c r="M396" s="129" t="str">
        <f t="shared" si="20"/>
        <v/>
      </c>
    </row>
    <row r="397" spans="1:13" ht="18" customHeight="1" thickBot="1" x14ac:dyDescent="0.2">
      <c r="A397" s="56" t="s">
        <v>94</v>
      </c>
      <c r="B397" s="38" t="s">
        <v>731</v>
      </c>
      <c r="C397" s="109" t="str">
        <f>HYPERLINK(Hoofddocument!$H$397,Hoofddocument!$G$397)</f>
        <v>Leidinggeven aan Professionals</v>
      </c>
      <c r="D397" s="17"/>
      <c r="E397" s="17"/>
      <c r="F397" s="17"/>
      <c r="G397" s="82"/>
      <c r="H397" s="56" t="s">
        <v>94</v>
      </c>
      <c r="I397" s="38" t="s">
        <v>731</v>
      </c>
      <c r="J397" s="109" t="str">
        <f>HYPERLINK(Hoofddocument!$H$397,Hoofddocument!$G$397)</f>
        <v>Leidinggeven aan Professionals</v>
      </c>
      <c r="K397" s="129" t="str">
        <f t="shared" si="21"/>
        <v/>
      </c>
      <c r="L397" s="129" t="str">
        <f t="shared" si="19"/>
        <v/>
      </c>
      <c r="M397" s="129" t="str">
        <f t="shared" si="20"/>
        <v/>
      </c>
    </row>
    <row r="398" spans="1:13" ht="18" customHeight="1" thickBot="1" x14ac:dyDescent="0.2">
      <c r="A398" s="37" t="s">
        <v>94</v>
      </c>
      <c r="B398" s="44" t="s">
        <v>731</v>
      </c>
      <c r="C398" s="109" t="str">
        <f>HYPERLINK(Hoofddocument!$H$398,Hoofddocument!$G$398)</f>
        <v>Coachend Leidinggeven</v>
      </c>
      <c r="D398" s="17"/>
      <c r="E398" s="17"/>
      <c r="F398" s="17"/>
      <c r="G398" s="82"/>
      <c r="H398" s="37" t="s">
        <v>94</v>
      </c>
      <c r="I398" s="44" t="s">
        <v>731</v>
      </c>
      <c r="J398" s="109" t="str">
        <f>HYPERLINK(Hoofddocument!$H$398,Hoofddocument!$G$398)</f>
        <v>Coachend Leidinggeven</v>
      </c>
      <c r="K398" s="129" t="str">
        <f t="shared" si="21"/>
        <v/>
      </c>
      <c r="L398" s="129" t="str">
        <f t="shared" si="19"/>
        <v/>
      </c>
      <c r="M398" s="129" t="str">
        <f t="shared" si="20"/>
        <v/>
      </c>
    </row>
    <row r="399" spans="1:13" ht="18" customHeight="1" thickBot="1" x14ac:dyDescent="0.2">
      <c r="A399" s="37" t="s">
        <v>94</v>
      </c>
      <c r="B399" s="44" t="s">
        <v>731</v>
      </c>
      <c r="C399" s="109" t="str">
        <f>HYPERLINK(Hoofddocument!$H$399,Hoofddocument!$G$399)</f>
        <v>Powerboost Effectief Leidinggeven</v>
      </c>
      <c r="D399" s="17"/>
      <c r="E399" s="17"/>
      <c r="F399" s="17"/>
      <c r="G399" s="82"/>
      <c r="H399" s="37" t="s">
        <v>94</v>
      </c>
      <c r="I399" s="44" t="s">
        <v>731</v>
      </c>
      <c r="J399" s="109" t="str">
        <f>HYPERLINK(Hoofddocument!$H$399,Hoofddocument!$G$399)</f>
        <v>Powerboost Effectief Leidinggeven</v>
      </c>
      <c r="K399" s="129" t="str">
        <f t="shared" si="21"/>
        <v/>
      </c>
      <c r="L399" s="129" t="str">
        <f t="shared" si="19"/>
        <v/>
      </c>
      <c r="M399" s="129" t="str">
        <f t="shared" si="20"/>
        <v/>
      </c>
    </row>
    <row r="400" spans="1:13" ht="18" customHeight="1" thickBot="1" x14ac:dyDescent="0.2">
      <c r="A400" s="43" t="s">
        <v>94</v>
      </c>
      <c r="B400" s="44" t="s">
        <v>14</v>
      </c>
      <c r="C400" s="109" t="str">
        <f>HYPERLINK(Hoofddocument!$H$400,Hoofddocument!$G$400)</f>
        <v>Effectieve Gespreksvaardigheden</v>
      </c>
      <c r="D400" s="17"/>
      <c r="E400" s="17"/>
      <c r="F400" s="17"/>
      <c r="G400" s="82"/>
      <c r="H400" s="43" t="s">
        <v>94</v>
      </c>
      <c r="I400" s="44" t="s">
        <v>14</v>
      </c>
      <c r="J400" s="109" t="str">
        <f>HYPERLINK(Hoofddocument!$H$400,Hoofddocument!$G$400)</f>
        <v>Effectieve Gespreksvaardigheden</v>
      </c>
      <c r="K400" s="129" t="str">
        <f t="shared" si="21"/>
        <v/>
      </c>
      <c r="L400" s="129" t="str">
        <f t="shared" si="19"/>
        <v/>
      </c>
      <c r="M400" s="129" t="str">
        <f t="shared" si="20"/>
        <v/>
      </c>
    </row>
    <row r="401" spans="1:13" ht="18" customHeight="1" thickBot="1" x14ac:dyDescent="0.2">
      <c r="A401" s="43" t="s">
        <v>94</v>
      </c>
      <c r="B401" s="44" t="s">
        <v>15</v>
      </c>
      <c r="C401" s="109" t="str">
        <f>HYPERLINK(Hoofddocument!$H$401,Hoofddocument!$G$401)</f>
        <v>Masterclass Toegepaste Organisatiekunde</v>
      </c>
      <c r="D401" s="17"/>
      <c r="E401" s="17"/>
      <c r="F401" s="17"/>
      <c r="G401" s="82"/>
      <c r="H401" s="43" t="s">
        <v>94</v>
      </c>
      <c r="I401" s="44" t="s">
        <v>15</v>
      </c>
      <c r="J401" s="109" t="str">
        <f>HYPERLINK(Hoofddocument!$H$401,Hoofddocument!$G$401)</f>
        <v>Masterclass Toegepaste Organisatiekunde</v>
      </c>
      <c r="K401" s="17" t="str">
        <f t="shared" si="21"/>
        <v/>
      </c>
      <c r="L401" s="129" t="str">
        <f t="shared" si="19"/>
        <v/>
      </c>
      <c r="M401" s="129" t="str">
        <f t="shared" si="20"/>
        <v/>
      </c>
    </row>
    <row r="402" spans="1:13" ht="18" customHeight="1" thickBot="1" x14ac:dyDescent="0.2">
      <c r="A402" s="43" t="s">
        <v>94</v>
      </c>
      <c r="B402" s="44" t="s">
        <v>15</v>
      </c>
      <c r="C402" s="109" t="str">
        <f>HYPERLINK(Hoofddocument!$H$402,Hoofddocument!$G$402)</f>
        <v>Masterclass Strategie, visie en innovatie</v>
      </c>
      <c r="D402" s="17"/>
      <c r="E402" s="17"/>
      <c r="F402" s="17"/>
      <c r="G402" s="82"/>
      <c r="H402" s="43" t="s">
        <v>94</v>
      </c>
      <c r="I402" s="44" t="s">
        <v>15</v>
      </c>
      <c r="J402" s="109" t="str">
        <f>HYPERLINK(Hoofddocument!$H$402,Hoofddocument!$G$402)</f>
        <v>Masterclass Strategie, visie en innovatie</v>
      </c>
      <c r="K402" s="129" t="str">
        <f t="shared" si="21"/>
        <v/>
      </c>
      <c r="L402" s="129" t="str">
        <f t="shared" si="19"/>
        <v/>
      </c>
      <c r="M402" s="129" t="str">
        <f t="shared" si="20"/>
        <v/>
      </c>
    </row>
    <row r="403" spans="1:13" ht="18" customHeight="1" thickBot="1" x14ac:dyDescent="0.2">
      <c r="A403" s="43" t="s">
        <v>94</v>
      </c>
      <c r="B403" s="44" t="s">
        <v>15</v>
      </c>
      <c r="C403" s="109" t="str">
        <f>HYPERLINK(Hoofddocument!$H$403,Hoofddocument!$G$403)</f>
        <v>Masterclass IT Developments</v>
      </c>
      <c r="D403" s="17"/>
      <c r="E403" s="17"/>
      <c r="F403" s="17"/>
      <c r="G403" s="82"/>
      <c r="H403" s="43" t="s">
        <v>94</v>
      </c>
      <c r="I403" s="44" t="s">
        <v>15</v>
      </c>
      <c r="J403" s="109" t="str">
        <f>HYPERLINK(Hoofddocument!$H$403,Hoofddocument!$G$403)</f>
        <v>Masterclass IT Developments</v>
      </c>
      <c r="K403" s="129" t="str">
        <f t="shared" si="21"/>
        <v/>
      </c>
      <c r="L403" s="129" t="str">
        <f t="shared" si="19"/>
        <v/>
      </c>
      <c r="M403" s="129" t="str">
        <f t="shared" si="20"/>
        <v/>
      </c>
    </row>
    <row r="404" spans="1:13" ht="18" customHeight="1" thickBot="1" x14ac:dyDescent="0.2">
      <c r="A404" s="43" t="s">
        <v>94</v>
      </c>
      <c r="B404" s="44" t="s">
        <v>15</v>
      </c>
      <c r="C404" s="109" t="str">
        <f>HYPERLINK(Hoofddocument!$H$404,Hoofddocument!$G$404)</f>
        <v>Kijk voor inspiratie bij IV Academy</v>
      </c>
      <c r="D404" s="17"/>
      <c r="E404" s="17"/>
      <c r="F404" s="17"/>
      <c r="G404" s="82"/>
      <c r="H404" s="43" t="s">
        <v>94</v>
      </c>
      <c r="I404" s="44" t="s">
        <v>15</v>
      </c>
      <c r="J404" s="109" t="str">
        <f>HYPERLINK(Hoofddocument!$H$404,Hoofddocument!$G$404)</f>
        <v>Kijk voor inspiratie bij IV Academy</v>
      </c>
      <c r="K404" s="129" t="str">
        <f t="shared" si="21"/>
        <v/>
      </c>
      <c r="L404" s="129" t="str">
        <f t="shared" si="19"/>
        <v/>
      </c>
      <c r="M404" s="129" t="str">
        <f t="shared" si="20"/>
        <v/>
      </c>
    </row>
    <row r="405" spans="1:13" ht="18" customHeight="1" thickBot="1" x14ac:dyDescent="0.2">
      <c r="A405" s="41" t="s">
        <v>94</v>
      </c>
      <c r="B405" s="38" t="s">
        <v>16</v>
      </c>
      <c r="C405" s="109" t="str">
        <f>HYPERLINK(Hoofddocument!$H$405,Hoofddocument!$G$405)</f>
        <v>Effectieve Gespreksvaardigheden</v>
      </c>
      <c r="D405" s="17"/>
      <c r="E405" s="17"/>
      <c r="F405" s="17"/>
      <c r="G405" s="82"/>
      <c r="H405" s="41" t="s">
        <v>94</v>
      </c>
      <c r="I405" s="38" t="s">
        <v>16</v>
      </c>
      <c r="J405" s="109" t="str">
        <f>HYPERLINK(Hoofddocument!$H$405,Hoofddocument!$G$405)</f>
        <v>Effectieve Gespreksvaardigheden</v>
      </c>
      <c r="K405" s="129" t="str">
        <f t="shared" si="21"/>
        <v/>
      </c>
      <c r="L405" s="129" t="str">
        <f t="shared" si="19"/>
        <v/>
      </c>
      <c r="M405" s="129" t="str">
        <f t="shared" si="20"/>
        <v/>
      </c>
    </row>
    <row r="406" spans="1:13" ht="18" customHeight="1" thickBot="1" x14ac:dyDescent="0.2">
      <c r="A406" s="37" t="s">
        <v>94</v>
      </c>
      <c r="B406" s="38" t="s">
        <v>16</v>
      </c>
      <c r="C406" s="109" t="str">
        <f>HYPERLINK(Hoofddocument!$H$406,Hoofddocument!$G$406)</f>
        <v>Effectief Communiceren met NLP</v>
      </c>
      <c r="D406" s="17"/>
      <c r="E406" s="17"/>
      <c r="F406" s="17"/>
      <c r="G406" s="82"/>
      <c r="H406" s="37" t="s">
        <v>94</v>
      </c>
      <c r="I406" s="38" t="s">
        <v>16</v>
      </c>
      <c r="J406" s="109" t="str">
        <f>HYPERLINK(Hoofddocument!$H$406,Hoofddocument!$G$406)</f>
        <v>Effectief Communiceren met NLP</v>
      </c>
      <c r="K406" s="129" t="str">
        <f t="shared" si="21"/>
        <v/>
      </c>
      <c r="L406" s="129" t="str">
        <f t="shared" si="19"/>
        <v/>
      </c>
      <c r="M406" s="129" t="str">
        <f t="shared" si="20"/>
        <v/>
      </c>
    </row>
    <row r="407" spans="1:13" ht="18" customHeight="1" thickBot="1" x14ac:dyDescent="0.2">
      <c r="A407" s="37" t="s">
        <v>94</v>
      </c>
      <c r="B407" s="38" t="s">
        <v>101</v>
      </c>
      <c r="C407" s="109" t="str">
        <f>HYPERLINK(Hoofddocument!$H$407,Hoofddocument!$G$407)</f>
        <v>Overtuigend en inspirerend presenteren</v>
      </c>
      <c r="D407" s="17"/>
      <c r="E407" s="17"/>
      <c r="F407" s="17"/>
      <c r="G407" s="82"/>
      <c r="H407" s="37" t="s">
        <v>94</v>
      </c>
      <c r="I407" s="38" t="s">
        <v>101</v>
      </c>
      <c r="J407" s="109" t="str">
        <f>HYPERLINK(Hoofddocument!$H$407,Hoofddocument!$G$407)</f>
        <v>Overtuigend en inspirerend presenteren</v>
      </c>
      <c r="K407" s="129" t="str">
        <f t="shared" si="21"/>
        <v/>
      </c>
      <c r="L407" s="129" t="str">
        <f t="shared" si="19"/>
        <v/>
      </c>
      <c r="M407" s="129" t="str">
        <f t="shared" si="20"/>
        <v/>
      </c>
    </row>
    <row r="408" spans="1:13" ht="18" customHeight="1" thickBot="1" x14ac:dyDescent="0.2">
      <c r="A408" s="37" t="s">
        <v>94</v>
      </c>
      <c r="B408" s="38" t="s">
        <v>17</v>
      </c>
      <c r="C408" s="109" t="str">
        <f>HYPERLINK(Hoofddocument!$H$408,Hoofddocument!$G$408)</f>
        <v>Leergang Netwerk- en Ketenregie in de Publieke Sector</v>
      </c>
      <c r="D408" s="17"/>
      <c r="E408" s="17"/>
      <c r="F408" s="17"/>
      <c r="G408" s="82"/>
      <c r="H408" s="37" t="s">
        <v>94</v>
      </c>
      <c r="I408" s="38" t="s">
        <v>17</v>
      </c>
      <c r="J408" s="109" t="str">
        <f>HYPERLINK(Hoofddocument!$H$408,Hoofddocument!$G$408)</f>
        <v>Leergang Netwerk- en Ketenregie in de Publieke Sector</v>
      </c>
      <c r="K408" s="129" t="str">
        <f t="shared" si="21"/>
        <v/>
      </c>
      <c r="L408" s="129" t="str">
        <f t="shared" si="19"/>
        <v/>
      </c>
      <c r="M408" s="129" t="str">
        <f t="shared" si="20"/>
        <v/>
      </c>
    </row>
    <row r="409" spans="1:13" ht="18" customHeight="1" thickBot="1" x14ac:dyDescent="0.2">
      <c r="A409" s="37" t="s">
        <v>94</v>
      </c>
      <c r="B409" s="38" t="s">
        <v>17</v>
      </c>
      <c r="C409" s="109" t="str">
        <f>HYPERLINK(Hoofddocument!$H$409,Hoofddocument!$G$409)</f>
        <v>Netwerken</v>
      </c>
      <c r="D409" s="17"/>
      <c r="E409" s="17"/>
      <c r="F409" s="17"/>
      <c r="G409" s="82"/>
      <c r="H409" s="37" t="s">
        <v>94</v>
      </c>
      <c r="I409" s="38" t="s">
        <v>17</v>
      </c>
      <c r="J409" s="109" t="str">
        <f>HYPERLINK(Hoofddocument!$H$409,Hoofddocument!$G$409)</f>
        <v>Netwerken</v>
      </c>
      <c r="K409" s="129" t="str">
        <f t="shared" si="21"/>
        <v/>
      </c>
      <c r="L409" s="129" t="str">
        <f t="shared" si="19"/>
        <v/>
      </c>
      <c r="M409" s="129" t="str">
        <f t="shared" si="20"/>
        <v/>
      </c>
    </row>
    <row r="410" spans="1:13" ht="18" customHeight="1" thickBot="1" x14ac:dyDescent="0.2">
      <c r="A410" s="37" t="s">
        <v>94</v>
      </c>
      <c r="B410" s="55" t="s">
        <v>17</v>
      </c>
      <c r="C410" s="109" t="str">
        <f>HYPERLINK(Hoofddocument!$H$410,Hoofddocument!$G$410)</f>
        <v>Stakeholdermanagement</v>
      </c>
      <c r="D410" s="17"/>
      <c r="E410" s="17"/>
      <c r="F410" s="17"/>
      <c r="G410" s="82"/>
      <c r="H410" s="37" t="s">
        <v>94</v>
      </c>
      <c r="I410" s="55" t="s">
        <v>17</v>
      </c>
      <c r="J410" s="109" t="str">
        <f>HYPERLINK(Hoofddocument!$H$410,Hoofddocument!$G$410)</f>
        <v>Stakeholdermanagement</v>
      </c>
      <c r="K410" s="129" t="str">
        <f t="shared" si="21"/>
        <v/>
      </c>
      <c r="L410" s="129" t="str">
        <f t="shared" si="19"/>
        <v/>
      </c>
      <c r="M410" s="129" t="str">
        <f t="shared" si="20"/>
        <v/>
      </c>
    </row>
    <row r="411" spans="1:13" ht="18" customHeight="1" thickBot="1" x14ac:dyDescent="0.2">
      <c r="A411" s="37" t="s">
        <v>94</v>
      </c>
      <c r="B411" s="55" t="s">
        <v>17</v>
      </c>
      <c r="C411" s="109" t="str">
        <f>HYPERLINK(Hoofddocument!$H$411,Hoofddocument!$G$411)</f>
        <v>Masterclass Publieke Sector als Netwerkorganisatie</v>
      </c>
      <c r="D411" s="17"/>
      <c r="E411" s="17"/>
      <c r="F411" s="17"/>
      <c r="G411" s="82"/>
      <c r="H411" s="37" t="s">
        <v>94</v>
      </c>
      <c r="I411" s="55" t="s">
        <v>17</v>
      </c>
      <c r="J411" s="109" t="str">
        <f>HYPERLINK(Hoofddocument!$H$411,Hoofddocument!$G$411)</f>
        <v>Masterclass Publieke Sector als Netwerkorganisatie</v>
      </c>
      <c r="K411" s="129" t="str">
        <f t="shared" si="21"/>
        <v/>
      </c>
      <c r="L411" s="129" t="str">
        <f t="shared" si="19"/>
        <v/>
      </c>
      <c r="M411" s="129" t="str">
        <f t="shared" si="20"/>
        <v/>
      </c>
    </row>
    <row r="412" spans="1:13" ht="18" customHeight="1" thickBot="1" x14ac:dyDescent="0.2">
      <c r="A412" s="37" t="s">
        <v>94</v>
      </c>
      <c r="B412" s="55" t="s">
        <v>18</v>
      </c>
      <c r="C412" s="109" t="str">
        <f>HYPERLINK(Hoofddocument!$H$412,Hoofddocument!$G$412)</f>
        <v>Interne Communicatie en Samenwerking</v>
      </c>
      <c r="D412" s="17"/>
      <c r="E412" s="17"/>
      <c r="F412" s="17"/>
      <c r="G412" s="82"/>
      <c r="H412" s="37" t="s">
        <v>94</v>
      </c>
      <c r="I412" s="55" t="s">
        <v>18</v>
      </c>
      <c r="J412" s="109" t="str">
        <f>HYPERLINK(Hoofddocument!$H$412,Hoofddocument!$G$412)</f>
        <v>Interne Communicatie en Samenwerking</v>
      </c>
      <c r="K412" s="129" t="str">
        <f t="shared" si="21"/>
        <v/>
      </c>
      <c r="L412" s="129" t="str">
        <f t="shared" si="19"/>
        <v/>
      </c>
      <c r="M412" s="129" t="str">
        <f t="shared" si="20"/>
        <v/>
      </c>
    </row>
    <row r="413" spans="1:13" ht="18" customHeight="1" thickBot="1" x14ac:dyDescent="0.2">
      <c r="A413" s="37" t="s">
        <v>94</v>
      </c>
      <c r="B413" s="55" t="s">
        <v>18</v>
      </c>
      <c r="C413" s="109" t="str">
        <f>HYPERLINK(Hoofddocument!$H$413,Hoofddocument!$G$413)</f>
        <v>Politiek-bestuurlijke Sensitiviteit en Beïnvloeding</v>
      </c>
      <c r="D413" s="17"/>
      <c r="E413" s="17"/>
      <c r="F413" s="17"/>
      <c r="G413" s="82"/>
      <c r="H413" s="37" t="s">
        <v>94</v>
      </c>
      <c r="I413" s="55" t="s">
        <v>18</v>
      </c>
      <c r="J413" s="109" t="str">
        <f>HYPERLINK(Hoofddocument!$H$413,Hoofddocument!$G$413)</f>
        <v>Politiek-bestuurlijke Sensitiviteit en Beïnvloeding</v>
      </c>
      <c r="K413" s="129" t="str">
        <f t="shared" si="21"/>
        <v/>
      </c>
      <c r="L413" s="129" t="str">
        <f t="shared" si="19"/>
        <v/>
      </c>
      <c r="M413" s="129" t="str">
        <f t="shared" si="20"/>
        <v/>
      </c>
    </row>
    <row r="414" spans="1:13" ht="18" customHeight="1" thickBot="1" x14ac:dyDescent="0.2">
      <c r="A414" s="37" t="s">
        <v>94</v>
      </c>
      <c r="B414" s="55" t="s">
        <v>18</v>
      </c>
      <c r="C414" s="109" t="str">
        <f>HYPERLINK(Hoofddocument!$H$414,Hoofddocument!$G$414)</f>
        <v>Masterclass Strategie en Beleid in een Politieke Omgeving</v>
      </c>
      <c r="D414" s="17"/>
      <c r="E414" s="17"/>
      <c r="F414" s="17"/>
      <c r="G414" s="82"/>
      <c r="H414" s="37" t="s">
        <v>94</v>
      </c>
      <c r="I414" s="55" t="s">
        <v>18</v>
      </c>
      <c r="J414" s="109" t="str">
        <f>HYPERLINK(Hoofddocument!$H$414,Hoofddocument!$G$414)</f>
        <v>Masterclass Strategie en Beleid in een Politieke Omgeving</v>
      </c>
      <c r="K414" s="129" t="str">
        <f t="shared" si="21"/>
        <v/>
      </c>
      <c r="L414" s="129" t="str">
        <f t="shared" si="19"/>
        <v/>
      </c>
      <c r="M414" s="129" t="str">
        <f t="shared" si="20"/>
        <v/>
      </c>
    </row>
    <row r="415" spans="1:13" ht="18" customHeight="1" thickBot="1" x14ac:dyDescent="0.2">
      <c r="A415" s="37" t="s">
        <v>94</v>
      </c>
      <c r="B415" s="55" t="s">
        <v>19</v>
      </c>
      <c r="C415" s="109" t="str">
        <f>HYPERLINK(Hoofddocument!$H$415,Hoofddocument!$G$415)</f>
        <v>Assertief en Zelfverzekerd communiceren</v>
      </c>
      <c r="D415" s="17"/>
      <c r="E415" s="17"/>
      <c r="F415" s="17"/>
      <c r="G415" s="82"/>
      <c r="H415" s="37" t="s">
        <v>94</v>
      </c>
      <c r="I415" s="55" t="s">
        <v>19</v>
      </c>
      <c r="J415" s="109" t="str">
        <f>HYPERLINK(Hoofddocument!$H$415,Hoofddocument!$G$415)</f>
        <v>Assertief en Zelfverzekerd communiceren</v>
      </c>
      <c r="K415" s="125" t="str">
        <f t="shared" si="21"/>
        <v/>
      </c>
      <c r="L415" s="129" t="str">
        <f t="shared" si="19"/>
        <v/>
      </c>
      <c r="M415" s="129" t="str">
        <f t="shared" si="20"/>
        <v/>
      </c>
    </row>
    <row r="416" spans="1:13" ht="18" customHeight="1" thickBot="1" x14ac:dyDescent="0.2">
      <c r="A416" s="37" t="s">
        <v>94</v>
      </c>
      <c r="B416" s="55" t="s">
        <v>723</v>
      </c>
      <c r="C416" s="109" t="str">
        <f>HYPERLINK(Hoofddocument!$H$416,Hoofddocument!$G$416)</f>
        <v>Effectief onderhandelen</v>
      </c>
      <c r="D416" s="17"/>
      <c r="E416" s="17"/>
      <c r="F416" s="17"/>
      <c r="G416" s="82"/>
      <c r="H416" s="37" t="s">
        <v>94</v>
      </c>
      <c r="I416" s="55" t="s">
        <v>723</v>
      </c>
      <c r="J416" s="109" t="str">
        <f>HYPERLINK(Hoofddocument!$H$416,Hoofddocument!$G$416)</f>
        <v>Effectief onderhandelen</v>
      </c>
      <c r="K416" s="129" t="str">
        <f t="shared" si="21"/>
        <v/>
      </c>
      <c r="L416" s="129" t="str">
        <f t="shared" si="19"/>
        <v/>
      </c>
      <c r="M416" s="129" t="str">
        <f t="shared" si="20"/>
        <v/>
      </c>
    </row>
    <row r="417" spans="1:13" ht="18" customHeight="1" thickBot="1" x14ac:dyDescent="0.2">
      <c r="A417" s="37" t="s">
        <v>94</v>
      </c>
      <c r="B417" s="55" t="s">
        <v>20</v>
      </c>
      <c r="C417" s="109" t="str">
        <f>HYPERLINK(Hoofddocument!$H$417,Hoofddocument!$G$417)</f>
        <v>HBO Module Projectmanagementvaardigheden</v>
      </c>
      <c r="D417" s="17"/>
      <c r="E417" s="17"/>
      <c r="F417" s="17"/>
      <c r="G417" s="82"/>
      <c r="H417" s="37" t="s">
        <v>94</v>
      </c>
      <c r="I417" s="55" t="s">
        <v>20</v>
      </c>
      <c r="J417" s="109" t="str">
        <f>HYPERLINK(Hoofddocument!$H$417,Hoofddocument!$G$417)</f>
        <v>HBO Module Projectmanagementvaardigheden</v>
      </c>
      <c r="K417" s="129" t="str">
        <f t="shared" si="21"/>
        <v/>
      </c>
      <c r="L417" s="129" t="str">
        <f t="shared" si="19"/>
        <v/>
      </c>
      <c r="M417" s="129" t="str">
        <f t="shared" si="20"/>
        <v/>
      </c>
    </row>
    <row r="418" spans="1:13" ht="18" customHeight="1" thickBot="1" x14ac:dyDescent="0.2">
      <c r="A418" s="37" t="s">
        <v>94</v>
      </c>
      <c r="B418" s="55" t="s">
        <v>20</v>
      </c>
      <c r="C418" s="109" t="str">
        <f>HYPERLINK(Hoofddocument!$H$418,Hoofddocument!$G$418)</f>
        <v>Effectief Beïnvloeden</v>
      </c>
      <c r="D418" s="17"/>
      <c r="E418" s="17"/>
      <c r="F418" s="17"/>
      <c r="G418" s="82"/>
      <c r="H418" s="37" t="s">
        <v>94</v>
      </c>
      <c r="I418" s="55" t="s">
        <v>20</v>
      </c>
      <c r="J418" s="109" t="str">
        <f>HYPERLINK(Hoofddocument!$H$418,Hoofddocument!$G$418)</f>
        <v>Effectief Beïnvloeden</v>
      </c>
      <c r="K418" s="17" t="str">
        <f t="shared" si="21"/>
        <v/>
      </c>
      <c r="L418" s="129" t="str">
        <f t="shared" si="19"/>
        <v/>
      </c>
      <c r="M418" s="129" t="str">
        <f t="shared" si="20"/>
        <v/>
      </c>
    </row>
    <row r="419" spans="1:13" ht="18" customHeight="1" thickBot="1" x14ac:dyDescent="0.2">
      <c r="A419" s="37" t="s">
        <v>94</v>
      </c>
      <c r="B419" s="55" t="s">
        <v>20</v>
      </c>
      <c r="C419" s="109" t="str">
        <f>HYPERLINK(Hoofddocument!$H$419,Hoofddocument!$G$419)</f>
        <v>Professioneel Adviseren</v>
      </c>
      <c r="D419" s="17"/>
      <c r="E419" s="17"/>
      <c r="F419" s="17"/>
      <c r="G419" s="82"/>
      <c r="H419" s="37" t="s">
        <v>94</v>
      </c>
      <c r="I419" s="55" t="s">
        <v>20</v>
      </c>
      <c r="J419" s="109" t="str">
        <f>HYPERLINK(Hoofddocument!$H$419,Hoofddocument!$G$419)</f>
        <v>Professioneel Adviseren</v>
      </c>
      <c r="K419" s="129" t="str">
        <f t="shared" si="21"/>
        <v/>
      </c>
      <c r="L419" s="129" t="str">
        <f t="shared" si="19"/>
        <v/>
      </c>
      <c r="M419" s="129" t="str">
        <f t="shared" si="20"/>
        <v/>
      </c>
    </row>
    <row r="420" spans="1:13" ht="18" customHeight="1" thickBot="1" x14ac:dyDescent="0.2">
      <c r="A420" s="37" t="s">
        <v>94</v>
      </c>
      <c r="B420" s="55" t="s">
        <v>20</v>
      </c>
      <c r="C420" s="109" t="str">
        <f>HYPERLINK(Hoofddocument!$H$420,Hoofddocument!$G$420)</f>
        <v>Training Persoonlijk inzicht en beinvloedingsvaardigheden</v>
      </c>
      <c r="D420" s="17"/>
      <c r="E420" s="17"/>
      <c r="F420" s="17"/>
      <c r="G420" s="82"/>
      <c r="H420" s="37" t="s">
        <v>94</v>
      </c>
      <c r="I420" s="55" t="s">
        <v>20</v>
      </c>
      <c r="J420" s="109" t="str">
        <f>HYPERLINK(Hoofddocument!$H$420,Hoofddocument!$G$420)</f>
        <v>Training Persoonlijk inzicht en beinvloedingsvaardigheden</v>
      </c>
      <c r="K420" s="129" t="str">
        <f t="shared" si="21"/>
        <v/>
      </c>
      <c r="L420" s="129" t="str">
        <f t="shared" si="19"/>
        <v/>
      </c>
      <c r="M420" s="129" t="str">
        <f t="shared" si="20"/>
        <v/>
      </c>
    </row>
    <row r="421" spans="1:13" ht="18" customHeight="1" thickBot="1" x14ac:dyDescent="0.2">
      <c r="A421" s="37" t="s">
        <v>94</v>
      </c>
      <c r="B421" s="55" t="s">
        <v>20</v>
      </c>
      <c r="C421" s="109" t="str">
        <f>HYPERLINK(Hoofddocument!$H$421,Hoofddocument!$G$421)</f>
        <v>Executive Masterclass Persoonlijk Leiderschap</v>
      </c>
      <c r="D421" s="17"/>
      <c r="E421" s="17"/>
      <c r="F421" s="17"/>
      <c r="G421" s="82"/>
      <c r="H421" s="37" t="s">
        <v>94</v>
      </c>
      <c r="I421" s="55" t="s">
        <v>20</v>
      </c>
      <c r="J421" s="109" t="str">
        <f>HYPERLINK(Hoofddocument!$H$421,Hoofddocument!$G$421)</f>
        <v>Executive Masterclass Persoonlijk Leiderschap</v>
      </c>
      <c r="K421" s="129" t="str">
        <f t="shared" si="21"/>
        <v/>
      </c>
      <c r="L421" s="129" t="str">
        <f t="shared" si="19"/>
        <v/>
      </c>
      <c r="M421" s="129" t="str">
        <f t="shared" si="20"/>
        <v/>
      </c>
    </row>
    <row r="422" spans="1:13" ht="18" customHeight="1" thickBot="1" x14ac:dyDescent="0.2">
      <c r="A422" s="37" t="s">
        <v>94</v>
      </c>
      <c r="B422" s="55" t="s">
        <v>20</v>
      </c>
      <c r="C422" s="109" t="str">
        <f>HYPERLINK(Hoofddocument!$H$422,Hoofddocument!$G$422)</f>
        <v>Training Goed Waarnemen, Juist interpreteren en Effectief Communiceren</v>
      </c>
      <c r="D422" s="17"/>
      <c r="E422" s="17"/>
      <c r="F422" s="17"/>
      <c r="G422" s="82"/>
      <c r="H422" s="37" t="s">
        <v>94</v>
      </c>
      <c r="I422" s="55" t="s">
        <v>20</v>
      </c>
      <c r="J422" s="109" t="str">
        <f>HYPERLINK(Hoofddocument!$H$422,Hoofddocument!$G$422)</f>
        <v>Training Goed Waarnemen, Juist interpreteren en Effectief Communiceren</v>
      </c>
      <c r="K422" s="129" t="str">
        <f t="shared" si="21"/>
        <v/>
      </c>
      <c r="L422" s="129" t="str">
        <f t="shared" si="19"/>
        <v/>
      </c>
      <c r="M422" s="129" t="str">
        <f t="shared" si="20"/>
        <v/>
      </c>
    </row>
    <row r="423" spans="1:13" ht="18" customHeight="1" thickBot="1" x14ac:dyDescent="0.2">
      <c r="A423" s="37" t="s">
        <v>94</v>
      </c>
      <c r="B423" s="38" t="s">
        <v>20</v>
      </c>
      <c r="C423" s="109" t="str">
        <f>HYPERLINK(Hoofddocument!$H$423,Hoofddocument!$G$423)</f>
        <v>Basistraining Adviesvaardigheden</v>
      </c>
      <c r="D423" s="17"/>
      <c r="E423" s="17"/>
      <c r="F423" s="17"/>
      <c r="G423" s="82"/>
      <c r="H423" s="37" t="s">
        <v>94</v>
      </c>
      <c r="I423" s="38" t="s">
        <v>20</v>
      </c>
      <c r="J423" s="109" t="str">
        <f>HYPERLINK(Hoofddocument!$H$423,Hoofddocument!$G$423)</f>
        <v>Basistraining Adviesvaardigheden</v>
      </c>
      <c r="K423" s="129" t="str">
        <f t="shared" si="21"/>
        <v/>
      </c>
      <c r="L423" s="129" t="str">
        <f t="shared" si="19"/>
        <v/>
      </c>
      <c r="M423" s="129" t="str">
        <f t="shared" si="20"/>
        <v/>
      </c>
    </row>
    <row r="424" spans="1:13" ht="18" customHeight="1" thickBot="1" x14ac:dyDescent="0.2">
      <c r="A424" s="37" t="s">
        <v>94</v>
      </c>
      <c r="B424" s="55" t="s">
        <v>21</v>
      </c>
      <c r="C424" s="109" t="str">
        <f>HYPERLINK(Hoofddocument!$H$424,Hoofddocument!$G$424)</f>
        <v>Bewust Handelen vanuit een Growth Mindset</v>
      </c>
      <c r="D424" s="17"/>
      <c r="E424" s="17"/>
      <c r="F424" s="17"/>
      <c r="G424" s="82"/>
      <c r="H424" s="37" t="s">
        <v>94</v>
      </c>
      <c r="I424" s="55" t="s">
        <v>21</v>
      </c>
      <c r="J424" s="109" t="str">
        <f>HYPERLINK(Hoofddocument!$H$424,Hoofddocument!$G$424)</f>
        <v>Bewust Handelen vanuit een Growth Mindset</v>
      </c>
      <c r="K424" s="129" t="str">
        <f t="shared" si="21"/>
        <v/>
      </c>
      <c r="L424" s="129" t="str">
        <f t="shared" si="19"/>
        <v/>
      </c>
      <c r="M424" s="129" t="str">
        <f t="shared" si="20"/>
        <v/>
      </c>
    </row>
    <row r="425" spans="1:13" ht="18" customHeight="1" thickBot="1" x14ac:dyDescent="0.2">
      <c r="A425" s="37" t="s">
        <v>94</v>
      </c>
      <c r="B425" s="55" t="s">
        <v>21</v>
      </c>
      <c r="C425" s="109" t="str">
        <f>HYPERLINK(Hoofddocument!$H$425,Hoofddocument!$G$425)</f>
        <v>Training Invloed en Macht in Organisaties</v>
      </c>
      <c r="D425" s="17"/>
      <c r="E425" s="17"/>
      <c r="F425" s="17"/>
      <c r="G425" s="82"/>
      <c r="H425" s="37" t="s">
        <v>94</v>
      </c>
      <c r="I425" s="55" t="s">
        <v>21</v>
      </c>
      <c r="J425" s="109" t="str">
        <f>HYPERLINK(Hoofddocument!$H$425,Hoofddocument!$G$425)</f>
        <v>Training Invloed en Macht in Organisaties</v>
      </c>
      <c r="K425" s="129" t="str">
        <f t="shared" si="21"/>
        <v/>
      </c>
      <c r="L425" s="129" t="str">
        <f t="shared" si="19"/>
        <v/>
      </c>
      <c r="M425" s="129" t="str">
        <f t="shared" si="20"/>
        <v/>
      </c>
    </row>
    <row r="426" spans="1:13" ht="18" customHeight="1" thickBot="1" x14ac:dyDescent="0.2">
      <c r="A426" s="37" t="s">
        <v>94</v>
      </c>
      <c r="B426" s="55" t="s">
        <v>21</v>
      </c>
      <c r="C426" s="121" t="s">
        <v>864</v>
      </c>
      <c r="D426" s="17"/>
      <c r="E426" s="17"/>
      <c r="F426" s="17"/>
      <c r="G426" s="82"/>
      <c r="H426" s="37" t="s">
        <v>94</v>
      </c>
      <c r="I426" s="55" t="s">
        <v>21</v>
      </c>
      <c r="J426" s="121" t="s">
        <v>864</v>
      </c>
      <c r="K426" s="129" t="str">
        <f t="shared" si="21"/>
        <v/>
      </c>
      <c r="L426" s="17" t="str">
        <f t="shared" si="19"/>
        <v/>
      </c>
      <c r="M426" s="129" t="str">
        <f t="shared" si="20"/>
        <v/>
      </c>
    </row>
    <row r="427" spans="1:13" ht="18" customHeight="1" thickBot="1" x14ac:dyDescent="0.2">
      <c r="A427" s="37" t="s">
        <v>94</v>
      </c>
      <c r="B427" s="55" t="s">
        <v>21</v>
      </c>
      <c r="C427" s="121" t="s">
        <v>873</v>
      </c>
      <c r="D427" s="17"/>
      <c r="E427" s="17"/>
      <c r="F427" s="17"/>
      <c r="G427" s="82"/>
      <c r="H427" s="37" t="s">
        <v>94</v>
      </c>
      <c r="I427" s="55" t="s">
        <v>21</v>
      </c>
      <c r="J427" s="121" t="s">
        <v>873</v>
      </c>
      <c r="K427" s="129" t="str">
        <f t="shared" si="21"/>
        <v/>
      </c>
      <c r="L427" s="129" t="str">
        <f t="shared" si="19"/>
        <v/>
      </c>
      <c r="M427" s="129" t="str">
        <f t="shared" si="20"/>
        <v/>
      </c>
    </row>
    <row r="428" spans="1:13" ht="18" customHeight="1" thickBot="1" x14ac:dyDescent="0.2">
      <c r="A428" s="37" t="s">
        <v>94</v>
      </c>
      <c r="B428" s="55" t="s">
        <v>21</v>
      </c>
      <c r="C428" s="109" t="str">
        <f>HYPERLINK(Hoofddocument!$H$428,Hoofddocument!$G$428)</f>
        <v>Powerboost Communicatie en Samenwerking</v>
      </c>
      <c r="D428" s="17"/>
      <c r="E428" s="17"/>
      <c r="F428" s="17"/>
      <c r="G428" s="82"/>
      <c r="H428" s="37" t="s">
        <v>94</v>
      </c>
      <c r="I428" s="55" t="s">
        <v>21</v>
      </c>
      <c r="J428" s="109" t="str">
        <f>HYPERLINK(Hoofddocument!$H$428,Hoofddocument!$G$428)</f>
        <v>Powerboost Communicatie en Samenwerking</v>
      </c>
      <c r="K428" s="129" t="str">
        <f t="shared" si="21"/>
        <v/>
      </c>
      <c r="L428" s="129" t="str">
        <f t="shared" si="19"/>
        <v/>
      </c>
      <c r="M428" s="129" t="str">
        <f t="shared" si="20"/>
        <v/>
      </c>
    </row>
    <row r="429" spans="1:13" ht="18" customHeight="1" thickBot="1" x14ac:dyDescent="0.2">
      <c r="A429" s="37" t="s">
        <v>94</v>
      </c>
      <c r="B429" s="55" t="s">
        <v>22</v>
      </c>
      <c r="C429" s="109" t="str">
        <f>HYPERLINK(Hoofddocument!$H$429,Hoofddocument!$G$429)</f>
        <v>Emotionele Intelligentie</v>
      </c>
      <c r="D429" s="17"/>
      <c r="E429" s="17"/>
      <c r="F429" s="17"/>
      <c r="G429" s="82"/>
      <c r="H429" s="37" t="s">
        <v>94</v>
      </c>
      <c r="I429" s="55" t="s">
        <v>22</v>
      </c>
      <c r="J429" s="109" t="str">
        <f>HYPERLINK(Hoofddocument!$H$429,Hoofddocument!$G$429)</f>
        <v>Emotionele Intelligentie</v>
      </c>
      <c r="K429" s="129" t="str">
        <f t="shared" si="21"/>
        <v/>
      </c>
      <c r="L429" s="129" t="str">
        <f t="shared" si="19"/>
        <v/>
      </c>
      <c r="M429" s="129" t="str">
        <f t="shared" si="20"/>
        <v/>
      </c>
    </row>
    <row r="430" spans="1:13" ht="18" customHeight="1" thickBot="1" x14ac:dyDescent="0.2">
      <c r="A430" s="37" t="s">
        <v>94</v>
      </c>
      <c r="B430" s="55" t="s">
        <v>22</v>
      </c>
      <c r="C430" s="109" t="str">
        <f>HYPERLINK(Hoofddocument!$H$430,Hoofddocument!$G$430)</f>
        <v>Draagvlak Creëren</v>
      </c>
      <c r="D430" s="17"/>
      <c r="E430" s="17"/>
      <c r="F430" s="17"/>
      <c r="G430" s="82"/>
      <c r="H430" s="37" t="s">
        <v>94</v>
      </c>
      <c r="I430" s="55" t="s">
        <v>22</v>
      </c>
      <c r="J430" s="109" t="str">
        <f>HYPERLINK(Hoofddocument!$H$430,Hoofddocument!$G$430)</f>
        <v>Draagvlak Creëren</v>
      </c>
      <c r="K430" s="125" t="str">
        <f t="shared" si="21"/>
        <v/>
      </c>
      <c r="L430" s="17" t="str">
        <f t="shared" si="19"/>
        <v/>
      </c>
      <c r="M430" s="129" t="str">
        <f t="shared" si="20"/>
        <v/>
      </c>
    </row>
    <row r="431" spans="1:13" ht="18" customHeight="1" thickBot="1" x14ac:dyDescent="0.2">
      <c r="A431" s="37" t="s">
        <v>94</v>
      </c>
      <c r="B431" s="55" t="s">
        <v>22</v>
      </c>
      <c r="C431" s="109" t="str">
        <f>HYPERLINK(Hoofddocument!$H$431,Hoofddocument!$G$431)</f>
        <v>Politieke Antenne</v>
      </c>
      <c r="D431" s="17"/>
      <c r="E431" s="17"/>
      <c r="F431" s="17"/>
      <c r="G431" s="82"/>
      <c r="H431" s="37" t="s">
        <v>94</v>
      </c>
      <c r="I431" s="55" t="s">
        <v>22</v>
      </c>
      <c r="J431" s="109" t="str">
        <f>HYPERLINK(Hoofddocument!$H$431,Hoofddocument!$G$431)</f>
        <v>Politieke Antenne</v>
      </c>
      <c r="K431" s="129" t="str">
        <f t="shared" si="21"/>
        <v/>
      </c>
      <c r="L431" s="129" t="str">
        <f t="shared" si="19"/>
        <v/>
      </c>
      <c r="M431" s="129" t="str">
        <f t="shared" si="20"/>
        <v/>
      </c>
    </row>
    <row r="432" spans="1:13" ht="18" customHeight="1" thickBot="1" x14ac:dyDescent="0.2">
      <c r="A432" s="37" t="s">
        <v>94</v>
      </c>
      <c r="B432" s="55" t="s">
        <v>22</v>
      </c>
      <c r="C432" s="109" t="str">
        <f>HYPERLINK(Hoofddocument!$H$432,Hoofddocument!$G$432)</f>
        <v>Politiek-bestuurlijke Sensitiviteit en Beïnvloeding</v>
      </c>
      <c r="D432" s="17"/>
      <c r="E432" s="17"/>
      <c r="F432" s="17"/>
      <c r="G432" s="82"/>
      <c r="H432" s="37" t="s">
        <v>94</v>
      </c>
      <c r="I432" s="55" t="s">
        <v>22</v>
      </c>
      <c r="J432" s="109" t="str">
        <f>HYPERLINK(Hoofddocument!$H$432,Hoofddocument!$G$432)</f>
        <v>Politiek-bestuurlijke Sensitiviteit en Beïnvloeding</v>
      </c>
      <c r="K432" s="129" t="str">
        <f t="shared" si="21"/>
        <v/>
      </c>
      <c r="L432" s="125" t="str">
        <f t="shared" si="19"/>
        <v/>
      </c>
      <c r="M432" s="129" t="str">
        <f t="shared" si="20"/>
        <v/>
      </c>
    </row>
    <row r="433" spans="1:13" ht="18" customHeight="1" thickBot="1" x14ac:dyDescent="0.2">
      <c r="A433" s="37" t="s">
        <v>94</v>
      </c>
      <c r="B433" s="55" t="s">
        <v>22</v>
      </c>
      <c r="C433" s="127" t="s">
        <v>106</v>
      </c>
      <c r="D433" s="17"/>
      <c r="E433" s="17"/>
      <c r="F433" s="17"/>
      <c r="G433" s="82"/>
      <c r="H433" s="37" t="s">
        <v>94</v>
      </c>
      <c r="I433" s="55" t="s">
        <v>22</v>
      </c>
      <c r="J433" s="127" t="s">
        <v>106</v>
      </c>
      <c r="K433" s="129" t="str">
        <f t="shared" si="21"/>
        <v/>
      </c>
      <c r="L433" s="129" t="str">
        <f t="shared" si="19"/>
        <v/>
      </c>
      <c r="M433" s="129" t="str">
        <f t="shared" si="20"/>
        <v/>
      </c>
    </row>
    <row r="434" spans="1:13" ht="18" customHeight="1" thickBot="1" x14ac:dyDescent="0.2">
      <c r="A434" s="37" t="s">
        <v>94</v>
      </c>
      <c r="B434" s="55" t="s">
        <v>22</v>
      </c>
      <c r="C434" s="109" t="str">
        <f>HYPERLINK(Hoofddocument!$H$434,Hoofddocument!$G$434)</f>
        <v>Training Invloed en Macht in Organisaties</v>
      </c>
      <c r="D434" s="17"/>
      <c r="E434" s="17"/>
      <c r="F434" s="17"/>
      <c r="G434" s="82"/>
      <c r="H434" s="37" t="s">
        <v>94</v>
      </c>
      <c r="I434" s="55" t="s">
        <v>22</v>
      </c>
      <c r="J434" s="109" t="str">
        <f>HYPERLINK(Hoofddocument!$H$434,Hoofddocument!$G$434)</f>
        <v>Training Invloed en Macht in Organisaties</v>
      </c>
      <c r="K434" s="129" t="str">
        <f t="shared" si="21"/>
        <v/>
      </c>
      <c r="L434" s="125" t="str">
        <f t="shared" si="19"/>
        <v/>
      </c>
      <c r="M434" s="129" t="str">
        <f t="shared" si="20"/>
        <v/>
      </c>
    </row>
    <row r="435" spans="1:13" ht="18" customHeight="1" thickBot="1" x14ac:dyDescent="0.2">
      <c r="A435" s="37" t="s">
        <v>94</v>
      </c>
      <c r="B435" s="55" t="s">
        <v>107</v>
      </c>
      <c r="C435" s="109" t="str">
        <f>HYPERLINK(Hoofddocument!$H$435,Hoofddocument!$G$435)</f>
        <v>Timemanagement training</v>
      </c>
      <c r="D435" s="17"/>
      <c r="E435" s="17"/>
      <c r="F435" s="17"/>
      <c r="G435" s="82"/>
      <c r="H435" s="37" t="s">
        <v>94</v>
      </c>
      <c r="I435" s="55" t="s">
        <v>107</v>
      </c>
      <c r="J435" s="109" t="str">
        <f>HYPERLINK(Hoofddocument!$H$435,Hoofddocument!$G$435)</f>
        <v>Timemanagement training</v>
      </c>
      <c r="K435" s="129" t="str">
        <f t="shared" si="21"/>
        <v/>
      </c>
      <c r="L435" s="129" t="str">
        <f t="shared" si="19"/>
        <v/>
      </c>
      <c r="M435" s="129" t="str">
        <f t="shared" si="20"/>
        <v/>
      </c>
    </row>
    <row r="436" spans="1:13" ht="18" customHeight="1" thickBot="1" x14ac:dyDescent="0.2">
      <c r="A436" s="37" t="s">
        <v>94</v>
      </c>
      <c r="B436" s="55" t="s">
        <v>107</v>
      </c>
      <c r="C436" s="109" t="str">
        <f>HYPERLINK(Hoofddocument!$H$436,Hoofddocument!$G$436)</f>
        <v>Projectmatig Werken</v>
      </c>
      <c r="D436" s="17"/>
      <c r="E436" s="17"/>
      <c r="F436" s="17"/>
      <c r="G436" s="82"/>
      <c r="H436" s="37" t="s">
        <v>94</v>
      </c>
      <c r="I436" s="55" t="s">
        <v>107</v>
      </c>
      <c r="J436" s="109" t="str">
        <f>HYPERLINK(Hoofddocument!$H$436,Hoofddocument!$G$436)</f>
        <v>Projectmatig Werken</v>
      </c>
      <c r="K436" s="129" t="str">
        <f t="shared" si="21"/>
        <v/>
      </c>
      <c r="L436" s="129" t="str">
        <f t="shared" si="19"/>
        <v/>
      </c>
      <c r="M436" s="129" t="str">
        <f t="shared" si="20"/>
        <v/>
      </c>
    </row>
    <row r="437" spans="1:13" ht="18" customHeight="1" thickBot="1" x14ac:dyDescent="0.2">
      <c r="A437" s="37" t="s">
        <v>94</v>
      </c>
      <c r="B437" s="55" t="s">
        <v>107</v>
      </c>
      <c r="C437" s="109" t="str">
        <f>HYPERLINK(Hoofddocument!$H$437,Hoofddocument!$G$437)</f>
        <v>Grip op Processen</v>
      </c>
      <c r="D437" s="17"/>
      <c r="E437" s="17"/>
      <c r="F437" s="17"/>
      <c r="G437" s="82"/>
      <c r="H437" s="37" t="s">
        <v>94</v>
      </c>
      <c r="I437" s="55" t="s">
        <v>107</v>
      </c>
      <c r="J437" s="109" t="str">
        <f>HYPERLINK(Hoofddocument!$H$437,Hoofddocument!$G$437)</f>
        <v>Grip op Processen</v>
      </c>
      <c r="K437" s="129" t="str">
        <f t="shared" si="21"/>
        <v/>
      </c>
      <c r="L437" s="129" t="str">
        <f t="shared" si="19"/>
        <v/>
      </c>
      <c r="M437" s="129" t="str">
        <f t="shared" si="20"/>
        <v/>
      </c>
    </row>
    <row r="438" spans="1:13" ht="18" customHeight="1" thickBot="1" x14ac:dyDescent="0.2">
      <c r="A438" s="37" t="s">
        <v>94</v>
      </c>
      <c r="B438" s="55" t="s">
        <v>23</v>
      </c>
      <c r="C438" s="109" t="str">
        <f>HYPERLINK(Hoofddocument!$H$438,Hoofddocument!$G$438)</f>
        <v>Effectief Adviseren in de Publieke Sector</v>
      </c>
      <c r="D438" s="17"/>
      <c r="E438" s="17"/>
      <c r="F438" s="17"/>
      <c r="G438" s="82"/>
      <c r="H438" s="37" t="s">
        <v>94</v>
      </c>
      <c r="I438" s="55" t="s">
        <v>23</v>
      </c>
      <c r="J438" s="109" t="str">
        <f>HYPERLINK(Hoofddocument!$H$438,Hoofddocument!$G$438)</f>
        <v>Effectief Adviseren in de Publieke Sector</v>
      </c>
      <c r="K438" s="129" t="str">
        <f t="shared" si="21"/>
        <v/>
      </c>
      <c r="L438" s="129" t="str">
        <f t="shared" si="19"/>
        <v/>
      </c>
      <c r="M438" s="129" t="str">
        <f t="shared" si="20"/>
        <v/>
      </c>
    </row>
    <row r="439" spans="1:13" ht="18" customHeight="1" thickBot="1" x14ac:dyDescent="0.2">
      <c r="A439" s="37" t="s">
        <v>94</v>
      </c>
      <c r="B439" s="55" t="s">
        <v>23</v>
      </c>
      <c r="C439" s="109" t="str">
        <f>HYPERLINK(Hoofddocument!$H$439,Hoofddocument!$G$439)</f>
        <v>Storytelling</v>
      </c>
      <c r="D439" s="17"/>
      <c r="E439" s="17"/>
      <c r="F439" s="17"/>
      <c r="G439" s="82"/>
      <c r="H439" s="37" t="s">
        <v>94</v>
      </c>
      <c r="I439" s="55" t="s">
        <v>23</v>
      </c>
      <c r="J439" s="109" t="str">
        <f>HYPERLINK(Hoofddocument!$H$439,Hoofddocument!$G$439)</f>
        <v>Storytelling</v>
      </c>
      <c r="K439" s="129" t="str">
        <f t="shared" si="21"/>
        <v/>
      </c>
      <c r="L439" s="129" t="str">
        <f t="shared" si="19"/>
        <v/>
      </c>
      <c r="M439" s="129" t="str">
        <f t="shared" si="20"/>
        <v/>
      </c>
    </row>
    <row r="440" spans="1:13" ht="18" customHeight="1" thickBot="1" x14ac:dyDescent="0.2">
      <c r="A440" s="37" t="s">
        <v>94</v>
      </c>
      <c r="B440" s="55" t="s">
        <v>23</v>
      </c>
      <c r="C440" s="109" t="str">
        <f>HYPERLINK(Hoofddocument!$H$440,Hoofddocument!$G$440)</f>
        <v>Overtuigend en Inspirerend Presenteren</v>
      </c>
      <c r="D440" s="17"/>
      <c r="E440" s="17"/>
      <c r="F440" s="17"/>
      <c r="G440" s="82"/>
      <c r="H440" s="37" t="s">
        <v>94</v>
      </c>
      <c r="I440" s="55" t="s">
        <v>23</v>
      </c>
      <c r="J440" s="109" t="str">
        <f>HYPERLINK(Hoofddocument!$H$440,Hoofddocument!$G$440)</f>
        <v>Overtuigend en Inspirerend Presenteren</v>
      </c>
      <c r="K440" s="129" t="str">
        <f t="shared" si="21"/>
        <v/>
      </c>
      <c r="L440" s="129" t="str">
        <f t="shared" si="19"/>
        <v/>
      </c>
      <c r="M440" s="129" t="str">
        <f t="shared" si="20"/>
        <v/>
      </c>
    </row>
    <row r="441" spans="1:13" ht="18" customHeight="1" thickBot="1" x14ac:dyDescent="0.2">
      <c r="A441" s="37" t="s">
        <v>94</v>
      </c>
      <c r="B441" s="55" t="s">
        <v>23</v>
      </c>
      <c r="C441" s="109" t="str">
        <f>HYPERLINK(Hoofddocument!$H$441,Hoofddocument!$G$441)</f>
        <v>Overtuigingskracht</v>
      </c>
      <c r="D441" s="17"/>
      <c r="E441" s="17"/>
      <c r="F441" s="17"/>
      <c r="G441" s="82"/>
      <c r="H441" s="37" t="s">
        <v>94</v>
      </c>
      <c r="I441" s="55" t="s">
        <v>23</v>
      </c>
      <c r="J441" s="109" t="str">
        <f>HYPERLINK(Hoofddocument!$H$441,Hoofddocument!$G$441)</f>
        <v>Overtuigingskracht</v>
      </c>
      <c r="K441" s="129" t="str">
        <f t="shared" si="21"/>
        <v/>
      </c>
      <c r="L441" s="129" t="str">
        <f t="shared" si="19"/>
        <v/>
      </c>
      <c r="M441" s="129" t="str">
        <f t="shared" si="20"/>
        <v/>
      </c>
    </row>
    <row r="442" spans="1:13" ht="18" customHeight="1" thickBot="1" x14ac:dyDescent="0.2">
      <c r="A442" s="37" t="s">
        <v>94</v>
      </c>
      <c r="B442" s="55" t="s">
        <v>23</v>
      </c>
      <c r="C442" s="109" t="str">
        <f>HYPERLINK(Hoofddocument!$H$442,Hoofddocument!$G$442)</f>
        <v>Professioneel Adviseren</v>
      </c>
      <c r="D442" s="17"/>
      <c r="E442" s="17"/>
      <c r="F442" s="17"/>
      <c r="G442" s="82"/>
      <c r="H442" s="37" t="s">
        <v>94</v>
      </c>
      <c r="I442" s="55" t="s">
        <v>23</v>
      </c>
      <c r="J442" s="109" t="str">
        <f>HYPERLINK(Hoofddocument!$H$442,Hoofddocument!$G$442)</f>
        <v>Professioneel Adviseren</v>
      </c>
      <c r="K442" s="129" t="str">
        <f t="shared" si="21"/>
        <v/>
      </c>
      <c r="L442" s="129" t="str">
        <f t="shared" si="19"/>
        <v/>
      </c>
      <c r="M442" s="129" t="str">
        <f t="shared" si="20"/>
        <v/>
      </c>
    </row>
    <row r="443" spans="1:13" ht="18" customHeight="1" thickBot="1" x14ac:dyDescent="0.2">
      <c r="A443" s="37" t="s">
        <v>94</v>
      </c>
      <c r="B443" s="55" t="s">
        <v>23</v>
      </c>
      <c r="C443" s="109" t="str">
        <f>HYPERLINK(Hoofddocument!$H$443,Hoofddocument!$G$443)</f>
        <v>Brain-based Beïnvloeden</v>
      </c>
      <c r="D443" s="17"/>
      <c r="E443" s="17"/>
      <c r="F443" s="17"/>
      <c r="G443" s="82"/>
      <c r="H443" s="37" t="s">
        <v>94</v>
      </c>
      <c r="I443" s="55" t="s">
        <v>23</v>
      </c>
      <c r="J443" s="109" t="str">
        <f>HYPERLINK(Hoofddocument!$H$443,Hoofddocument!$G$443)</f>
        <v>Brain-based Beïnvloeden</v>
      </c>
      <c r="K443" s="129" t="str">
        <f t="shared" si="21"/>
        <v/>
      </c>
      <c r="L443" s="129" t="str">
        <f t="shared" si="19"/>
        <v/>
      </c>
      <c r="M443" s="129" t="str">
        <f t="shared" si="20"/>
        <v/>
      </c>
    </row>
    <row r="444" spans="1:13" ht="18" customHeight="1" thickBot="1" x14ac:dyDescent="0.2">
      <c r="A444" s="37" t="s">
        <v>94</v>
      </c>
      <c r="B444" s="55" t="s">
        <v>23</v>
      </c>
      <c r="C444" s="109" t="str">
        <f>HYPERLINK(Hoofddocument!$H$444,Hoofddocument!$G$444)</f>
        <v>Schrijven met het piramideprincipe</v>
      </c>
      <c r="D444" s="17"/>
      <c r="E444" s="17"/>
      <c r="F444" s="17"/>
      <c r="G444" s="82"/>
      <c r="H444" s="37" t="s">
        <v>94</v>
      </c>
      <c r="I444" s="55" t="s">
        <v>23</v>
      </c>
      <c r="J444" s="109" t="str">
        <f>HYPERLINK(Hoofddocument!$H$444,Hoofddocument!$G$444)</f>
        <v>Schrijven met het piramideprincipe</v>
      </c>
      <c r="K444" s="129" t="str">
        <f t="shared" si="21"/>
        <v/>
      </c>
      <c r="L444" s="129" t="str">
        <f t="shared" si="19"/>
        <v/>
      </c>
      <c r="M444" s="129" t="str">
        <f t="shared" si="20"/>
        <v/>
      </c>
    </row>
    <row r="445" spans="1:13" ht="18" customHeight="1" thickBot="1" x14ac:dyDescent="0.2">
      <c r="A445" s="37" t="s">
        <v>94</v>
      </c>
      <c r="B445" s="55" t="s">
        <v>23</v>
      </c>
      <c r="C445" s="109" t="str">
        <f>HYPERLINK(Hoofddocument!$H$445,Hoofddocument!$G$445)</f>
        <v>Effectief Beïnvloeden</v>
      </c>
      <c r="D445" s="17"/>
      <c r="E445" s="17"/>
      <c r="F445" s="17"/>
      <c r="G445" s="82"/>
      <c r="H445" s="37" t="s">
        <v>94</v>
      </c>
      <c r="I445" s="55" t="s">
        <v>23</v>
      </c>
      <c r="J445" s="109" t="str">
        <f>HYPERLINK(Hoofddocument!$H$445,Hoofddocument!$G$445)</f>
        <v>Effectief Beïnvloeden</v>
      </c>
      <c r="K445" s="129" t="str">
        <f t="shared" si="21"/>
        <v/>
      </c>
      <c r="L445" s="129" t="str">
        <f t="shared" si="19"/>
        <v/>
      </c>
      <c r="M445" s="129" t="str">
        <f t="shared" si="20"/>
        <v/>
      </c>
    </row>
    <row r="446" spans="1:13" ht="18" customHeight="1" thickBot="1" x14ac:dyDescent="0.2">
      <c r="A446" s="37" t="s">
        <v>94</v>
      </c>
      <c r="B446" s="55" t="s">
        <v>23</v>
      </c>
      <c r="C446" s="109" t="str">
        <f>HYPERLINK(Hoofddocument!$H$446,Hoofddocument!$G$446)</f>
        <v xml:space="preserve">Powerboost Beïnvloeden </v>
      </c>
      <c r="D446" s="17"/>
      <c r="E446" s="17"/>
      <c r="F446" s="17"/>
      <c r="G446" s="82"/>
      <c r="H446" s="37" t="s">
        <v>94</v>
      </c>
      <c r="I446" s="55" t="s">
        <v>23</v>
      </c>
      <c r="J446" s="109" t="str">
        <f>HYPERLINK(Hoofddocument!$H$446,Hoofddocument!$G$446)</f>
        <v xml:space="preserve">Powerboost Beïnvloeden </v>
      </c>
      <c r="K446" s="129" t="str">
        <f t="shared" si="21"/>
        <v/>
      </c>
      <c r="L446" s="129" t="str">
        <f t="shared" si="19"/>
        <v/>
      </c>
      <c r="M446" s="129" t="str">
        <f t="shared" si="20"/>
        <v/>
      </c>
    </row>
    <row r="447" spans="1:13" ht="18" customHeight="1" thickBot="1" x14ac:dyDescent="0.2">
      <c r="A447" s="37" t="s">
        <v>94</v>
      </c>
      <c r="B447" s="55" t="s">
        <v>23</v>
      </c>
      <c r="C447" s="109" t="str">
        <f>HYPERLINK(Hoofddocument!$H$447,Hoofddocument!$G$447)</f>
        <v>Executive Masterprogramma Persoonlijk Leiderschap en Beïnvloeden</v>
      </c>
      <c r="D447" s="17"/>
      <c r="E447" s="17"/>
      <c r="F447" s="17"/>
      <c r="G447" s="82"/>
      <c r="H447" s="37" t="s">
        <v>94</v>
      </c>
      <c r="I447" s="55" t="s">
        <v>23</v>
      </c>
      <c r="J447" s="109" t="str">
        <f>HYPERLINK(Hoofddocument!$H$447,Hoofddocument!$G$447)</f>
        <v>Executive Masterprogramma Persoonlijk Leiderschap en Beïnvloeden</v>
      </c>
      <c r="K447" s="129" t="str">
        <f t="shared" si="21"/>
        <v/>
      </c>
      <c r="L447" s="129" t="str">
        <f t="shared" si="19"/>
        <v/>
      </c>
      <c r="M447" s="129" t="str">
        <f t="shared" si="20"/>
        <v/>
      </c>
    </row>
    <row r="448" spans="1:13" ht="18" customHeight="1" thickBot="1" x14ac:dyDescent="0.2">
      <c r="A448" s="37" t="s">
        <v>94</v>
      </c>
      <c r="B448" s="55" t="s">
        <v>23</v>
      </c>
      <c r="C448" s="109" t="str">
        <f>HYPERLINK(Hoofddocument!$H$448,Hoofddocument!$G$448)</f>
        <v>Masterclass Effectief Beïnvloeden en Overtuigen</v>
      </c>
      <c r="D448" s="17"/>
      <c r="E448" s="17"/>
      <c r="F448" s="17"/>
      <c r="G448" s="82"/>
      <c r="H448" s="37" t="s">
        <v>94</v>
      </c>
      <c r="I448" s="55" t="s">
        <v>23</v>
      </c>
      <c r="J448" s="109" t="str">
        <f>HYPERLINK(Hoofddocument!$H$448,Hoofddocument!$G$448)</f>
        <v>Masterclass Effectief Beïnvloeden en Overtuigen</v>
      </c>
      <c r="K448" s="129" t="str">
        <f t="shared" si="21"/>
        <v/>
      </c>
      <c r="L448" s="129" t="str">
        <f t="shared" si="19"/>
        <v/>
      </c>
      <c r="M448" s="129" t="str">
        <f t="shared" si="20"/>
        <v/>
      </c>
    </row>
    <row r="449" spans="1:13" ht="18" customHeight="1" thickBot="1" x14ac:dyDescent="0.2">
      <c r="A449" s="37" t="s">
        <v>94</v>
      </c>
      <c r="B449" s="38" t="s">
        <v>23</v>
      </c>
      <c r="C449" s="109" t="str">
        <f>HYPERLINK(Hoofddocument!$H$449,Hoofddocument!$G$449)</f>
        <v>Strategisch Onderhandelen bij de Overheid</v>
      </c>
      <c r="D449" s="17"/>
      <c r="E449" s="17"/>
      <c r="F449" s="17"/>
      <c r="G449" s="82"/>
      <c r="H449" s="37" t="s">
        <v>94</v>
      </c>
      <c r="I449" s="38" t="s">
        <v>23</v>
      </c>
      <c r="J449" s="109" t="str">
        <f>HYPERLINK(Hoofddocument!$H$449,Hoofddocument!$G$449)</f>
        <v>Strategisch Onderhandelen bij de Overheid</v>
      </c>
      <c r="K449" s="129" t="str">
        <f t="shared" si="21"/>
        <v/>
      </c>
      <c r="L449" s="129" t="str">
        <f t="shared" si="19"/>
        <v/>
      </c>
      <c r="M449" s="129" t="str">
        <f t="shared" si="20"/>
        <v/>
      </c>
    </row>
    <row r="450" spans="1:13" ht="18" customHeight="1" thickBot="1" x14ac:dyDescent="0.2">
      <c r="A450" s="37" t="s">
        <v>94</v>
      </c>
      <c r="B450" s="38" t="s">
        <v>23</v>
      </c>
      <c r="C450" s="109" t="str">
        <f>HYPERLINK(Hoofddocument!$H$450,Hoofddocument!$G$450)</f>
        <v>Draagvlak Creëren</v>
      </c>
      <c r="D450" s="17"/>
      <c r="E450" s="17"/>
      <c r="F450" s="17"/>
      <c r="G450" s="82"/>
      <c r="H450" s="37" t="s">
        <v>94</v>
      </c>
      <c r="I450" s="38" t="s">
        <v>23</v>
      </c>
      <c r="J450" s="109" t="str">
        <f>HYPERLINK(Hoofddocument!$H$450,Hoofddocument!$G$450)</f>
        <v>Draagvlak Creëren</v>
      </c>
      <c r="K450" s="129" t="str">
        <f t="shared" si="21"/>
        <v/>
      </c>
      <c r="L450" s="129" t="str">
        <f t="shared" ref="L450:L474" si="22">IF(OR(AND(Niveau2="Basis",E450="B"),AND(Niveau2="Verdiepend",E450="V"),AND(Niveau2="Toon Alles",NOT(ISBLANK(E450)))),$U$2,"")</f>
        <v/>
      </c>
      <c r="M450" s="129" t="str">
        <f t="shared" ref="M450:M474" si="23">IF(OR(AND(Niveau3="Basis",F450="B"),AND(Niveau3="Verdiepend",F450="V"),AND(Niveau3="Toon Alles",NOT(ISBLANK(F450)))),$U$2,"")</f>
        <v/>
      </c>
    </row>
    <row r="451" spans="1:13" ht="18" customHeight="1" thickBot="1" x14ac:dyDescent="0.2">
      <c r="A451" s="37" t="s">
        <v>94</v>
      </c>
      <c r="B451" s="55" t="s">
        <v>23</v>
      </c>
      <c r="C451" s="109" t="str">
        <f>HYPERLINK(Hoofddocument!$H$451,Hoofddocument!$G$451)</f>
        <v>Communicatie met  Impact!</v>
      </c>
      <c r="D451" s="17"/>
      <c r="E451" s="17"/>
      <c r="F451" s="17"/>
      <c r="G451" s="82"/>
      <c r="H451" s="37" t="s">
        <v>94</v>
      </c>
      <c r="I451" s="55" t="s">
        <v>23</v>
      </c>
      <c r="J451" s="109" t="str">
        <f>HYPERLINK(Hoofddocument!$H$451,Hoofddocument!$G$451)</f>
        <v>Communicatie met  Impact!</v>
      </c>
      <c r="K451" s="129" t="str">
        <f t="shared" ref="K451:K474" si="24">IF(OR(AND(Niveau1="Basis",D451="B"),AND(Niveau1="Verdiepend",D451="V"),AND(Niveau1="Toon Alles",NOT(ISBLANK(D451)))),$U$2,"")</f>
        <v/>
      </c>
      <c r="L451" s="129" t="str">
        <f t="shared" si="22"/>
        <v/>
      </c>
      <c r="M451" s="129" t="str">
        <f t="shared" si="23"/>
        <v/>
      </c>
    </row>
    <row r="452" spans="1:13" ht="18" customHeight="1" thickBot="1" x14ac:dyDescent="0.2">
      <c r="A452" s="37" t="s">
        <v>94</v>
      </c>
      <c r="B452" s="55" t="s">
        <v>24</v>
      </c>
      <c r="C452" s="109" t="str">
        <f>HYPERLINK(Hoofddocument!$H$452,Hoofddocument!$G$452)</f>
        <v>Projectmatig Werken</v>
      </c>
      <c r="D452" s="17"/>
      <c r="E452" s="17"/>
      <c r="F452" s="17"/>
      <c r="G452" s="82"/>
      <c r="H452" s="37" t="s">
        <v>94</v>
      </c>
      <c r="I452" s="55" t="s">
        <v>24</v>
      </c>
      <c r="J452" s="109" t="str">
        <f>HYPERLINK(Hoofddocument!$H$452,Hoofddocument!$G$452)</f>
        <v>Projectmatig Werken</v>
      </c>
      <c r="K452" s="129" t="str">
        <f t="shared" si="24"/>
        <v/>
      </c>
      <c r="L452" s="17" t="str">
        <f t="shared" si="22"/>
        <v/>
      </c>
      <c r="M452" s="129" t="str">
        <f t="shared" si="23"/>
        <v/>
      </c>
    </row>
    <row r="453" spans="1:13" ht="18" customHeight="1" thickBot="1" x14ac:dyDescent="0.2">
      <c r="A453" s="37" t="s">
        <v>94</v>
      </c>
      <c r="B453" s="55" t="s">
        <v>24</v>
      </c>
      <c r="C453" s="109" t="str">
        <f>HYPERLINK(Hoofddocument!$H$453,Hoofddocument!$G$453)</f>
        <v>Grip op Processen</v>
      </c>
      <c r="D453" s="17"/>
      <c r="E453" s="17"/>
      <c r="F453" s="17"/>
      <c r="G453" s="82"/>
      <c r="H453" s="37" t="s">
        <v>94</v>
      </c>
      <c r="I453" s="55" t="s">
        <v>24</v>
      </c>
      <c r="J453" s="109" t="str">
        <f>HYPERLINK(Hoofddocument!$H$453,Hoofddocument!$G$453)</f>
        <v>Grip op Processen</v>
      </c>
      <c r="K453" s="129" t="str">
        <f t="shared" si="24"/>
        <v/>
      </c>
      <c r="L453" s="17" t="str">
        <f t="shared" si="22"/>
        <v/>
      </c>
      <c r="M453" s="129" t="str">
        <f t="shared" si="23"/>
        <v/>
      </c>
    </row>
    <row r="454" spans="1:13" ht="18" customHeight="1" thickBot="1" x14ac:dyDescent="0.2">
      <c r="A454" s="37" t="s">
        <v>94</v>
      </c>
      <c r="B454" s="55" t="s">
        <v>24</v>
      </c>
      <c r="C454" s="109" t="str">
        <f>HYPERLINK(Hoofddocument!$H$454,Hoofddocument!$G$454)</f>
        <v>Masterclass Projectmanagement</v>
      </c>
      <c r="D454" s="17"/>
      <c r="E454" s="17"/>
      <c r="F454" s="17"/>
      <c r="G454" s="82"/>
      <c r="H454" s="37" t="s">
        <v>94</v>
      </c>
      <c r="I454" s="55" t="s">
        <v>24</v>
      </c>
      <c r="J454" s="109" t="str">
        <f>HYPERLINK(Hoofddocument!$H$454,Hoofddocument!$G$454)</f>
        <v>Masterclass Projectmanagement</v>
      </c>
      <c r="K454" s="129" t="str">
        <f t="shared" si="24"/>
        <v/>
      </c>
      <c r="L454" s="129" t="str">
        <f t="shared" si="22"/>
        <v/>
      </c>
      <c r="M454" s="129" t="str">
        <f t="shared" si="23"/>
        <v/>
      </c>
    </row>
    <row r="455" spans="1:13" ht="18" customHeight="1" thickBot="1" x14ac:dyDescent="0.2">
      <c r="A455" s="37" t="s">
        <v>94</v>
      </c>
      <c r="B455" s="55" t="s">
        <v>24</v>
      </c>
      <c r="C455" s="109" t="str">
        <f>HYPERLINK(Hoofddocument!$H$455,Hoofddocument!$G$455)</f>
        <v>Schrijven met het Piramideprincipe</v>
      </c>
      <c r="D455" s="17"/>
      <c r="E455" s="17"/>
      <c r="F455" s="17"/>
      <c r="G455" s="82"/>
      <c r="H455" s="37" t="s">
        <v>94</v>
      </c>
      <c r="I455" s="55" t="s">
        <v>24</v>
      </c>
      <c r="J455" s="109" t="str">
        <f>HYPERLINK(Hoofddocument!$H$455,Hoofddocument!$G$455)</f>
        <v>Schrijven met het Piramideprincipe</v>
      </c>
      <c r="K455" s="129" t="str">
        <f t="shared" si="24"/>
        <v/>
      </c>
      <c r="L455" s="129" t="str">
        <f t="shared" si="22"/>
        <v/>
      </c>
      <c r="M455" s="129" t="str">
        <f t="shared" si="23"/>
        <v/>
      </c>
    </row>
    <row r="456" spans="1:13" ht="18" customHeight="1" thickBot="1" x14ac:dyDescent="0.2">
      <c r="A456" s="37" t="s">
        <v>94</v>
      </c>
      <c r="B456" s="55" t="s">
        <v>24</v>
      </c>
      <c r="C456" s="109" t="str">
        <f>HYPERLINK(Hoofddocument!$H$456,Hoofddocument!$G$456)</f>
        <v>Timemanagement Training</v>
      </c>
      <c r="D456" s="17"/>
      <c r="E456" s="17"/>
      <c r="F456" s="17"/>
      <c r="G456" s="82"/>
      <c r="H456" s="37" t="s">
        <v>94</v>
      </c>
      <c r="I456" s="55" t="s">
        <v>24</v>
      </c>
      <c r="J456" s="109" t="str">
        <f>HYPERLINK(Hoofddocument!$H$456,Hoofddocument!$G$456)</f>
        <v>Timemanagement Training</v>
      </c>
      <c r="K456" s="129" t="str">
        <f t="shared" si="24"/>
        <v/>
      </c>
      <c r="L456" s="125" t="str">
        <f t="shared" si="22"/>
        <v/>
      </c>
      <c r="M456" s="129" t="str">
        <f t="shared" si="23"/>
        <v/>
      </c>
    </row>
    <row r="457" spans="1:13" ht="18" customHeight="1" thickBot="1" x14ac:dyDescent="0.2">
      <c r="A457" s="37" t="s">
        <v>94</v>
      </c>
      <c r="B457" s="55" t="s">
        <v>24</v>
      </c>
      <c r="C457" s="109" t="str">
        <f>HYPERLINK(Hoofddocument!$H$457,Hoofddocument!$G$457)</f>
        <v>Projectmatig Werken binnen de Overheid</v>
      </c>
      <c r="D457" s="17"/>
      <c r="E457" s="17"/>
      <c r="F457" s="17"/>
      <c r="G457" s="82"/>
      <c r="H457" s="37" t="s">
        <v>94</v>
      </c>
      <c r="I457" s="55" t="s">
        <v>24</v>
      </c>
      <c r="J457" s="109" t="str">
        <f>HYPERLINK(Hoofddocument!$H$457,Hoofddocument!$G$457)</f>
        <v>Projectmatig Werken binnen de Overheid</v>
      </c>
      <c r="K457" s="129" t="str">
        <f t="shared" si="24"/>
        <v/>
      </c>
      <c r="L457" s="129" t="str">
        <f t="shared" si="22"/>
        <v/>
      </c>
      <c r="M457" s="129" t="str">
        <f t="shared" si="23"/>
        <v/>
      </c>
    </row>
    <row r="458" spans="1:13" ht="18" customHeight="1" thickBot="1" x14ac:dyDescent="0.2">
      <c r="A458" s="37" t="s">
        <v>94</v>
      </c>
      <c r="B458" s="55" t="s">
        <v>24</v>
      </c>
      <c r="C458" s="109" t="str">
        <f>HYPERLINK(Hoofddocument!$H$458,Hoofddocument!$G$458)</f>
        <v>Creatief denken en doen</v>
      </c>
      <c r="D458" s="17"/>
      <c r="E458" s="17"/>
      <c r="F458" s="17"/>
      <c r="G458" s="82"/>
      <c r="H458" s="37" t="s">
        <v>94</v>
      </c>
      <c r="I458" s="55" t="s">
        <v>24</v>
      </c>
      <c r="J458" s="109" t="str">
        <f>HYPERLINK(Hoofddocument!$H$458,Hoofddocument!$G$458)</f>
        <v>Creatief denken en doen</v>
      </c>
      <c r="K458" s="129" t="str">
        <f t="shared" si="24"/>
        <v/>
      </c>
      <c r="L458" s="129" t="str">
        <f t="shared" si="22"/>
        <v/>
      </c>
      <c r="M458" s="129" t="str">
        <f t="shared" si="23"/>
        <v/>
      </c>
    </row>
    <row r="459" spans="1:13" ht="18" customHeight="1" thickBot="1" x14ac:dyDescent="0.2">
      <c r="A459" s="37" t="s">
        <v>94</v>
      </c>
      <c r="B459" s="55" t="s">
        <v>24</v>
      </c>
      <c r="C459" s="109" t="str">
        <f>HYPERLINK(Hoofddocument!$H$459,Hoofddocument!$G$459)</f>
        <v>Timemanagement in één Dag</v>
      </c>
      <c r="D459" s="17"/>
      <c r="E459" s="17"/>
      <c r="F459" s="17"/>
      <c r="G459" s="82"/>
      <c r="H459" s="37" t="s">
        <v>94</v>
      </c>
      <c r="I459" s="55" t="s">
        <v>24</v>
      </c>
      <c r="J459" s="109" t="str">
        <f>HYPERLINK(Hoofddocument!$H$459,Hoofddocument!$G$459)</f>
        <v>Timemanagement in één Dag</v>
      </c>
      <c r="K459" s="129" t="str">
        <f t="shared" si="24"/>
        <v/>
      </c>
      <c r="L459" s="17" t="str">
        <f t="shared" si="22"/>
        <v/>
      </c>
      <c r="M459" s="129" t="str">
        <f t="shared" si="23"/>
        <v/>
      </c>
    </row>
    <row r="460" spans="1:13" ht="18" customHeight="1" thickBot="1" x14ac:dyDescent="0.2">
      <c r="A460" s="37" t="s">
        <v>94</v>
      </c>
      <c r="B460" s="55" t="s">
        <v>24</v>
      </c>
      <c r="C460" s="109" t="str">
        <f>HYPERLINK(Hoofddocument!$H$460,Hoofddocument!$G$460)</f>
        <v>HBO Module Projectmanagement en Communicatie</v>
      </c>
      <c r="D460" s="17"/>
      <c r="E460" s="17"/>
      <c r="F460" s="17"/>
      <c r="G460" s="82"/>
      <c r="H460" s="37" t="s">
        <v>94</v>
      </c>
      <c r="I460" s="55" t="s">
        <v>24</v>
      </c>
      <c r="J460" s="109" t="str">
        <f>HYPERLINK(Hoofddocument!$H$460,Hoofddocument!$G$460)</f>
        <v>HBO Module Projectmanagement en Communicatie</v>
      </c>
      <c r="K460" s="129" t="str">
        <f t="shared" si="24"/>
        <v/>
      </c>
      <c r="L460" s="129" t="str">
        <f t="shared" si="22"/>
        <v/>
      </c>
      <c r="M460" s="129" t="str">
        <f t="shared" si="23"/>
        <v/>
      </c>
    </row>
    <row r="461" spans="1:13" ht="18" customHeight="1" thickBot="1" x14ac:dyDescent="0.2">
      <c r="A461" s="37" t="s">
        <v>94</v>
      </c>
      <c r="B461" s="55" t="s">
        <v>25</v>
      </c>
      <c r="C461" s="109" t="str">
        <f>HYPERLINK(Hoofddocument!$H$461,Hoofddocument!$G$461)</f>
        <v>HBO Module Projectmanagementvaardigheden</v>
      </c>
      <c r="D461" s="17"/>
      <c r="E461" s="17"/>
      <c r="F461" s="17"/>
      <c r="G461" s="82"/>
      <c r="H461" s="37" t="s">
        <v>94</v>
      </c>
      <c r="I461" s="55" t="s">
        <v>25</v>
      </c>
      <c r="J461" s="109" t="str">
        <f>HYPERLINK(Hoofddocument!$H$461,Hoofddocument!$G$461)</f>
        <v>HBO Module Projectmanagementvaardigheden</v>
      </c>
      <c r="K461" s="129" t="str">
        <f t="shared" si="24"/>
        <v/>
      </c>
      <c r="L461" s="129" t="str">
        <f t="shared" si="22"/>
        <v/>
      </c>
      <c r="M461" s="129" t="str">
        <f t="shared" si="23"/>
        <v/>
      </c>
    </row>
    <row r="462" spans="1:13" ht="18" customHeight="1" thickBot="1" x14ac:dyDescent="0.2">
      <c r="A462" s="37" t="s">
        <v>94</v>
      </c>
      <c r="B462" s="55" t="s">
        <v>25</v>
      </c>
      <c r="C462" s="109" t="str">
        <f>HYPERLINK(Hoofddocument!$H$462,Hoofddocument!$G$462)</f>
        <v>Training Goed Waarnemen, Juist interpreteren en Effectief Communiceren</v>
      </c>
      <c r="D462" s="17"/>
      <c r="E462" s="17"/>
      <c r="F462" s="17"/>
      <c r="G462" s="82"/>
      <c r="H462" s="37" t="s">
        <v>94</v>
      </c>
      <c r="I462" s="55" t="s">
        <v>25</v>
      </c>
      <c r="J462" s="109" t="str">
        <f>HYPERLINK(Hoofddocument!$H$462,Hoofddocument!$G$462)</f>
        <v>Training Goed Waarnemen, Juist interpreteren en Effectief Communiceren</v>
      </c>
      <c r="K462" s="129" t="str">
        <f t="shared" si="24"/>
        <v/>
      </c>
      <c r="L462" s="129" t="str">
        <f t="shared" si="22"/>
        <v/>
      </c>
      <c r="M462" s="129" t="str">
        <f t="shared" si="23"/>
        <v/>
      </c>
    </row>
    <row r="463" spans="1:13" ht="18" customHeight="1" thickBot="1" x14ac:dyDescent="0.2">
      <c r="A463" s="37" t="s">
        <v>94</v>
      </c>
      <c r="B463" s="55" t="s">
        <v>25</v>
      </c>
      <c r="C463" s="109" t="str">
        <f>HYPERLINK(Hoofddocument!$H$463,Hoofddocument!$G$463)</f>
        <v>BCS Business Analysis Practice (c) - incompany (UWV)</v>
      </c>
      <c r="D463" s="17"/>
      <c r="E463" s="17"/>
      <c r="F463" s="17"/>
      <c r="G463" s="82"/>
      <c r="H463" s="37" t="s">
        <v>94</v>
      </c>
      <c r="I463" s="55" t="s">
        <v>25</v>
      </c>
      <c r="J463" s="109" t="str">
        <f>HYPERLINK(Hoofddocument!$H$463,Hoofddocument!$G$463)</f>
        <v>BCS Business Analysis Practice (c) - incompany (UWV)</v>
      </c>
      <c r="K463" s="129" t="str">
        <f t="shared" si="24"/>
        <v/>
      </c>
      <c r="L463" s="129" t="str">
        <f t="shared" si="22"/>
        <v/>
      </c>
      <c r="M463" s="129" t="str">
        <f t="shared" si="23"/>
        <v/>
      </c>
    </row>
    <row r="464" spans="1:13" ht="18" customHeight="1" thickBot="1" x14ac:dyDescent="0.2">
      <c r="A464" s="37" t="s">
        <v>94</v>
      </c>
      <c r="B464" s="55" t="s">
        <v>25</v>
      </c>
      <c r="C464" s="109" t="str">
        <f>HYPERLINK(Hoofddocument!$H$464,Hoofddocument!$G$464)</f>
        <v>Requirements Analyse en Management</v>
      </c>
      <c r="D464" s="17"/>
      <c r="E464" s="17"/>
      <c r="F464" s="17"/>
      <c r="G464" s="82"/>
      <c r="H464" s="37" t="s">
        <v>94</v>
      </c>
      <c r="I464" s="55" t="s">
        <v>25</v>
      </c>
      <c r="J464" s="109" t="str">
        <f>HYPERLINK(Hoofddocument!$H$464,Hoofddocument!$G$464)</f>
        <v>Requirements Analyse en Management</v>
      </c>
      <c r="K464" s="129" t="str">
        <f t="shared" si="24"/>
        <v/>
      </c>
      <c r="L464" s="129" t="str">
        <f t="shared" si="22"/>
        <v/>
      </c>
      <c r="M464" s="129" t="str">
        <f t="shared" si="23"/>
        <v/>
      </c>
    </row>
    <row r="465" spans="1:13" ht="18" customHeight="1" thickBot="1" x14ac:dyDescent="0.2">
      <c r="A465" s="37" t="s">
        <v>94</v>
      </c>
      <c r="B465" s="38" t="s">
        <v>26</v>
      </c>
      <c r="C465" s="109" t="str">
        <f>HYPERLINK(Hoofddocument!$H$465,Hoofddocument!$G$465)</f>
        <v>Resultaten Bereiken met je Team</v>
      </c>
      <c r="D465" s="17"/>
      <c r="E465" s="17"/>
      <c r="F465" s="17"/>
      <c r="G465" s="82"/>
      <c r="H465" s="37" t="s">
        <v>94</v>
      </c>
      <c r="I465" s="38" t="s">
        <v>26</v>
      </c>
      <c r="J465" s="109" t="str">
        <f>HYPERLINK(Hoofddocument!$H$465,Hoofddocument!$G$465)</f>
        <v>Resultaten Bereiken met je Team</v>
      </c>
      <c r="K465" s="125" t="str">
        <f t="shared" si="24"/>
        <v/>
      </c>
      <c r="L465" s="129" t="str">
        <f t="shared" si="22"/>
        <v/>
      </c>
      <c r="M465" s="129" t="str">
        <f t="shared" si="23"/>
        <v/>
      </c>
    </row>
    <row r="466" spans="1:13" ht="18" customHeight="1" thickBot="1" x14ac:dyDescent="0.2">
      <c r="A466" s="37" t="s">
        <v>94</v>
      </c>
      <c r="B466" s="38" t="s">
        <v>28</v>
      </c>
      <c r="C466" s="109" t="str">
        <f>HYPERLINK(Hoofddocument!$H$466,Hoofddocument!$G$466)</f>
        <v>Schriftelijk Rapporteren</v>
      </c>
      <c r="D466" s="17"/>
      <c r="E466" s="17"/>
      <c r="F466" s="17"/>
      <c r="G466" s="82"/>
      <c r="H466" s="37" t="s">
        <v>94</v>
      </c>
      <c r="I466" s="38" t="s">
        <v>28</v>
      </c>
      <c r="J466" s="109" t="str">
        <f>HYPERLINK(Hoofddocument!$H$466,Hoofddocument!$G$466)</f>
        <v>Schriftelijk Rapporteren</v>
      </c>
      <c r="K466" s="129" t="str">
        <f t="shared" si="24"/>
        <v/>
      </c>
      <c r="L466" s="129" t="str">
        <f t="shared" si="22"/>
        <v/>
      </c>
      <c r="M466" s="129" t="str">
        <f t="shared" si="23"/>
        <v/>
      </c>
    </row>
    <row r="467" spans="1:13" ht="18" customHeight="1" thickBot="1" x14ac:dyDescent="0.2">
      <c r="A467" s="37" t="s">
        <v>94</v>
      </c>
      <c r="B467" s="38" t="s">
        <v>28</v>
      </c>
      <c r="C467" s="109" t="str">
        <f>HYPERLINK(Hoofddocument!$H$467,Hoofddocument!$G$467)</f>
        <v>Powerboost Schriftelijke Vaardigheden</v>
      </c>
      <c r="D467" s="17"/>
      <c r="E467" s="17"/>
      <c r="F467" s="17"/>
      <c r="G467" s="82"/>
      <c r="H467" s="37" t="s">
        <v>94</v>
      </c>
      <c r="I467" s="38" t="s">
        <v>28</v>
      </c>
      <c r="J467" s="109" t="str">
        <f>HYPERLINK(Hoofddocument!$H$467,Hoofddocument!$G$467)</f>
        <v>Powerboost Schriftelijke Vaardigheden</v>
      </c>
      <c r="K467" s="129" t="str">
        <f t="shared" si="24"/>
        <v/>
      </c>
      <c r="L467" s="129" t="str">
        <f t="shared" si="22"/>
        <v/>
      </c>
      <c r="M467" s="129" t="str">
        <f t="shared" si="23"/>
        <v/>
      </c>
    </row>
    <row r="468" spans="1:13" ht="18" customHeight="1" thickBot="1" x14ac:dyDescent="0.2">
      <c r="A468" s="37" t="s">
        <v>94</v>
      </c>
      <c r="B468" s="38" t="s">
        <v>29</v>
      </c>
      <c r="C468" s="109" t="str">
        <f>HYPERLINK(Hoofddocument!$H$468,Hoofddocument!$G$468)</f>
        <v>Assertief en Zelfverzekerd Communiceren</v>
      </c>
      <c r="D468" s="17"/>
      <c r="E468" s="17"/>
      <c r="F468" s="17"/>
      <c r="G468" s="82"/>
      <c r="H468" s="37" t="s">
        <v>94</v>
      </c>
      <c r="I468" s="38" t="s">
        <v>29</v>
      </c>
      <c r="J468" s="109" t="str">
        <f>HYPERLINK(Hoofddocument!$H$468,Hoofddocument!$G$468)</f>
        <v>Assertief en Zelfverzekerd Communiceren</v>
      </c>
      <c r="K468" s="129" t="str">
        <f t="shared" si="24"/>
        <v/>
      </c>
      <c r="L468" s="129" t="str">
        <f t="shared" si="22"/>
        <v/>
      </c>
      <c r="M468" s="129" t="str">
        <f t="shared" si="23"/>
        <v/>
      </c>
    </row>
    <row r="469" spans="1:13" ht="18" customHeight="1" thickBot="1" x14ac:dyDescent="0.2">
      <c r="A469" s="37" t="s">
        <v>94</v>
      </c>
      <c r="B469" s="38" t="s">
        <v>29</v>
      </c>
      <c r="C469" s="109" t="str">
        <f>HYPERLINK(Hoofddocument!$H$469,Hoofddocument!$G$469)</f>
        <v>Basisvaardigheden in Communicatie</v>
      </c>
      <c r="D469" s="17"/>
      <c r="E469" s="17"/>
      <c r="F469" s="17"/>
      <c r="G469" s="82"/>
      <c r="H469" s="37" t="s">
        <v>94</v>
      </c>
      <c r="I469" s="38" t="s">
        <v>29</v>
      </c>
      <c r="J469" s="109" t="str">
        <f>HYPERLINK(Hoofddocument!$H$469,Hoofddocument!$G$469)</f>
        <v>Basisvaardigheden in Communicatie</v>
      </c>
      <c r="K469" s="129" t="str">
        <f t="shared" si="24"/>
        <v/>
      </c>
      <c r="L469" s="129" t="str">
        <f t="shared" si="22"/>
        <v/>
      </c>
      <c r="M469" s="129" t="str">
        <f t="shared" si="23"/>
        <v/>
      </c>
    </row>
    <row r="470" spans="1:13" ht="18" customHeight="1" thickBot="1" x14ac:dyDescent="0.2">
      <c r="A470" s="37" t="s">
        <v>94</v>
      </c>
      <c r="B470" s="38" t="s">
        <v>30</v>
      </c>
      <c r="C470" s="109" t="str">
        <f>HYPERLINK(Hoofddocument!$H$470,Hoofddocument!$G$470)</f>
        <v>Professioneel Adviseren</v>
      </c>
      <c r="D470" s="17"/>
      <c r="E470" s="17"/>
      <c r="F470" s="17"/>
      <c r="G470" s="82"/>
      <c r="H470" s="37" t="s">
        <v>94</v>
      </c>
      <c r="I470" s="38" t="s">
        <v>30</v>
      </c>
      <c r="J470" s="109" t="str">
        <f>HYPERLINK(Hoofddocument!$H$470,Hoofddocument!$G$470)</f>
        <v>Professioneel Adviseren</v>
      </c>
      <c r="K470" s="129" t="str">
        <f t="shared" si="24"/>
        <v/>
      </c>
      <c r="L470" s="129" t="str">
        <f t="shared" si="22"/>
        <v/>
      </c>
      <c r="M470" s="129" t="str">
        <f t="shared" si="23"/>
        <v/>
      </c>
    </row>
    <row r="471" spans="1:13" ht="18" customHeight="1" thickBot="1" x14ac:dyDescent="0.2">
      <c r="A471" s="37" t="s">
        <v>94</v>
      </c>
      <c r="B471" s="38" t="s">
        <v>30</v>
      </c>
      <c r="C471" s="109" t="str">
        <f>HYPERLINK(Hoofddocument!$H$471,Hoofddocument!$G$471)</f>
        <v>Bezielend Leiderschap binnen de Overheid</v>
      </c>
      <c r="D471" s="17"/>
      <c r="E471" s="17"/>
      <c r="F471" s="17"/>
      <c r="G471" s="82"/>
      <c r="H471" s="37" t="s">
        <v>94</v>
      </c>
      <c r="I471" s="38" t="s">
        <v>30</v>
      </c>
      <c r="J471" s="109" t="str">
        <f>HYPERLINK(Hoofddocument!$H$471,Hoofddocument!$G$471)</f>
        <v>Bezielend Leiderschap binnen de Overheid</v>
      </c>
      <c r="K471" s="129" t="str">
        <f t="shared" si="24"/>
        <v/>
      </c>
      <c r="L471" s="129" t="str">
        <f t="shared" si="22"/>
        <v/>
      </c>
      <c r="M471" s="129" t="str">
        <f t="shared" si="23"/>
        <v/>
      </c>
    </row>
    <row r="472" spans="1:13" ht="18" customHeight="1" thickBot="1" x14ac:dyDescent="0.2">
      <c r="A472" s="37" t="s">
        <v>94</v>
      </c>
      <c r="B472" s="38" t="s">
        <v>30</v>
      </c>
      <c r="C472" s="109" t="str">
        <f>HYPERLINK(Hoofddocument!$H$472,Hoofddocument!$G$472)</f>
        <v>Masterclass Strategie, Visie en Innovatie</v>
      </c>
      <c r="D472" s="17"/>
      <c r="E472" s="17"/>
      <c r="F472" s="17"/>
      <c r="G472" s="82"/>
      <c r="H472" s="37" t="s">
        <v>94</v>
      </c>
      <c r="I472" s="38" t="s">
        <v>30</v>
      </c>
      <c r="J472" s="109" t="str">
        <f>HYPERLINK(Hoofddocument!$H$472,Hoofddocument!$G$472)</f>
        <v>Masterclass Strategie, Visie en Innovatie</v>
      </c>
      <c r="K472" s="129" t="str">
        <f t="shared" si="24"/>
        <v/>
      </c>
      <c r="L472" s="129" t="str">
        <f t="shared" si="22"/>
        <v/>
      </c>
      <c r="M472" s="129" t="str">
        <f t="shared" si="23"/>
        <v/>
      </c>
    </row>
    <row r="473" spans="1:13" ht="18" customHeight="1" thickBot="1" x14ac:dyDescent="0.2">
      <c r="A473" s="37" t="s">
        <v>94</v>
      </c>
      <c r="B473" s="38" t="s">
        <v>30</v>
      </c>
      <c r="C473" s="109" t="str">
        <f>HYPERLINK(Hoofddocument!$H$473,Hoofddocument!$G$473)</f>
        <v>Leidinggeven aan Verandering</v>
      </c>
      <c r="D473" s="17"/>
      <c r="E473" s="17"/>
      <c r="F473" s="17"/>
      <c r="G473" s="82"/>
      <c r="H473" s="37" t="s">
        <v>94</v>
      </c>
      <c r="I473" s="38" t="s">
        <v>30</v>
      </c>
      <c r="J473" s="109" t="str">
        <f>HYPERLINK(Hoofddocument!$H$473,Hoofddocument!$G$473)</f>
        <v>Leidinggeven aan Verandering</v>
      </c>
      <c r="K473" s="129" t="str">
        <f t="shared" si="24"/>
        <v/>
      </c>
      <c r="L473" s="129" t="str">
        <f t="shared" si="22"/>
        <v/>
      </c>
      <c r="M473" s="129" t="str">
        <f t="shared" si="23"/>
        <v/>
      </c>
    </row>
    <row r="474" spans="1:13" ht="18" customHeight="1" thickBot="1" x14ac:dyDescent="0.2">
      <c r="A474" s="37" t="s">
        <v>94</v>
      </c>
      <c r="B474" s="38" t="s">
        <v>31</v>
      </c>
      <c r="C474" s="109" t="str">
        <f>HYPERLINK(Hoofddocument!$H$474,Hoofddocument!$G$474)</f>
        <v>Masterclass Projectmanagement</v>
      </c>
      <c r="D474" s="17"/>
      <c r="E474" s="17"/>
      <c r="F474" s="17"/>
      <c r="G474" s="82"/>
      <c r="H474" s="37" t="s">
        <v>94</v>
      </c>
      <c r="I474" s="38" t="s">
        <v>31</v>
      </c>
      <c r="J474" s="109" t="str">
        <f>HYPERLINK(Hoofddocument!$H$474,Hoofddocument!$G$474)</f>
        <v>Masterclass Projectmanagement</v>
      </c>
      <c r="K474" s="129" t="str">
        <f t="shared" si="24"/>
        <v/>
      </c>
      <c r="L474" s="129" t="str">
        <f t="shared" si="22"/>
        <v/>
      </c>
      <c r="M474" s="129" t="str">
        <f t="shared" si="23"/>
        <v/>
      </c>
    </row>
    <row r="475" spans="1:13" ht="18" customHeight="1" thickBot="1" x14ac:dyDescent="0.2">
      <c r="A475" s="37"/>
      <c r="B475" s="45"/>
      <c r="C475" s="64"/>
      <c r="D475" s="17"/>
      <c r="E475" s="17"/>
      <c r="F475" s="17"/>
      <c r="G475" s="82"/>
      <c r="H475" s="37"/>
      <c r="I475" s="38"/>
      <c r="J475" s="49"/>
      <c r="K475" s="129"/>
      <c r="L475" s="129"/>
      <c r="M475" s="129"/>
    </row>
    <row r="476" spans="1:13" ht="18" customHeight="1" thickBot="1" x14ac:dyDescent="0.2">
      <c r="A476" s="37"/>
      <c r="B476" s="45"/>
      <c r="C476" s="64"/>
      <c r="D476" s="17"/>
      <c r="E476" s="17"/>
      <c r="F476" s="17"/>
      <c r="G476" s="82"/>
      <c r="H476" s="37"/>
      <c r="I476" s="38"/>
      <c r="J476" s="49"/>
      <c r="K476" s="129"/>
      <c r="L476" s="129"/>
      <c r="M476" s="129"/>
    </row>
    <row r="477" spans="1:13" ht="18" customHeight="1" thickBot="1" x14ac:dyDescent="0.2">
      <c r="A477" s="37"/>
      <c r="B477" s="45"/>
      <c r="C477" s="64"/>
      <c r="D477" s="17"/>
      <c r="E477" s="17"/>
      <c r="F477" s="17"/>
      <c r="G477" s="82"/>
      <c r="H477" s="37"/>
      <c r="I477" s="38"/>
      <c r="J477" s="49"/>
      <c r="K477" s="129"/>
      <c r="L477" s="129"/>
      <c r="M477" s="129"/>
    </row>
    <row r="478" spans="1:13" ht="18" customHeight="1" thickBot="1" x14ac:dyDescent="0.2">
      <c r="A478" s="37"/>
      <c r="B478" s="45"/>
      <c r="C478" s="64"/>
      <c r="D478" s="17"/>
      <c r="E478" s="17"/>
      <c r="F478" s="17"/>
      <c r="G478" s="82"/>
      <c r="H478" s="37"/>
      <c r="I478" s="38"/>
      <c r="J478" s="49"/>
      <c r="K478" s="129"/>
      <c r="L478" s="129"/>
      <c r="M478" s="129"/>
    </row>
    <row r="479" spans="1:13" ht="18" customHeight="1" thickBot="1" x14ac:dyDescent="0.2">
      <c r="A479" s="37"/>
      <c r="B479" s="45"/>
      <c r="C479" s="64"/>
      <c r="D479" s="17"/>
      <c r="E479" s="17"/>
      <c r="F479" s="17"/>
      <c r="G479" s="82"/>
      <c r="H479" s="37"/>
      <c r="I479" s="38"/>
      <c r="J479" s="49"/>
      <c r="K479" s="129"/>
      <c r="L479" s="129"/>
      <c r="M479" s="129"/>
    </row>
    <row r="480" spans="1:13" ht="18" customHeight="1" thickBot="1" x14ac:dyDescent="0.2">
      <c r="A480" s="37"/>
      <c r="B480" s="45"/>
      <c r="C480" s="64"/>
      <c r="D480" s="17"/>
      <c r="E480" s="17"/>
      <c r="F480" s="17"/>
      <c r="G480" s="82"/>
      <c r="H480" s="37"/>
      <c r="I480" s="38"/>
      <c r="J480" s="49"/>
      <c r="K480" s="129"/>
      <c r="L480" s="129"/>
      <c r="M480" s="129"/>
    </row>
    <row r="481" spans="1:13" ht="18" customHeight="1" thickBot="1" x14ac:dyDescent="0.2">
      <c r="A481" s="37"/>
      <c r="B481" s="45"/>
      <c r="C481" s="64"/>
      <c r="D481" s="17"/>
      <c r="E481" s="17"/>
      <c r="F481" s="17"/>
      <c r="G481" s="82"/>
      <c r="H481" s="37"/>
      <c r="I481" s="38"/>
      <c r="J481" s="49"/>
      <c r="K481" s="129"/>
      <c r="L481" s="129"/>
      <c r="M481" s="129"/>
    </row>
    <row r="482" spans="1:13" ht="18" customHeight="1" thickBot="1" x14ac:dyDescent="0.2">
      <c r="A482" s="37"/>
      <c r="B482" s="45"/>
      <c r="C482" s="64"/>
      <c r="D482" s="17"/>
      <c r="E482" s="17"/>
      <c r="F482" s="17"/>
      <c r="G482" s="82"/>
      <c r="H482" s="37"/>
      <c r="I482" s="38"/>
      <c r="J482" s="49"/>
      <c r="K482" s="129"/>
      <c r="L482" s="129"/>
      <c r="M482" s="129"/>
    </row>
    <row r="483" spans="1:13" ht="18" customHeight="1" thickBot="1" x14ac:dyDescent="0.2">
      <c r="A483" s="37"/>
      <c r="B483" s="45"/>
      <c r="C483" s="64"/>
      <c r="D483" s="17"/>
      <c r="E483" s="17"/>
      <c r="F483" s="17"/>
      <c r="G483" s="82"/>
      <c r="H483" s="37"/>
      <c r="I483" s="38"/>
      <c r="J483" s="49"/>
      <c r="K483" s="129"/>
      <c r="L483" s="129"/>
      <c r="M483" s="129"/>
    </row>
    <row r="484" spans="1:13" ht="18" customHeight="1" thickBot="1" x14ac:dyDescent="0.2">
      <c r="D484" s="17"/>
      <c r="E484" s="17"/>
      <c r="F484" s="17"/>
      <c r="G484" s="82"/>
      <c r="H484" s="37"/>
      <c r="I484" s="38"/>
      <c r="J484" s="49"/>
      <c r="K484" s="129"/>
      <c r="L484" s="129"/>
      <c r="M484" s="129"/>
    </row>
    <row r="485" spans="1:13" ht="18" customHeight="1" thickBot="1" x14ac:dyDescent="0.2">
      <c r="D485" s="17"/>
      <c r="E485" s="17"/>
      <c r="F485" s="17"/>
      <c r="G485" s="82"/>
      <c r="H485" s="37"/>
      <c r="I485" s="38"/>
      <c r="J485" s="49"/>
      <c r="K485" s="129"/>
      <c r="L485" s="129"/>
      <c r="M485" s="129"/>
    </row>
    <row r="486" spans="1:13" ht="18" customHeight="1" thickBot="1" x14ac:dyDescent="0.2">
      <c r="D486" s="17"/>
      <c r="E486" s="17"/>
      <c r="F486" s="17"/>
      <c r="G486" s="82"/>
      <c r="H486" s="37"/>
      <c r="I486" s="38"/>
      <c r="J486" s="49"/>
      <c r="K486" s="129"/>
      <c r="L486" s="129"/>
      <c r="M486" s="129"/>
    </row>
    <row r="487" spans="1:13" ht="18" customHeight="1" thickBot="1" x14ac:dyDescent="0.2">
      <c r="D487" s="17"/>
      <c r="E487" s="17"/>
      <c r="F487" s="17"/>
      <c r="G487" s="82"/>
      <c r="H487" s="37"/>
      <c r="I487" s="38"/>
      <c r="J487" s="49"/>
      <c r="K487" s="129"/>
      <c r="L487" s="129"/>
      <c r="M487" s="129"/>
    </row>
    <row r="488" spans="1:13" ht="18" customHeight="1" thickBot="1" x14ac:dyDescent="0.2">
      <c r="D488" s="17"/>
      <c r="E488" s="17"/>
      <c r="F488" s="17"/>
      <c r="G488" s="82"/>
      <c r="H488" s="37"/>
      <c r="I488" s="38"/>
      <c r="J488" s="49"/>
      <c r="K488" s="129"/>
      <c r="L488" s="129"/>
      <c r="M488" s="129"/>
    </row>
    <row r="489" spans="1:13" ht="18" customHeight="1" thickBot="1" x14ac:dyDescent="0.2">
      <c r="D489" s="17"/>
      <c r="E489" s="17"/>
      <c r="F489" s="17"/>
      <c r="G489" s="82"/>
      <c r="H489" s="37"/>
      <c r="I489" s="38"/>
      <c r="J489" s="49"/>
      <c r="K489" s="129"/>
      <c r="L489" s="129"/>
      <c r="M489" s="129"/>
    </row>
    <row r="490" spans="1:13" ht="18" customHeight="1" thickBot="1" x14ac:dyDescent="0.2">
      <c r="D490" s="17"/>
      <c r="E490" s="17"/>
      <c r="F490" s="17"/>
      <c r="G490" s="82"/>
      <c r="H490" s="37"/>
      <c r="I490" s="38"/>
      <c r="J490" s="49"/>
      <c r="K490" s="129"/>
      <c r="L490" s="129"/>
      <c r="M490" s="129"/>
    </row>
    <row r="491" spans="1:13" ht="18" customHeight="1" thickBot="1" x14ac:dyDescent="0.2">
      <c r="D491" s="17"/>
      <c r="E491" s="17"/>
      <c r="F491" s="17"/>
      <c r="G491" s="82"/>
      <c r="H491" s="37"/>
      <c r="I491" s="38"/>
      <c r="J491" s="49"/>
      <c r="K491" s="129"/>
      <c r="L491" s="129"/>
      <c r="M491" s="129"/>
    </row>
    <row r="492" spans="1:13" ht="18" customHeight="1" thickBot="1" x14ac:dyDescent="0.2">
      <c r="D492" s="17"/>
      <c r="E492" s="17"/>
      <c r="F492" s="17"/>
      <c r="G492" s="82"/>
      <c r="H492" s="37"/>
      <c r="I492" s="38"/>
      <c r="J492" s="49"/>
      <c r="K492" s="129"/>
      <c r="L492" s="129"/>
      <c r="M492" s="129"/>
    </row>
    <row r="493" spans="1:13" ht="18" customHeight="1" thickBot="1" x14ac:dyDescent="0.2">
      <c r="D493" s="17"/>
      <c r="E493" s="17"/>
      <c r="F493" s="17"/>
      <c r="G493" s="82"/>
      <c r="H493" s="37"/>
      <c r="I493" s="38"/>
      <c r="J493" s="49"/>
      <c r="K493" s="129"/>
      <c r="L493" s="129"/>
      <c r="M493" s="129"/>
    </row>
    <row r="494" spans="1:13" ht="18" customHeight="1" thickBot="1" x14ac:dyDescent="0.2">
      <c r="D494" s="17"/>
      <c r="E494" s="17"/>
      <c r="F494" s="17"/>
      <c r="G494" s="82"/>
      <c r="H494" s="37"/>
      <c r="I494" s="38"/>
      <c r="J494" s="49"/>
      <c r="K494" s="129"/>
      <c r="L494" s="129"/>
      <c r="M494" s="129"/>
    </row>
    <row r="495" spans="1:13" ht="18" customHeight="1" thickBot="1" x14ac:dyDescent="0.2">
      <c r="D495" s="17"/>
      <c r="E495" s="17"/>
      <c r="F495" s="17"/>
      <c r="G495" s="82"/>
      <c r="H495" s="37"/>
      <c r="I495" s="38"/>
      <c r="J495" s="49"/>
      <c r="K495" s="129"/>
      <c r="L495" s="129"/>
      <c r="M495" s="129"/>
    </row>
    <row r="496" spans="1:13" ht="18" customHeight="1" thickBot="1" x14ac:dyDescent="0.2">
      <c r="D496" s="17"/>
      <c r="E496" s="17"/>
      <c r="F496" s="17"/>
      <c r="G496" s="82"/>
      <c r="H496" s="37"/>
      <c r="I496" s="38"/>
      <c r="J496" s="49"/>
      <c r="K496" s="129"/>
      <c r="L496" s="129"/>
      <c r="M496" s="129"/>
    </row>
    <row r="497" spans="4:13" ht="18" customHeight="1" thickBot="1" x14ac:dyDescent="0.2">
      <c r="D497" s="17"/>
      <c r="E497" s="17"/>
      <c r="F497" s="17"/>
      <c r="G497" s="82"/>
      <c r="H497" s="37"/>
      <c r="I497" s="38"/>
      <c r="J497" s="49"/>
      <c r="K497" s="129"/>
      <c r="L497" s="129"/>
      <c r="M497" s="129"/>
    </row>
    <row r="498" spans="4:13" ht="18" customHeight="1" thickBot="1" x14ac:dyDescent="0.2">
      <c r="D498" s="17"/>
      <c r="E498" s="17"/>
      <c r="F498" s="17"/>
      <c r="G498" s="82"/>
      <c r="H498" s="37"/>
      <c r="I498" s="38"/>
      <c r="J498" s="49"/>
      <c r="K498" s="129"/>
      <c r="L498" s="129"/>
      <c r="M498" s="129"/>
    </row>
    <row r="499" spans="4:13" ht="18" customHeight="1" thickBot="1" x14ac:dyDescent="0.2">
      <c r="D499" s="17"/>
      <c r="E499" s="17"/>
      <c r="F499" s="17"/>
      <c r="G499" s="82"/>
      <c r="H499" s="37"/>
      <c r="I499" s="38"/>
      <c r="J499" s="49"/>
      <c r="K499" s="129"/>
      <c r="L499" s="129"/>
      <c r="M499" s="129"/>
    </row>
    <row r="500" spans="4:13" ht="18" customHeight="1" thickBot="1" x14ac:dyDescent="0.2">
      <c r="D500" s="17"/>
      <c r="E500" s="17"/>
      <c r="F500" s="17"/>
      <c r="G500" s="82"/>
      <c r="H500" s="37"/>
      <c r="I500" s="38"/>
      <c r="J500" s="49"/>
      <c r="K500" s="129"/>
      <c r="L500" s="129"/>
      <c r="M500" s="129"/>
    </row>
    <row r="501" spans="4:13" ht="18" customHeight="1" thickBot="1" x14ac:dyDescent="0.2">
      <c r="D501" s="17"/>
      <c r="E501" s="17"/>
      <c r="F501" s="17"/>
      <c r="G501" s="82"/>
      <c r="H501" s="37"/>
      <c r="I501" s="38"/>
      <c r="J501" s="49"/>
      <c r="K501" s="129"/>
      <c r="L501" s="129"/>
      <c r="M501" s="129"/>
    </row>
    <row r="502" spans="4:13" ht="18" customHeight="1" thickBot="1" x14ac:dyDescent="0.2">
      <c r="D502" s="17"/>
      <c r="E502" s="17"/>
      <c r="F502" s="17"/>
      <c r="G502" s="82"/>
      <c r="H502" s="37"/>
      <c r="I502" s="38"/>
      <c r="J502" s="49"/>
      <c r="K502" s="129"/>
      <c r="L502" s="129"/>
      <c r="M502" s="129"/>
    </row>
    <row r="503" spans="4:13" ht="18" customHeight="1" thickBot="1" x14ac:dyDescent="0.2">
      <c r="D503" s="17"/>
      <c r="E503" s="17"/>
      <c r="F503" s="17"/>
      <c r="G503" s="82"/>
      <c r="H503" s="37"/>
      <c r="I503" s="38"/>
      <c r="J503" s="49"/>
      <c r="K503" s="129"/>
      <c r="L503" s="129"/>
      <c r="M503" s="129"/>
    </row>
    <row r="504" spans="4:13" ht="18" customHeight="1" thickBot="1" x14ac:dyDescent="0.2">
      <c r="D504" s="17"/>
      <c r="E504" s="17"/>
      <c r="F504" s="17"/>
      <c r="G504" s="82"/>
      <c r="H504" s="37"/>
      <c r="I504" s="38"/>
      <c r="J504" s="49"/>
      <c r="K504" s="129"/>
      <c r="L504" s="129"/>
      <c r="M504" s="129"/>
    </row>
    <row r="505" spans="4:13" ht="18" customHeight="1" thickBot="1" x14ac:dyDescent="0.2">
      <c r="D505" s="17"/>
      <c r="E505" s="17"/>
      <c r="F505" s="17"/>
      <c r="G505" s="82"/>
      <c r="H505" s="37"/>
      <c r="I505" s="38"/>
      <c r="J505" s="49"/>
      <c r="K505" s="129"/>
      <c r="L505" s="129"/>
      <c r="M505" s="129"/>
    </row>
    <row r="506" spans="4:13" ht="18" customHeight="1" thickBot="1" x14ac:dyDescent="0.2">
      <c r="D506" s="17"/>
      <c r="E506" s="17"/>
      <c r="F506" s="17"/>
      <c r="G506" s="82"/>
      <c r="H506" s="37"/>
      <c r="I506" s="38"/>
      <c r="J506" s="49"/>
      <c r="K506" s="129"/>
      <c r="L506" s="129"/>
      <c r="M506" s="129"/>
    </row>
    <row r="507" spans="4:13" ht="18" customHeight="1" thickBot="1" x14ac:dyDescent="0.2">
      <c r="D507" s="17"/>
      <c r="E507" s="17"/>
      <c r="F507" s="17"/>
      <c r="G507" s="82"/>
      <c r="H507" s="37"/>
      <c r="I507" s="38"/>
      <c r="J507" s="49"/>
      <c r="K507" s="129"/>
      <c r="L507" s="129"/>
      <c r="M507" s="129"/>
    </row>
    <row r="508" spans="4:13" ht="18" customHeight="1" thickBot="1" x14ac:dyDescent="0.2">
      <c r="D508" s="17"/>
      <c r="E508" s="17"/>
      <c r="F508" s="17"/>
      <c r="G508" s="82"/>
      <c r="H508" s="37"/>
      <c r="I508" s="38"/>
      <c r="J508" s="49"/>
      <c r="K508" s="129"/>
      <c r="L508" s="129"/>
      <c r="M508" s="129"/>
    </row>
    <row r="509" spans="4:13" ht="18" customHeight="1" thickBot="1" x14ac:dyDescent="0.2">
      <c r="D509" s="17"/>
      <c r="E509" s="17"/>
      <c r="F509" s="17"/>
      <c r="G509" s="82"/>
      <c r="H509" s="37"/>
      <c r="I509" s="38"/>
      <c r="J509" s="49"/>
      <c r="K509" s="129"/>
      <c r="L509" s="129"/>
      <c r="M509" s="129"/>
    </row>
    <row r="510" spans="4:13" ht="18" customHeight="1" thickBot="1" x14ac:dyDescent="0.2">
      <c r="D510" s="17"/>
      <c r="E510" s="17"/>
      <c r="F510" s="17"/>
      <c r="G510" s="82"/>
      <c r="H510" s="37"/>
      <c r="I510" s="38"/>
      <c r="J510" s="49"/>
      <c r="K510" s="129"/>
      <c r="L510" s="129"/>
      <c r="M510" s="129"/>
    </row>
    <row r="511" spans="4:13" ht="18" customHeight="1" thickBot="1" x14ac:dyDescent="0.2">
      <c r="D511" s="17"/>
      <c r="E511" s="17"/>
      <c r="F511" s="17"/>
      <c r="G511" s="82"/>
      <c r="H511" s="37"/>
      <c r="I511" s="38"/>
      <c r="J511" s="49"/>
      <c r="K511" s="129"/>
      <c r="L511" s="129"/>
      <c r="M511" s="129"/>
    </row>
    <row r="512" spans="4:13" ht="18" customHeight="1" thickBot="1" x14ac:dyDescent="0.2">
      <c r="D512" s="17"/>
      <c r="E512" s="17"/>
      <c r="F512" s="17"/>
      <c r="G512" s="82"/>
      <c r="H512" s="37"/>
      <c r="I512" s="38"/>
      <c r="J512" s="49"/>
      <c r="K512" s="129"/>
      <c r="L512" s="129"/>
      <c r="M512" s="129"/>
    </row>
    <row r="513" spans="4:13" ht="18" customHeight="1" thickBot="1" x14ac:dyDescent="0.2">
      <c r="D513" s="17"/>
      <c r="E513" s="17"/>
      <c r="F513" s="17"/>
      <c r="G513" s="82"/>
      <c r="H513" s="37"/>
      <c r="I513" s="38"/>
      <c r="J513" s="49"/>
      <c r="K513" s="129"/>
      <c r="L513" s="129"/>
      <c r="M513" s="129"/>
    </row>
    <row r="514" spans="4:13" ht="18" customHeight="1" thickBot="1" x14ac:dyDescent="0.2">
      <c r="D514" s="17"/>
      <c r="E514" s="17"/>
      <c r="F514" s="17"/>
      <c r="G514" s="82"/>
      <c r="H514" s="37"/>
      <c r="I514" s="38"/>
      <c r="J514" s="49"/>
      <c r="K514" s="129"/>
      <c r="L514" s="129"/>
      <c r="M514" s="129"/>
    </row>
    <row r="515" spans="4:13" ht="18" customHeight="1" thickBot="1" x14ac:dyDescent="0.2">
      <c r="D515" s="17"/>
      <c r="E515" s="17"/>
      <c r="F515" s="17"/>
      <c r="G515" s="82"/>
      <c r="H515" s="37"/>
      <c r="I515" s="44"/>
      <c r="J515" s="49"/>
      <c r="K515" s="129"/>
      <c r="L515" s="129"/>
      <c r="M515" s="129"/>
    </row>
    <row r="516" spans="4:13" ht="18" customHeight="1" thickBot="1" x14ac:dyDescent="0.2">
      <c r="D516" s="17"/>
      <c r="E516" s="17"/>
      <c r="F516" s="17"/>
      <c r="G516" s="82"/>
      <c r="H516" s="37"/>
      <c r="I516" s="44"/>
      <c r="J516" s="49"/>
      <c r="K516" s="129"/>
      <c r="L516" s="129"/>
      <c r="M516" s="129"/>
    </row>
    <row r="517" spans="4:13" ht="18" customHeight="1" thickBot="1" x14ac:dyDescent="0.2">
      <c r="D517" s="17"/>
      <c r="E517" s="17"/>
      <c r="F517" s="17"/>
      <c r="G517" s="82"/>
      <c r="H517" s="37"/>
      <c r="I517" s="44"/>
      <c r="J517" s="49"/>
      <c r="K517" s="129"/>
      <c r="L517" s="129"/>
      <c r="M517" s="129"/>
    </row>
    <row r="518" spans="4:13" ht="18" customHeight="1" thickBot="1" x14ac:dyDescent="0.2">
      <c r="D518" s="17"/>
      <c r="E518" s="17"/>
      <c r="F518" s="17"/>
      <c r="G518" s="82"/>
      <c r="H518" s="37"/>
      <c r="I518" s="44"/>
      <c r="J518" s="49"/>
      <c r="K518" s="129"/>
      <c r="L518" s="129"/>
      <c r="M518" s="129"/>
    </row>
    <row r="519" spans="4:13" ht="18" customHeight="1" thickBot="1" x14ac:dyDescent="0.2">
      <c r="D519" s="17"/>
      <c r="E519" s="17"/>
      <c r="F519" s="17"/>
      <c r="G519" s="82"/>
      <c r="H519" s="37"/>
      <c r="I519" s="38"/>
      <c r="J519" s="49"/>
      <c r="K519" s="129"/>
      <c r="L519" s="129"/>
      <c r="M519" s="129"/>
    </row>
    <row r="520" spans="4:13" ht="18" customHeight="1" thickBot="1" x14ac:dyDescent="0.2">
      <c r="D520" s="17"/>
      <c r="E520" s="17"/>
      <c r="F520" s="17"/>
      <c r="G520" s="82"/>
      <c r="H520" s="37"/>
      <c r="I520" s="38"/>
      <c r="J520" s="49"/>
      <c r="K520" s="129"/>
      <c r="L520" s="129"/>
      <c r="M520" s="129"/>
    </row>
    <row r="521" spans="4:13" ht="18" customHeight="1" thickBot="1" x14ac:dyDescent="0.2">
      <c r="D521" s="17"/>
      <c r="E521" s="17"/>
      <c r="F521" s="17"/>
      <c r="G521" s="82"/>
      <c r="H521" s="37"/>
      <c r="I521" s="38"/>
      <c r="J521" s="49"/>
      <c r="K521" s="129"/>
      <c r="L521" s="129"/>
      <c r="M521" s="129"/>
    </row>
    <row r="522" spans="4:13" ht="18" customHeight="1" thickBot="1" x14ac:dyDescent="0.2">
      <c r="D522" s="17"/>
      <c r="E522" s="17"/>
      <c r="F522" s="17"/>
      <c r="G522" s="82"/>
      <c r="H522" s="37"/>
      <c r="I522" s="38"/>
      <c r="J522" s="49"/>
      <c r="K522" s="129"/>
      <c r="L522" s="129"/>
      <c r="M522" s="129"/>
    </row>
    <row r="523" spans="4:13" ht="18" customHeight="1" thickBot="1" x14ac:dyDescent="0.2">
      <c r="D523" s="17"/>
      <c r="E523" s="17"/>
      <c r="F523" s="17"/>
      <c r="G523" s="82"/>
      <c r="H523" s="37"/>
      <c r="I523" s="38"/>
      <c r="J523" s="49"/>
      <c r="K523" s="129"/>
      <c r="L523" s="129"/>
      <c r="M523" s="129"/>
    </row>
    <row r="524" spans="4:13" ht="18" customHeight="1" thickBot="1" x14ac:dyDescent="0.2">
      <c r="D524" s="17"/>
      <c r="E524" s="17"/>
      <c r="F524" s="17"/>
      <c r="G524" s="82"/>
      <c r="H524" s="37"/>
      <c r="I524" s="38"/>
      <c r="J524" s="49"/>
      <c r="K524" s="129"/>
      <c r="L524" s="129"/>
      <c r="M524" s="129"/>
    </row>
    <row r="525" spans="4:13" ht="18" customHeight="1" thickBot="1" x14ac:dyDescent="0.2">
      <c r="D525" s="17"/>
      <c r="E525" s="17"/>
      <c r="F525" s="17"/>
      <c r="G525" s="82"/>
      <c r="H525" s="37"/>
      <c r="I525" s="38"/>
      <c r="J525" s="49"/>
      <c r="K525" s="129"/>
      <c r="L525" s="129"/>
      <c r="M525" s="129"/>
    </row>
    <row r="526" spans="4:13" ht="18" customHeight="1" thickBot="1" x14ac:dyDescent="0.2">
      <c r="D526" s="17"/>
      <c r="E526" s="17"/>
      <c r="F526" s="17"/>
      <c r="G526" s="82"/>
      <c r="H526" s="37"/>
      <c r="I526" s="38"/>
      <c r="J526" s="49"/>
      <c r="K526" s="129"/>
      <c r="L526" s="129"/>
      <c r="M526" s="129"/>
    </row>
    <row r="527" spans="4:13" ht="18" customHeight="1" thickBot="1" x14ac:dyDescent="0.2">
      <c r="D527" s="17"/>
      <c r="E527" s="17"/>
      <c r="F527" s="17"/>
      <c r="G527" s="82"/>
      <c r="H527" s="37"/>
      <c r="I527" s="38"/>
      <c r="J527" s="49"/>
      <c r="K527" s="129"/>
      <c r="L527" s="129"/>
      <c r="M527" s="129"/>
    </row>
    <row r="528" spans="4:13" ht="18" customHeight="1" thickBot="1" x14ac:dyDescent="0.2">
      <c r="D528" s="17"/>
      <c r="E528" s="17"/>
      <c r="F528" s="17"/>
      <c r="G528" s="82"/>
      <c r="H528" s="37"/>
      <c r="I528" s="38"/>
      <c r="J528" s="49"/>
      <c r="K528" s="129"/>
      <c r="L528" s="129"/>
      <c r="M528" s="129"/>
    </row>
    <row r="529" spans="4:13" ht="18" customHeight="1" thickBot="1" x14ac:dyDescent="0.2">
      <c r="D529" s="17"/>
      <c r="E529" s="17"/>
      <c r="F529" s="17"/>
      <c r="G529" s="82"/>
      <c r="H529" s="37"/>
      <c r="I529" s="38"/>
      <c r="J529" s="49"/>
      <c r="K529" s="129"/>
      <c r="L529" s="129"/>
      <c r="M529" s="129"/>
    </row>
    <row r="530" spans="4:13" ht="18" customHeight="1" thickBot="1" x14ac:dyDescent="0.2">
      <c r="D530" s="17"/>
      <c r="E530" s="17"/>
      <c r="F530" s="17"/>
      <c r="G530" s="82"/>
      <c r="H530" s="37"/>
      <c r="I530" s="44"/>
      <c r="J530" s="49"/>
      <c r="K530" s="129"/>
      <c r="L530" s="129"/>
      <c r="M530" s="129"/>
    </row>
    <row r="531" spans="4:13" ht="18" customHeight="1" thickBot="1" x14ac:dyDescent="0.2">
      <c r="D531" s="17"/>
      <c r="E531" s="17"/>
      <c r="F531" s="17"/>
      <c r="G531" s="82"/>
      <c r="H531" s="37"/>
      <c r="I531" s="38"/>
      <c r="J531" s="49"/>
      <c r="K531" s="129"/>
      <c r="L531" s="129"/>
      <c r="M531" s="129"/>
    </row>
    <row r="532" spans="4:13" ht="18" customHeight="1" thickBot="1" x14ac:dyDescent="0.2">
      <c r="D532" s="17"/>
      <c r="E532" s="17"/>
      <c r="F532" s="17"/>
      <c r="G532" s="82"/>
      <c r="H532" s="37"/>
      <c r="I532" s="38"/>
      <c r="J532" s="49"/>
      <c r="K532" s="129"/>
      <c r="L532" s="129"/>
      <c r="M532" s="129"/>
    </row>
    <row r="533" spans="4:13" ht="18" customHeight="1" thickBot="1" x14ac:dyDescent="0.2">
      <c r="D533" s="17"/>
      <c r="E533" s="17"/>
      <c r="F533" s="17"/>
      <c r="G533" s="82"/>
      <c r="H533" s="37"/>
      <c r="I533" s="38"/>
      <c r="J533" s="49"/>
      <c r="K533" s="129"/>
      <c r="L533" s="129"/>
      <c r="M533" s="129"/>
    </row>
    <row r="534" spans="4:13" ht="18" customHeight="1" thickBot="1" x14ac:dyDescent="0.2">
      <c r="D534" s="17"/>
      <c r="E534" s="17"/>
      <c r="F534" s="17"/>
      <c r="G534" s="82"/>
      <c r="H534" s="37"/>
      <c r="I534" s="38"/>
      <c r="J534" s="49"/>
      <c r="K534" s="129"/>
      <c r="L534" s="129"/>
      <c r="M534" s="129"/>
    </row>
    <row r="535" spans="4:13" ht="18" customHeight="1" thickBot="1" x14ac:dyDescent="0.2">
      <c r="D535" s="17"/>
      <c r="E535" s="17"/>
      <c r="F535" s="17"/>
      <c r="G535" s="82"/>
      <c r="H535" s="37"/>
      <c r="I535" s="38"/>
      <c r="J535" s="49"/>
      <c r="K535" s="129"/>
      <c r="L535" s="129"/>
      <c r="M535" s="129"/>
    </row>
    <row r="536" spans="4:13" ht="18" customHeight="1" thickBot="1" x14ac:dyDescent="0.2">
      <c r="D536" s="17"/>
      <c r="E536" s="17"/>
      <c r="F536" s="17"/>
      <c r="G536" s="82"/>
      <c r="H536" s="37"/>
      <c r="I536" s="38"/>
      <c r="J536" s="49"/>
      <c r="K536" s="129"/>
      <c r="L536" s="129"/>
      <c r="M536" s="129"/>
    </row>
    <row r="537" spans="4:13" ht="18" customHeight="1" thickBot="1" x14ac:dyDescent="0.2">
      <c r="D537" s="17"/>
      <c r="E537" s="17"/>
      <c r="F537" s="17"/>
      <c r="G537" s="82"/>
      <c r="H537" s="37"/>
      <c r="I537" s="38"/>
      <c r="J537" s="49"/>
      <c r="K537" s="129"/>
      <c r="L537" s="129"/>
      <c r="M537" s="129"/>
    </row>
    <row r="538" spans="4:13" ht="18" customHeight="1" thickBot="1" x14ac:dyDescent="0.2">
      <c r="D538" s="17"/>
      <c r="E538" s="17"/>
      <c r="F538" s="17"/>
      <c r="G538" s="82"/>
      <c r="H538" s="37"/>
      <c r="I538" s="38"/>
      <c r="J538" s="49"/>
      <c r="K538" s="129"/>
      <c r="L538" s="129"/>
      <c r="M538" s="129"/>
    </row>
    <row r="539" spans="4:13" ht="18" customHeight="1" thickBot="1" x14ac:dyDescent="0.2">
      <c r="D539" s="17"/>
      <c r="E539" s="17"/>
      <c r="F539" s="17"/>
      <c r="G539" s="82"/>
      <c r="H539" s="37"/>
      <c r="I539" s="38"/>
      <c r="J539" s="49"/>
      <c r="K539" s="129"/>
      <c r="L539" s="129"/>
      <c r="M539" s="129"/>
    </row>
    <row r="540" spans="4:13" ht="18" customHeight="1" thickBot="1" x14ac:dyDescent="0.2">
      <c r="D540" s="17"/>
      <c r="E540" s="17"/>
      <c r="F540" s="17"/>
      <c r="G540" s="82"/>
      <c r="H540" s="37"/>
      <c r="I540" s="38"/>
      <c r="J540" s="49"/>
      <c r="K540" s="129"/>
      <c r="L540" s="129"/>
      <c r="M540" s="129"/>
    </row>
    <row r="541" spans="4:13" ht="18" customHeight="1" thickBot="1" x14ac:dyDescent="0.2">
      <c r="D541" s="17"/>
      <c r="E541" s="17"/>
      <c r="F541" s="17"/>
      <c r="G541" s="82"/>
      <c r="H541" s="37"/>
      <c r="I541" s="38"/>
      <c r="J541" s="49"/>
      <c r="K541" s="129"/>
      <c r="L541" s="129"/>
      <c r="M541" s="129"/>
    </row>
    <row r="542" spans="4:13" ht="18" customHeight="1" thickBot="1" x14ac:dyDescent="0.2">
      <c r="D542" s="17"/>
      <c r="E542" s="17"/>
      <c r="F542" s="17"/>
      <c r="G542" s="82"/>
      <c r="H542" s="37"/>
      <c r="I542" s="38"/>
      <c r="J542" s="49"/>
      <c r="K542" s="129"/>
      <c r="L542" s="129"/>
      <c r="M542" s="129"/>
    </row>
    <row r="543" spans="4:13" ht="18" customHeight="1" thickBot="1" x14ac:dyDescent="0.2">
      <c r="D543" s="17"/>
      <c r="E543" s="17"/>
      <c r="F543" s="17"/>
      <c r="G543" s="82"/>
      <c r="H543" s="46"/>
      <c r="I543" s="45"/>
      <c r="J543" s="49"/>
      <c r="K543" s="129"/>
      <c r="L543" s="129"/>
      <c r="M543" s="129"/>
    </row>
    <row r="544" spans="4:13" ht="18" customHeight="1" thickBot="1" x14ac:dyDescent="0.2">
      <c r="D544" s="17"/>
      <c r="E544" s="17"/>
      <c r="F544" s="17"/>
      <c r="G544" s="82"/>
      <c r="H544" s="37"/>
      <c r="I544" s="38"/>
      <c r="J544" s="49"/>
      <c r="K544" s="129"/>
      <c r="L544" s="129"/>
      <c r="M544" s="129"/>
    </row>
    <row r="545" spans="4:13" ht="18" customHeight="1" thickBot="1" x14ac:dyDescent="0.2">
      <c r="D545" s="17"/>
      <c r="E545" s="17"/>
      <c r="F545" s="17"/>
      <c r="G545" s="82"/>
      <c r="H545" s="37"/>
      <c r="I545" s="38"/>
      <c r="J545" s="49"/>
      <c r="K545" s="129"/>
      <c r="L545" s="129"/>
      <c r="M545" s="129"/>
    </row>
    <row r="546" spans="4:13" ht="18" customHeight="1" thickBot="1" x14ac:dyDescent="0.2">
      <c r="D546" s="17"/>
      <c r="E546" s="17"/>
      <c r="F546" s="17"/>
      <c r="G546" s="82"/>
      <c r="H546" s="37"/>
      <c r="I546" s="38"/>
      <c r="J546" s="49"/>
      <c r="K546" s="129"/>
      <c r="L546" s="129"/>
      <c r="M546" s="129"/>
    </row>
    <row r="547" spans="4:13" ht="18" customHeight="1" thickBot="1" x14ac:dyDescent="0.2">
      <c r="D547" s="17"/>
      <c r="E547" s="17"/>
      <c r="F547" s="17"/>
      <c r="G547" s="82"/>
      <c r="H547" s="37"/>
      <c r="I547" s="38"/>
      <c r="J547" s="49"/>
      <c r="K547" s="129"/>
      <c r="L547" s="129"/>
      <c r="M547" s="129"/>
    </row>
    <row r="548" spans="4:13" ht="18" customHeight="1" thickBot="1" x14ac:dyDescent="0.2">
      <c r="D548" s="17"/>
      <c r="E548" s="17"/>
      <c r="F548" s="17"/>
      <c r="G548" s="82"/>
      <c r="H548" s="37"/>
      <c r="I548" s="38"/>
      <c r="J548" s="49"/>
      <c r="K548" s="129"/>
      <c r="L548" s="129"/>
      <c r="M548" s="129"/>
    </row>
    <row r="549" spans="4:13" ht="18" customHeight="1" thickBot="1" x14ac:dyDescent="0.2">
      <c r="D549" s="17"/>
      <c r="E549" s="17"/>
      <c r="F549" s="17"/>
      <c r="G549" s="82"/>
      <c r="H549" s="37"/>
      <c r="I549" s="38"/>
      <c r="J549" s="49"/>
      <c r="K549" s="129"/>
      <c r="L549" s="129"/>
      <c r="M549" s="129"/>
    </row>
    <row r="550" spans="4:13" ht="18" customHeight="1" thickBot="1" x14ac:dyDescent="0.2">
      <c r="D550" s="17"/>
      <c r="E550" s="17"/>
      <c r="F550" s="17"/>
      <c r="G550" s="82"/>
      <c r="H550" s="37"/>
      <c r="I550" s="38"/>
      <c r="J550" s="49"/>
      <c r="K550" s="129"/>
      <c r="L550" s="129"/>
      <c r="M550" s="129"/>
    </row>
    <row r="551" spans="4:13" ht="18" customHeight="1" thickBot="1" x14ac:dyDescent="0.2">
      <c r="D551" s="17"/>
      <c r="E551" s="17"/>
      <c r="F551" s="17"/>
      <c r="G551" s="82"/>
      <c r="H551" s="37"/>
      <c r="I551" s="38"/>
      <c r="J551" s="49"/>
      <c r="K551" s="129"/>
      <c r="L551" s="129"/>
      <c r="M551" s="129"/>
    </row>
    <row r="552" spans="4:13" ht="18" customHeight="1" thickBot="1" x14ac:dyDescent="0.2">
      <c r="D552" s="17"/>
      <c r="E552" s="17"/>
      <c r="F552" s="17"/>
      <c r="G552" s="82"/>
      <c r="H552" s="37"/>
      <c r="I552" s="38"/>
      <c r="J552" s="49"/>
      <c r="K552" s="129"/>
      <c r="L552" s="129"/>
      <c r="M552" s="129"/>
    </row>
    <row r="553" spans="4:13" ht="18" customHeight="1" thickBot="1" x14ac:dyDescent="0.2">
      <c r="D553" s="17"/>
      <c r="E553" s="17"/>
      <c r="F553" s="17"/>
      <c r="G553" s="82"/>
      <c r="H553" s="37"/>
      <c r="I553" s="38"/>
      <c r="J553" s="49"/>
      <c r="K553" s="129"/>
      <c r="L553" s="129"/>
      <c r="M553" s="129"/>
    </row>
    <row r="554" spans="4:13" ht="18" customHeight="1" thickBot="1" x14ac:dyDescent="0.2">
      <c r="D554" s="17"/>
      <c r="E554" s="17"/>
      <c r="F554" s="17"/>
      <c r="G554" s="82"/>
      <c r="H554" s="37"/>
      <c r="I554" s="38"/>
      <c r="J554" s="49"/>
      <c r="K554" s="129"/>
      <c r="L554" s="129"/>
      <c r="M554" s="129"/>
    </row>
    <row r="555" spans="4:13" ht="18" customHeight="1" thickBot="1" x14ac:dyDescent="0.2">
      <c r="D555" s="17"/>
      <c r="E555" s="17"/>
      <c r="F555" s="17"/>
      <c r="G555" s="82"/>
      <c r="H555" s="37"/>
      <c r="I555" s="38"/>
      <c r="J555" s="49"/>
      <c r="K555" s="129"/>
      <c r="L555" s="129"/>
      <c r="M555" s="129"/>
    </row>
    <row r="556" spans="4:13" ht="18" customHeight="1" thickBot="1" x14ac:dyDescent="0.2">
      <c r="D556" s="17"/>
      <c r="E556" s="17"/>
      <c r="F556" s="17"/>
      <c r="G556" s="82"/>
      <c r="H556" s="37"/>
      <c r="I556" s="38"/>
      <c r="J556" s="49"/>
      <c r="K556" s="129"/>
      <c r="L556" s="129"/>
      <c r="M556" s="129"/>
    </row>
    <row r="557" spans="4:13" ht="18" customHeight="1" thickBot="1" x14ac:dyDescent="0.2">
      <c r="D557" s="17"/>
      <c r="E557" s="17"/>
      <c r="F557" s="17"/>
      <c r="G557" s="82"/>
      <c r="H557" s="37"/>
      <c r="I557" s="38"/>
      <c r="J557" s="49"/>
      <c r="K557" s="129"/>
      <c r="L557" s="129"/>
      <c r="M557" s="129"/>
    </row>
    <row r="558" spans="4:13" ht="18" customHeight="1" thickBot="1" x14ac:dyDescent="0.2">
      <c r="D558" s="17"/>
      <c r="E558" s="17"/>
      <c r="F558" s="17"/>
      <c r="G558" s="82"/>
      <c r="H558" s="37"/>
      <c r="I558" s="38"/>
      <c r="J558" s="49"/>
      <c r="K558" s="129"/>
      <c r="L558" s="129"/>
      <c r="M558" s="129"/>
    </row>
    <row r="559" spans="4:13" ht="18" customHeight="1" thickBot="1" x14ac:dyDescent="0.2">
      <c r="D559" s="17"/>
      <c r="E559" s="17"/>
      <c r="F559" s="17"/>
      <c r="G559" s="82"/>
      <c r="H559" s="37"/>
      <c r="I559" s="38"/>
      <c r="J559" s="49"/>
      <c r="K559" s="129"/>
      <c r="L559" s="129"/>
      <c r="M559" s="129"/>
    </row>
    <row r="560" spans="4:13" ht="18" customHeight="1" thickBot="1" x14ac:dyDescent="0.2">
      <c r="D560" s="17"/>
      <c r="E560" s="17"/>
      <c r="F560" s="17"/>
      <c r="G560" s="82"/>
      <c r="H560" s="37"/>
      <c r="I560" s="38"/>
      <c r="J560" s="49"/>
      <c r="K560" s="129"/>
      <c r="L560" s="129"/>
      <c r="M560" s="129"/>
    </row>
    <row r="561" spans="4:13" ht="18" customHeight="1" thickBot="1" x14ac:dyDescent="0.2">
      <c r="D561" s="17"/>
      <c r="E561" s="17"/>
      <c r="F561" s="17"/>
      <c r="G561" s="82"/>
      <c r="H561" s="37"/>
      <c r="I561" s="38"/>
      <c r="J561" s="49"/>
      <c r="K561" s="129"/>
      <c r="L561" s="129"/>
      <c r="M561" s="129"/>
    </row>
    <row r="562" spans="4:13" ht="18" customHeight="1" thickBot="1" x14ac:dyDescent="0.2">
      <c r="D562" s="17"/>
      <c r="E562" s="17"/>
      <c r="F562" s="17"/>
      <c r="G562" s="82"/>
      <c r="H562" s="37"/>
      <c r="I562" s="38"/>
      <c r="J562" s="49"/>
      <c r="K562" s="129"/>
      <c r="L562" s="129"/>
      <c r="M562" s="129"/>
    </row>
    <row r="563" spans="4:13" ht="18" customHeight="1" thickBot="1" x14ac:dyDescent="0.2">
      <c r="D563" s="17"/>
      <c r="E563" s="17"/>
      <c r="F563" s="17"/>
      <c r="G563" s="82"/>
      <c r="H563" s="37"/>
      <c r="I563" s="38"/>
      <c r="J563" s="49"/>
      <c r="K563" s="129"/>
      <c r="L563" s="129"/>
      <c r="M563" s="129"/>
    </row>
    <row r="564" spans="4:13" ht="18" customHeight="1" thickBot="1" x14ac:dyDescent="0.2">
      <c r="D564" s="17"/>
      <c r="E564" s="17"/>
      <c r="F564" s="17"/>
      <c r="G564" s="82"/>
      <c r="H564" s="37"/>
      <c r="I564" s="38"/>
      <c r="J564" s="49"/>
      <c r="K564" s="129"/>
      <c r="L564" s="129"/>
      <c r="M564" s="129"/>
    </row>
    <row r="565" spans="4:13" ht="18" customHeight="1" thickBot="1" x14ac:dyDescent="0.2">
      <c r="D565" s="17"/>
      <c r="E565" s="17"/>
      <c r="F565" s="17"/>
      <c r="G565" s="82"/>
      <c r="H565" s="37"/>
      <c r="I565" s="38"/>
      <c r="J565" s="49"/>
      <c r="K565" s="129"/>
      <c r="L565" s="129"/>
      <c r="M565" s="129"/>
    </row>
    <row r="566" spans="4:13" ht="18" customHeight="1" thickBot="1" x14ac:dyDescent="0.2">
      <c r="D566" s="17"/>
      <c r="E566" s="17"/>
      <c r="F566" s="17"/>
      <c r="G566" s="82"/>
      <c r="H566" s="37"/>
      <c r="I566" s="38"/>
      <c r="J566" s="49"/>
      <c r="K566" s="129"/>
      <c r="L566" s="129"/>
      <c r="M566" s="129"/>
    </row>
    <row r="567" spans="4:13" ht="18" customHeight="1" thickBot="1" x14ac:dyDescent="0.2">
      <c r="D567" s="17"/>
      <c r="E567" s="17"/>
      <c r="F567" s="17"/>
      <c r="G567" s="82"/>
      <c r="H567" s="37"/>
      <c r="I567" s="38"/>
      <c r="J567" s="49"/>
      <c r="K567" s="129"/>
      <c r="L567" s="129"/>
      <c r="M567" s="129"/>
    </row>
    <row r="568" spans="4:13" ht="18" customHeight="1" thickBot="1" x14ac:dyDescent="0.2">
      <c r="D568" s="17"/>
      <c r="E568" s="17"/>
      <c r="F568" s="17"/>
      <c r="G568" s="82"/>
      <c r="H568" s="37"/>
      <c r="I568" s="38"/>
      <c r="J568" s="49"/>
      <c r="K568" s="129"/>
      <c r="L568" s="129"/>
      <c r="M568" s="129"/>
    </row>
    <row r="569" spans="4:13" ht="18" customHeight="1" thickBot="1" x14ac:dyDescent="0.2">
      <c r="D569" s="17"/>
      <c r="E569" s="17"/>
      <c r="F569" s="17"/>
      <c r="G569" s="82"/>
      <c r="H569" s="37"/>
      <c r="I569" s="38"/>
      <c r="J569" s="49"/>
      <c r="K569" s="129"/>
      <c r="L569" s="129"/>
      <c r="M569" s="129"/>
    </row>
    <row r="570" spans="4:13" ht="18" customHeight="1" thickBot="1" x14ac:dyDescent="0.2">
      <c r="D570" s="17"/>
      <c r="E570" s="17"/>
      <c r="F570" s="17"/>
      <c r="G570" s="82"/>
      <c r="H570" s="37"/>
      <c r="I570" s="38"/>
      <c r="J570" s="49"/>
      <c r="K570" s="129"/>
      <c r="L570" s="129"/>
      <c r="M570" s="129"/>
    </row>
    <row r="571" spans="4:13" ht="18" customHeight="1" thickBot="1" x14ac:dyDescent="0.2">
      <c r="D571" s="17"/>
      <c r="E571" s="17"/>
      <c r="F571" s="17"/>
      <c r="G571" s="82"/>
      <c r="H571" s="37"/>
      <c r="I571" s="38"/>
      <c r="J571" s="49"/>
      <c r="K571" s="129"/>
      <c r="L571" s="129"/>
      <c r="M571" s="129"/>
    </row>
    <row r="572" spans="4:13" ht="18" customHeight="1" thickBot="1" x14ac:dyDescent="0.2">
      <c r="D572" s="17"/>
      <c r="E572" s="17"/>
      <c r="F572" s="17"/>
      <c r="G572" s="82"/>
      <c r="H572" s="37"/>
      <c r="I572" s="38"/>
      <c r="J572" s="49"/>
      <c r="K572" s="129"/>
      <c r="L572" s="129"/>
      <c r="M572" s="129"/>
    </row>
    <row r="573" spans="4:13" ht="18" customHeight="1" thickBot="1" x14ac:dyDescent="0.2">
      <c r="D573" s="17"/>
      <c r="E573" s="17"/>
      <c r="F573" s="17"/>
      <c r="G573" s="82"/>
      <c r="H573" s="37"/>
      <c r="I573" s="38"/>
      <c r="J573" s="49"/>
      <c r="K573" s="129"/>
      <c r="L573" s="129"/>
      <c r="M573" s="129"/>
    </row>
    <row r="574" spans="4:13" ht="18" customHeight="1" thickBot="1" x14ac:dyDescent="0.2">
      <c r="D574" s="17"/>
      <c r="E574" s="17"/>
      <c r="F574" s="17"/>
      <c r="G574" s="82"/>
      <c r="H574" s="46"/>
      <c r="I574" s="45"/>
      <c r="J574" s="49"/>
      <c r="K574" s="129"/>
      <c r="L574" s="129"/>
      <c r="M574" s="129"/>
    </row>
    <row r="575" spans="4:13" ht="18" customHeight="1" thickBot="1" x14ac:dyDescent="0.2">
      <c r="D575" s="17"/>
      <c r="E575" s="17"/>
      <c r="F575" s="17"/>
      <c r="G575" s="82"/>
      <c r="H575" s="37"/>
      <c r="I575" s="38"/>
      <c r="J575" s="49"/>
      <c r="K575" s="129"/>
      <c r="L575" s="129"/>
      <c r="M575" s="129"/>
    </row>
    <row r="576" spans="4:13" ht="18" customHeight="1" thickBot="1" x14ac:dyDescent="0.2">
      <c r="D576" s="17"/>
      <c r="E576" s="17"/>
      <c r="F576" s="17"/>
      <c r="G576" s="82"/>
      <c r="H576" s="37"/>
      <c r="I576" s="38"/>
      <c r="J576" s="49"/>
      <c r="K576" s="129"/>
      <c r="L576" s="129"/>
      <c r="M576" s="129"/>
    </row>
    <row r="577" spans="1:13" ht="18" customHeight="1" thickBot="1" x14ac:dyDescent="0.2">
      <c r="D577" s="17"/>
      <c r="E577" s="17"/>
      <c r="F577" s="17"/>
      <c r="G577" s="82"/>
      <c r="H577" s="37"/>
      <c r="I577" s="38"/>
      <c r="J577" s="49"/>
      <c r="K577" s="129"/>
      <c r="L577" s="129"/>
      <c r="M577" s="129"/>
    </row>
    <row r="578" spans="1:13" ht="18" customHeight="1" thickBot="1" x14ac:dyDescent="0.2">
      <c r="D578" s="17"/>
      <c r="E578" s="17"/>
      <c r="F578" s="17"/>
      <c r="G578" s="82"/>
      <c r="H578" s="37"/>
      <c r="I578" s="38"/>
      <c r="J578" s="49"/>
      <c r="K578" s="129"/>
      <c r="L578" s="129"/>
      <c r="M578" s="129"/>
    </row>
    <row r="579" spans="1:13" ht="18" customHeight="1" thickBot="1" x14ac:dyDescent="0.2">
      <c r="D579" s="17"/>
      <c r="E579" s="17"/>
      <c r="F579" s="17"/>
      <c r="G579" s="82"/>
      <c r="H579" s="37"/>
      <c r="I579" s="38"/>
      <c r="J579" s="49"/>
      <c r="K579" s="129"/>
      <c r="L579" s="129"/>
      <c r="M579" s="129"/>
    </row>
    <row r="580" spans="1:13" ht="18" customHeight="1" thickBot="1" x14ac:dyDescent="0.2">
      <c r="A580" s="37"/>
      <c r="B580" s="38"/>
      <c r="C580" s="64"/>
      <c r="D580" s="17"/>
      <c r="E580" s="17"/>
      <c r="F580" s="17"/>
      <c r="G580" s="82"/>
      <c r="H580" s="37"/>
      <c r="I580" s="38"/>
      <c r="J580" s="64"/>
      <c r="K580" s="129"/>
      <c r="L580" s="129"/>
      <c r="M580" s="129"/>
    </row>
    <row r="581" spans="1:13" ht="18" customHeight="1" thickBot="1" x14ac:dyDescent="0.2">
      <c r="A581" s="37"/>
      <c r="B581" s="38"/>
      <c r="C581" s="64"/>
      <c r="D581" s="17"/>
      <c r="E581" s="17"/>
      <c r="F581" s="17"/>
      <c r="G581" s="82"/>
      <c r="H581" s="37"/>
      <c r="I581" s="38"/>
      <c r="J581" s="64"/>
      <c r="K581" s="129"/>
      <c r="L581" s="129"/>
      <c r="M581" s="129"/>
    </row>
    <row r="582" spans="1:13" ht="18" customHeight="1" thickBot="1" x14ac:dyDescent="0.2">
      <c r="A582" s="37"/>
      <c r="B582" s="38"/>
      <c r="C582" s="64"/>
      <c r="D582" s="17"/>
      <c r="E582" s="17"/>
      <c r="F582" s="17"/>
      <c r="G582" s="82"/>
      <c r="H582" s="37"/>
      <c r="I582" s="38"/>
      <c r="J582" s="64"/>
      <c r="K582" s="129"/>
      <c r="L582" s="129"/>
      <c r="M582" s="129"/>
    </row>
    <row r="583" spans="1:13" ht="18" customHeight="1" thickBot="1" x14ac:dyDescent="0.2">
      <c r="A583" s="37"/>
      <c r="B583" s="38"/>
      <c r="C583" s="64"/>
      <c r="D583" s="17"/>
      <c r="E583" s="17"/>
      <c r="F583" s="17"/>
      <c r="G583" s="82"/>
      <c r="H583" s="37"/>
      <c r="I583" s="38"/>
      <c r="J583" s="64"/>
      <c r="K583" s="129"/>
      <c r="L583" s="129"/>
      <c r="M583" s="129"/>
    </row>
    <row r="584" spans="1:13" ht="18" customHeight="1" thickBot="1" x14ac:dyDescent="0.2">
      <c r="A584" s="37"/>
      <c r="B584" s="38"/>
      <c r="C584" s="64"/>
      <c r="D584" s="17"/>
      <c r="E584" s="17"/>
      <c r="F584" s="17"/>
      <c r="G584" s="82"/>
      <c r="H584" s="37"/>
      <c r="I584" s="38"/>
      <c r="J584" s="64"/>
      <c r="K584" s="129"/>
      <c r="L584" s="129"/>
      <c r="M584" s="129"/>
    </row>
    <row r="585" spans="1:13" ht="18" customHeight="1" thickBot="1" x14ac:dyDescent="0.2">
      <c r="A585" s="37"/>
      <c r="B585" s="38"/>
      <c r="C585" s="64"/>
      <c r="D585" s="17"/>
      <c r="E585" s="17"/>
      <c r="F585" s="17"/>
      <c r="G585" s="82"/>
      <c r="H585" s="37"/>
      <c r="I585" s="38"/>
      <c r="J585" s="64"/>
      <c r="K585" s="129"/>
      <c r="L585" s="129"/>
      <c r="M585" s="129"/>
    </row>
    <row r="586" spans="1:13" ht="18" customHeight="1" thickBot="1" x14ac:dyDescent="0.2">
      <c r="A586" s="37"/>
      <c r="B586" s="38"/>
      <c r="C586" s="64"/>
      <c r="D586" s="17"/>
      <c r="E586" s="17"/>
      <c r="F586" s="17"/>
      <c r="G586" s="82"/>
      <c r="H586" s="37"/>
      <c r="I586" s="38"/>
      <c r="J586" s="64"/>
      <c r="K586" s="129"/>
      <c r="L586" s="129"/>
      <c r="M586" s="129"/>
    </row>
    <row r="587" spans="1:13" ht="18" customHeight="1" thickBot="1" x14ac:dyDescent="0.2">
      <c r="A587" s="37"/>
      <c r="B587" s="38"/>
      <c r="C587" s="64"/>
      <c r="D587" s="17"/>
      <c r="E587" s="17"/>
      <c r="F587" s="17"/>
      <c r="G587" s="82"/>
      <c r="H587" s="37"/>
      <c r="I587" s="38"/>
      <c r="J587" s="64"/>
      <c r="K587" s="129"/>
      <c r="L587" s="129"/>
      <c r="M587" s="129"/>
    </row>
    <row r="588" spans="1:13" ht="18" customHeight="1" thickBot="1" x14ac:dyDescent="0.2">
      <c r="A588" s="37"/>
      <c r="B588" s="38"/>
      <c r="C588" s="64"/>
      <c r="D588" s="17"/>
      <c r="E588" s="17"/>
      <c r="F588" s="17"/>
      <c r="G588" s="82"/>
      <c r="H588" s="37"/>
      <c r="I588" s="38"/>
      <c r="J588" s="64"/>
      <c r="K588" s="129"/>
      <c r="L588" s="129"/>
      <c r="M588" s="129"/>
    </row>
    <row r="589" spans="1:13" ht="18" customHeight="1" thickBot="1" x14ac:dyDescent="0.2">
      <c r="A589" s="37"/>
      <c r="B589" s="38"/>
      <c r="C589" s="64"/>
      <c r="D589" s="17"/>
      <c r="E589" s="17"/>
      <c r="F589" s="17"/>
      <c r="G589" s="82"/>
      <c r="H589" s="37"/>
      <c r="I589" s="38"/>
      <c r="J589" s="64"/>
      <c r="K589" s="129"/>
      <c r="L589" s="129"/>
      <c r="M589" s="129"/>
    </row>
    <row r="590" spans="1:13" ht="18" customHeight="1" thickBot="1" x14ac:dyDescent="0.2">
      <c r="A590" s="56"/>
      <c r="B590" s="38"/>
      <c r="C590" s="64"/>
      <c r="D590" s="17"/>
      <c r="E590" s="17"/>
      <c r="F590" s="17"/>
      <c r="G590" s="82"/>
      <c r="H590" s="56"/>
      <c r="I590" s="38"/>
      <c r="J590" s="64"/>
      <c r="K590" s="129"/>
      <c r="L590" s="129"/>
      <c r="M590" s="129"/>
    </row>
    <row r="591" spans="1:13" ht="18" customHeight="1" thickBot="1" x14ac:dyDescent="0.2">
      <c r="A591" s="37"/>
      <c r="B591" s="38"/>
      <c r="C591" s="64"/>
      <c r="D591" s="17"/>
      <c r="E591" s="17"/>
      <c r="F591" s="17"/>
      <c r="G591" s="82"/>
      <c r="H591" s="37"/>
      <c r="I591" s="38"/>
      <c r="J591" s="64"/>
      <c r="K591" s="129"/>
      <c r="L591" s="129"/>
      <c r="M591" s="129"/>
    </row>
    <row r="592" spans="1:13" ht="18" customHeight="1" thickBot="1" x14ac:dyDescent="0.2">
      <c r="A592" s="56"/>
      <c r="B592" s="38"/>
      <c r="C592" s="64"/>
      <c r="D592" s="17"/>
      <c r="E592" s="17"/>
      <c r="F592" s="17"/>
      <c r="G592" s="82"/>
      <c r="H592" s="56"/>
      <c r="I592" s="38"/>
      <c r="J592" s="64"/>
      <c r="K592" s="129"/>
      <c r="L592" s="129"/>
      <c r="M592" s="129"/>
    </row>
    <row r="593" spans="1:13" ht="18" customHeight="1" thickBot="1" x14ac:dyDescent="0.2">
      <c r="A593" s="37"/>
      <c r="B593" s="38"/>
      <c r="C593" s="64"/>
      <c r="D593" s="17"/>
      <c r="E593" s="17"/>
      <c r="F593" s="17"/>
      <c r="G593" s="82"/>
      <c r="H593" s="37"/>
      <c r="I593" s="38"/>
      <c r="J593" s="64"/>
      <c r="K593" s="129"/>
      <c r="L593" s="129"/>
      <c r="M593" s="129"/>
    </row>
    <row r="594" spans="1:13" ht="18" customHeight="1" thickBot="1" x14ac:dyDescent="0.2">
      <c r="A594" s="37"/>
      <c r="B594" s="38"/>
      <c r="C594" s="64"/>
      <c r="D594" s="17"/>
      <c r="E594" s="17"/>
      <c r="F594" s="17"/>
      <c r="G594" s="82"/>
      <c r="H594" s="37"/>
      <c r="I594" s="38"/>
      <c r="J594" s="64"/>
      <c r="K594" s="129"/>
      <c r="L594" s="129"/>
      <c r="M594" s="129"/>
    </row>
    <row r="595" spans="1:13" ht="18" customHeight="1" thickBot="1" x14ac:dyDescent="0.2">
      <c r="A595" s="37"/>
      <c r="B595" s="38"/>
      <c r="C595" s="64"/>
      <c r="D595" s="17"/>
      <c r="E595" s="17"/>
      <c r="F595" s="17"/>
      <c r="G595" s="82"/>
      <c r="H595" s="37"/>
      <c r="I595" s="38"/>
      <c r="J595" s="64"/>
      <c r="K595" s="129"/>
      <c r="L595" s="129"/>
      <c r="M595" s="129"/>
    </row>
    <row r="596" spans="1:13" ht="18" customHeight="1" thickBot="1" x14ac:dyDescent="0.2">
      <c r="A596" s="37"/>
      <c r="B596" s="38"/>
      <c r="C596" s="64"/>
      <c r="D596" s="17"/>
      <c r="E596" s="17"/>
      <c r="F596" s="17"/>
      <c r="G596" s="82"/>
      <c r="H596" s="37"/>
      <c r="I596" s="38"/>
      <c r="J596" s="64"/>
      <c r="K596" s="129"/>
      <c r="L596" s="129"/>
      <c r="M596" s="129"/>
    </row>
    <row r="597" spans="1:13" ht="18" customHeight="1" thickBot="1" x14ac:dyDescent="0.2">
      <c r="A597" s="37"/>
      <c r="B597" s="44"/>
      <c r="C597" s="64"/>
      <c r="D597" s="17"/>
      <c r="E597" s="17"/>
      <c r="F597" s="17"/>
      <c r="G597" s="82"/>
      <c r="H597" s="37"/>
      <c r="I597" s="44"/>
      <c r="J597" s="64"/>
      <c r="K597" s="129"/>
      <c r="L597" s="129"/>
      <c r="M597" s="129"/>
    </row>
    <row r="598" spans="1:13" ht="18" customHeight="1" thickBot="1" x14ac:dyDescent="0.2">
      <c r="A598" s="37"/>
      <c r="B598" s="44"/>
      <c r="C598" s="64"/>
      <c r="D598" s="17"/>
      <c r="E598" s="17"/>
      <c r="F598" s="17"/>
      <c r="G598" s="82"/>
      <c r="H598" s="37"/>
      <c r="I598" s="44"/>
      <c r="J598" s="64"/>
      <c r="K598" s="129"/>
      <c r="L598" s="129"/>
      <c r="M598" s="129"/>
    </row>
    <row r="599" spans="1:13" ht="18" customHeight="1" thickBot="1" x14ac:dyDescent="0.2">
      <c r="A599" s="37"/>
      <c r="B599" s="44"/>
      <c r="C599" s="64"/>
      <c r="D599" s="17"/>
      <c r="E599" s="17"/>
      <c r="F599" s="17"/>
      <c r="G599" s="82"/>
      <c r="H599" s="37"/>
      <c r="I599" s="44"/>
      <c r="J599" s="64"/>
      <c r="K599" s="129"/>
      <c r="L599" s="129"/>
      <c r="M599" s="129"/>
    </row>
    <row r="600" spans="1:13" ht="18" customHeight="1" thickBot="1" x14ac:dyDescent="0.2">
      <c r="A600" s="37"/>
      <c r="B600" s="44"/>
      <c r="C600" s="64"/>
      <c r="D600" s="17"/>
      <c r="E600" s="17"/>
      <c r="F600" s="17"/>
      <c r="G600" s="82"/>
      <c r="H600" s="37"/>
      <c r="I600" s="44"/>
      <c r="J600" s="64"/>
      <c r="K600" s="129"/>
      <c r="L600" s="129"/>
      <c r="M600" s="129"/>
    </row>
    <row r="601" spans="1:13" ht="18" customHeight="1" thickBot="1" x14ac:dyDescent="0.2">
      <c r="A601" s="37"/>
      <c r="B601" s="44"/>
      <c r="C601" s="64"/>
      <c r="D601" s="17"/>
      <c r="E601" s="17"/>
      <c r="F601" s="17"/>
      <c r="G601" s="82"/>
      <c r="H601" s="37"/>
      <c r="I601" s="44"/>
      <c r="J601" s="64"/>
      <c r="K601" s="129"/>
      <c r="L601" s="129"/>
      <c r="M601" s="129"/>
    </row>
    <row r="602" spans="1:13" ht="18" customHeight="1" thickBot="1" x14ac:dyDescent="0.2">
      <c r="A602" s="37"/>
      <c r="B602" s="44"/>
      <c r="C602" s="64"/>
      <c r="D602" s="17"/>
      <c r="E602" s="17"/>
      <c r="F602" s="17"/>
      <c r="G602" s="82"/>
      <c r="H602" s="37"/>
      <c r="I602" s="44"/>
      <c r="J602" s="64"/>
      <c r="K602" s="129"/>
      <c r="L602" s="129"/>
      <c r="M602" s="129"/>
    </row>
    <row r="603" spans="1:13" ht="18" customHeight="1" thickBot="1" x14ac:dyDescent="0.2">
      <c r="A603" s="37"/>
      <c r="B603" s="44"/>
      <c r="C603" s="64"/>
      <c r="D603" s="17"/>
      <c r="E603" s="17"/>
      <c r="F603" s="17"/>
      <c r="G603" s="82"/>
      <c r="H603" s="37"/>
      <c r="I603" s="44"/>
      <c r="J603" s="64"/>
      <c r="K603" s="129"/>
      <c r="L603" s="129"/>
      <c r="M603" s="129"/>
    </row>
    <row r="604" spans="1:13" ht="18" customHeight="1" thickBot="1" x14ac:dyDescent="0.2">
      <c r="A604" s="37"/>
      <c r="B604" s="44"/>
      <c r="C604" s="64"/>
      <c r="D604" s="17"/>
      <c r="E604" s="17"/>
      <c r="F604" s="17"/>
      <c r="G604" s="82"/>
      <c r="H604" s="37"/>
      <c r="I604" s="44"/>
      <c r="J604" s="64"/>
      <c r="K604" s="129"/>
      <c r="L604" s="129"/>
      <c r="M604" s="129"/>
    </row>
    <row r="605" spans="1:13" ht="18" customHeight="1" thickBot="1" x14ac:dyDescent="0.2">
      <c r="A605" s="37"/>
      <c r="B605" s="44"/>
      <c r="C605" s="64"/>
      <c r="D605" s="17"/>
      <c r="E605" s="17"/>
      <c r="F605" s="17"/>
      <c r="G605" s="82"/>
      <c r="H605" s="37"/>
      <c r="I605" s="44"/>
      <c r="J605" s="64"/>
      <c r="K605" s="129"/>
      <c r="L605" s="129"/>
      <c r="M605" s="129"/>
    </row>
    <row r="606" spans="1:13" ht="18" customHeight="1" thickBot="1" x14ac:dyDescent="0.2">
      <c r="A606" s="37"/>
      <c r="B606" s="44"/>
      <c r="C606" s="64"/>
      <c r="D606" s="17"/>
      <c r="E606" s="17"/>
      <c r="F606" s="17"/>
      <c r="G606" s="82"/>
      <c r="H606" s="37"/>
      <c r="I606" s="44"/>
      <c r="J606" s="64"/>
      <c r="K606" s="129"/>
      <c r="L606" s="129"/>
      <c r="M606" s="129"/>
    </row>
    <row r="607" spans="1:13" ht="18" customHeight="1" thickBot="1" x14ac:dyDescent="0.2">
      <c r="A607" s="37"/>
      <c r="B607" s="44"/>
      <c r="C607" s="64"/>
      <c r="D607" s="17"/>
      <c r="E607" s="17"/>
      <c r="F607" s="17"/>
      <c r="G607" s="82"/>
      <c r="H607" s="37"/>
      <c r="I607" s="44"/>
      <c r="J607" s="64"/>
      <c r="K607" s="129"/>
      <c r="L607" s="129"/>
      <c r="M607" s="129"/>
    </row>
    <row r="608" spans="1:13" ht="18" customHeight="1" thickBot="1" x14ac:dyDescent="0.2">
      <c r="A608" s="37"/>
      <c r="B608" s="55"/>
      <c r="C608" s="64"/>
      <c r="D608" s="17"/>
      <c r="E608" s="17"/>
      <c r="F608" s="17"/>
      <c r="G608" s="82"/>
      <c r="H608" s="37"/>
      <c r="I608" s="55"/>
      <c r="J608" s="64"/>
      <c r="K608" s="129"/>
      <c r="L608" s="129"/>
      <c r="M608" s="129"/>
    </row>
    <row r="609" spans="1:13" ht="18" customHeight="1" thickBot="1" x14ac:dyDescent="0.2">
      <c r="A609" s="37"/>
      <c r="B609" s="55"/>
      <c r="C609" s="64"/>
      <c r="D609" s="17"/>
      <c r="E609" s="17"/>
      <c r="F609" s="17"/>
      <c r="G609" s="82"/>
      <c r="H609" s="37"/>
      <c r="I609" s="55"/>
      <c r="J609" s="64"/>
      <c r="K609" s="129"/>
      <c r="L609" s="129"/>
      <c r="M609" s="129"/>
    </row>
    <row r="610" spans="1:13" ht="18" customHeight="1" thickBot="1" x14ac:dyDescent="0.2">
      <c r="A610" s="37"/>
      <c r="B610" s="44"/>
      <c r="C610" s="64"/>
      <c r="D610" s="17"/>
      <c r="E610" s="17"/>
      <c r="F610" s="17"/>
      <c r="G610" s="82"/>
      <c r="H610" s="37"/>
      <c r="I610" s="44"/>
      <c r="J610" s="64"/>
      <c r="K610" s="129"/>
      <c r="L610" s="129"/>
      <c r="M610" s="129"/>
    </row>
    <row r="611" spans="1:13" ht="18" customHeight="1" thickBot="1" x14ac:dyDescent="0.2">
      <c r="A611" s="37"/>
      <c r="B611" s="38"/>
      <c r="C611" s="64"/>
      <c r="D611" s="17"/>
      <c r="E611" s="17"/>
      <c r="F611" s="17"/>
      <c r="G611" s="82"/>
      <c r="H611" s="37"/>
      <c r="I611" s="38"/>
      <c r="J611" s="64"/>
      <c r="K611" s="129"/>
      <c r="L611" s="129"/>
      <c r="M611" s="129"/>
    </row>
    <row r="612" spans="1:13" ht="18" customHeight="1" thickBot="1" x14ac:dyDescent="0.2">
      <c r="A612" s="37"/>
      <c r="B612" s="38"/>
      <c r="C612" s="64"/>
      <c r="D612" s="17"/>
      <c r="E612" s="17"/>
      <c r="F612" s="17"/>
      <c r="G612" s="82"/>
      <c r="H612" s="37"/>
      <c r="I612" s="38"/>
      <c r="J612" s="64"/>
      <c r="K612" s="129"/>
      <c r="L612" s="129"/>
      <c r="M612" s="129"/>
    </row>
    <row r="613" spans="1:13" ht="18" customHeight="1" thickBot="1" x14ac:dyDescent="0.2">
      <c r="A613" s="37"/>
      <c r="B613" s="38"/>
      <c r="C613" s="64"/>
      <c r="D613" s="17"/>
      <c r="E613" s="17"/>
      <c r="F613" s="17"/>
      <c r="G613" s="82"/>
      <c r="H613" s="37"/>
      <c r="I613" s="38"/>
      <c r="J613" s="64"/>
      <c r="K613" s="129"/>
      <c r="L613" s="129"/>
      <c r="M613" s="129"/>
    </row>
    <row r="614" spans="1:13" ht="18" customHeight="1" thickBot="1" x14ac:dyDescent="0.2">
      <c r="A614" s="37"/>
      <c r="B614" s="55"/>
      <c r="C614" s="64"/>
      <c r="D614" s="17"/>
      <c r="E614" s="17"/>
      <c r="F614" s="17"/>
      <c r="G614" s="82"/>
      <c r="H614" s="37"/>
      <c r="I614" s="55"/>
      <c r="J614" s="64"/>
      <c r="K614" s="129"/>
      <c r="L614" s="129"/>
      <c r="M614" s="129"/>
    </row>
    <row r="615" spans="1:13" ht="18" customHeight="1" thickBot="1" x14ac:dyDescent="0.2">
      <c r="A615" s="37"/>
      <c r="B615" s="38"/>
      <c r="C615" s="64"/>
      <c r="D615" s="17"/>
      <c r="E615" s="17"/>
      <c r="F615" s="17"/>
      <c r="G615" s="82"/>
      <c r="H615" s="37"/>
      <c r="I615" s="38"/>
      <c r="J615" s="64"/>
      <c r="K615" s="129"/>
      <c r="L615" s="129"/>
      <c r="M615" s="129"/>
    </row>
    <row r="616" spans="1:13" ht="18" customHeight="1" thickBot="1" x14ac:dyDescent="0.2">
      <c r="A616" s="37"/>
      <c r="B616" s="38"/>
      <c r="C616" s="64"/>
      <c r="D616" s="17"/>
      <c r="E616" s="17"/>
      <c r="F616" s="17"/>
      <c r="G616" s="82"/>
      <c r="H616" s="37"/>
      <c r="I616" s="38"/>
      <c r="J616" s="64"/>
      <c r="K616" s="129"/>
      <c r="L616" s="129"/>
      <c r="M616" s="129"/>
    </row>
    <row r="617" spans="1:13" ht="18" customHeight="1" thickBot="1" x14ac:dyDescent="0.2">
      <c r="A617" s="37"/>
      <c r="B617" s="38"/>
      <c r="C617" s="64"/>
      <c r="D617" s="17"/>
      <c r="E617" s="17"/>
      <c r="F617" s="17"/>
      <c r="G617" s="82"/>
      <c r="H617" s="37"/>
      <c r="I617" s="38"/>
      <c r="J617" s="64"/>
      <c r="K617" s="129"/>
      <c r="L617" s="129"/>
      <c r="M617" s="129"/>
    </row>
    <row r="618" spans="1:13" ht="18" customHeight="1" thickBot="1" x14ac:dyDescent="0.2">
      <c r="A618" s="37"/>
      <c r="B618" s="38"/>
      <c r="C618" s="64"/>
      <c r="D618" s="17"/>
      <c r="E618" s="17"/>
      <c r="F618" s="17"/>
      <c r="G618" s="82"/>
      <c r="H618" s="37"/>
      <c r="I618" s="38"/>
      <c r="J618" s="64"/>
      <c r="K618" s="129"/>
      <c r="L618" s="129"/>
      <c r="M618" s="129"/>
    </row>
    <row r="619" spans="1:13" ht="18" customHeight="1" thickBot="1" x14ac:dyDescent="0.2">
      <c r="A619" s="37"/>
      <c r="B619" s="38"/>
      <c r="C619" s="64"/>
      <c r="D619" s="17"/>
      <c r="E619" s="17"/>
      <c r="F619" s="17"/>
      <c r="G619" s="82"/>
      <c r="H619" s="37"/>
      <c r="I619" s="38"/>
      <c r="J619" s="64"/>
      <c r="K619" s="129"/>
      <c r="L619" s="129"/>
      <c r="M619" s="129"/>
    </row>
    <row r="620" spans="1:13" ht="18" customHeight="1" thickBot="1" x14ac:dyDescent="0.2">
      <c r="A620" s="37"/>
      <c r="B620" s="38"/>
      <c r="C620" s="64"/>
      <c r="D620" s="17"/>
      <c r="E620" s="17"/>
      <c r="F620" s="17"/>
      <c r="G620" s="82"/>
      <c r="H620" s="37"/>
      <c r="I620" s="38"/>
      <c r="J620" s="64"/>
      <c r="K620" s="129"/>
      <c r="L620" s="129"/>
      <c r="M620" s="129"/>
    </row>
    <row r="621" spans="1:13" ht="18" customHeight="1" thickBot="1" x14ac:dyDescent="0.2">
      <c r="A621" s="37"/>
      <c r="B621" s="38"/>
      <c r="C621" s="64"/>
      <c r="D621" s="17"/>
      <c r="E621" s="17"/>
      <c r="F621" s="17"/>
      <c r="G621" s="82"/>
      <c r="H621" s="37"/>
      <c r="I621" s="38"/>
      <c r="J621" s="64"/>
      <c r="K621" s="129"/>
      <c r="L621" s="129"/>
      <c r="M621" s="129"/>
    </row>
    <row r="622" spans="1:13" ht="18" customHeight="1" thickBot="1" x14ac:dyDescent="0.2">
      <c r="A622" s="34"/>
      <c r="B622" s="54"/>
      <c r="C622" s="64"/>
      <c r="D622" s="17"/>
      <c r="E622" s="17"/>
      <c r="F622" s="17"/>
      <c r="G622" s="82"/>
      <c r="H622" s="34"/>
      <c r="I622" s="54"/>
      <c r="J622" s="64"/>
      <c r="K622" s="129" t="str">
        <f t="shared" ref="K622" si="25">IF(OR(AND(Niveau1="Basis",D622="B"),AND(Niveau1="Verdiepend",D622="V"),AND(Niveau1="Basis + Verdiepend",NOT(ISBLANK(D622)))),$U$2,"")</f>
        <v/>
      </c>
      <c r="L622" s="129" t="str">
        <f t="shared" ref="L622" si="26">IF(OR(AND(Niveau2="Basis",E622="B"),AND(Niveau2="Verdiepend",E622="V"),AND(Niveau2="Basis + Verdiepend",NOT(ISBLANK(E622)))),$U$2,"")</f>
        <v/>
      </c>
      <c r="M622" s="129" t="str">
        <f t="shared" ref="M622" si="27">IF(OR(AND(Niveau3="Basis",F622="B"),AND(Niveau3="Verdiepend",F622="V"),AND(Niveau3="Basis + Verdiepend",NOT(ISBLANK(F622)))),$U$2,"")</f>
        <v/>
      </c>
    </row>
    <row r="623" spans="1:13" ht="18" customHeight="1" thickBot="1" x14ac:dyDescent="0.2">
      <c r="H623" s="37"/>
      <c r="I623" s="38"/>
      <c r="J623" s="64"/>
      <c r="K623" s="129"/>
      <c r="L623" s="129"/>
      <c r="M623" s="129"/>
    </row>
    <row r="624" spans="1:13" ht="18" customHeight="1" thickBot="1" x14ac:dyDescent="0.2">
      <c r="H624" s="37"/>
      <c r="I624" s="38"/>
      <c r="J624" s="64"/>
      <c r="K624" s="129"/>
      <c r="L624" s="129"/>
      <c r="M624" s="129"/>
    </row>
    <row r="625" spans="7:13" ht="18" customHeight="1" x14ac:dyDescent="0.15">
      <c r="H625" s="37"/>
      <c r="I625" s="38"/>
      <c r="J625" s="64"/>
      <c r="K625" s="129"/>
      <c r="L625" s="129"/>
      <c r="M625" s="129"/>
    </row>
    <row r="631" spans="7:13" ht="18" customHeight="1" x14ac:dyDescent="0.15">
      <c r="G631" s="82"/>
      <c r="H631" s="82"/>
      <c r="I631" s="82"/>
      <c r="J631" s="82"/>
      <c r="K631" s="131"/>
      <c r="L631" s="131"/>
    </row>
    <row r="632" spans="7:13" ht="18" customHeight="1" x14ac:dyDescent="0.15">
      <c r="G632" s="82"/>
      <c r="H632" s="82"/>
      <c r="I632" s="82"/>
      <c r="J632" s="82"/>
      <c r="K632" s="131"/>
      <c r="L632" s="131"/>
    </row>
    <row r="633" spans="7:13" ht="18" customHeight="1" x14ac:dyDescent="0.15">
      <c r="G633" s="82"/>
      <c r="H633" s="82"/>
      <c r="I633" s="82"/>
      <c r="J633" s="82"/>
      <c r="K633" s="131"/>
      <c r="L633" s="131"/>
    </row>
    <row r="634" spans="7:13" ht="18" customHeight="1" x14ac:dyDescent="0.15">
      <c r="G634" s="82"/>
      <c r="H634" s="82"/>
      <c r="I634" s="82"/>
      <c r="J634" s="82"/>
      <c r="K634" s="131"/>
      <c r="L634" s="131"/>
    </row>
    <row r="635" spans="7:13" ht="18" customHeight="1" x14ac:dyDescent="0.15">
      <c r="G635" s="82"/>
      <c r="H635" s="82"/>
      <c r="I635" s="82"/>
      <c r="J635" s="82"/>
      <c r="K635" s="131"/>
      <c r="L635" s="131"/>
    </row>
    <row r="636" spans="7:13" ht="18" customHeight="1" x14ac:dyDescent="0.15">
      <c r="G636" s="82"/>
      <c r="H636" s="82"/>
      <c r="I636" s="82"/>
      <c r="J636" s="82"/>
      <c r="K636" s="131"/>
      <c r="L636" s="131"/>
    </row>
    <row r="637" spans="7:13" ht="18" customHeight="1" x14ac:dyDescent="0.15">
      <c r="G637" s="82"/>
      <c r="H637" s="82"/>
      <c r="I637" s="82"/>
      <c r="J637" s="82"/>
      <c r="K637" s="131"/>
      <c r="L637" s="131"/>
    </row>
    <row r="638" spans="7:13" ht="18" customHeight="1" x14ac:dyDescent="0.15">
      <c r="G638" s="82"/>
      <c r="H638" s="82"/>
      <c r="I638" s="82"/>
      <c r="J638" s="82"/>
      <c r="K638" s="131"/>
      <c r="L638" s="131"/>
    </row>
    <row r="639" spans="7:13" ht="18" customHeight="1" x14ac:dyDescent="0.15">
      <c r="G639" s="82"/>
      <c r="H639" s="82"/>
      <c r="I639" s="82"/>
      <c r="J639" s="82"/>
      <c r="K639" s="131"/>
      <c r="L639" s="131"/>
    </row>
    <row r="640" spans="7:13" ht="18" customHeight="1" x14ac:dyDescent="0.15">
      <c r="G640" s="82"/>
      <c r="H640" s="82"/>
      <c r="I640" s="82"/>
      <c r="J640" s="82"/>
      <c r="K640" s="131"/>
      <c r="L640" s="131"/>
    </row>
    <row r="641" spans="7:12" ht="18" customHeight="1" x14ac:dyDescent="0.15">
      <c r="G641" s="82"/>
      <c r="H641" s="82"/>
      <c r="I641" s="82"/>
      <c r="J641" s="82"/>
      <c r="K641" s="131"/>
      <c r="L641" s="131"/>
    </row>
    <row r="642" spans="7:12" ht="18" customHeight="1" x14ac:dyDescent="0.15">
      <c r="G642" s="82"/>
      <c r="H642" s="82"/>
      <c r="I642" s="82"/>
      <c r="J642" s="82"/>
      <c r="K642" s="131"/>
      <c r="L642" s="131"/>
    </row>
    <row r="643" spans="7:12" ht="18" customHeight="1" x14ac:dyDescent="0.15">
      <c r="G643" s="82"/>
      <c r="H643" s="82"/>
      <c r="I643" s="82"/>
      <c r="J643" s="82"/>
      <c r="K643" s="131"/>
      <c r="L643" s="131"/>
    </row>
    <row r="644" spans="7:12" ht="18" customHeight="1" x14ac:dyDescent="0.15">
      <c r="G644" s="82"/>
      <c r="H644" s="82"/>
      <c r="I644" s="82"/>
      <c r="J644" s="82"/>
      <c r="K644" s="131"/>
      <c r="L644" s="131"/>
    </row>
    <row r="645" spans="7:12" ht="18" customHeight="1" x14ac:dyDescent="0.15">
      <c r="G645" s="82"/>
      <c r="H645" s="82"/>
      <c r="I645" s="82"/>
      <c r="J645" s="82"/>
      <c r="K645" s="131"/>
      <c r="L645" s="131"/>
    </row>
    <row r="646" spans="7:12" ht="18" customHeight="1" x14ac:dyDescent="0.15">
      <c r="G646" s="82"/>
      <c r="H646" s="82"/>
      <c r="I646" s="82"/>
      <c r="J646" s="82"/>
      <c r="K646" s="131"/>
      <c r="L646" s="131"/>
    </row>
    <row r="647" spans="7:12" ht="18" customHeight="1" x14ac:dyDescent="0.15">
      <c r="G647" s="82"/>
      <c r="H647" s="82"/>
      <c r="I647" s="82"/>
      <c r="J647" s="82"/>
      <c r="K647" s="131"/>
      <c r="L647" s="131"/>
    </row>
    <row r="648" spans="7:12" ht="18" customHeight="1" x14ac:dyDescent="0.15">
      <c r="G648" s="82"/>
      <c r="H648" s="82"/>
      <c r="I648" s="82"/>
      <c r="J648" s="82"/>
      <c r="K648" s="131"/>
      <c r="L648" s="131"/>
    </row>
    <row r="649" spans="7:12" ht="18" customHeight="1" x14ac:dyDescent="0.15">
      <c r="G649" s="82"/>
      <c r="H649" s="82"/>
      <c r="I649" s="82"/>
      <c r="J649" s="82"/>
      <c r="K649" s="131"/>
      <c r="L649" s="131"/>
    </row>
    <row r="650" spans="7:12" ht="18" customHeight="1" x14ac:dyDescent="0.15">
      <c r="G650" s="82"/>
      <c r="H650" s="82"/>
      <c r="I650" s="82"/>
      <c r="J650" s="82"/>
      <c r="K650" s="131"/>
      <c r="L650" s="131"/>
    </row>
    <row r="651" spans="7:12" ht="18" customHeight="1" x14ac:dyDescent="0.15">
      <c r="G651" s="82"/>
      <c r="H651" s="82"/>
      <c r="I651" s="82"/>
      <c r="J651" s="82"/>
      <c r="K651" s="131"/>
      <c r="L651" s="131"/>
    </row>
    <row r="652" spans="7:12" ht="18" customHeight="1" x14ac:dyDescent="0.15">
      <c r="G652" s="82"/>
      <c r="H652" s="82"/>
      <c r="I652" s="82"/>
      <c r="J652" s="82"/>
      <c r="K652" s="131"/>
      <c r="L652" s="131"/>
    </row>
    <row r="653" spans="7:12" ht="18" customHeight="1" x14ac:dyDescent="0.15">
      <c r="G653" s="82"/>
      <c r="H653" s="82"/>
      <c r="I653" s="82"/>
      <c r="J653" s="82"/>
      <c r="K653" s="131"/>
      <c r="L653" s="131"/>
    </row>
    <row r="654" spans="7:12" ht="18" customHeight="1" x14ac:dyDescent="0.15">
      <c r="G654" s="82"/>
      <c r="H654" s="82"/>
      <c r="I654" s="82"/>
      <c r="J654" s="82"/>
      <c r="K654" s="131"/>
      <c r="L654" s="131"/>
    </row>
    <row r="655" spans="7:12" ht="18" customHeight="1" x14ac:dyDescent="0.15">
      <c r="G655" s="82"/>
      <c r="H655" s="82"/>
      <c r="I655" s="82"/>
      <c r="J655" s="82"/>
      <c r="K655" s="131"/>
      <c r="L655" s="131"/>
    </row>
    <row r="656" spans="7:12" ht="18" customHeight="1" x14ac:dyDescent="0.15">
      <c r="G656" s="82"/>
      <c r="H656" s="82"/>
      <c r="I656" s="82"/>
      <c r="J656" s="82"/>
      <c r="K656" s="131"/>
      <c r="L656" s="131"/>
    </row>
    <row r="657" spans="7:12" ht="18" customHeight="1" x14ac:dyDescent="0.15">
      <c r="G657" s="82"/>
      <c r="H657" s="82"/>
      <c r="I657" s="82"/>
      <c r="J657" s="82"/>
      <c r="K657" s="131"/>
      <c r="L657" s="131"/>
    </row>
    <row r="658" spans="7:12" ht="18" customHeight="1" x14ac:dyDescent="0.15">
      <c r="G658" s="82"/>
      <c r="H658" s="82"/>
      <c r="I658" s="82"/>
      <c r="J658" s="82"/>
      <c r="K658" s="131"/>
      <c r="L658" s="131"/>
    </row>
    <row r="659" spans="7:12" ht="18" customHeight="1" x14ac:dyDescent="0.15">
      <c r="G659" s="82"/>
      <c r="H659" s="82"/>
      <c r="I659" s="82"/>
      <c r="J659" s="82"/>
      <c r="K659" s="131"/>
      <c r="L659" s="131"/>
    </row>
    <row r="660" spans="7:12" ht="18" customHeight="1" x14ac:dyDescent="0.15">
      <c r="G660" s="82"/>
      <c r="H660" s="82"/>
      <c r="I660" s="82"/>
      <c r="J660" s="82"/>
      <c r="K660" s="131"/>
      <c r="L660" s="131"/>
    </row>
    <row r="661" spans="7:12" ht="18" customHeight="1" x14ac:dyDescent="0.15">
      <c r="G661" s="82"/>
      <c r="H661" s="82"/>
      <c r="I661" s="82"/>
      <c r="J661" s="82"/>
      <c r="K661" s="131"/>
      <c r="L661" s="131"/>
    </row>
    <row r="662" spans="7:12" ht="18" customHeight="1" x14ac:dyDescent="0.15">
      <c r="G662" s="82"/>
      <c r="H662" s="82"/>
      <c r="I662" s="82"/>
      <c r="J662" s="82"/>
      <c r="K662" s="131"/>
      <c r="L662" s="131"/>
    </row>
    <row r="663" spans="7:12" ht="18" customHeight="1" x14ac:dyDescent="0.15">
      <c r="G663" s="82"/>
      <c r="H663" s="82"/>
      <c r="I663" s="82"/>
      <c r="J663" s="82"/>
      <c r="K663" s="131"/>
      <c r="L663" s="131"/>
    </row>
    <row r="664" spans="7:12" ht="18" customHeight="1" x14ac:dyDescent="0.15">
      <c r="G664" s="82"/>
      <c r="H664" s="82"/>
      <c r="I664" s="82"/>
      <c r="J664" s="82"/>
      <c r="K664" s="131"/>
      <c r="L664" s="131"/>
    </row>
    <row r="665" spans="7:12" ht="18" customHeight="1" x14ac:dyDescent="0.15">
      <c r="G665" s="82"/>
      <c r="H665" s="82"/>
      <c r="I665" s="82"/>
      <c r="J665" s="82"/>
      <c r="K665" s="131"/>
      <c r="L665" s="131"/>
    </row>
    <row r="666" spans="7:12" ht="18" customHeight="1" x14ac:dyDescent="0.15">
      <c r="G666" s="82"/>
      <c r="H666" s="82"/>
      <c r="I666" s="82"/>
      <c r="J666" s="82"/>
      <c r="K666" s="131"/>
      <c r="L666" s="131"/>
    </row>
    <row r="667" spans="7:12" ht="18" customHeight="1" x14ac:dyDescent="0.15">
      <c r="G667" s="82"/>
      <c r="H667" s="82"/>
      <c r="I667" s="82"/>
      <c r="J667" s="82"/>
      <c r="K667" s="131"/>
      <c r="L667" s="131"/>
    </row>
    <row r="668" spans="7:12" ht="18" customHeight="1" x14ac:dyDescent="0.15">
      <c r="G668" s="82"/>
      <c r="H668" s="82"/>
      <c r="I668" s="82"/>
      <c r="J668" s="82"/>
      <c r="K668" s="131"/>
      <c r="L668" s="131"/>
    </row>
    <row r="669" spans="7:12" ht="18" customHeight="1" x14ac:dyDescent="0.15">
      <c r="G669" s="82"/>
      <c r="H669" s="82"/>
      <c r="I669" s="82"/>
      <c r="J669" s="82"/>
      <c r="K669" s="131"/>
      <c r="L669" s="131"/>
    </row>
    <row r="670" spans="7:12" ht="18" customHeight="1" x14ac:dyDescent="0.15">
      <c r="G670" s="82"/>
      <c r="H670" s="82"/>
      <c r="I670" s="82"/>
      <c r="J670" s="82"/>
      <c r="K670" s="131"/>
      <c r="L670" s="131"/>
    </row>
    <row r="671" spans="7:12" ht="18" customHeight="1" x14ac:dyDescent="0.15">
      <c r="G671" s="82"/>
      <c r="H671" s="82"/>
      <c r="I671" s="82"/>
      <c r="J671" s="82"/>
      <c r="K671" s="131"/>
      <c r="L671" s="131"/>
    </row>
    <row r="672" spans="7:12" ht="18" customHeight="1" x14ac:dyDescent="0.15">
      <c r="G672" s="82"/>
      <c r="H672" s="82"/>
      <c r="I672" s="82"/>
      <c r="J672" s="82"/>
      <c r="K672" s="131"/>
      <c r="L672" s="131"/>
    </row>
    <row r="673" spans="7:12" ht="18" customHeight="1" x14ac:dyDescent="0.15">
      <c r="G673" s="82"/>
      <c r="H673" s="82"/>
      <c r="I673" s="82"/>
      <c r="J673" s="82"/>
      <c r="K673" s="131"/>
      <c r="L673" s="131"/>
    </row>
    <row r="674" spans="7:12" ht="18" customHeight="1" x14ac:dyDescent="0.15">
      <c r="G674" s="82"/>
      <c r="H674" s="82"/>
      <c r="I674" s="82"/>
      <c r="J674" s="82"/>
      <c r="K674" s="131"/>
      <c r="L674" s="131"/>
    </row>
    <row r="675" spans="7:12" ht="18" customHeight="1" x14ac:dyDescent="0.15">
      <c r="G675" s="82"/>
      <c r="H675" s="82"/>
      <c r="I675" s="82"/>
      <c r="J675" s="82"/>
      <c r="K675" s="131"/>
      <c r="L675" s="131"/>
    </row>
    <row r="676" spans="7:12" ht="18" customHeight="1" x14ac:dyDescent="0.15">
      <c r="G676" s="82"/>
      <c r="H676" s="82"/>
      <c r="I676" s="82"/>
      <c r="J676" s="82"/>
      <c r="K676" s="131"/>
      <c r="L676" s="131"/>
    </row>
    <row r="677" spans="7:12" ht="18" customHeight="1" x14ac:dyDescent="0.15">
      <c r="G677" s="82"/>
      <c r="H677" s="82"/>
      <c r="I677" s="82"/>
      <c r="J677" s="82"/>
      <c r="K677" s="131"/>
      <c r="L677" s="131"/>
    </row>
    <row r="678" spans="7:12" ht="18" customHeight="1" x14ac:dyDescent="0.15">
      <c r="G678" s="82"/>
      <c r="H678" s="82"/>
      <c r="I678" s="82"/>
      <c r="J678" s="82"/>
      <c r="K678" s="131"/>
      <c r="L678" s="131"/>
    </row>
    <row r="679" spans="7:12" ht="18" customHeight="1" x14ac:dyDescent="0.15">
      <c r="G679" s="82"/>
      <c r="H679" s="82"/>
      <c r="I679" s="82"/>
      <c r="J679" s="82"/>
      <c r="K679" s="131"/>
      <c r="L679" s="131"/>
    </row>
    <row r="680" spans="7:12" ht="18" customHeight="1" x14ac:dyDescent="0.15">
      <c r="G680" s="82"/>
      <c r="H680" s="82"/>
      <c r="I680" s="82"/>
      <c r="J680" s="82"/>
      <c r="K680" s="131"/>
      <c r="L680" s="131"/>
    </row>
    <row r="681" spans="7:12" ht="18" customHeight="1" x14ac:dyDescent="0.15">
      <c r="G681" s="82"/>
      <c r="H681" s="82"/>
      <c r="I681" s="82"/>
      <c r="J681" s="82"/>
      <c r="K681" s="131"/>
      <c r="L681" s="131"/>
    </row>
    <row r="682" spans="7:12" ht="18" customHeight="1" x14ac:dyDescent="0.15">
      <c r="G682" s="82"/>
      <c r="H682" s="82"/>
      <c r="I682" s="82"/>
      <c r="J682" s="82"/>
      <c r="K682" s="131"/>
      <c r="L682" s="131"/>
    </row>
    <row r="683" spans="7:12" ht="18" customHeight="1" x14ac:dyDescent="0.15">
      <c r="G683" s="82"/>
      <c r="H683" s="82"/>
      <c r="I683" s="82"/>
      <c r="J683" s="82"/>
      <c r="K683" s="131"/>
      <c r="L683" s="131"/>
    </row>
    <row r="684" spans="7:12" ht="18" customHeight="1" x14ac:dyDescent="0.15">
      <c r="G684" s="82"/>
      <c r="H684" s="82"/>
      <c r="I684" s="82"/>
      <c r="J684" s="82"/>
      <c r="K684" s="131"/>
      <c r="L684" s="131"/>
    </row>
    <row r="685" spans="7:12" ht="18" customHeight="1" x14ac:dyDescent="0.15">
      <c r="G685" s="82"/>
      <c r="H685" s="82"/>
      <c r="I685" s="82"/>
      <c r="J685" s="82"/>
      <c r="K685" s="131"/>
      <c r="L685" s="131"/>
    </row>
    <row r="686" spans="7:12" ht="18" customHeight="1" x14ac:dyDescent="0.15">
      <c r="G686" s="82"/>
      <c r="H686" s="82"/>
      <c r="I686" s="82"/>
      <c r="J686" s="82"/>
      <c r="K686" s="131"/>
      <c r="L686" s="131"/>
    </row>
    <row r="687" spans="7:12" ht="18" customHeight="1" x14ac:dyDescent="0.15">
      <c r="G687" s="82"/>
      <c r="H687" s="82"/>
      <c r="I687" s="82"/>
      <c r="J687" s="82"/>
      <c r="K687" s="131"/>
      <c r="L687" s="131"/>
    </row>
    <row r="688" spans="7:12" ht="18" customHeight="1" x14ac:dyDescent="0.15">
      <c r="G688" s="82"/>
      <c r="H688" s="82"/>
      <c r="I688" s="82"/>
      <c r="J688" s="82"/>
      <c r="K688" s="131"/>
      <c r="L688" s="131"/>
    </row>
    <row r="689" spans="7:12" ht="18" customHeight="1" x14ac:dyDescent="0.15">
      <c r="G689" s="82"/>
      <c r="H689" s="82"/>
      <c r="I689" s="82"/>
      <c r="J689" s="82"/>
      <c r="K689" s="131"/>
      <c r="L689" s="131"/>
    </row>
    <row r="690" spans="7:12" ht="18" customHeight="1" x14ac:dyDescent="0.15">
      <c r="G690" s="82"/>
      <c r="H690" s="82"/>
      <c r="I690" s="82"/>
      <c r="J690" s="82"/>
      <c r="K690" s="131"/>
      <c r="L690" s="131"/>
    </row>
    <row r="691" spans="7:12" ht="18" customHeight="1" x14ac:dyDescent="0.15">
      <c r="G691" s="82"/>
      <c r="H691" s="82"/>
      <c r="I691" s="82"/>
      <c r="J691" s="82"/>
      <c r="K691" s="131"/>
      <c r="L691" s="131"/>
    </row>
    <row r="692" spans="7:12" ht="18" customHeight="1" x14ac:dyDescent="0.15">
      <c r="G692" s="82"/>
      <c r="H692" s="82"/>
      <c r="I692" s="82"/>
      <c r="J692" s="82"/>
      <c r="K692" s="131"/>
      <c r="L692" s="131"/>
    </row>
    <row r="693" spans="7:12" ht="18" customHeight="1" x14ac:dyDescent="0.15">
      <c r="G693" s="82"/>
      <c r="H693" s="82"/>
      <c r="I693" s="82"/>
      <c r="J693" s="82"/>
      <c r="K693" s="131"/>
      <c r="L693" s="131"/>
    </row>
    <row r="694" spans="7:12" ht="18" customHeight="1" x14ac:dyDescent="0.15">
      <c r="G694" s="82"/>
      <c r="H694" s="82"/>
      <c r="I694" s="82"/>
      <c r="J694" s="82"/>
      <c r="K694" s="131"/>
      <c r="L694" s="131"/>
    </row>
    <row r="695" spans="7:12" ht="18" customHeight="1" x14ac:dyDescent="0.15">
      <c r="G695" s="82"/>
      <c r="H695" s="82"/>
      <c r="I695" s="82"/>
      <c r="J695" s="82"/>
      <c r="K695" s="131"/>
      <c r="L695" s="131"/>
    </row>
    <row r="696" spans="7:12" ht="18" customHeight="1" x14ac:dyDescent="0.15">
      <c r="G696" s="82"/>
      <c r="H696" s="82"/>
      <c r="I696" s="82"/>
      <c r="J696" s="82"/>
      <c r="K696" s="131"/>
      <c r="L696" s="131"/>
    </row>
    <row r="697" spans="7:12" ht="18" customHeight="1" x14ac:dyDescent="0.15">
      <c r="G697" s="82"/>
      <c r="H697" s="82"/>
      <c r="I697" s="82"/>
      <c r="J697" s="82"/>
      <c r="K697" s="131"/>
      <c r="L697" s="131"/>
    </row>
    <row r="698" spans="7:12" ht="18" customHeight="1" x14ac:dyDescent="0.15">
      <c r="G698" s="82"/>
      <c r="H698" s="82"/>
      <c r="I698" s="82"/>
      <c r="J698" s="82"/>
      <c r="K698" s="131"/>
      <c r="L698" s="131"/>
    </row>
    <row r="699" spans="7:12" ht="18" customHeight="1" x14ac:dyDescent="0.15">
      <c r="G699" s="82"/>
      <c r="H699" s="82"/>
      <c r="I699" s="82"/>
      <c r="J699" s="82"/>
      <c r="K699" s="131"/>
      <c r="L699" s="131"/>
    </row>
    <row r="700" spans="7:12" ht="18" customHeight="1" x14ac:dyDescent="0.15">
      <c r="G700" s="82"/>
      <c r="H700" s="82"/>
      <c r="I700" s="82"/>
      <c r="J700" s="82"/>
      <c r="K700" s="131"/>
      <c r="L700" s="131"/>
    </row>
    <row r="701" spans="7:12" ht="18" customHeight="1" x14ac:dyDescent="0.15">
      <c r="G701" s="82"/>
      <c r="H701" s="82"/>
      <c r="I701" s="82"/>
      <c r="J701" s="82"/>
      <c r="K701" s="131"/>
      <c r="L701" s="131"/>
    </row>
    <row r="702" spans="7:12" ht="18" customHeight="1" x14ac:dyDescent="0.15">
      <c r="G702" s="82"/>
      <c r="H702" s="82"/>
      <c r="I702" s="82"/>
      <c r="J702" s="82"/>
      <c r="K702" s="131"/>
      <c r="L702" s="131"/>
    </row>
    <row r="703" spans="7:12" ht="18" customHeight="1" x14ac:dyDescent="0.15">
      <c r="G703" s="82"/>
      <c r="H703" s="82"/>
      <c r="I703" s="82"/>
      <c r="J703" s="82"/>
      <c r="K703" s="131"/>
      <c r="L703" s="131"/>
    </row>
    <row r="704" spans="7:12" ht="18" customHeight="1" x14ac:dyDescent="0.15">
      <c r="G704" s="82"/>
      <c r="H704" s="82"/>
      <c r="I704" s="82"/>
      <c r="J704" s="82"/>
      <c r="K704" s="131"/>
      <c r="L704" s="131"/>
    </row>
    <row r="705" spans="7:12" ht="18" customHeight="1" x14ac:dyDescent="0.15">
      <c r="G705" s="82"/>
      <c r="H705" s="82"/>
      <c r="I705" s="82"/>
      <c r="J705" s="82"/>
      <c r="K705" s="131"/>
      <c r="L705" s="131"/>
    </row>
    <row r="706" spans="7:12" ht="18" customHeight="1" x14ac:dyDescent="0.15">
      <c r="G706" s="82"/>
      <c r="H706" s="82"/>
      <c r="I706" s="82"/>
      <c r="J706" s="82"/>
      <c r="K706" s="131"/>
      <c r="L706" s="131"/>
    </row>
    <row r="707" spans="7:12" ht="18" customHeight="1" x14ac:dyDescent="0.15">
      <c r="G707" s="82"/>
      <c r="H707" s="82"/>
      <c r="I707" s="82"/>
      <c r="J707" s="82"/>
      <c r="K707" s="131"/>
      <c r="L707" s="131"/>
    </row>
    <row r="708" spans="7:12" ht="18" customHeight="1" x14ac:dyDescent="0.15">
      <c r="G708" s="82"/>
      <c r="H708" s="82"/>
      <c r="I708" s="82"/>
      <c r="J708" s="82"/>
      <c r="K708" s="131"/>
      <c r="L708" s="131"/>
    </row>
    <row r="709" spans="7:12" ht="18" customHeight="1" x14ac:dyDescent="0.15">
      <c r="G709" s="82"/>
      <c r="H709" s="82"/>
      <c r="I709" s="82"/>
      <c r="J709" s="82"/>
      <c r="K709" s="131"/>
      <c r="L709" s="131"/>
    </row>
    <row r="710" spans="7:12" ht="18" customHeight="1" x14ac:dyDescent="0.15">
      <c r="G710" s="82"/>
      <c r="H710" s="82"/>
      <c r="I710" s="82"/>
      <c r="J710" s="82"/>
      <c r="K710" s="131"/>
      <c r="L710" s="131"/>
    </row>
    <row r="711" spans="7:12" ht="18" customHeight="1" x14ac:dyDescent="0.15">
      <c r="G711" s="82"/>
      <c r="H711" s="82"/>
      <c r="I711" s="82"/>
      <c r="J711" s="82"/>
      <c r="K711" s="131"/>
      <c r="L711" s="131"/>
    </row>
    <row r="712" spans="7:12" ht="18" customHeight="1" x14ac:dyDescent="0.15">
      <c r="G712" s="82"/>
      <c r="H712" s="82"/>
      <c r="I712" s="82"/>
      <c r="J712" s="82"/>
      <c r="K712" s="131"/>
      <c r="L712" s="131"/>
    </row>
    <row r="713" spans="7:12" ht="18" customHeight="1" x14ac:dyDescent="0.15">
      <c r="G713" s="82"/>
      <c r="H713" s="82"/>
      <c r="I713" s="82"/>
      <c r="J713" s="82"/>
      <c r="K713" s="131"/>
      <c r="L713" s="131"/>
    </row>
    <row r="714" spans="7:12" ht="18" customHeight="1" x14ac:dyDescent="0.15">
      <c r="G714" s="82"/>
      <c r="H714" s="82"/>
      <c r="I714" s="82"/>
      <c r="J714" s="82"/>
      <c r="K714" s="131"/>
      <c r="L714" s="131"/>
    </row>
    <row r="715" spans="7:12" ht="18" customHeight="1" x14ac:dyDescent="0.15">
      <c r="G715" s="82"/>
      <c r="H715" s="82"/>
      <c r="I715" s="82"/>
      <c r="J715" s="82"/>
      <c r="K715" s="131"/>
      <c r="L715" s="131"/>
    </row>
    <row r="716" spans="7:12" ht="18" customHeight="1" x14ac:dyDescent="0.15">
      <c r="G716" s="82"/>
      <c r="H716" s="82"/>
      <c r="I716" s="82"/>
      <c r="J716" s="82"/>
      <c r="K716" s="131"/>
      <c r="L716" s="131"/>
    </row>
    <row r="717" spans="7:12" ht="18" customHeight="1" x14ac:dyDescent="0.15">
      <c r="G717" s="82"/>
      <c r="H717" s="82"/>
      <c r="I717" s="82"/>
      <c r="J717" s="82"/>
      <c r="K717" s="131"/>
      <c r="L717" s="131"/>
    </row>
    <row r="718" spans="7:12" ht="18" customHeight="1" x14ac:dyDescent="0.15">
      <c r="G718" s="82"/>
      <c r="H718" s="82"/>
      <c r="I718" s="82"/>
      <c r="J718" s="82"/>
      <c r="K718" s="131"/>
      <c r="L718" s="131"/>
    </row>
    <row r="719" spans="7:12" ht="18" customHeight="1" x14ac:dyDescent="0.15">
      <c r="G719" s="82"/>
      <c r="H719" s="82"/>
      <c r="I719" s="82"/>
      <c r="J719" s="82"/>
      <c r="K719" s="131"/>
      <c r="L719" s="131"/>
    </row>
    <row r="720" spans="7:12" ht="18" customHeight="1" x14ac:dyDescent="0.15">
      <c r="G720" s="82"/>
      <c r="H720" s="82"/>
      <c r="I720" s="82"/>
      <c r="J720" s="82"/>
      <c r="K720" s="131"/>
      <c r="L720" s="131"/>
    </row>
    <row r="721" spans="7:12" ht="18" customHeight="1" x14ac:dyDescent="0.15">
      <c r="G721" s="82"/>
      <c r="H721" s="82"/>
      <c r="I721" s="82"/>
      <c r="J721" s="82"/>
      <c r="K721" s="131"/>
      <c r="L721" s="131"/>
    </row>
    <row r="722" spans="7:12" ht="18" customHeight="1" x14ac:dyDescent="0.15">
      <c r="G722" s="82"/>
      <c r="H722" s="82"/>
      <c r="I722" s="82"/>
      <c r="J722" s="82"/>
      <c r="K722" s="131"/>
      <c r="L722" s="131"/>
    </row>
    <row r="723" spans="7:12" ht="18" customHeight="1" x14ac:dyDescent="0.15">
      <c r="G723" s="82"/>
      <c r="H723" s="82"/>
      <c r="I723" s="82"/>
      <c r="J723" s="82"/>
      <c r="K723" s="131"/>
      <c r="L723" s="131"/>
    </row>
    <row r="724" spans="7:12" ht="18" customHeight="1" x14ac:dyDescent="0.15">
      <c r="G724" s="82"/>
      <c r="H724" s="82"/>
      <c r="I724" s="82"/>
      <c r="J724" s="82"/>
      <c r="K724" s="131"/>
      <c r="L724" s="131"/>
    </row>
    <row r="725" spans="7:12" ht="18" customHeight="1" x14ac:dyDescent="0.15">
      <c r="G725" s="82"/>
      <c r="H725" s="82"/>
      <c r="I725" s="82"/>
      <c r="J725" s="82"/>
      <c r="K725" s="131"/>
      <c r="L725" s="131"/>
    </row>
    <row r="726" spans="7:12" ht="18" customHeight="1" x14ac:dyDescent="0.15">
      <c r="G726" s="82"/>
      <c r="H726" s="82"/>
      <c r="I726" s="82"/>
      <c r="J726" s="82"/>
      <c r="K726" s="131"/>
      <c r="L726" s="131"/>
    </row>
    <row r="727" spans="7:12" ht="18" customHeight="1" x14ac:dyDescent="0.15">
      <c r="G727" s="82"/>
      <c r="H727" s="82"/>
      <c r="I727" s="82"/>
      <c r="J727" s="82"/>
      <c r="K727" s="131"/>
      <c r="L727" s="131"/>
    </row>
    <row r="728" spans="7:12" ht="18" customHeight="1" x14ac:dyDescent="0.15">
      <c r="G728" s="82"/>
      <c r="H728" s="82"/>
      <c r="I728" s="82"/>
      <c r="J728" s="82"/>
      <c r="K728" s="131"/>
      <c r="L728" s="131"/>
    </row>
    <row r="729" spans="7:12" ht="18" customHeight="1" x14ac:dyDescent="0.15">
      <c r="G729" s="82"/>
      <c r="H729" s="82"/>
      <c r="I729" s="82"/>
      <c r="J729" s="82"/>
      <c r="K729" s="131"/>
      <c r="L729" s="131"/>
    </row>
    <row r="730" spans="7:12" ht="18" customHeight="1" x14ac:dyDescent="0.15">
      <c r="G730" s="82"/>
      <c r="H730" s="82"/>
      <c r="I730" s="82"/>
      <c r="J730" s="82"/>
      <c r="K730" s="131"/>
      <c r="L730" s="131"/>
    </row>
    <row r="731" spans="7:12" ht="18" customHeight="1" x14ac:dyDescent="0.15">
      <c r="G731" s="82"/>
      <c r="H731" s="82"/>
      <c r="I731" s="82"/>
      <c r="J731" s="82"/>
      <c r="K731" s="131"/>
      <c r="L731" s="131"/>
    </row>
    <row r="732" spans="7:12" ht="18" customHeight="1" x14ac:dyDescent="0.15">
      <c r="G732" s="82"/>
      <c r="H732" s="82"/>
      <c r="I732" s="82"/>
      <c r="J732" s="82"/>
      <c r="K732" s="131"/>
      <c r="L732" s="131"/>
    </row>
    <row r="733" spans="7:12" ht="18" customHeight="1" x14ac:dyDescent="0.15">
      <c r="G733" s="82"/>
      <c r="H733" s="82"/>
      <c r="I733" s="82"/>
      <c r="J733" s="82"/>
      <c r="K733" s="131"/>
      <c r="L733" s="131"/>
    </row>
    <row r="734" spans="7:12" ht="18" customHeight="1" x14ac:dyDescent="0.15">
      <c r="G734" s="82"/>
      <c r="H734" s="82"/>
      <c r="I734" s="82"/>
      <c r="J734" s="82"/>
      <c r="K734" s="131"/>
      <c r="L734" s="131"/>
    </row>
    <row r="735" spans="7:12" ht="18" customHeight="1" x14ac:dyDescent="0.15">
      <c r="G735" s="82"/>
      <c r="H735" s="82"/>
      <c r="I735" s="82"/>
      <c r="J735" s="82"/>
      <c r="K735" s="131"/>
      <c r="L735" s="131"/>
    </row>
    <row r="736" spans="7:12" ht="18" customHeight="1" x14ac:dyDescent="0.15">
      <c r="G736" s="82"/>
      <c r="H736" s="82"/>
      <c r="I736" s="82"/>
      <c r="J736" s="82"/>
      <c r="K736" s="131"/>
      <c r="L736" s="131"/>
    </row>
    <row r="737" spans="7:12" ht="18" customHeight="1" x14ac:dyDescent="0.15">
      <c r="G737" s="82"/>
      <c r="H737" s="82"/>
      <c r="I737" s="82"/>
      <c r="J737" s="82"/>
      <c r="K737" s="131"/>
      <c r="L737" s="131"/>
    </row>
    <row r="738" spans="7:12" ht="18" customHeight="1" x14ac:dyDescent="0.15">
      <c r="G738" s="82"/>
      <c r="H738" s="82"/>
      <c r="I738" s="82"/>
      <c r="J738" s="82"/>
      <c r="K738" s="131"/>
      <c r="L738" s="131"/>
    </row>
    <row r="739" spans="7:12" ht="18" customHeight="1" x14ac:dyDescent="0.15">
      <c r="G739" s="82"/>
      <c r="H739" s="82"/>
      <c r="I739" s="82"/>
      <c r="J739" s="82"/>
      <c r="K739" s="131"/>
      <c r="L739" s="131"/>
    </row>
    <row r="740" spans="7:12" ht="18" customHeight="1" x14ac:dyDescent="0.15">
      <c r="G740" s="82"/>
      <c r="H740" s="82"/>
      <c r="I740" s="82"/>
      <c r="J740" s="82"/>
      <c r="K740" s="131"/>
      <c r="L740" s="131"/>
    </row>
    <row r="741" spans="7:12" ht="18" customHeight="1" x14ac:dyDescent="0.15">
      <c r="G741" s="82"/>
      <c r="H741" s="82"/>
      <c r="I741" s="82"/>
      <c r="J741" s="82"/>
      <c r="K741" s="131"/>
      <c r="L741" s="131"/>
    </row>
    <row r="742" spans="7:12" ht="18" customHeight="1" x14ac:dyDescent="0.15">
      <c r="G742" s="82"/>
      <c r="H742" s="82"/>
      <c r="I742" s="82"/>
      <c r="J742" s="82"/>
      <c r="K742" s="131"/>
      <c r="L742" s="131"/>
    </row>
    <row r="743" spans="7:12" ht="18" customHeight="1" x14ac:dyDescent="0.15">
      <c r="G743" s="82"/>
      <c r="H743" s="82"/>
      <c r="I743" s="82"/>
      <c r="J743" s="82"/>
      <c r="K743" s="131"/>
      <c r="L743" s="131"/>
    </row>
    <row r="744" spans="7:12" ht="18" customHeight="1" x14ac:dyDescent="0.15">
      <c r="G744" s="82"/>
      <c r="H744" s="82"/>
      <c r="I744" s="82"/>
      <c r="J744" s="82"/>
      <c r="K744" s="131"/>
      <c r="L744" s="131"/>
    </row>
    <row r="745" spans="7:12" ht="18" customHeight="1" x14ac:dyDescent="0.15">
      <c r="G745" s="82"/>
      <c r="H745" s="82"/>
      <c r="I745" s="82"/>
      <c r="J745" s="82"/>
      <c r="K745" s="131"/>
      <c r="L745" s="131"/>
    </row>
    <row r="746" spans="7:12" ht="18" customHeight="1" x14ac:dyDescent="0.15">
      <c r="G746" s="82"/>
      <c r="H746" s="82"/>
      <c r="I746" s="82"/>
      <c r="J746" s="82"/>
      <c r="K746" s="131"/>
      <c r="L746" s="131"/>
    </row>
    <row r="747" spans="7:12" ht="18" customHeight="1" x14ac:dyDescent="0.15">
      <c r="G747" s="82"/>
      <c r="H747" s="82"/>
      <c r="I747" s="82"/>
      <c r="J747" s="82"/>
      <c r="K747" s="131"/>
      <c r="L747" s="131"/>
    </row>
    <row r="748" spans="7:12" ht="18" customHeight="1" x14ac:dyDescent="0.15">
      <c r="G748" s="82"/>
      <c r="H748" s="82"/>
      <c r="I748" s="82"/>
      <c r="J748" s="82"/>
      <c r="K748" s="131"/>
      <c r="L748" s="131"/>
    </row>
    <row r="749" spans="7:12" ht="18" customHeight="1" x14ac:dyDescent="0.15">
      <c r="G749" s="82"/>
      <c r="H749" s="82"/>
      <c r="I749" s="82"/>
      <c r="J749" s="82"/>
      <c r="K749" s="131"/>
      <c r="L749" s="131"/>
    </row>
    <row r="750" spans="7:12" ht="18" customHeight="1" x14ac:dyDescent="0.15">
      <c r="G750" s="82"/>
      <c r="H750" s="82"/>
      <c r="I750" s="82"/>
      <c r="J750" s="82"/>
      <c r="K750" s="131"/>
      <c r="L750" s="131"/>
    </row>
    <row r="751" spans="7:12" ht="18" customHeight="1" x14ac:dyDescent="0.15">
      <c r="G751" s="82"/>
      <c r="H751" s="82"/>
      <c r="I751" s="82"/>
      <c r="J751" s="82"/>
      <c r="K751" s="131"/>
      <c r="L751" s="131"/>
    </row>
    <row r="752" spans="7:12" ht="18" customHeight="1" x14ac:dyDescent="0.15">
      <c r="G752" s="82"/>
      <c r="H752" s="82"/>
      <c r="I752" s="82"/>
      <c r="J752" s="82"/>
      <c r="K752" s="131"/>
      <c r="L752" s="131"/>
    </row>
    <row r="753" spans="7:12" ht="18" customHeight="1" x14ac:dyDescent="0.15">
      <c r="G753" s="82"/>
      <c r="H753" s="82"/>
      <c r="I753" s="82"/>
      <c r="J753" s="82"/>
      <c r="K753" s="131"/>
      <c r="L753" s="131"/>
    </row>
    <row r="754" spans="7:12" ht="18" customHeight="1" x14ac:dyDescent="0.15">
      <c r="G754" s="82"/>
      <c r="H754" s="82"/>
      <c r="I754" s="82"/>
      <c r="J754" s="82"/>
      <c r="K754" s="131"/>
      <c r="L754" s="131"/>
    </row>
    <row r="755" spans="7:12" ht="18" customHeight="1" x14ac:dyDescent="0.15">
      <c r="G755" s="82"/>
      <c r="H755" s="82"/>
      <c r="I755" s="82"/>
      <c r="J755" s="82"/>
      <c r="K755" s="131"/>
      <c r="L755" s="131"/>
    </row>
    <row r="756" spans="7:12" ht="18" customHeight="1" x14ac:dyDescent="0.15">
      <c r="G756" s="82"/>
      <c r="H756" s="82"/>
      <c r="I756" s="82"/>
      <c r="J756" s="82"/>
      <c r="K756" s="131"/>
      <c r="L756" s="131"/>
    </row>
    <row r="757" spans="7:12" ht="18" customHeight="1" x14ac:dyDescent="0.15">
      <c r="G757" s="82"/>
      <c r="H757" s="82"/>
      <c r="I757" s="82"/>
      <c r="J757" s="82"/>
      <c r="K757" s="131"/>
      <c r="L757" s="131"/>
    </row>
    <row r="758" spans="7:12" ht="18" customHeight="1" x14ac:dyDescent="0.15">
      <c r="G758" s="82"/>
      <c r="H758" s="82"/>
      <c r="I758" s="82"/>
      <c r="J758" s="82"/>
      <c r="K758" s="131"/>
      <c r="L758" s="131"/>
    </row>
    <row r="759" spans="7:12" ht="18" customHeight="1" x14ac:dyDescent="0.15">
      <c r="G759" s="82"/>
      <c r="H759" s="82"/>
      <c r="I759" s="82"/>
      <c r="J759" s="82"/>
      <c r="K759" s="131"/>
      <c r="L759" s="131"/>
    </row>
    <row r="760" spans="7:12" ht="18" customHeight="1" x14ac:dyDescent="0.15">
      <c r="G760" s="82"/>
      <c r="H760" s="82"/>
      <c r="I760" s="82"/>
      <c r="J760" s="82"/>
      <c r="K760" s="131"/>
      <c r="L760" s="131"/>
    </row>
    <row r="761" spans="7:12" ht="18" customHeight="1" x14ac:dyDescent="0.15">
      <c r="G761" s="82"/>
      <c r="H761" s="82"/>
      <c r="I761" s="82"/>
      <c r="J761" s="82"/>
      <c r="K761" s="131"/>
      <c r="L761" s="131"/>
    </row>
    <row r="762" spans="7:12" ht="18" customHeight="1" x14ac:dyDescent="0.15">
      <c r="G762" s="82"/>
      <c r="H762" s="82"/>
      <c r="I762" s="82"/>
      <c r="J762" s="82"/>
      <c r="K762" s="131"/>
      <c r="L762" s="131"/>
    </row>
    <row r="763" spans="7:12" ht="18" customHeight="1" x14ac:dyDescent="0.15">
      <c r="G763" s="82"/>
      <c r="H763" s="82"/>
      <c r="I763" s="82"/>
      <c r="J763" s="82"/>
      <c r="K763" s="131"/>
      <c r="L763" s="131"/>
    </row>
    <row r="764" spans="7:12" ht="18" customHeight="1" x14ac:dyDescent="0.15">
      <c r="G764" s="82"/>
      <c r="H764" s="82"/>
      <c r="I764" s="82"/>
      <c r="J764" s="82"/>
      <c r="K764" s="131"/>
      <c r="L764" s="131"/>
    </row>
    <row r="765" spans="7:12" ht="18" customHeight="1" x14ac:dyDescent="0.15">
      <c r="G765" s="82"/>
      <c r="H765" s="82"/>
      <c r="I765" s="82"/>
      <c r="J765" s="82"/>
      <c r="K765" s="131"/>
      <c r="L765" s="131"/>
    </row>
    <row r="766" spans="7:12" ht="18" customHeight="1" x14ac:dyDescent="0.15">
      <c r="G766" s="82"/>
      <c r="H766" s="82"/>
      <c r="I766" s="82"/>
      <c r="J766" s="82"/>
      <c r="K766" s="131"/>
      <c r="L766" s="131"/>
    </row>
    <row r="767" spans="7:12" ht="18" customHeight="1" x14ac:dyDescent="0.15">
      <c r="G767" s="82"/>
      <c r="H767" s="82"/>
      <c r="I767" s="82"/>
      <c r="J767" s="82"/>
      <c r="K767" s="131"/>
      <c r="L767" s="131"/>
    </row>
    <row r="768" spans="7:12" ht="18" customHeight="1" x14ac:dyDescent="0.15">
      <c r="G768" s="82"/>
      <c r="H768" s="82"/>
      <c r="I768" s="82"/>
      <c r="J768" s="82"/>
      <c r="K768" s="131"/>
      <c r="L768" s="131"/>
    </row>
    <row r="769" spans="7:12" ht="18" customHeight="1" x14ac:dyDescent="0.15">
      <c r="G769" s="82"/>
      <c r="H769" s="82"/>
      <c r="I769" s="82"/>
      <c r="J769" s="82"/>
      <c r="K769" s="131"/>
      <c r="L769" s="131"/>
    </row>
    <row r="770" spans="7:12" ht="18" customHeight="1" x14ac:dyDescent="0.15">
      <c r="G770" s="82"/>
      <c r="H770" s="82"/>
      <c r="I770" s="82"/>
      <c r="J770" s="82"/>
      <c r="K770" s="131"/>
      <c r="L770" s="131"/>
    </row>
    <row r="771" spans="7:12" ht="18" customHeight="1" x14ac:dyDescent="0.15">
      <c r="G771" s="82"/>
      <c r="H771" s="82"/>
      <c r="I771" s="82"/>
      <c r="J771" s="82"/>
      <c r="K771" s="131"/>
      <c r="L771" s="131"/>
    </row>
    <row r="772" spans="7:12" ht="18" customHeight="1" x14ac:dyDescent="0.15">
      <c r="G772" s="82"/>
      <c r="H772" s="82"/>
      <c r="I772" s="82"/>
      <c r="J772" s="82"/>
      <c r="K772" s="131"/>
      <c r="L772" s="131"/>
    </row>
    <row r="773" spans="7:12" ht="18" customHeight="1" x14ac:dyDescent="0.15">
      <c r="G773" s="82"/>
      <c r="H773" s="82"/>
      <c r="I773" s="82"/>
      <c r="J773" s="82"/>
      <c r="K773" s="131"/>
      <c r="L773" s="131"/>
    </row>
    <row r="774" spans="7:12" ht="18" customHeight="1" x14ac:dyDescent="0.15">
      <c r="G774" s="82"/>
      <c r="H774" s="82"/>
      <c r="I774" s="82"/>
      <c r="J774" s="82"/>
      <c r="K774" s="131"/>
      <c r="L774" s="131"/>
    </row>
    <row r="775" spans="7:12" ht="18" customHeight="1" x14ac:dyDescent="0.15">
      <c r="G775" s="82"/>
      <c r="H775" s="82"/>
      <c r="I775" s="82"/>
      <c r="J775" s="82"/>
      <c r="K775" s="131"/>
      <c r="L775" s="131"/>
    </row>
    <row r="776" spans="7:12" ht="18" customHeight="1" x14ac:dyDescent="0.15">
      <c r="G776" s="82"/>
      <c r="H776" s="82"/>
      <c r="I776" s="82"/>
      <c r="J776" s="82"/>
      <c r="K776" s="131"/>
      <c r="L776" s="131"/>
    </row>
    <row r="777" spans="7:12" ht="18" customHeight="1" x14ac:dyDescent="0.15">
      <c r="G777" s="82"/>
      <c r="H777" s="82"/>
      <c r="I777" s="82"/>
      <c r="J777" s="82"/>
      <c r="K777" s="131"/>
      <c r="L777" s="131"/>
    </row>
    <row r="778" spans="7:12" ht="18" customHeight="1" x14ac:dyDescent="0.15">
      <c r="G778" s="82"/>
      <c r="H778" s="82"/>
      <c r="I778" s="82"/>
      <c r="J778" s="82"/>
      <c r="K778" s="131"/>
      <c r="L778" s="131"/>
    </row>
    <row r="779" spans="7:12" ht="18" customHeight="1" x14ac:dyDescent="0.15">
      <c r="G779" s="82"/>
      <c r="H779" s="82"/>
      <c r="I779" s="82"/>
      <c r="J779" s="82"/>
      <c r="K779" s="131"/>
      <c r="L779" s="131"/>
    </row>
    <row r="780" spans="7:12" ht="18" customHeight="1" x14ac:dyDescent="0.15">
      <c r="G780" s="82"/>
      <c r="H780" s="82"/>
      <c r="I780" s="82"/>
      <c r="J780" s="82"/>
      <c r="K780" s="131"/>
      <c r="L780" s="131"/>
    </row>
    <row r="781" spans="7:12" ht="18" customHeight="1" x14ac:dyDescent="0.15">
      <c r="G781" s="82"/>
      <c r="H781" s="82"/>
      <c r="I781" s="82"/>
      <c r="J781" s="82"/>
      <c r="K781" s="131"/>
      <c r="L781" s="131"/>
    </row>
    <row r="782" spans="7:12" ht="18" customHeight="1" x14ac:dyDescent="0.15">
      <c r="G782" s="82"/>
      <c r="H782" s="82"/>
      <c r="I782" s="82"/>
      <c r="J782" s="82"/>
      <c r="K782" s="131"/>
      <c r="L782" s="131"/>
    </row>
    <row r="783" spans="7:12" ht="18" customHeight="1" x14ac:dyDescent="0.15">
      <c r="G783" s="82"/>
      <c r="H783" s="82"/>
      <c r="I783" s="82"/>
      <c r="J783" s="82"/>
      <c r="K783" s="131"/>
      <c r="L783" s="131"/>
    </row>
    <row r="784" spans="7:12" ht="18" customHeight="1" x14ac:dyDescent="0.15">
      <c r="G784" s="82"/>
      <c r="H784" s="82"/>
      <c r="I784" s="82"/>
      <c r="J784" s="82"/>
      <c r="K784" s="131"/>
      <c r="L784" s="131"/>
    </row>
    <row r="785" spans="7:12" ht="18" customHeight="1" x14ac:dyDescent="0.15">
      <c r="G785" s="82"/>
      <c r="H785" s="82"/>
      <c r="I785" s="82"/>
      <c r="J785" s="82"/>
      <c r="K785" s="131"/>
      <c r="L785" s="131"/>
    </row>
    <row r="786" spans="7:12" ht="18" customHeight="1" x14ac:dyDescent="0.15">
      <c r="G786" s="82"/>
      <c r="H786" s="82"/>
      <c r="I786" s="82"/>
      <c r="J786" s="82"/>
      <c r="K786" s="131"/>
      <c r="L786" s="131"/>
    </row>
    <row r="787" spans="7:12" ht="18" customHeight="1" x14ac:dyDescent="0.15">
      <c r="G787" s="82"/>
      <c r="H787" s="82"/>
      <c r="I787" s="82"/>
      <c r="J787" s="82"/>
      <c r="K787" s="131"/>
      <c r="L787" s="131"/>
    </row>
    <row r="788" spans="7:12" ht="18" customHeight="1" x14ac:dyDescent="0.15">
      <c r="G788" s="82"/>
      <c r="H788" s="82"/>
      <c r="I788" s="82"/>
      <c r="J788" s="82"/>
      <c r="K788" s="131"/>
      <c r="L788" s="131"/>
    </row>
    <row r="789" spans="7:12" ht="18" customHeight="1" x14ac:dyDescent="0.15">
      <c r="G789" s="82"/>
      <c r="H789" s="82"/>
      <c r="I789" s="82"/>
      <c r="J789" s="82"/>
      <c r="K789" s="131"/>
      <c r="L789" s="131"/>
    </row>
    <row r="790" spans="7:12" ht="18" customHeight="1" x14ac:dyDescent="0.15">
      <c r="G790" s="82"/>
      <c r="H790" s="82"/>
      <c r="I790" s="82"/>
      <c r="J790" s="82"/>
      <c r="K790" s="131"/>
      <c r="L790" s="131"/>
    </row>
    <row r="791" spans="7:12" ht="18" customHeight="1" x14ac:dyDescent="0.15">
      <c r="G791" s="82"/>
      <c r="H791" s="82"/>
      <c r="I791" s="82"/>
      <c r="J791" s="82"/>
      <c r="K791" s="131"/>
      <c r="L791" s="131"/>
    </row>
    <row r="792" spans="7:12" ht="18" customHeight="1" x14ac:dyDescent="0.15">
      <c r="G792" s="82"/>
      <c r="H792" s="82"/>
      <c r="I792" s="82"/>
      <c r="J792" s="82"/>
      <c r="K792" s="131"/>
      <c r="L792" s="131"/>
    </row>
    <row r="793" spans="7:12" ht="18" customHeight="1" x14ac:dyDescent="0.15">
      <c r="G793" s="82"/>
      <c r="H793" s="82"/>
      <c r="I793" s="82"/>
      <c r="J793" s="82"/>
      <c r="K793" s="131"/>
      <c r="L793" s="131"/>
    </row>
    <row r="794" spans="7:12" ht="18" customHeight="1" x14ac:dyDescent="0.15">
      <c r="G794" s="82"/>
      <c r="H794" s="82"/>
      <c r="I794" s="82"/>
      <c r="J794" s="82"/>
      <c r="K794" s="131"/>
      <c r="L794" s="131"/>
    </row>
    <row r="795" spans="7:12" ht="18" customHeight="1" x14ac:dyDescent="0.15">
      <c r="G795" s="82"/>
      <c r="H795" s="82"/>
      <c r="I795" s="82"/>
      <c r="J795" s="82"/>
      <c r="K795" s="131"/>
      <c r="L795" s="131"/>
    </row>
    <row r="796" spans="7:12" ht="18" customHeight="1" x14ac:dyDescent="0.15">
      <c r="G796" s="82"/>
      <c r="H796" s="82"/>
      <c r="I796" s="82"/>
      <c r="J796" s="82"/>
      <c r="K796" s="131"/>
      <c r="L796" s="131"/>
    </row>
    <row r="797" spans="7:12" ht="18" customHeight="1" x14ac:dyDescent="0.15">
      <c r="G797" s="82"/>
      <c r="H797" s="82"/>
      <c r="I797" s="82"/>
      <c r="J797" s="82"/>
      <c r="K797" s="131"/>
      <c r="L797" s="131"/>
    </row>
    <row r="798" spans="7:12" ht="18" customHeight="1" x14ac:dyDescent="0.15">
      <c r="G798" s="82"/>
      <c r="H798" s="82"/>
      <c r="I798" s="82"/>
      <c r="J798" s="82"/>
      <c r="K798" s="131"/>
      <c r="L798" s="131"/>
    </row>
    <row r="799" spans="7:12" ht="18" customHeight="1" x14ac:dyDescent="0.15">
      <c r="G799" s="82"/>
      <c r="H799" s="82"/>
      <c r="I799" s="82"/>
      <c r="J799" s="82"/>
      <c r="K799" s="131"/>
      <c r="L799" s="131"/>
    </row>
    <row r="800" spans="7:12" ht="18" customHeight="1" x14ac:dyDescent="0.15">
      <c r="G800" s="82"/>
      <c r="H800" s="82"/>
      <c r="I800" s="82"/>
      <c r="J800" s="82"/>
      <c r="K800" s="131"/>
      <c r="L800" s="131"/>
    </row>
    <row r="801" spans="7:12" ht="18" customHeight="1" x14ac:dyDescent="0.15">
      <c r="G801" s="82"/>
      <c r="H801" s="82"/>
      <c r="I801" s="82"/>
      <c r="J801" s="82"/>
      <c r="K801" s="131"/>
      <c r="L801" s="131"/>
    </row>
    <row r="802" spans="7:12" ht="18" customHeight="1" x14ac:dyDescent="0.15">
      <c r="G802" s="82"/>
      <c r="H802" s="82"/>
      <c r="I802" s="82"/>
      <c r="J802" s="82"/>
      <c r="K802" s="131"/>
      <c r="L802" s="131"/>
    </row>
    <row r="803" spans="7:12" ht="18" customHeight="1" x14ac:dyDescent="0.15">
      <c r="G803" s="82"/>
      <c r="H803" s="82"/>
      <c r="I803" s="82"/>
      <c r="J803" s="82"/>
      <c r="K803" s="131"/>
      <c r="L803" s="131"/>
    </row>
    <row r="804" spans="7:12" ht="18" customHeight="1" x14ac:dyDescent="0.15">
      <c r="G804" s="82"/>
      <c r="H804" s="82"/>
      <c r="I804" s="82"/>
      <c r="J804" s="82"/>
      <c r="K804" s="131"/>
      <c r="L804" s="131"/>
    </row>
    <row r="805" spans="7:12" ht="18" customHeight="1" x14ac:dyDescent="0.15">
      <c r="G805" s="82"/>
      <c r="H805" s="82"/>
      <c r="I805" s="82"/>
      <c r="J805" s="82"/>
      <c r="K805" s="131"/>
      <c r="L805" s="131"/>
    </row>
    <row r="806" spans="7:12" ht="18" customHeight="1" x14ac:dyDescent="0.15">
      <c r="G806" s="82"/>
      <c r="H806" s="82"/>
      <c r="I806" s="82"/>
      <c r="J806" s="82"/>
      <c r="K806" s="131"/>
      <c r="L806" s="131"/>
    </row>
    <row r="807" spans="7:12" ht="18" customHeight="1" x14ac:dyDescent="0.15">
      <c r="G807" s="82"/>
      <c r="H807" s="82"/>
      <c r="I807" s="82"/>
      <c r="J807" s="82"/>
      <c r="K807" s="131"/>
      <c r="L807" s="131"/>
    </row>
    <row r="808" spans="7:12" ht="18" customHeight="1" x14ac:dyDescent="0.15">
      <c r="G808" s="82"/>
      <c r="H808" s="82"/>
      <c r="I808" s="82"/>
      <c r="J808" s="82"/>
      <c r="K808" s="131"/>
      <c r="L808" s="131"/>
    </row>
    <row r="809" spans="7:12" ht="18" customHeight="1" x14ac:dyDescent="0.15">
      <c r="G809" s="82"/>
      <c r="H809" s="82"/>
      <c r="I809" s="82"/>
      <c r="J809" s="82"/>
      <c r="K809" s="131"/>
      <c r="L809" s="131"/>
    </row>
    <row r="810" spans="7:12" ht="18" customHeight="1" x14ac:dyDescent="0.15">
      <c r="G810" s="82"/>
      <c r="H810" s="82"/>
      <c r="I810" s="82"/>
      <c r="J810" s="82"/>
      <c r="K810" s="131"/>
      <c r="L810" s="131"/>
    </row>
    <row r="811" spans="7:12" ht="18" customHeight="1" x14ac:dyDescent="0.15">
      <c r="G811" s="82"/>
      <c r="H811" s="82"/>
      <c r="I811" s="82"/>
      <c r="J811" s="82"/>
      <c r="K811" s="131"/>
      <c r="L811" s="131"/>
    </row>
    <row r="812" spans="7:12" ht="18" customHeight="1" x14ac:dyDescent="0.15">
      <c r="G812" s="82"/>
      <c r="H812" s="82"/>
      <c r="I812" s="82"/>
      <c r="J812" s="82"/>
      <c r="K812" s="131"/>
      <c r="L812" s="131"/>
    </row>
    <row r="813" spans="7:12" ht="18" customHeight="1" x14ac:dyDescent="0.15">
      <c r="G813" s="82"/>
      <c r="H813" s="82"/>
      <c r="I813" s="82"/>
      <c r="J813" s="82"/>
      <c r="K813" s="131"/>
      <c r="L813" s="131"/>
    </row>
    <row r="814" spans="7:12" ht="18" customHeight="1" x14ac:dyDescent="0.15">
      <c r="G814" s="82"/>
      <c r="H814" s="82"/>
      <c r="I814" s="82"/>
      <c r="J814" s="82"/>
      <c r="K814" s="131"/>
      <c r="L814" s="131"/>
    </row>
    <row r="815" spans="7:12" ht="18" customHeight="1" x14ac:dyDescent="0.15">
      <c r="G815" s="82"/>
      <c r="H815" s="82"/>
      <c r="I815" s="82"/>
      <c r="J815" s="82"/>
      <c r="K815" s="131"/>
      <c r="L815" s="131"/>
    </row>
    <row r="816" spans="7:12" ht="18" customHeight="1" x14ac:dyDescent="0.15">
      <c r="G816" s="82"/>
      <c r="H816" s="82"/>
      <c r="I816" s="82"/>
      <c r="J816" s="82"/>
      <c r="K816" s="131"/>
      <c r="L816" s="131"/>
    </row>
    <row r="817" spans="7:12" ht="18" customHeight="1" x14ac:dyDescent="0.15">
      <c r="G817" s="82"/>
      <c r="H817" s="82"/>
      <c r="I817" s="82"/>
      <c r="J817" s="82"/>
      <c r="K817" s="131"/>
      <c r="L817" s="131"/>
    </row>
    <row r="818" spans="7:12" ht="18" customHeight="1" x14ac:dyDescent="0.15">
      <c r="G818" s="82"/>
      <c r="H818" s="82"/>
      <c r="I818" s="82"/>
      <c r="J818" s="82"/>
      <c r="K818" s="131"/>
      <c r="L818" s="131"/>
    </row>
    <row r="819" spans="7:12" ht="18" customHeight="1" x14ac:dyDescent="0.15">
      <c r="G819" s="82"/>
      <c r="H819" s="82"/>
      <c r="I819" s="82"/>
      <c r="J819" s="82"/>
      <c r="K819" s="131"/>
      <c r="L819" s="131"/>
    </row>
    <row r="820" spans="7:12" ht="18" customHeight="1" x14ac:dyDescent="0.15">
      <c r="G820" s="82"/>
      <c r="H820" s="82"/>
      <c r="I820" s="82"/>
      <c r="J820" s="82"/>
      <c r="K820" s="131"/>
      <c r="L820" s="131"/>
    </row>
    <row r="821" spans="7:12" ht="18" customHeight="1" x14ac:dyDescent="0.15">
      <c r="G821" s="82"/>
      <c r="H821" s="82"/>
      <c r="I821" s="82"/>
      <c r="J821" s="82"/>
      <c r="K821" s="131"/>
      <c r="L821" s="131"/>
    </row>
    <row r="822" spans="7:12" ht="18" customHeight="1" x14ac:dyDescent="0.15">
      <c r="G822" s="82"/>
      <c r="H822" s="82"/>
      <c r="I822" s="82"/>
      <c r="J822" s="82"/>
      <c r="K822" s="131"/>
      <c r="L822" s="131"/>
    </row>
    <row r="823" spans="7:12" ht="18" customHeight="1" x14ac:dyDescent="0.15">
      <c r="G823" s="82"/>
      <c r="H823" s="82"/>
      <c r="I823" s="82"/>
      <c r="J823" s="82"/>
      <c r="K823" s="131"/>
      <c r="L823" s="131"/>
    </row>
    <row r="824" spans="7:12" ht="18" customHeight="1" x14ac:dyDescent="0.15">
      <c r="G824" s="82"/>
      <c r="H824" s="82"/>
      <c r="I824" s="82"/>
      <c r="J824" s="82"/>
      <c r="K824" s="131"/>
      <c r="L824" s="131"/>
    </row>
    <row r="825" spans="7:12" ht="18" customHeight="1" x14ac:dyDescent="0.15">
      <c r="G825" s="82"/>
      <c r="H825" s="82"/>
      <c r="I825" s="82"/>
      <c r="J825" s="82"/>
      <c r="K825" s="131"/>
      <c r="L825" s="131"/>
    </row>
    <row r="826" spans="7:12" ht="18" customHeight="1" x14ac:dyDescent="0.15">
      <c r="G826" s="82"/>
      <c r="H826" s="82"/>
      <c r="I826" s="82"/>
      <c r="J826" s="82"/>
      <c r="K826" s="131"/>
      <c r="L826" s="131"/>
    </row>
    <row r="827" spans="7:12" ht="18" customHeight="1" x14ac:dyDescent="0.15">
      <c r="G827" s="82"/>
      <c r="H827" s="82"/>
      <c r="I827" s="82"/>
      <c r="J827" s="82"/>
      <c r="K827" s="131"/>
      <c r="L827" s="131"/>
    </row>
    <row r="828" spans="7:12" ht="18" customHeight="1" x14ac:dyDescent="0.15">
      <c r="G828" s="82"/>
      <c r="H828" s="82"/>
      <c r="I828" s="82"/>
      <c r="J828" s="82"/>
      <c r="K828" s="131"/>
      <c r="L828" s="131"/>
    </row>
    <row r="829" spans="7:12" ht="18" customHeight="1" x14ac:dyDescent="0.15">
      <c r="G829" s="82"/>
      <c r="H829" s="82"/>
      <c r="I829" s="82"/>
      <c r="J829" s="82"/>
      <c r="K829" s="131"/>
      <c r="L829" s="131"/>
    </row>
    <row r="830" spans="7:12" ht="18" customHeight="1" x14ac:dyDescent="0.15">
      <c r="G830" s="82"/>
      <c r="H830" s="82"/>
      <c r="I830" s="82"/>
      <c r="J830" s="82"/>
      <c r="K830" s="131"/>
      <c r="L830" s="131"/>
    </row>
    <row r="831" spans="7:12" ht="18" customHeight="1" x14ac:dyDescent="0.15">
      <c r="G831" s="82"/>
      <c r="H831" s="82"/>
      <c r="I831" s="82"/>
      <c r="J831" s="82"/>
      <c r="K831" s="131"/>
      <c r="L831" s="131"/>
    </row>
    <row r="832" spans="7:12" ht="18" customHeight="1" x14ac:dyDescent="0.15">
      <c r="G832" s="82"/>
      <c r="H832" s="82"/>
      <c r="I832" s="82"/>
      <c r="J832" s="82"/>
      <c r="K832" s="131"/>
      <c r="L832" s="131"/>
    </row>
    <row r="833" spans="7:12" ht="18" customHeight="1" x14ac:dyDescent="0.15">
      <c r="G833" s="82"/>
      <c r="H833" s="82"/>
      <c r="I833" s="82"/>
      <c r="J833" s="82"/>
      <c r="K833" s="131"/>
      <c r="L833" s="131"/>
    </row>
    <row r="834" spans="7:12" ht="18" customHeight="1" x14ac:dyDescent="0.15">
      <c r="G834" s="82"/>
      <c r="H834" s="82"/>
      <c r="I834" s="82"/>
      <c r="J834" s="82"/>
      <c r="K834" s="131"/>
      <c r="L834" s="131"/>
    </row>
    <row r="835" spans="7:12" ht="18" customHeight="1" x14ac:dyDescent="0.15">
      <c r="G835" s="82"/>
      <c r="H835" s="82"/>
      <c r="I835" s="82"/>
      <c r="J835" s="82"/>
      <c r="K835" s="131"/>
      <c r="L835" s="131"/>
    </row>
    <row r="836" spans="7:12" ht="18" customHeight="1" x14ac:dyDescent="0.15">
      <c r="G836" s="82"/>
      <c r="H836" s="82"/>
      <c r="I836" s="82"/>
      <c r="J836" s="82"/>
      <c r="K836" s="131"/>
      <c r="L836" s="131"/>
    </row>
    <row r="837" spans="7:12" ht="18" customHeight="1" x14ac:dyDescent="0.15">
      <c r="G837" s="82"/>
      <c r="H837" s="82"/>
      <c r="I837" s="82"/>
      <c r="J837" s="82"/>
      <c r="K837" s="131"/>
      <c r="L837" s="131"/>
    </row>
    <row r="838" spans="7:12" ht="18" customHeight="1" x14ac:dyDescent="0.15">
      <c r="G838" s="82"/>
      <c r="H838" s="82"/>
      <c r="I838" s="82"/>
      <c r="J838" s="82"/>
      <c r="K838" s="131"/>
      <c r="L838" s="131"/>
    </row>
    <row r="839" spans="7:12" ht="18" customHeight="1" x14ac:dyDescent="0.15">
      <c r="G839" s="82"/>
      <c r="H839" s="82"/>
      <c r="I839" s="82"/>
      <c r="J839" s="82"/>
      <c r="K839" s="131"/>
      <c r="L839" s="131"/>
    </row>
    <row r="840" spans="7:12" ht="18" customHeight="1" x14ac:dyDescent="0.15">
      <c r="G840" s="82"/>
      <c r="H840" s="82"/>
      <c r="I840" s="82"/>
      <c r="J840" s="82"/>
      <c r="K840" s="131"/>
      <c r="L840" s="131"/>
    </row>
    <row r="841" spans="7:12" ht="18" customHeight="1" x14ac:dyDescent="0.15">
      <c r="G841" s="82"/>
      <c r="H841" s="82"/>
      <c r="I841" s="82"/>
      <c r="J841" s="82"/>
      <c r="K841" s="131"/>
      <c r="L841" s="131"/>
    </row>
    <row r="842" spans="7:12" ht="18" customHeight="1" x14ac:dyDescent="0.15">
      <c r="G842" s="82"/>
      <c r="H842" s="82"/>
      <c r="I842" s="82"/>
      <c r="J842" s="82"/>
      <c r="K842" s="131"/>
      <c r="L842" s="131"/>
    </row>
    <row r="843" spans="7:12" ht="18" customHeight="1" x14ac:dyDescent="0.15">
      <c r="G843" s="82"/>
      <c r="H843" s="82"/>
      <c r="I843" s="82"/>
      <c r="J843" s="82"/>
      <c r="K843" s="131"/>
      <c r="L843" s="131"/>
    </row>
    <row r="844" spans="7:12" ht="18" customHeight="1" x14ac:dyDescent="0.15">
      <c r="G844" s="82"/>
      <c r="H844" s="82"/>
      <c r="I844" s="82"/>
      <c r="J844" s="82"/>
      <c r="K844" s="131"/>
      <c r="L844" s="131"/>
    </row>
    <row r="845" spans="7:12" ht="18" customHeight="1" x14ac:dyDescent="0.15">
      <c r="G845" s="82"/>
      <c r="H845" s="82"/>
      <c r="I845" s="82"/>
      <c r="J845" s="82"/>
      <c r="K845" s="131"/>
      <c r="L845" s="131"/>
    </row>
    <row r="846" spans="7:12" ht="18" customHeight="1" x14ac:dyDescent="0.15">
      <c r="G846" s="82"/>
      <c r="H846" s="82"/>
      <c r="I846" s="82"/>
      <c r="J846" s="82"/>
      <c r="K846" s="131"/>
      <c r="L846" s="131"/>
    </row>
    <row r="847" spans="7:12" ht="18" customHeight="1" x14ac:dyDescent="0.15">
      <c r="G847" s="82"/>
      <c r="H847" s="82"/>
      <c r="I847" s="82"/>
      <c r="J847" s="82"/>
      <c r="K847" s="131"/>
      <c r="L847" s="131"/>
    </row>
    <row r="848" spans="7:12" ht="18" customHeight="1" x14ac:dyDescent="0.15">
      <c r="G848" s="82"/>
      <c r="H848" s="82"/>
      <c r="I848" s="82"/>
      <c r="J848" s="82"/>
      <c r="K848" s="131"/>
      <c r="L848" s="131"/>
    </row>
    <row r="849" spans="7:12" ht="18" customHeight="1" x14ac:dyDescent="0.15">
      <c r="G849" s="82"/>
      <c r="H849" s="82"/>
      <c r="I849" s="82"/>
      <c r="J849" s="82"/>
      <c r="K849" s="131"/>
      <c r="L849" s="131"/>
    </row>
    <row r="850" spans="7:12" ht="18" customHeight="1" x14ac:dyDescent="0.15">
      <c r="G850" s="82"/>
      <c r="H850" s="82"/>
      <c r="I850" s="82"/>
      <c r="J850" s="82"/>
      <c r="K850" s="131"/>
      <c r="L850" s="131"/>
    </row>
    <row r="851" spans="7:12" ht="18" customHeight="1" x14ac:dyDescent="0.15">
      <c r="G851" s="82"/>
      <c r="H851" s="82"/>
      <c r="I851" s="82"/>
      <c r="J851" s="82"/>
      <c r="K851" s="131"/>
      <c r="L851" s="131"/>
    </row>
    <row r="852" spans="7:12" ht="18" customHeight="1" x14ac:dyDescent="0.15">
      <c r="G852" s="82"/>
      <c r="H852" s="82"/>
      <c r="I852" s="82"/>
      <c r="J852" s="82"/>
      <c r="K852" s="131"/>
      <c r="L852" s="131"/>
    </row>
    <row r="853" spans="7:12" ht="18" customHeight="1" x14ac:dyDescent="0.15">
      <c r="G853" s="82"/>
      <c r="H853" s="82"/>
      <c r="I853" s="82"/>
      <c r="J853" s="82"/>
      <c r="K853" s="131"/>
      <c r="L853" s="131"/>
    </row>
    <row r="854" spans="7:12" ht="18" customHeight="1" x14ac:dyDescent="0.15">
      <c r="G854" s="82"/>
      <c r="H854" s="82"/>
      <c r="I854" s="82"/>
      <c r="J854" s="82"/>
      <c r="K854" s="131"/>
      <c r="L854" s="131"/>
    </row>
    <row r="855" spans="7:12" ht="18" customHeight="1" x14ac:dyDescent="0.15">
      <c r="G855" s="82"/>
      <c r="H855" s="82"/>
      <c r="I855" s="82"/>
      <c r="J855" s="82"/>
      <c r="K855" s="131"/>
      <c r="L855" s="131"/>
    </row>
    <row r="856" spans="7:12" ht="18" customHeight="1" x14ac:dyDescent="0.15">
      <c r="G856" s="82"/>
      <c r="H856" s="82"/>
      <c r="I856" s="82"/>
      <c r="J856" s="82"/>
      <c r="K856" s="131"/>
      <c r="L856" s="131"/>
    </row>
    <row r="857" spans="7:12" ht="18" customHeight="1" x14ac:dyDescent="0.15">
      <c r="G857" s="82"/>
      <c r="H857" s="82"/>
      <c r="I857" s="82"/>
      <c r="J857" s="82"/>
      <c r="K857" s="131"/>
      <c r="L857" s="131"/>
    </row>
    <row r="858" spans="7:12" ht="18" customHeight="1" x14ac:dyDescent="0.15">
      <c r="G858" s="82"/>
      <c r="H858" s="82"/>
      <c r="I858" s="82"/>
      <c r="J858" s="82"/>
      <c r="K858" s="131"/>
      <c r="L858" s="131"/>
    </row>
    <row r="859" spans="7:12" ht="18" customHeight="1" x14ac:dyDescent="0.15">
      <c r="G859" s="82"/>
      <c r="H859" s="82"/>
      <c r="I859" s="82"/>
      <c r="J859" s="82"/>
      <c r="K859" s="131"/>
      <c r="L859" s="131"/>
    </row>
    <row r="860" spans="7:12" ht="18" customHeight="1" x14ac:dyDescent="0.15">
      <c r="G860" s="82"/>
      <c r="H860" s="82"/>
      <c r="I860" s="82"/>
      <c r="J860" s="82"/>
      <c r="K860" s="131"/>
      <c r="L860" s="131"/>
    </row>
    <row r="861" spans="7:12" ht="18" customHeight="1" x14ac:dyDescent="0.15">
      <c r="G861" s="82"/>
      <c r="H861" s="82"/>
      <c r="I861" s="82"/>
      <c r="J861" s="82"/>
      <c r="K861" s="131"/>
      <c r="L861" s="131"/>
    </row>
    <row r="862" spans="7:12" ht="18" customHeight="1" x14ac:dyDescent="0.15">
      <c r="G862" s="82"/>
      <c r="H862" s="82"/>
      <c r="I862" s="82"/>
      <c r="J862" s="82"/>
      <c r="K862" s="131"/>
      <c r="L862" s="131"/>
    </row>
    <row r="863" spans="7:12" ht="18" customHeight="1" x14ac:dyDescent="0.15">
      <c r="G863" s="82"/>
      <c r="H863" s="82"/>
      <c r="I863" s="82"/>
      <c r="J863" s="82"/>
      <c r="K863" s="131"/>
      <c r="L863" s="131"/>
    </row>
    <row r="864" spans="7:12" ht="18" customHeight="1" x14ac:dyDescent="0.15">
      <c r="G864" s="82"/>
      <c r="H864" s="82"/>
      <c r="I864" s="82"/>
      <c r="J864" s="82"/>
      <c r="K864" s="131"/>
      <c r="L864" s="131"/>
    </row>
    <row r="865" spans="7:12" ht="18" customHeight="1" x14ac:dyDescent="0.15">
      <c r="G865" s="82"/>
      <c r="H865" s="82"/>
      <c r="I865" s="82"/>
      <c r="J865" s="82"/>
      <c r="K865" s="131"/>
      <c r="L865" s="131"/>
    </row>
    <row r="866" spans="7:12" ht="18" customHeight="1" x14ac:dyDescent="0.15">
      <c r="G866" s="82"/>
      <c r="H866" s="82"/>
      <c r="I866" s="82"/>
      <c r="J866" s="82"/>
      <c r="K866" s="131"/>
      <c r="L866" s="131"/>
    </row>
    <row r="867" spans="7:12" ht="18" customHeight="1" x14ac:dyDescent="0.15">
      <c r="G867" s="82"/>
      <c r="H867" s="82"/>
      <c r="I867" s="82"/>
      <c r="J867" s="82"/>
      <c r="K867" s="131"/>
      <c r="L867" s="131"/>
    </row>
    <row r="868" spans="7:12" ht="18" customHeight="1" x14ac:dyDescent="0.15">
      <c r="G868" s="82"/>
      <c r="H868" s="82"/>
      <c r="I868" s="82"/>
      <c r="J868" s="82"/>
      <c r="K868" s="131"/>
      <c r="L868" s="131"/>
    </row>
    <row r="869" spans="7:12" ht="18" customHeight="1" x14ac:dyDescent="0.15">
      <c r="G869" s="82"/>
      <c r="H869" s="82"/>
      <c r="I869" s="82"/>
      <c r="J869" s="82"/>
      <c r="K869" s="131"/>
      <c r="L869" s="131"/>
    </row>
    <row r="870" spans="7:12" ht="18" customHeight="1" x14ac:dyDescent="0.15">
      <c r="G870" s="82"/>
      <c r="H870" s="82"/>
      <c r="I870" s="82"/>
      <c r="J870" s="82"/>
      <c r="K870" s="131"/>
      <c r="L870" s="131"/>
    </row>
    <row r="871" spans="7:12" ht="18" customHeight="1" x14ac:dyDescent="0.15">
      <c r="G871" s="82"/>
      <c r="H871" s="82"/>
      <c r="I871" s="82"/>
      <c r="J871" s="82"/>
      <c r="K871" s="131"/>
      <c r="L871" s="131"/>
    </row>
    <row r="872" spans="7:12" ht="18" customHeight="1" x14ac:dyDescent="0.15">
      <c r="G872" s="82"/>
      <c r="H872" s="82"/>
      <c r="I872" s="82"/>
      <c r="J872" s="82"/>
      <c r="K872" s="131"/>
      <c r="L872" s="131"/>
    </row>
    <row r="873" spans="7:12" ht="18" customHeight="1" x14ac:dyDescent="0.15">
      <c r="G873" s="82"/>
      <c r="H873" s="82"/>
      <c r="I873" s="82"/>
      <c r="J873" s="82"/>
      <c r="K873" s="131"/>
      <c r="L873" s="131"/>
    </row>
    <row r="874" spans="7:12" ht="18" customHeight="1" x14ac:dyDescent="0.15">
      <c r="G874" s="82"/>
      <c r="H874" s="82"/>
      <c r="I874" s="82"/>
      <c r="J874" s="82"/>
      <c r="K874" s="131"/>
      <c r="L874" s="131"/>
    </row>
    <row r="875" spans="7:12" ht="18" customHeight="1" x14ac:dyDescent="0.15">
      <c r="G875" s="82"/>
      <c r="H875" s="82"/>
      <c r="I875" s="82"/>
      <c r="J875" s="82"/>
      <c r="K875" s="131"/>
      <c r="L875" s="131"/>
    </row>
    <row r="876" spans="7:12" ht="18" customHeight="1" x14ac:dyDescent="0.15">
      <c r="G876" s="82"/>
      <c r="H876" s="82"/>
      <c r="I876" s="82"/>
      <c r="J876" s="82"/>
      <c r="K876" s="131"/>
      <c r="L876" s="131"/>
    </row>
    <row r="877" spans="7:12" ht="18" customHeight="1" x14ac:dyDescent="0.15">
      <c r="G877" s="82"/>
      <c r="H877" s="82"/>
      <c r="I877" s="82"/>
      <c r="J877" s="82"/>
      <c r="K877" s="131"/>
      <c r="L877" s="131"/>
    </row>
    <row r="878" spans="7:12" ht="18" customHeight="1" x14ac:dyDescent="0.15">
      <c r="G878" s="82"/>
      <c r="H878" s="82"/>
      <c r="I878" s="82"/>
      <c r="J878" s="82"/>
      <c r="K878" s="131"/>
      <c r="L878" s="131"/>
    </row>
    <row r="879" spans="7:12" ht="18" customHeight="1" x14ac:dyDescent="0.15">
      <c r="G879" s="82"/>
      <c r="H879" s="82"/>
      <c r="I879" s="82"/>
      <c r="J879" s="82"/>
      <c r="K879" s="131"/>
      <c r="L879" s="131"/>
    </row>
    <row r="880" spans="7:12" ht="18" customHeight="1" x14ac:dyDescent="0.15">
      <c r="G880" s="82"/>
      <c r="H880" s="82"/>
      <c r="I880" s="82"/>
      <c r="J880" s="82"/>
      <c r="K880" s="131"/>
      <c r="L880" s="131"/>
    </row>
    <row r="881" spans="7:12" ht="18" customHeight="1" x14ac:dyDescent="0.15">
      <c r="G881" s="82"/>
      <c r="H881" s="82"/>
      <c r="I881" s="82"/>
      <c r="J881" s="82"/>
      <c r="K881" s="131"/>
      <c r="L881" s="131"/>
    </row>
    <row r="882" spans="7:12" ht="18" customHeight="1" x14ac:dyDescent="0.15">
      <c r="G882" s="82"/>
      <c r="H882" s="82"/>
      <c r="I882" s="82"/>
      <c r="J882" s="82"/>
      <c r="K882" s="131"/>
      <c r="L882" s="131"/>
    </row>
    <row r="883" spans="7:12" ht="18" customHeight="1" x14ac:dyDescent="0.15">
      <c r="G883" s="82"/>
      <c r="H883" s="82"/>
      <c r="I883" s="82"/>
      <c r="J883" s="82"/>
      <c r="K883" s="131"/>
      <c r="L883" s="131"/>
    </row>
    <row r="884" spans="7:12" ht="18" customHeight="1" x14ac:dyDescent="0.15">
      <c r="G884" s="82"/>
      <c r="H884" s="82"/>
      <c r="I884" s="82"/>
      <c r="J884" s="82"/>
      <c r="K884" s="131"/>
      <c r="L884" s="131"/>
    </row>
    <row r="885" spans="7:12" ht="18" customHeight="1" x14ac:dyDescent="0.15">
      <c r="G885" s="82"/>
      <c r="H885" s="82"/>
      <c r="I885" s="82"/>
      <c r="J885" s="82"/>
      <c r="K885" s="131"/>
      <c r="L885" s="131"/>
    </row>
    <row r="886" spans="7:12" ht="18" customHeight="1" x14ac:dyDescent="0.15">
      <c r="G886" s="82"/>
      <c r="H886" s="82"/>
      <c r="I886" s="82"/>
      <c r="J886" s="82"/>
      <c r="K886" s="131"/>
      <c r="L886" s="131"/>
    </row>
    <row r="887" spans="7:12" ht="18" customHeight="1" x14ac:dyDescent="0.15">
      <c r="G887" s="82"/>
      <c r="H887" s="82"/>
      <c r="I887" s="82"/>
      <c r="J887" s="82"/>
      <c r="K887" s="131"/>
      <c r="L887" s="131"/>
    </row>
    <row r="888" spans="7:12" ht="18" customHeight="1" x14ac:dyDescent="0.15">
      <c r="G888" s="82"/>
      <c r="H888" s="82"/>
      <c r="I888" s="82"/>
      <c r="J888" s="82"/>
      <c r="K888" s="131"/>
      <c r="L888" s="131"/>
    </row>
    <row r="889" spans="7:12" ht="18" customHeight="1" x14ac:dyDescent="0.15">
      <c r="G889" s="82"/>
      <c r="H889" s="82"/>
      <c r="I889" s="82"/>
      <c r="J889" s="82"/>
      <c r="K889" s="131"/>
      <c r="L889" s="131"/>
    </row>
    <row r="890" spans="7:12" ht="18" customHeight="1" x14ac:dyDescent="0.15">
      <c r="G890" s="82"/>
      <c r="H890" s="82"/>
      <c r="I890" s="82"/>
      <c r="J890" s="82"/>
      <c r="K890" s="131"/>
      <c r="L890" s="131"/>
    </row>
    <row r="891" spans="7:12" ht="18" customHeight="1" x14ac:dyDescent="0.15">
      <c r="G891" s="82"/>
      <c r="H891" s="82"/>
      <c r="I891" s="82"/>
      <c r="J891" s="82"/>
      <c r="K891" s="131"/>
      <c r="L891" s="131"/>
    </row>
    <row r="892" spans="7:12" ht="18" customHeight="1" x14ac:dyDescent="0.15">
      <c r="G892" s="82"/>
      <c r="H892" s="82"/>
      <c r="I892" s="82"/>
      <c r="J892" s="82"/>
      <c r="K892" s="131"/>
      <c r="L892" s="131"/>
    </row>
    <row r="893" spans="7:12" ht="18" customHeight="1" x14ac:dyDescent="0.15">
      <c r="G893" s="82"/>
      <c r="H893" s="82"/>
      <c r="I893" s="82"/>
      <c r="J893" s="82"/>
      <c r="K893" s="131"/>
      <c r="L893" s="131"/>
    </row>
    <row r="894" spans="7:12" ht="18" customHeight="1" x14ac:dyDescent="0.15">
      <c r="G894" s="82"/>
      <c r="H894" s="82"/>
      <c r="I894" s="82"/>
      <c r="J894" s="82"/>
      <c r="K894" s="131"/>
      <c r="L894" s="131"/>
    </row>
    <row r="895" spans="7:12" ht="18" customHeight="1" x14ac:dyDescent="0.15">
      <c r="G895" s="82"/>
      <c r="H895" s="82"/>
      <c r="I895" s="82"/>
      <c r="J895" s="82"/>
      <c r="K895" s="131"/>
      <c r="L895" s="131"/>
    </row>
    <row r="896" spans="7:12" ht="18" customHeight="1" x14ac:dyDescent="0.15">
      <c r="G896" s="82"/>
      <c r="H896" s="82"/>
      <c r="I896" s="82"/>
      <c r="J896" s="82"/>
      <c r="K896" s="131"/>
      <c r="L896" s="131"/>
    </row>
    <row r="897" spans="7:12" ht="18" customHeight="1" x14ac:dyDescent="0.15">
      <c r="G897" s="82"/>
      <c r="H897" s="82"/>
      <c r="I897" s="82"/>
      <c r="J897" s="82"/>
      <c r="K897" s="131"/>
      <c r="L897" s="131"/>
    </row>
    <row r="898" spans="7:12" ht="18" customHeight="1" x14ac:dyDescent="0.15">
      <c r="G898" s="82"/>
      <c r="H898" s="82"/>
      <c r="I898" s="82"/>
      <c r="J898" s="82"/>
      <c r="K898" s="131"/>
      <c r="L898" s="131"/>
    </row>
    <row r="899" spans="7:12" ht="18" customHeight="1" x14ac:dyDescent="0.15">
      <c r="G899" s="82"/>
      <c r="H899" s="82"/>
      <c r="I899" s="82"/>
      <c r="J899" s="82"/>
      <c r="K899" s="131"/>
      <c r="L899" s="131"/>
    </row>
    <row r="900" spans="7:12" ht="18" customHeight="1" x14ac:dyDescent="0.15">
      <c r="G900" s="82"/>
      <c r="H900" s="82"/>
      <c r="I900" s="82"/>
      <c r="J900" s="82"/>
      <c r="K900" s="131"/>
      <c r="L900" s="131"/>
    </row>
    <row r="901" spans="7:12" ht="18" customHeight="1" x14ac:dyDescent="0.15">
      <c r="G901" s="82"/>
      <c r="H901" s="82"/>
      <c r="I901" s="82"/>
      <c r="J901" s="82"/>
      <c r="K901" s="131"/>
      <c r="L901" s="131"/>
    </row>
    <row r="902" spans="7:12" ht="18" customHeight="1" x14ac:dyDescent="0.15">
      <c r="G902" s="82"/>
      <c r="H902" s="82"/>
      <c r="I902" s="82"/>
      <c r="J902" s="82"/>
      <c r="K902" s="131"/>
      <c r="L902" s="131"/>
    </row>
    <row r="903" spans="7:12" ht="18" customHeight="1" x14ac:dyDescent="0.15">
      <c r="G903" s="82"/>
      <c r="H903" s="82"/>
      <c r="I903" s="82"/>
      <c r="J903" s="82"/>
      <c r="K903" s="131"/>
      <c r="L903" s="131"/>
    </row>
    <row r="904" spans="7:12" ht="18" customHeight="1" x14ac:dyDescent="0.15">
      <c r="G904" s="82"/>
      <c r="H904" s="82"/>
      <c r="I904" s="82"/>
      <c r="J904" s="82"/>
      <c r="K904" s="131"/>
      <c r="L904" s="131"/>
    </row>
    <row r="905" spans="7:12" ht="18" customHeight="1" x14ac:dyDescent="0.15">
      <c r="G905" s="82"/>
      <c r="H905" s="82"/>
      <c r="I905" s="82"/>
      <c r="J905" s="82"/>
      <c r="K905" s="131"/>
      <c r="L905" s="131"/>
    </row>
    <row r="906" spans="7:12" ht="18" customHeight="1" x14ac:dyDescent="0.15">
      <c r="G906" s="82"/>
      <c r="H906" s="82"/>
      <c r="I906" s="82"/>
      <c r="J906" s="82"/>
      <c r="K906" s="131"/>
      <c r="L906" s="131"/>
    </row>
    <row r="907" spans="7:12" ht="18" customHeight="1" x14ac:dyDescent="0.15">
      <c r="G907" s="82"/>
      <c r="H907" s="82"/>
      <c r="I907" s="82"/>
      <c r="J907" s="82"/>
      <c r="K907" s="131"/>
      <c r="L907" s="131"/>
    </row>
    <row r="908" spans="7:12" ht="18" customHeight="1" x14ac:dyDescent="0.15">
      <c r="G908" s="82"/>
      <c r="H908" s="82"/>
      <c r="I908" s="82"/>
      <c r="J908" s="82"/>
      <c r="K908" s="131"/>
      <c r="L908" s="131"/>
    </row>
    <row r="909" spans="7:12" ht="18" customHeight="1" x14ac:dyDescent="0.15">
      <c r="G909" s="82"/>
      <c r="H909" s="82"/>
      <c r="I909" s="82"/>
      <c r="J909" s="82"/>
      <c r="K909" s="131"/>
      <c r="L909" s="131"/>
    </row>
    <row r="910" spans="7:12" ht="18" customHeight="1" x14ac:dyDescent="0.15">
      <c r="G910" s="82"/>
      <c r="H910" s="82"/>
      <c r="I910" s="82"/>
      <c r="J910" s="82"/>
      <c r="K910" s="131"/>
      <c r="L910" s="131"/>
    </row>
    <row r="911" spans="7:12" ht="18" customHeight="1" x14ac:dyDescent="0.15">
      <c r="G911" s="82"/>
      <c r="H911" s="82"/>
      <c r="I911" s="82"/>
      <c r="J911" s="82"/>
      <c r="K911" s="131"/>
      <c r="L911" s="131"/>
    </row>
    <row r="912" spans="7:12" ht="18" customHeight="1" x14ac:dyDescent="0.15">
      <c r="G912" s="82"/>
      <c r="H912" s="82"/>
      <c r="I912" s="82"/>
      <c r="J912" s="82"/>
      <c r="K912" s="131"/>
      <c r="L912" s="131"/>
    </row>
    <row r="913" spans="7:12" ht="18" customHeight="1" x14ac:dyDescent="0.15">
      <c r="G913" s="82"/>
      <c r="H913" s="82"/>
      <c r="I913" s="82"/>
      <c r="J913" s="82"/>
      <c r="K913" s="131"/>
      <c r="L913" s="131"/>
    </row>
    <row r="914" spans="7:12" ht="18" customHeight="1" x14ac:dyDescent="0.15">
      <c r="G914" s="82"/>
      <c r="H914" s="82"/>
      <c r="I914" s="82"/>
      <c r="J914" s="82"/>
      <c r="K914" s="131"/>
      <c r="L914" s="131"/>
    </row>
    <row r="915" spans="7:12" ht="18" customHeight="1" x14ac:dyDescent="0.15">
      <c r="G915" s="82"/>
      <c r="H915" s="82"/>
      <c r="I915" s="82"/>
      <c r="J915" s="82"/>
      <c r="K915" s="131"/>
      <c r="L915" s="131"/>
    </row>
    <row r="916" spans="7:12" ht="18" customHeight="1" x14ac:dyDescent="0.15">
      <c r="G916" s="82"/>
      <c r="H916" s="82"/>
      <c r="I916" s="82"/>
      <c r="J916" s="82"/>
      <c r="K916" s="131"/>
      <c r="L916" s="131"/>
    </row>
    <row r="917" spans="7:12" ht="18" customHeight="1" x14ac:dyDescent="0.15">
      <c r="G917" s="82"/>
      <c r="H917" s="82"/>
      <c r="I917" s="82"/>
      <c r="J917" s="82"/>
      <c r="K917" s="131"/>
      <c r="L917" s="131"/>
    </row>
    <row r="918" spans="7:12" ht="18" customHeight="1" x14ac:dyDescent="0.15">
      <c r="G918" s="82"/>
      <c r="H918" s="82"/>
      <c r="I918" s="82"/>
      <c r="J918" s="82"/>
      <c r="K918" s="131"/>
      <c r="L918" s="131"/>
    </row>
    <row r="919" spans="7:12" ht="18" customHeight="1" x14ac:dyDescent="0.15">
      <c r="G919" s="82"/>
      <c r="H919" s="82"/>
      <c r="I919" s="82"/>
      <c r="J919" s="82"/>
      <c r="K919" s="131"/>
      <c r="L919" s="131"/>
    </row>
    <row r="920" spans="7:12" ht="18" customHeight="1" x14ac:dyDescent="0.15">
      <c r="G920" s="82"/>
      <c r="H920" s="82"/>
      <c r="I920" s="82"/>
      <c r="J920" s="82"/>
      <c r="K920" s="131"/>
      <c r="L920" s="131"/>
    </row>
    <row r="921" spans="7:12" ht="18" customHeight="1" x14ac:dyDescent="0.15">
      <c r="G921" s="82"/>
      <c r="H921" s="82"/>
      <c r="I921" s="82"/>
      <c r="J921" s="82"/>
      <c r="K921" s="131"/>
      <c r="L921" s="131"/>
    </row>
    <row r="922" spans="7:12" ht="18" customHeight="1" x14ac:dyDescent="0.15">
      <c r="G922" s="82"/>
      <c r="H922" s="82"/>
      <c r="I922" s="82"/>
      <c r="J922" s="82"/>
      <c r="K922" s="131"/>
      <c r="L922" s="131"/>
    </row>
    <row r="923" spans="7:12" ht="18" customHeight="1" x14ac:dyDescent="0.15">
      <c r="G923" s="82"/>
      <c r="H923" s="82"/>
      <c r="I923" s="82"/>
      <c r="J923" s="82"/>
      <c r="K923" s="131"/>
      <c r="L923" s="131"/>
    </row>
    <row r="924" spans="7:12" ht="18" customHeight="1" x14ac:dyDescent="0.15">
      <c r="G924" s="82"/>
      <c r="H924" s="82"/>
      <c r="I924" s="82"/>
      <c r="J924" s="82"/>
      <c r="K924" s="131"/>
      <c r="L924" s="131"/>
    </row>
    <row r="925" spans="7:12" ht="18" customHeight="1" x14ac:dyDescent="0.15">
      <c r="G925" s="82"/>
      <c r="H925" s="82"/>
      <c r="I925" s="82"/>
      <c r="J925" s="82"/>
      <c r="K925" s="131"/>
      <c r="L925" s="131"/>
    </row>
    <row r="926" spans="7:12" ht="18" customHeight="1" x14ac:dyDescent="0.15">
      <c r="G926" s="82"/>
      <c r="H926" s="82"/>
      <c r="I926" s="82"/>
      <c r="J926" s="82"/>
      <c r="K926" s="131"/>
      <c r="L926" s="131"/>
    </row>
    <row r="927" spans="7:12" ht="18" customHeight="1" x14ac:dyDescent="0.15">
      <c r="G927" s="82"/>
      <c r="H927" s="82"/>
      <c r="I927" s="82"/>
      <c r="J927" s="82"/>
      <c r="K927" s="131"/>
      <c r="L927" s="131"/>
    </row>
    <row r="928" spans="7:12" ht="18" customHeight="1" x14ac:dyDescent="0.15">
      <c r="G928" s="82"/>
      <c r="H928" s="82"/>
      <c r="I928" s="82"/>
      <c r="J928" s="82"/>
      <c r="K928" s="131"/>
      <c r="L928" s="131"/>
    </row>
    <row r="929" spans="7:12" ht="18" customHeight="1" x14ac:dyDescent="0.15">
      <c r="G929" s="82"/>
      <c r="H929" s="82"/>
      <c r="I929" s="82"/>
      <c r="J929" s="82"/>
      <c r="K929" s="131"/>
      <c r="L929" s="131"/>
    </row>
    <row r="930" spans="7:12" ht="18" customHeight="1" x14ac:dyDescent="0.15">
      <c r="G930" s="82"/>
      <c r="H930" s="82"/>
      <c r="I930" s="82"/>
      <c r="J930" s="82"/>
      <c r="K930" s="131"/>
      <c r="L930" s="131"/>
    </row>
    <row r="931" spans="7:12" ht="18" customHeight="1" x14ac:dyDescent="0.15">
      <c r="G931" s="82"/>
      <c r="H931" s="82"/>
      <c r="I931" s="82"/>
      <c r="J931" s="82"/>
      <c r="K931" s="131"/>
      <c r="L931" s="131"/>
    </row>
    <row r="932" spans="7:12" ht="18" customHeight="1" x14ac:dyDescent="0.15">
      <c r="G932" s="82"/>
      <c r="H932" s="82"/>
      <c r="I932" s="82"/>
      <c r="J932" s="82"/>
      <c r="K932" s="131"/>
      <c r="L932" s="131"/>
    </row>
    <row r="933" spans="7:12" ht="18" customHeight="1" x14ac:dyDescent="0.15">
      <c r="G933" s="82"/>
      <c r="H933" s="82"/>
      <c r="I933" s="82"/>
      <c r="J933" s="82"/>
      <c r="K933" s="131"/>
      <c r="L933" s="131"/>
    </row>
    <row r="934" spans="7:12" ht="18" customHeight="1" x14ac:dyDescent="0.15">
      <c r="G934" s="82"/>
      <c r="H934" s="82"/>
      <c r="I934" s="82"/>
      <c r="J934" s="82"/>
      <c r="K934" s="131"/>
      <c r="L934" s="131"/>
    </row>
    <row r="935" spans="7:12" ht="18" customHeight="1" x14ac:dyDescent="0.15">
      <c r="G935" s="82"/>
      <c r="H935" s="82"/>
      <c r="I935" s="82"/>
      <c r="J935" s="82"/>
      <c r="K935" s="131"/>
      <c r="L935" s="131"/>
    </row>
    <row r="936" spans="7:12" ht="18" customHeight="1" x14ac:dyDescent="0.15">
      <c r="G936" s="82"/>
      <c r="H936" s="82"/>
      <c r="I936" s="82"/>
      <c r="J936" s="82"/>
      <c r="K936" s="131"/>
      <c r="L936" s="131"/>
    </row>
    <row r="937" spans="7:12" ht="18" customHeight="1" x14ac:dyDescent="0.15">
      <c r="G937" s="82"/>
      <c r="H937" s="82"/>
      <c r="I937" s="82"/>
      <c r="J937" s="82"/>
      <c r="K937" s="131"/>
      <c r="L937" s="131"/>
    </row>
    <row r="938" spans="7:12" ht="18" customHeight="1" x14ac:dyDescent="0.15">
      <c r="G938" s="82"/>
      <c r="H938" s="82"/>
      <c r="I938" s="82"/>
      <c r="J938" s="82"/>
      <c r="K938" s="131"/>
      <c r="L938" s="131"/>
    </row>
    <row r="939" spans="7:12" ht="18" customHeight="1" x14ac:dyDescent="0.15">
      <c r="G939" s="82"/>
      <c r="H939" s="82"/>
      <c r="I939" s="82"/>
      <c r="J939" s="82"/>
      <c r="K939" s="131"/>
      <c r="L939" s="131"/>
    </row>
    <row r="940" spans="7:12" ht="18" customHeight="1" x14ac:dyDescent="0.15">
      <c r="G940" s="82"/>
      <c r="H940" s="82"/>
      <c r="I940" s="82"/>
      <c r="J940" s="82"/>
      <c r="K940" s="131"/>
      <c r="L940" s="131"/>
    </row>
    <row r="941" spans="7:12" ht="18" customHeight="1" x14ac:dyDescent="0.15">
      <c r="G941" s="82"/>
      <c r="H941" s="82"/>
      <c r="I941" s="82"/>
      <c r="J941" s="82"/>
      <c r="K941" s="131"/>
      <c r="L941" s="131"/>
    </row>
    <row r="942" spans="7:12" ht="18" customHeight="1" x14ac:dyDescent="0.15">
      <c r="G942" s="82"/>
      <c r="H942" s="82"/>
      <c r="I942" s="82"/>
      <c r="J942" s="82"/>
      <c r="K942" s="131"/>
      <c r="L942" s="131"/>
    </row>
    <row r="943" spans="7:12" ht="18" customHeight="1" x14ac:dyDescent="0.15">
      <c r="G943" s="82"/>
      <c r="H943" s="82"/>
      <c r="I943" s="82"/>
      <c r="J943" s="82"/>
      <c r="K943" s="131"/>
      <c r="L943" s="131"/>
    </row>
    <row r="944" spans="7:12" ht="18" customHeight="1" x14ac:dyDescent="0.15">
      <c r="G944" s="82"/>
      <c r="H944" s="82"/>
      <c r="I944" s="82"/>
      <c r="J944" s="82"/>
      <c r="K944" s="131"/>
      <c r="L944" s="131"/>
    </row>
    <row r="945" spans="7:12" ht="18" customHeight="1" x14ac:dyDescent="0.15">
      <c r="G945" s="82"/>
      <c r="H945" s="82"/>
      <c r="I945" s="82"/>
      <c r="J945" s="82"/>
      <c r="K945" s="131"/>
      <c r="L945" s="131"/>
    </row>
    <row r="946" spans="7:12" ht="18" customHeight="1" x14ac:dyDescent="0.15">
      <c r="G946" s="82"/>
      <c r="H946" s="82"/>
      <c r="I946" s="82"/>
      <c r="J946" s="82"/>
      <c r="K946" s="131"/>
      <c r="L946" s="131"/>
    </row>
    <row r="947" spans="7:12" ht="18" customHeight="1" x14ac:dyDescent="0.15">
      <c r="G947" s="82"/>
      <c r="H947" s="82"/>
      <c r="I947" s="82"/>
      <c r="J947" s="82"/>
      <c r="K947" s="131"/>
      <c r="L947" s="131"/>
    </row>
    <row r="948" spans="7:12" ht="18" customHeight="1" x14ac:dyDescent="0.15">
      <c r="G948" s="82"/>
      <c r="H948" s="82"/>
      <c r="I948" s="82"/>
      <c r="J948" s="82"/>
      <c r="K948" s="131"/>
      <c r="L948" s="131"/>
    </row>
    <row r="949" spans="7:12" ht="18" customHeight="1" x14ac:dyDescent="0.15">
      <c r="G949" s="82"/>
      <c r="H949" s="82"/>
      <c r="I949" s="82"/>
      <c r="J949" s="82"/>
      <c r="K949" s="131"/>
      <c r="L949" s="131"/>
    </row>
    <row r="950" spans="7:12" ht="18" customHeight="1" x14ac:dyDescent="0.15">
      <c r="G950" s="82"/>
      <c r="H950" s="82"/>
      <c r="I950" s="82"/>
      <c r="J950" s="82"/>
      <c r="K950" s="131"/>
      <c r="L950" s="131"/>
    </row>
    <row r="951" spans="7:12" ht="18" customHeight="1" x14ac:dyDescent="0.15">
      <c r="G951" s="82"/>
      <c r="H951" s="82"/>
      <c r="I951" s="82"/>
      <c r="J951" s="82"/>
      <c r="K951" s="131"/>
      <c r="L951" s="131"/>
    </row>
    <row r="952" spans="7:12" ht="18" customHeight="1" x14ac:dyDescent="0.15">
      <c r="G952" s="82"/>
      <c r="H952" s="82"/>
      <c r="I952" s="82"/>
      <c r="J952" s="82"/>
      <c r="K952" s="131"/>
      <c r="L952" s="131"/>
    </row>
    <row r="953" spans="7:12" ht="18" customHeight="1" x14ac:dyDescent="0.15">
      <c r="G953" s="82"/>
      <c r="H953" s="82"/>
      <c r="I953" s="82"/>
      <c r="J953" s="82"/>
      <c r="K953" s="131"/>
      <c r="L953" s="131"/>
    </row>
    <row r="954" spans="7:12" ht="18" customHeight="1" x14ac:dyDescent="0.15">
      <c r="G954" s="82"/>
      <c r="H954" s="82"/>
      <c r="I954" s="82"/>
      <c r="J954" s="82"/>
      <c r="K954" s="131"/>
      <c r="L954" s="131"/>
    </row>
    <row r="955" spans="7:12" ht="18" customHeight="1" x14ac:dyDescent="0.15">
      <c r="G955" s="82"/>
      <c r="H955" s="82"/>
      <c r="I955" s="82"/>
      <c r="J955" s="82"/>
      <c r="K955" s="131"/>
      <c r="L955" s="131"/>
    </row>
    <row r="956" spans="7:12" ht="18" customHeight="1" x14ac:dyDescent="0.15">
      <c r="G956" s="82"/>
      <c r="H956" s="82"/>
      <c r="I956" s="82"/>
      <c r="J956" s="82"/>
      <c r="K956" s="131"/>
      <c r="L956" s="131"/>
    </row>
    <row r="957" spans="7:12" ht="18" customHeight="1" x14ac:dyDescent="0.15">
      <c r="G957" s="82"/>
      <c r="H957" s="82"/>
      <c r="I957" s="82"/>
      <c r="J957" s="82"/>
      <c r="K957" s="131"/>
      <c r="L957" s="131"/>
    </row>
    <row r="958" spans="7:12" ht="18" customHeight="1" x14ac:dyDescent="0.15">
      <c r="G958" s="82"/>
      <c r="H958" s="82"/>
      <c r="I958" s="82"/>
      <c r="J958" s="82"/>
      <c r="K958" s="131"/>
      <c r="L958" s="131"/>
    </row>
    <row r="959" spans="7:12" ht="18" customHeight="1" x14ac:dyDescent="0.15">
      <c r="G959" s="82"/>
      <c r="H959" s="82"/>
      <c r="I959" s="82"/>
      <c r="J959" s="82"/>
      <c r="K959" s="131"/>
      <c r="L959" s="131"/>
    </row>
    <row r="960" spans="7:12" ht="18" customHeight="1" x14ac:dyDescent="0.15">
      <c r="G960" s="82"/>
      <c r="H960" s="82"/>
      <c r="I960" s="82"/>
      <c r="J960" s="82"/>
      <c r="K960" s="131"/>
      <c r="L960" s="131"/>
    </row>
    <row r="961" spans="7:12" ht="18" customHeight="1" x14ac:dyDescent="0.15">
      <c r="G961" s="82"/>
      <c r="H961" s="82"/>
      <c r="I961" s="82"/>
      <c r="J961" s="82"/>
      <c r="K961" s="131"/>
      <c r="L961" s="131"/>
    </row>
    <row r="962" spans="7:12" ht="18" customHeight="1" x14ac:dyDescent="0.15">
      <c r="G962" s="82"/>
      <c r="H962" s="82"/>
      <c r="I962" s="82"/>
      <c r="J962" s="82"/>
      <c r="K962" s="131"/>
      <c r="L962" s="131"/>
    </row>
    <row r="963" spans="7:12" ht="18" customHeight="1" x14ac:dyDescent="0.15">
      <c r="G963" s="82"/>
      <c r="H963" s="82"/>
      <c r="I963" s="82"/>
      <c r="J963" s="82"/>
      <c r="K963" s="131"/>
      <c r="L963" s="131"/>
    </row>
    <row r="964" spans="7:12" ht="18" customHeight="1" x14ac:dyDescent="0.15">
      <c r="G964" s="82"/>
      <c r="H964" s="82"/>
      <c r="I964" s="82"/>
      <c r="J964" s="82"/>
      <c r="K964" s="131"/>
      <c r="L964" s="131"/>
    </row>
    <row r="965" spans="7:12" ht="18" customHeight="1" x14ac:dyDescent="0.15">
      <c r="G965" s="82"/>
      <c r="H965" s="82"/>
      <c r="I965" s="82"/>
      <c r="J965" s="82"/>
      <c r="K965" s="131"/>
      <c r="L965" s="131"/>
    </row>
    <row r="966" spans="7:12" ht="18" customHeight="1" x14ac:dyDescent="0.15">
      <c r="G966" s="82"/>
      <c r="H966" s="82"/>
      <c r="I966" s="82"/>
      <c r="J966" s="82"/>
      <c r="K966" s="131"/>
      <c r="L966" s="131"/>
    </row>
    <row r="967" spans="7:12" ht="18" customHeight="1" x14ac:dyDescent="0.15">
      <c r="G967" s="82"/>
      <c r="H967" s="82"/>
      <c r="I967" s="82"/>
      <c r="J967" s="82"/>
      <c r="K967" s="131"/>
      <c r="L967" s="131"/>
    </row>
    <row r="968" spans="7:12" ht="18" customHeight="1" x14ac:dyDescent="0.15">
      <c r="G968" s="82"/>
      <c r="H968" s="82"/>
      <c r="I968" s="82"/>
      <c r="J968" s="82"/>
      <c r="K968" s="131"/>
      <c r="L968" s="131"/>
    </row>
    <row r="969" spans="7:12" ht="18" customHeight="1" x14ac:dyDescent="0.15">
      <c r="G969" s="82"/>
      <c r="H969" s="82"/>
      <c r="I969" s="82"/>
      <c r="J969" s="82"/>
      <c r="K969" s="131"/>
      <c r="L969" s="131"/>
    </row>
    <row r="970" spans="7:12" ht="18" customHeight="1" x14ac:dyDescent="0.15">
      <c r="G970" s="82"/>
      <c r="H970" s="82"/>
      <c r="I970" s="82"/>
      <c r="J970" s="82"/>
      <c r="K970" s="131"/>
      <c r="L970" s="131"/>
    </row>
    <row r="971" spans="7:12" ht="18" customHeight="1" x14ac:dyDescent="0.15">
      <c r="G971" s="82"/>
      <c r="H971" s="82"/>
      <c r="I971" s="82"/>
      <c r="J971" s="82"/>
      <c r="K971" s="131"/>
      <c r="L971" s="131"/>
    </row>
    <row r="972" spans="7:12" ht="18" customHeight="1" x14ac:dyDescent="0.15">
      <c r="G972" s="82"/>
      <c r="H972" s="82"/>
      <c r="I972" s="82"/>
      <c r="J972" s="82"/>
      <c r="K972" s="131"/>
      <c r="L972" s="131"/>
    </row>
    <row r="973" spans="7:12" ht="18" customHeight="1" x14ac:dyDescent="0.15">
      <c r="G973" s="82"/>
      <c r="H973" s="82"/>
      <c r="I973" s="82"/>
      <c r="J973" s="82"/>
      <c r="K973" s="131"/>
      <c r="L973" s="131"/>
    </row>
    <row r="974" spans="7:12" ht="18" customHeight="1" x14ac:dyDescent="0.15">
      <c r="G974" s="82"/>
      <c r="H974" s="82"/>
      <c r="I974" s="82"/>
      <c r="J974" s="82"/>
      <c r="K974" s="131"/>
      <c r="L974" s="131"/>
    </row>
    <row r="975" spans="7:12" ht="18" customHeight="1" x14ac:dyDescent="0.15">
      <c r="G975" s="82"/>
      <c r="H975" s="82"/>
      <c r="I975" s="82"/>
      <c r="J975" s="82"/>
      <c r="K975" s="131"/>
      <c r="L975" s="131"/>
    </row>
    <row r="976" spans="7:12" ht="18" customHeight="1" x14ac:dyDescent="0.15">
      <c r="G976" s="82"/>
      <c r="H976" s="82"/>
      <c r="I976" s="82"/>
      <c r="J976" s="82"/>
      <c r="K976" s="131"/>
      <c r="L976" s="131"/>
    </row>
    <row r="977" spans="7:12" ht="18" customHeight="1" x14ac:dyDescent="0.15">
      <c r="G977" s="82"/>
      <c r="H977" s="82"/>
      <c r="I977" s="82"/>
      <c r="J977" s="82"/>
      <c r="K977" s="131"/>
      <c r="L977" s="131"/>
    </row>
    <row r="978" spans="7:12" ht="18" customHeight="1" x14ac:dyDescent="0.15">
      <c r="G978" s="82"/>
      <c r="H978" s="82"/>
      <c r="I978" s="82"/>
      <c r="J978" s="82"/>
      <c r="K978" s="131"/>
      <c r="L978" s="131"/>
    </row>
    <row r="979" spans="7:12" ht="18" customHeight="1" x14ac:dyDescent="0.15">
      <c r="G979" s="82"/>
      <c r="H979" s="82"/>
      <c r="I979" s="82"/>
      <c r="J979" s="82"/>
      <c r="K979" s="131"/>
      <c r="L979" s="131"/>
    </row>
    <row r="980" spans="7:12" ht="18" customHeight="1" x14ac:dyDescent="0.15">
      <c r="G980" s="82"/>
      <c r="H980" s="82"/>
      <c r="I980" s="82"/>
      <c r="J980" s="82"/>
      <c r="K980" s="131"/>
      <c r="L980" s="131"/>
    </row>
    <row r="981" spans="7:12" ht="18" customHeight="1" x14ac:dyDescent="0.15">
      <c r="G981" s="82"/>
      <c r="H981" s="82"/>
      <c r="I981" s="82"/>
      <c r="J981" s="82"/>
      <c r="K981" s="131"/>
      <c r="L981" s="131"/>
    </row>
    <row r="982" spans="7:12" ht="18" customHeight="1" x14ac:dyDescent="0.15">
      <c r="G982" s="82"/>
      <c r="H982" s="82"/>
      <c r="I982" s="82"/>
      <c r="J982" s="82"/>
      <c r="K982" s="131"/>
      <c r="L982" s="131"/>
    </row>
    <row r="983" spans="7:12" ht="18" customHeight="1" x14ac:dyDescent="0.15">
      <c r="G983" s="82"/>
      <c r="H983" s="82"/>
      <c r="I983" s="82"/>
      <c r="J983" s="82"/>
      <c r="K983" s="131"/>
      <c r="L983" s="131"/>
    </row>
    <row r="984" spans="7:12" ht="18" customHeight="1" x14ac:dyDescent="0.15">
      <c r="G984" s="82"/>
      <c r="H984" s="82"/>
      <c r="I984" s="82"/>
      <c r="J984" s="82"/>
      <c r="K984" s="131"/>
      <c r="L984" s="131"/>
    </row>
    <row r="985" spans="7:12" ht="18" customHeight="1" x14ac:dyDescent="0.15">
      <c r="G985" s="82"/>
      <c r="H985" s="82"/>
      <c r="I985" s="82"/>
      <c r="J985" s="82"/>
      <c r="K985" s="131"/>
      <c r="L985" s="131"/>
    </row>
    <row r="986" spans="7:12" ht="18" customHeight="1" x14ac:dyDescent="0.15">
      <c r="G986" s="82"/>
      <c r="H986" s="82"/>
      <c r="I986" s="82"/>
      <c r="J986" s="82"/>
      <c r="K986" s="131"/>
      <c r="L986" s="131"/>
    </row>
    <row r="987" spans="7:12" ht="18" customHeight="1" x14ac:dyDescent="0.15">
      <c r="G987" s="82"/>
      <c r="H987" s="82"/>
      <c r="I987" s="82"/>
      <c r="J987" s="82"/>
      <c r="K987" s="131"/>
      <c r="L987" s="131"/>
    </row>
    <row r="988" spans="7:12" ht="18" customHeight="1" x14ac:dyDescent="0.15">
      <c r="G988" s="82"/>
      <c r="H988" s="82"/>
      <c r="I988" s="82"/>
      <c r="J988" s="82"/>
      <c r="K988" s="131"/>
      <c r="L988" s="131"/>
    </row>
    <row r="989" spans="7:12" ht="18" customHeight="1" x14ac:dyDescent="0.15">
      <c r="G989" s="82"/>
      <c r="H989" s="82"/>
      <c r="I989" s="82"/>
      <c r="J989" s="82"/>
      <c r="K989" s="131"/>
      <c r="L989" s="131"/>
    </row>
    <row r="990" spans="7:12" ht="18" customHeight="1" x14ac:dyDescent="0.15">
      <c r="G990" s="82"/>
      <c r="H990" s="82"/>
      <c r="I990" s="82"/>
      <c r="J990" s="82"/>
      <c r="K990" s="131"/>
      <c r="L990" s="131"/>
    </row>
    <row r="991" spans="7:12" ht="18" customHeight="1" x14ac:dyDescent="0.15">
      <c r="G991" s="82"/>
      <c r="H991" s="82"/>
      <c r="I991" s="82"/>
      <c r="J991" s="82"/>
      <c r="K991" s="131"/>
      <c r="L991" s="131"/>
    </row>
    <row r="992" spans="7:12" ht="18" customHeight="1" x14ac:dyDescent="0.15">
      <c r="G992" s="82"/>
      <c r="H992" s="82"/>
      <c r="I992" s="82"/>
      <c r="J992" s="82"/>
      <c r="K992" s="131"/>
      <c r="L992" s="131"/>
    </row>
    <row r="993" spans="7:12" ht="18" customHeight="1" x14ac:dyDescent="0.15">
      <c r="G993" s="82"/>
      <c r="H993" s="82"/>
      <c r="I993" s="82"/>
      <c r="J993" s="82"/>
      <c r="K993" s="131"/>
      <c r="L993" s="131"/>
    </row>
    <row r="994" spans="7:12" ht="18" customHeight="1" x14ac:dyDescent="0.15">
      <c r="G994" s="82"/>
      <c r="H994" s="82"/>
      <c r="I994" s="82"/>
      <c r="J994" s="82"/>
      <c r="K994" s="131"/>
      <c r="L994" s="131"/>
    </row>
    <row r="995" spans="7:12" ht="18" customHeight="1" x14ac:dyDescent="0.15">
      <c r="G995" s="82"/>
      <c r="H995" s="82"/>
      <c r="I995" s="82"/>
      <c r="J995" s="82"/>
      <c r="K995" s="131"/>
      <c r="L995" s="131"/>
    </row>
    <row r="996" spans="7:12" ht="18" customHeight="1" x14ac:dyDescent="0.15">
      <c r="G996" s="82"/>
      <c r="H996" s="82"/>
      <c r="I996" s="82"/>
      <c r="J996" s="82"/>
      <c r="K996" s="131"/>
      <c r="L996" s="131"/>
    </row>
    <row r="997" spans="7:12" ht="18" customHeight="1" x14ac:dyDescent="0.15">
      <c r="G997" s="82"/>
      <c r="H997" s="82"/>
      <c r="I997" s="82"/>
      <c r="J997" s="82"/>
      <c r="K997" s="131"/>
      <c r="L997" s="131"/>
    </row>
    <row r="998" spans="7:12" ht="18" customHeight="1" x14ac:dyDescent="0.15">
      <c r="G998" s="82"/>
      <c r="H998" s="82"/>
      <c r="I998" s="82"/>
      <c r="J998" s="82"/>
      <c r="K998" s="131"/>
      <c r="L998" s="131"/>
    </row>
    <row r="999" spans="7:12" ht="18" customHeight="1" x14ac:dyDescent="0.15">
      <c r="G999" s="82"/>
      <c r="H999" s="82"/>
      <c r="I999" s="82"/>
      <c r="J999" s="82"/>
      <c r="K999" s="131"/>
      <c r="L999" s="131"/>
    </row>
    <row r="1000" spans="7:12" ht="18" customHeight="1" x14ac:dyDescent="0.15">
      <c r="G1000" s="82"/>
      <c r="H1000" s="82"/>
      <c r="I1000" s="82"/>
      <c r="J1000" s="82"/>
      <c r="K1000" s="131"/>
      <c r="L1000" s="131"/>
    </row>
    <row r="1001" spans="7:12" ht="18" customHeight="1" x14ac:dyDescent="0.15">
      <c r="G1001" s="82"/>
      <c r="H1001" s="82"/>
      <c r="I1001" s="82"/>
      <c r="J1001" s="82"/>
      <c r="K1001" s="131"/>
      <c r="L1001" s="131"/>
    </row>
    <row r="1002" spans="7:12" ht="18" customHeight="1" x14ac:dyDescent="0.15">
      <c r="G1002" s="82"/>
      <c r="H1002" s="82"/>
      <c r="I1002" s="82"/>
      <c r="J1002" s="82"/>
      <c r="K1002" s="131"/>
      <c r="L1002" s="131"/>
    </row>
    <row r="1003" spans="7:12" ht="18" customHeight="1" x14ac:dyDescent="0.15">
      <c r="G1003" s="82"/>
      <c r="H1003" s="82"/>
      <c r="I1003" s="82"/>
      <c r="J1003" s="82"/>
      <c r="K1003" s="131"/>
      <c r="L1003" s="131"/>
    </row>
    <row r="1004" spans="7:12" ht="18" customHeight="1" x14ac:dyDescent="0.15">
      <c r="G1004" s="82"/>
      <c r="H1004" s="82"/>
      <c r="I1004" s="82"/>
      <c r="J1004" s="82"/>
      <c r="K1004" s="131"/>
      <c r="L1004" s="131"/>
    </row>
    <row r="1005" spans="7:12" ht="18" customHeight="1" x14ac:dyDescent="0.15">
      <c r="G1005" s="82"/>
      <c r="H1005" s="82"/>
      <c r="I1005" s="82"/>
      <c r="J1005" s="82"/>
      <c r="K1005" s="131"/>
      <c r="L1005" s="131"/>
    </row>
    <row r="1006" spans="7:12" ht="18" customHeight="1" x14ac:dyDescent="0.15">
      <c r="G1006" s="82"/>
      <c r="H1006" s="82"/>
      <c r="I1006" s="82"/>
      <c r="J1006" s="82"/>
      <c r="K1006" s="131"/>
      <c r="L1006" s="131"/>
    </row>
    <row r="1007" spans="7:12" ht="18" customHeight="1" x14ac:dyDescent="0.15">
      <c r="G1007" s="82"/>
      <c r="H1007" s="82"/>
      <c r="I1007" s="82"/>
      <c r="J1007" s="82"/>
      <c r="K1007" s="131"/>
      <c r="L1007" s="131"/>
    </row>
    <row r="1008" spans="7:12" ht="18" customHeight="1" x14ac:dyDescent="0.15">
      <c r="G1008" s="82"/>
      <c r="H1008" s="82"/>
      <c r="I1008" s="82"/>
      <c r="J1008" s="82"/>
      <c r="K1008" s="131"/>
      <c r="L1008" s="131"/>
    </row>
    <row r="1009" spans="7:12" ht="18" customHeight="1" x14ac:dyDescent="0.15">
      <c r="G1009" s="82"/>
      <c r="H1009" s="82"/>
      <c r="I1009" s="82"/>
      <c r="J1009" s="82"/>
      <c r="K1009" s="131"/>
      <c r="L1009" s="131"/>
    </row>
    <row r="1010" spans="7:12" ht="18" customHeight="1" x14ac:dyDescent="0.15">
      <c r="G1010" s="82"/>
      <c r="H1010" s="82"/>
      <c r="I1010" s="82"/>
      <c r="J1010" s="82"/>
      <c r="K1010" s="131"/>
      <c r="L1010" s="131"/>
    </row>
    <row r="1011" spans="7:12" ht="18" customHeight="1" x14ac:dyDescent="0.15">
      <c r="G1011" s="82"/>
      <c r="H1011" s="82"/>
      <c r="I1011" s="82"/>
      <c r="J1011" s="82"/>
      <c r="K1011" s="131"/>
      <c r="L1011" s="131"/>
    </row>
    <row r="1012" spans="7:12" ht="18" customHeight="1" x14ac:dyDescent="0.15">
      <c r="G1012" s="82"/>
      <c r="H1012" s="82"/>
      <c r="I1012" s="82"/>
      <c r="J1012" s="82"/>
      <c r="K1012" s="131"/>
      <c r="L1012" s="131"/>
    </row>
    <row r="1013" spans="7:12" ht="18" customHeight="1" x14ac:dyDescent="0.15">
      <c r="G1013" s="82"/>
      <c r="H1013" s="82"/>
      <c r="I1013" s="82"/>
      <c r="J1013" s="82"/>
      <c r="K1013" s="131"/>
      <c r="L1013" s="131"/>
    </row>
    <row r="1014" spans="7:12" ht="18" customHeight="1" x14ac:dyDescent="0.15">
      <c r="G1014" s="82"/>
      <c r="H1014" s="82"/>
      <c r="I1014" s="82"/>
      <c r="J1014" s="82"/>
      <c r="K1014" s="131"/>
      <c r="L1014" s="131"/>
    </row>
    <row r="1015" spans="7:12" ht="18" customHeight="1" x14ac:dyDescent="0.15">
      <c r="G1015" s="82"/>
      <c r="H1015" s="82"/>
      <c r="I1015" s="82"/>
      <c r="J1015" s="82"/>
      <c r="K1015" s="131"/>
      <c r="L1015" s="131"/>
    </row>
    <row r="1016" spans="7:12" ht="18" customHeight="1" x14ac:dyDescent="0.15">
      <c r="G1016" s="82"/>
      <c r="H1016" s="82"/>
      <c r="I1016" s="82"/>
      <c r="J1016" s="82"/>
      <c r="K1016" s="131"/>
      <c r="L1016" s="131"/>
    </row>
    <row r="1017" spans="7:12" ht="18" customHeight="1" x14ac:dyDescent="0.15">
      <c r="G1017" s="82"/>
      <c r="H1017" s="82"/>
      <c r="I1017" s="82"/>
      <c r="J1017" s="82"/>
      <c r="K1017" s="131"/>
      <c r="L1017" s="131"/>
    </row>
    <row r="1018" spans="7:12" ht="18" customHeight="1" x14ac:dyDescent="0.15">
      <c r="G1018" s="82"/>
      <c r="H1018" s="82"/>
      <c r="I1018" s="82"/>
      <c r="J1018" s="82"/>
      <c r="K1018" s="131"/>
      <c r="L1018" s="131"/>
    </row>
    <row r="1019" spans="7:12" ht="18" customHeight="1" x14ac:dyDescent="0.15">
      <c r="G1019" s="82"/>
      <c r="H1019" s="82"/>
      <c r="I1019" s="82"/>
      <c r="J1019" s="82"/>
      <c r="K1019" s="131"/>
      <c r="L1019" s="131"/>
    </row>
    <row r="1020" spans="7:12" ht="18" customHeight="1" x14ac:dyDescent="0.15">
      <c r="G1020" s="82"/>
      <c r="H1020" s="82"/>
      <c r="I1020" s="82"/>
      <c r="J1020" s="82"/>
      <c r="K1020" s="131"/>
      <c r="L1020" s="131"/>
    </row>
    <row r="1021" spans="7:12" ht="18" customHeight="1" x14ac:dyDescent="0.15">
      <c r="G1021" s="82"/>
      <c r="H1021" s="82"/>
      <c r="I1021" s="82"/>
      <c r="J1021" s="82"/>
      <c r="K1021" s="131"/>
      <c r="L1021" s="131"/>
    </row>
    <row r="1022" spans="7:12" ht="18" customHeight="1" x14ac:dyDescent="0.15">
      <c r="G1022" s="82"/>
      <c r="H1022" s="82"/>
      <c r="I1022" s="82"/>
      <c r="J1022" s="82"/>
      <c r="K1022" s="131"/>
      <c r="L1022" s="131"/>
    </row>
    <row r="1023" spans="7:12" ht="18" customHeight="1" x14ac:dyDescent="0.15">
      <c r="G1023" s="82"/>
      <c r="H1023" s="82"/>
      <c r="I1023" s="82"/>
      <c r="J1023" s="82"/>
      <c r="K1023" s="131"/>
      <c r="L1023" s="131"/>
    </row>
    <row r="1024" spans="7:12" ht="18" customHeight="1" x14ac:dyDescent="0.15">
      <c r="G1024" s="82"/>
      <c r="H1024" s="82"/>
      <c r="I1024" s="82"/>
      <c r="J1024" s="82"/>
      <c r="K1024" s="131"/>
      <c r="L1024" s="131"/>
    </row>
    <row r="1025" spans="7:12" ht="18" customHeight="1" x14ac:dyDescent="0.15">
      <c r="G1025" s="82"/>
      <c r="H1025" s="82"/>
      <c r="I1025" s="82"/>
      <c r="J1025" s="82"/>
      <c r="K1025" s="131"/>
      <c r="L1025" s="131"/>
    </row>
    <row r="1026" spans="7:12" ht="18" customHeight="1" x14ac:dyDescent="0.15">
      <c r="G1026" s="82"/>
      <c r="H1026" s="82"/>
      <c r="I1026" s="82"/>
      <c r="J1026" s="82"/>
      <c r="K1026" s="131"/>
      <c r="L1026" s="131"/>
    </row>
    <row r="1027" spans="7:12" ht="18" customHeight="1" x14ac:dyDescent="0.15">
      <c r="G1027" s="82"/>
      <c r="H1027" s="82"/>
      <c r="I1027" s="82"/>
      <c r="J1027" s="82"/>
      <c r="K1027" s="131"/>
      <c r="L1027" s="131"/>
    </row>
    <row r="1028" spans="7:12" ht="18" customHeight="1" x14ac:dyDescent="0.15">
      <c r="G1028" s="82"/>
      <c r="H1028" s="82"/>
      <c r="I1028" s="82"/>
      <c r="J1028" s="82"/>
      <c r="K1028" s="131"/>
      <c r="L1028" s="131"/>
    </row>
    <row r="1029" spans="7:12" ht="18" customHeight="1" x14ac:dyDescent="0.15">
      <c r="G1029" s="82"/>
      <c r="H1029" s="82"/>
      <c r="I1029" s="82"/>
      <c r="J1029" s="82"/>
      <c r="K1029" s="131"/>
      <c r="L1029" s="131"/>
    </row>
    <row r="1030" spans="7:12" ht="18" customHeight="1" x14ac:dyDescent="0.15">
      <c r="G1030" s="82"/>
      <c r="H1030" s="82"/>
      <c r="I1030" s="82"/>
      <c r="J1030" s="82"/>
      <c r="K1030" s="131"/>
      <c r="L1030" s="131"/>
    </row>
    <row r="1031" spans="7:12" ht="18" customHeight="1" x14ac:dyDescent="0.15">
      <c r="G1031" s="82"/>
      <c r="H1031" s="82"/>
      <c r="I1031" s="82"/>
      <c r="J1031" s="82"/>
      <c r="K1031" s="131"/>
      <c r="L1031" s="131"/>
    </row>
    <row r="1032" spans="7:12" ht="18" customHeight="1" x14ac:dyDescent="0.15">
      <c r="G1032" s="82"/>
      <c r="H1032" s="82"/>
      <c r="I1032" s="82"/>
      <c r="J1032" s="82"/>
      <c r="K1032" s="131"/>
      <c r="L1032" s="131"/>
    </row>
    <row r="1033" spans="7:12" ht="18" customHeight="1" x14ac:dyDescent="0.15">
      <c r="G1033" s="82"/>
      <c r="H1033" s="82"/>
      <c r="I1033" s="82"/>
      <c r="J1033" s="82"/>
      <c r="K1033" s="131"/>
      <c r="L1033" s="131"/>
    </row>
    <row r="1034" spans="7:12" ht="18" customHeight="1" x14ac:dyDescent="0.15">
      <c r="G1034" s="82"/>
      <c r="H1034" s="82"/>
      <c r="I1034" s="82"/>
      <c r="J1034" s="82"/>
      <c r="K1034" s="131"/>
      <c r="L1034" s="131"/>
    </row>
    <row r="1035" spans="7:12" ht="18" customHeight="1" x14ac:dyDescent="0.15">
      <c r="G1035" s="82"/>
      <c r="H1035" s="82"/>
      <c r="I1035" s="82"/>
      <c r="J1035" s="82"/>
      <c r="K1035" s="131"/>
      <c r="L1035" s="131"/>
    </row>
    <row r="1036" spans="7:12" ht="18" customHeight="1" x14ac:dyDescent="0.15">
      <c r="G1036" s="82"/>
      <c r="H1036" s="82"/>
      <c r="I1036" s="82"/>
      <c r="J1036" s="82"/>
      <c r="K1036" s="131"/>
      <c r="L1036" s="131"/>
    </row>
    <row r="1037" spans="7:12" ht="18" customHeight="1" x14ac:dyDescent="0.15">
      <c r="G1037" s="82"/>
      <c r="H1037" s="82"/>
      <c r="I1037" s="82"/>
      <c r="J1037" s="82"/>
      <c r="K1037" s="131"/>
      <c r="L1037" s="131"/>
    </row>
    <row r="1038" spans="7:12" ht="18" customHeight="1" x14ac:dyDescent="0.15">
      <c r="G1038" s="82"/>
      <c r="H1038" s="82"/>
      <c r="I1038" s="82"/>
      <c r="J1038" s="82"/>
      <c r="K1038" s="131"/>
      <c r="L1038" s="131"/>
    </row>
    <row r="1039" spans="7:12" ht="18" customHeight="1" x14ac:dyDescent="0.15">
      <c r="G1039" s="82"/>
      <c r="H1039" s="82"/>
      <c r="I1039" s="82"/>
      <c r="J1039" s="82"/>
      <c r="K1039" s="131"/>
      <c r="L1039" s="131"/>
    </row>
    <row r="1040" spans="7:12" ht="18" customHeight="1" x14ac:dyDescent="0.15">
      <c r="G1040" s="82"/>
      <c r="H1040" s="82"/>
      <c r="I1040" s="82"/>
      <c r="J1040" s="82"/>
      <c r="K1040" s="131"/>
      <c r="L1040" s="131"/>
    </row>
    <row r="1041" spans="7:12" ht="18" customHeight="1" x14ac:dyDescent="0.15">
      <c r="G1041" s="82"/>
      <c r="H1041" s="82"/>
      <c r="I1041" s="82"/>
      <c r="J1041" s="82"/>
      <c r="K1041" s="131"/>
      <c r="L1041" s="131"/>
    </row>
    <row r="1042" spans="7:12" ht="18" customHeight="1" x14ac:dyDescent="0.15">
      <c r="G1042" s="82"/>
      <c r="H1042" s="82"/>
      <c r="I1042" s="82"/>
      <c r="J1042" s="82"/>
      <c r="K1042" s="131"/>
      <c r="L1042" s="131"/>
    </row>
    <row r="1043" spans="7:12" ht="18" customHeight="1" x14ac:dyDescent="0.15">
      <c r="G1043" s="82"/>
      <c r="H1043" s="82"/>
      <c r="I1043" s="82"/>
      <c r="J1043" s="82"/>
      <c r="K1043" s="131"/>
      <c r="L1043" s="131"/>
    </row>
    <row r="1044" spans="7:12" ht="18" customHeight="1" x14ac:dyDescent="0.15">
      <c r="G1044" s="82"/>
      <c r="H1044" s="82"/>
      <c r="I1044" s="82"/>
      <c r="J1044" s="82"/>
      <c r="K1044" s="131"/>
      <c r="L1044" s="131"/>
    </row>
    <row r="1045" spans="7:12" ht="18" customHeight="1" x14ac:dyDescent="0.15">
      <c r="G1045" s="82"/>
      <c r="H1045" s="82"/>
      <c r="I1045" s="82"/>
      <c r="J1045" s="82"/>
      <c r="K1045" s="131"/>
      <c r="L1045" s="131"/>
    </row>
    <row r="1046" spans="7:12" ht="18" customHeight="1" x14ac:dyDescent="0.15">
      <c r="G1046" s="82"/>
      <c r="H1046" s="82"/>
      <c r="I1046" s="82"/>
      <c r="J1046" s="82"/>
      <c r="K1046" s="131"/>
      <c r="L1046" s="131"/>
    </row>
    <row r="1047" spans="7:12" ht="18" customHeight="1" x14ac:dyDescent="0.15">
      <c r="G1047" s="82"/>
      <c r="H1047" s="82"/>
      <c r="I1047" s="82"/>
      <c r="J1047" s="82"/>
      <c r="K1047" s="131"/>
      <c r="L1047" s="131"/>
    </row>
    <row r="1048" spans="7:12" ht="18" customHeight="1" x14ac:dyDescent="0.15">
      <c r="G1048" s="82"/>
      <c r="H1048" s="82"/>
      <c r="I1048" s="82"/>
      <c r="J1048" s="82"/>
      <c r="K1048" s="131"/>
      <c r="L1048" s="131"/>
    </row>
    <row r="1049" spans="7:12" ht="18" customHeight="1" x14ac:dyDescent="0.15">
      <c r="G1049" s="82"/>
      <c r="H1049" s="82"/>
      <c r="I1049" s="82"/>
      <c r="J1049" s="82"/>
      <c r="K1049" s="131"/>
      <c r="L1049" s="131"/>
    </row>
    <row r="1050" spans="7:12" ht="18" customHeight="1" x14ac:dyDescent="0.15">
      <c r="G1050" s="82"/>
      <c r="H1050" s="82"/>
      <c r="I1050" s="82"/>
      <c r="J1050" s="82"/>
      <c r="K1050" s="131"/>
      <c r="L1050" s="131"/>
    </row>
    <row r="1051" spans="7:12" ht="18" customHeight="1" x14ac:dyDescent="0.15">
      <c r="G1051" s="82"/>
      <c r="H1051" s="82"/>
      <c r="I1051" s="82"/>
      <c r="J1051" s="82"/>
      <c r="K1051" s="131"/>
      <c r="L1051" s="131"/>
    </row>
    <row r="1052" spans="7:12" ht="18" customHeight="1" x14ac:dyDescent="0.15">
      <c r="G1052" s="82"/>
      <c r="H1052" s="82"/>
      <c r="I1052" s="82"/>
      <c r="J1052" s="82"/>
      <c r="K1052" s="131"/>
      <c r="L1052" s="131"/>
    </row>
    <row r="1053" spans="7:12" ht="18" customHeight="1" x14ac:dyDescent="0.15">
      <c r="G1053" s="82"/>
      <c r="H1053" s="82"/>
      <c r="I1053" s="82"/>
      <c r="J1053" s="82"/>
      <c r="K1053" s="131"/>
      <c r="L1053" s="131"/>
    </row>
    <row r="1054" spans="7:12" ht="18" customHeight="1" x14ac:dyDescent="0.15">
      <c r="G1054" s="82"/>
      <c r="H1054" s="82"/>
      <c r="I1054" s="82"/>
      <c r="J1054" s="82"/>
      <c r="K1054" s="131"/>
      <c r="L1054" s="131"/>
    </row>
    <row r="1055" spans="7:12" ht="18" customHeight="1" x14ac:dyDescent="0.15">
      <c r="G1055" s="82"/>
      <c r="H1055" s="82"/>
      <c r="I1055" s="82"/>
      <c r="J1055" s="82"/>
      <c r="K1055" s="131"/>
      <c r="L1055" s="131"/>
    </row>
    <row r="1056" spans="7:12" ht="18" customHeight="1" x14ac:dyDescent="0.15">
      <c r="G1056" s="82"/>
      <c r="H1056" s="82"/>
      <c r="I1056" s="82"/>
      <c r="J1056" s="82"/>
      <c r="K1056" s="131"/>
      <c r="L1056" s="131"/>
    </row>
    <row r="1057" spans="7:12" ht="18" customHeight="1" x14ac:dyDescent="0.15">
      <c r="G1057" s="82"/>
      <c r="H1057" s="82"/>
      <c r="I1057" s="82"/>
      <c r="J1057" s="82"/>
      <c r="K1057" s="131"/>
      <c r="L1057" s="131"/>
    </row>
    <row r="1058" spans="7:12" ht="18" customHeight="1" x14ac:dyDescent="0.15">
      <c r="G1058" s="82"/>
      <c r="H1058" s="82"/>
      <c r="I1058" s="82"/>
      <c r="J1058" s="82"/>
      <c r="K1058" s="131"/>
      <c r="L1058" s="131"/>
    </row>
    <row r="1059" spans="7:12" ht="18" customHeight="1" x14ac:dyDescent="0.15">
      <c r="G1059" s="82"/>
      <c r="H1059" s="82"/>
      <c r="I1059" s="82"/>
      <c r="J1059" s="82"/>
      <c r="K1059" s="131"/>
      <c r="L1059" s="131"/>
    </row>
    <row r="1060" spans="7:12" ht="18" customHeight="1" x14ac:dyDescent="0.15">
      <c r="G1060" s="82"/>
      <c r="H1060" s="82"/>
      <c r="I1060" s="82"/>
      <c r="J1060" s="82"/>
      <c r="K1060" s="131"/>
      <c r="L1060" s="131"/>
    </row>
    <row r="1061" spans="7:12" ht="18" customHeight="1" x14ac:dyDescent="0.15">
      <c r="G1061" s="82"/>
      <c r="H1061" s="82"/>
      <c r="I1061" s="82"/>
      <c r="J1061" s="82"/>
      <c r="K1061" s="131"/>
      <c r="L1061" s="131"/>
    </row>
    <row r="1062" spans="7:12" ht="18" customHeight="1" x14ac:dyDescent="0.15">
      <c r="G1062" s="82"/>
      <c r="H1062" s="82"/>
      <c r="I1062" s="82"/>
      <c r="J1062" s="82"/>
      <c r="K1062" s="131"/>
      <c r="L1062" s="131"/>
    </row>
    <row r="1063" spans="7:12" ht="18" customHeight="1" x14ac:dyDescent="0.15">
      <c r="G1063" s="82"/>
      <c r="H1063" s="82"/>
      <c r="I1063" s="82"/>
      <c r="J1063" s="82"/>
      <c r="K1063" s="131"/>
      <c r="L1063" s="131"/>
    </row>
    <row r="1064" spans="7:12" ht="18" customHeight="1" x14ac:dyDescent="0.15">
      <c r="G1064" s="82"/>
      <c r="H1064" s="82"/>
      <c r="I1064" s="82"/>
      <c r="J1064" s="82"/>
      <c r="K1064" s="131"/>
      <c r="L1064" s="131"/>
    </row>
    <row r="1065" spans="7:12" ht="18" customHeight="1" x14ac:dyDescent="0.15">
      <c r="G1065" s="82"/>
      <c r="H1065" s="82"/>
      <c r="I1065" s="82"/>
      <c r="J1065" s="82"/>
      <c r="K1065" s="131"/>
      <c r="L1065" s="131"/>
    </row>
    <row r="1066" spans="7:12" ht="18" customHeight="1" x14ac:dyDescent="0.15">
      <c r="G1066" s="82"/>
      <c r="H1066" s="82"/>
      <c r="I1066" s="82"/>
      <c r="J1066" s="82"/>
      <c r="K1066" s="131"/>
      <c r="L1066" s="131"/>
    </row>
    <row r="1067" spans="7:12" ht="18" customHeight="1" x14ac:dyDescent="0.15">
      <c r="G1067" s="82"/>
      <c r="H1067" s="82"/>
      <c r="I1067" s="82"/>
      <c r="J1067" s="82"/>
      <c r="K1067" s="131"/>
      <c r="L1067" s="131"/>
    </row>
    <row r="1068" spans="7:12" ht="18" customHeight="1" x14ac:dyDescent="0.15">
      <c r="G1068" s="82"/>
      <c r="H1068" s="82"/>
      <c r="I1068" s="82"/>
      <c r="J1068" s="82"/>
      <c r="K1068" s="131"/>
      <c r="L1068" s="131"/>
    </row>
    <row r="1069" spans="7:12" ht="18" customHeight="1" x14ac:dyDescent="0.15">
      <c r="G1069" s="82"/>
      <c r="H1069" s="82"/>
      <c r="I1069" s="82"/>
      <c r="J1069" s="82"/>
      <c r="K1069" s="131"/>
      <c r="L1069" s="131"/>
    </row>
    <row r="1070" spans="7:12" ht="18" customHeight="1" x14ac:dyDescent="0.15">
      <c r="G1070" s="82"/>
      <c r="H1070" s="82"/>
      <c r="I1070" s="82"/>
      <c r="J1070" s="82"/>
      <c r="K1070" s="131"/>
      <c r="L1070" s="131"/>
    </row>
    <row r="1071" spans="7:12" ht="18" customHeight="1" x14ac:dyDescent="0.15">
      <c r="G1071" s="82"/>
      <c r="H1071" s="82"/>
      <c r="I1071" s="82"/>
      <c r="J1071" s="82"/>
      <c r="K1071" s="131"/>
      <c r="L1071" s="131"/>
    </row>
    <row r="1072" spans="7:12" ht="18" customHeight="1" x14ac:dyDescent="0.15">
      <c r="G1072" s="82"/>
      <c r="H1072" s="82"/>
      <c r="I1072" s="82"/>
      <c r="J1072" s="82"/>
      <c r="K1072" s="131"/>
      <c r="L1072" s="131"/>
    </row>
    <row r="1073" spans="7:12" ht="18" customHeight="1" x14ac:dyDescent="0.15">
      <c r="G1073" s="82"/>
      <c r="H1073" s="82"/>
      <c r="I1073" s="82"/>
      <c r="J1073" s="82"/>
      <c r="K1073" s="131"/>
      <c r="L1073" s="131"/>
    </row>
    <row r="1074" spans="7:12" ht="18" customHeight="1" x14ac:dyDescent="0.15">
      <c r="G1074" s="82"/>
      <c r="H1074" s="82"/>
      <c r="I1074" s="82"/>
      <c r="J1074" s="82"/>
      <c r="K1074" s="131"/>
      <c r="L1074" s="131"/>
    </row>
    <row r="1075" spans="7:12" ht="18" customHeight="1" x14ac:dyDescent="0.15">
      <c r="G1075" s="82"/>
      <c r="H1075" s="82"/>
      <c r="I1075" s="82"/>
      <c r="J1075" s="82"/>
      <c r="K1075" s="131"/>
      <c r="L1075" s="131"/>
    </row>
    <row r="1076" spans="7:12" ht="18" customHeight="1" x14ac:dyDescent="0.15">
      <c r="G1076" s="82"/>
      <c r="H1076" s="82"/>
      <c r="I1076" s="82"/>
      <c r="J1076" s="82"/>
      <c r="K1076" s="131"/>
      <c r="L1076" s="131"/>
    </row>
    <row r="1077" spans="7:12" ht="18" customHeight="1" x14ac:dyDescent="0.15">
      <c r="G1077" s="82"/>
      <c r="H1077" s="82"/>
      <c r="I1077" s="82"/>
      <c r="J1077" s="82"/>
      <c r="K1077" s="131"/>
      <c r="L1077" s="131"/>
    </row>
    <row r="1078" spans="7:12" ht="18" customHeight="1" x14ac:dyDescent="0.15">
      <c r="G1078" s="82"/>
      <c r="H1078" s="82"/>
      <c r="I1078" s="82"/>
      <c r="J1078" s="82"/>
      <c r="K1078" s="131"/>
      <c r="L1078" s="131"/>
    </row>
    <row r="1079" spans="7:12" ht="18" customHeight="1" x14ac:dyDescent="0.15">
      <c r="G1079" s="82"/>
      <c r="H1079" s="82"/>
      <c r="I1079" s="82"/>
      <c r="J1079" s="82"/>
      <c r="K1079" s="131"/>
      <c r="L1079" s="131"/>
    </row>
    <row r="1080" spans="7:12" ht="18" customHeight="1" x14ac:dyDescent="0.15">
      <c r="G1080" s="82"/>
      <c r="H1080" s="82"/>
      <c r="I1080" s="82"/>
      <c r="J1080" s="82"/>
      <c r="K1080" s="131"/>
      <c r="L1080" s="131"/>
    </row>
    <row r="1081" spans="7:12" ht="18" customHeight="1" x14ac:dyDescent="0.15">
      <c r="G1081" s="82"/>
      <c r="H1081" s="82"/>
      <c r="I1081" s="82"/>
      <c r="J1081" s="82"/>
      <c r="K1081" s="131"/>
      <c r="L1081" s="131"/>
    </row>
    <row r="1082" spans="7:12" ht="18" customHeight="1" x14ac:dyDescent="0.15">
      <c r="G1082" s="82"/>
      <c r="H1082" s="82"/>
      <c r="I1082" s="82"/>
      <c r="J1082" s="82"/>
      <c r="K1082" s="131"/>
      <c r="L1082" s="131"/>
    </row>
    <row r="1083" spans="7:12" ht="18" customHeight="1" x14ac:dyDescent="0.15">
      <c r="G1083" s="82"/>
      <c r="H1083" s="82"/>
      <c r="I1083" s="82"/>
      <c r="J1083" s="82"/>
      <c r="K1083" s="131"/>
      <c r="L1083" s="131"/>
    </row>
    <row r="1084" spans="7:12" ht="18" customHeight="1" x14ac:dyDescent="0.15">
      <c r="G1084" s="82"/>
      <c r="H1084" s="82"/>
      <c r="I1084" s="82"/>
      <c r="J1084" s="82"/>
      <c r="K1084" s="131"/>
      <c r="L1084" s="131"/>
    </row>
    <row r="1085" spans="7:12" ht="18" customHeight="1" x14ac:dyDescent="0.15">
      <c r="G1085" s="82"/>
      <c r="H1085" s="82"/>
      <c r="I1085" s="82"/>
      <c r="J1085" s="82"/>
      <c r="K1085" s="131"/>
      <c r="L1085" s="131"/>
    </row>
    <row r="1086" spans="7:12" ht="18" customHeight="1" x14ac:dyDescent="0.15">
      <c r="G1086" s="82"/>
      <c r="H1086" s="82"/>
      <c r="I1086" s="82"/>
      <c r="J1086" s="82"/>
      <c r="K1086" s="131"/>
      <c r="L1086" s="131"/>
    </row>
    <row r="1087" spans="7:12" ht="18" customHeight="1" x14ac:dyDescent="0.15">
      <c r="G1087" s="82"/>
      <c r="H1087" s="82"/>
      <c r="I1087" s="82"/>
      <c r="J1087" s="82"/>
      <c r="K1087" s="131"/>
      <c r="L1087" s="131"/>
    </row>
    <row r="1088" spans="7:12" ht="18" customHeight="1" x14ac:dyDescent="0.15">
      <c r="G1088" s="82"/>
      <c r="H1088" s="82"/>
      <c r="I1088" s="82"/>
      <c r="J1088" s="82"/>
      <c r="K1088" s="131"/>
      <c r="L1088" s="131"/>
    </row>
    <row r="1089" spans="7:12" ht="18" customHeight="1" x14ac:dyDescent="0.15">
      <c r="G1089" s="82"/>
      <c r="H1089" s="82"/>
      <c r="I1089" s="82"/>
      <c r="J1089" s="82"/>
      <c r="K1089" s="131"/>
      <c r="L1089" s="131"/>
    </row>
    <row r="1090" spans="7:12" ht="18" customHeight="1" x14ac:dyDescent="0.15">
      <c r="G1090" s="82"/>
      <c r="H1090" s="82"/>
      <c r="I1090" s="82"/>
      <c r="J1090" s="82"/>
      <c r="K1090" s="131"/>
      <c r="L1090" s="131"/>
    </row>
    <row r="1091" spans="7:12" ht="18" customHeight="1" x14ac:dyDescent="0.15">
      <c r="G1091" s="82"/>
      <c r="H1091" s="82"/>
      <c r="I1091" s="82"/>
      <c r="J1091" s="82"/>
      <c r="K1091" s="131"/>
      <c r="L1091" s="131"/>
    </row>
    <row r="1092" spans="7:12" ht="18" customHeight="1" x14ac:dyDescent="0.15">
      <c r="G1092" s="82"/>
      <c r="H1092" s="82"/>
      <c r="I1092" s="82"/>
      <c r="J1092" s="82"/>
      <c r="K1092" s="131"/>
      <c r="L1092" s="131"/>
    </row>
    <row r="1093" spans="7:12" ht="18" customHeight="1" x14ac:dyDescent="0.15">
      <c r="G1093" s="82"/>
      <c r="H1093" s="82"/>
      <c r="I1093" s="82"/>
      <c r="J1093" s="82"/>
      <c r="K1093" s="131"/>
      <c r="L1093" s="131"/>
    </row>
    <row r="1094" spans="7:12" ht="18" customHeight="1" x14ac:dyDescent="0.15">
      <c r="G1094" s="82"/>
      <c r="H1094" s="82"/>
      <c r="I1094" s="82"/>
      <c r="J1094" s="82"/>
      <c r="K1094" s="131"/>
      <c r="L1094" s="131"/>
    </row>
    <row r="1095" spans="7:12" ht="18" customHeight="1" x14ac:dyDescent="0.15">
      <c r="G1095" s="82"/>
      <c r="H1095" s="82"/>
      <c r="I1095" s="82"/>
      <c r="J1095" s="82"/>
      <c r="K1095" s="131"/>
      <c r="L1095" s="131"/>
    </row>
    <row r="1096" spans="7:12" ht="18" customHeight="1" x14ac:dyDescent="0.15">
      <c r="G1096" s="82"/>
      <c r="H1096" s="82"/>
      <c r="I1096" s="82"/>
      <c r="J1096" s="82"/>
      <c r="K1096" s="131"/>
      <c r="L1096" s="131"/>
    </row>
    <row r="1097" spans="7:12" ht="18" customHeight="1" x14ac:dyDescent="0.15">
      <c r="G1097" s="82"/>
      <c r="H1097" s="82"/>
      <c r="I1097" s="82"/>
      <c r="J1097" s="82"/>
      <c r="K1097" s="131"/>
      <c r="L1097" s="131"/>
    </row>
    <row r="1098" spans="7:12" ht="18" customHeight="1" x14ac:dyDescent="0.15">
      <c r="G1098" s="82"/>
      <c r="H1098" s="82"/>
      <c r="I1098" s="82"/>
      <c r="J1098" s="82"/>
      <c r="K1098" s="131"/>
      <c r="L1098" s="131"/>
    </row>
    <row r="1099" spans="7:12" ht="18" customHeight="1" x14ac:dyDescent="0.15">
      <c r="G1099" s="82"/>
      <c r="H1099" s="82"/>
      <c r="I1099" s="82"/>
      <c r="J1099" s="82"/>
      <c r="K1099" s="131"/>
      <c r="L1099" s="131"/>
    </row>
    <row r="1100" spans="7:12" ht="18" customHeight="1" x14ac:dyDescent="0.15">
      <c r="G1100" s="82"/>
      <c r="H1100" s="82"/>
      <c r="I1100" s="82"/>
      <c r="J1100" s="82"/>
      <c r="K1100" s="131"/>
      <c r="L1100" s="131"/>
    </row>
    <row r="1101" spans="7:12" ht="18" customHeight="1" x14ac:dyDescent="0.15">
      <c r="G1101" s="82"/>
      <c r="H1101" s="82"/>
      <c r="I1101" s="82"/>
      <c r="J1101" s="82"/>
      <c r="K1101" s="131"/>
      <c r="L1101" s="131"/>
    </row>
    <row r="1102" spans="7:12" ht="18" customHeight="1" x14ac:dyDescent="0.15">
      <c r="G1102" s="82"/>
      <c r="H1102" s="82"/>
      <c r="I1102" s="82"/>
      <c r="J1102" s="82"/>
      <c r="K1102" s="131"/>
      <c r="L1102" s="131"/>
    </row>
    <row r="1103" spans="7:12" ht="18" customHeight="1" x14ac:dyDescent="0.15">
      <c r="G1103" s="82"/>
      <c r="H1103" s="82"/>
      <c r="I1103" s="82"/>
      <c r="J1103" s="82"/>
      <c r="K1103" s="131"/>
      <c r="L1103" s="131"/>
    </row>
    <row r="1104" spans="7:12" ht="18" customHeight="1" x14ac:dyDescent="0.15">
      <c r="G1104" s="82"/>
      <c r="H1104" s="82"/>
      <c r="I1104" s="82"/>
      <c r="J1104" s="82"/>
      <c r="K1104" s="131"/>
      <c r="L1104" s="131"/>
    </row>
    <row r="1105" spans="7:12" ht="18" customHeight="1" x14ac:dyDescent="0.15">
      <c r="G1105" s="82"/>
      <c r="H1105" s="82"/>
      <c r="I1105" s="82"/>
      <c r="J1105" s="82"/>
      <c r="K1105" s="131"/>
      <c r="L1105" s="131"/>
    </row>
    <row r="1106" spans="7:12" ht="18" customHeight="1" x14ac:dyDescent="0.15">
      <c r="G1106" s="82"/>
      <c r="H1106" s="82"/>
      <c r="I1106" s="82"/>
      <c r="J1106" s="82"/>
      <c r="K1106" s="131"/>
      <c r="L1106" s="131"/>
    </row>
    <row r="1107" spans="7:12" ht="18" customHeight="1" x14ac:dyDescent="0.15">
      <c r="G1107" s="82"/>
      <c r="H1107" s="82"/>
      <c r="I1107" s="82"/>
      <c r="J1107" s="82"/>
      <c r="K1107" s="131"/>
      <c r="L1107" s="131"/>
    </row>
    <row r="1108" spans="7:12" ht="18" customHeight="1" x14ac:dyDescent="0.15">
      <c r="G1108" s="82"/>
      <c r="H1108" s="82"/>
      <c r="I1108" s="82"/>
      <c r="J1108" s="82"/>
      <c r="K1108" s="131"/>
      <c r="L1108" s="131"/>
    </row>
    <row r="1109" spans="7:12" ht="18" customHeight="1" x14ac:dyDescent="0.15">
      <c r="G1109" s="82"/>
      <c r="H1109" s="82"/>
      <c r="I1109" s="82"/>
      <c r="J1109" s="82"/>
      <c r="K1109" s="131"/>
      <c r="L1109" s="131"/>
    </row>
    <row r="1110" spans="7:12" ht="18" customHeight="1" x14ac:dyDescent="0.15">
      <c r="G1110" s="82"/>
      <c r="H1110" s="82"/>
      <c r="I1110" s="82"/>
      <c r="J1110" s="82"/>
      <c r="K1110" s="131"/>
      <c r="L1110" s="131"/>
    </row>
    <row r="1111" spans="7:12" ht="18" customHeight="1" x14ac:dyDescent="0.15">
      <c r="G1111" s="82"/>
      <c r="H1111" s="82"/>
      <c r="I1111" s="82"/>
      <c r="J1111" s="82"/>
      <c r="K1111" s="131"/>
      <c r="L1111" s="131"/>
    </row>
    <row r="1112" spans="7:12" ht="18" customHeight="1" x14ac:dyDescent="0.15">
      <c r="G1112" s="82"/>
      <c r="H1112" s="82"/>
      <c r="I1112" s="82"/>
      <c r="J1112" s="82"/>
      <c r="K1112" s="131"/>
      <c r="L1112" s="131"/>
    </row>
    <row r="1113" spans="7:12" ht="18" customHeight="1" x14ac:dyDescent="0.15">
      <c r="G1113" s="82"/>
      <c r="H1113" s="82"/>
      <c r="I1113" s="82"/>
      <c r="J1113" s="82"/>
      <c r="K1113" s="131"/>
      <c r="L1113" s="131"/>
    </row>
    <row r="1114" spans="7:12" ht="18" customHeight="1" x14ac:dyDescent="0.15">
      <c r="G1114" s="82"/>
      <c r="H1114" s="82"/>
      <c r="I1114" s="82"/>
      <c r="J1114" s="82"/>
      <c r="K1114" s="131"/>
      <c r="L1114" s="131"/>
    </row>
    <row r="1115" spans="7:12" ht="18" customHeight="1" x14ac:dyDescent="0.15">
      <c r="G1115" s="82"/>
      <c r="H1115" s="82"/>
      <c r="I1115" s="82"/>
      <c r="J1115" s="82"/>
      <c r="K1115" s="131"/>
      <c r="L1115" s="131"/>
    </row>
    <row r="1116" spans="7:12" ht="18" customHeight="1" x14ac:dyDescent="0.15">
      <c r="G1116" s="82"/>
      <c r="H1116" s="82"/>
      <c r="I1116" s="82"/>
      <c r="J1116" s="82"/>
      <c r="K1116" s="131"/>
      <c r="L1116" s="131"/>
    </row>
    <row r="1117" spans="7:12" ht="18" customHeight="1" x14ac:dyDescent="0.15">
      <c r="G1117" s="82"/>
      <c r="H1117" s="82"/>
      <c r="I1117" s="82"/>
      <c r="J1117" s="82"/>
      <c r="K1117" s="131"/>
      <c r="L1117" s="131"/>
    </row>
    <row r="1118" spans="7:12" ht="18" customHeight="1" x14ac:dyDescent="0.15">
      <c r="G1118" s="82"/>
      <c r="H1118" s="82"/>
      <c r="I1118" s="82"/>
      <c r="J1118" s="82"/>
      <c r="K1118" s="131"/>
      <c r="L1118" s="131"/>
    </row>
    <row r="1119" spans="7:12" ht="18" customHeight="1" x14ac:dyDescent="0.15">
      <c r="G1119" s="82"/>
      <c r="H1119" s="82"/>
      <c r="I1119" s="82"/>
      <c r="J1119" s="82"/>
      <c r="K1119" s="131"/>
      <c r="L1119" s="131"/>
    </row>
    <row r="1120" spans="7:12" ht="18" customHeight="1" x14ac:dyDescent="0.15">
      <c r="G1120" s="82"/>
      <c r="H1120" s="82"/>
      <c r="I1120" s="82"/>
      <c r="J1120" s="82"/>
      <c r="K1120" s="131"/>
      <c r="L1120" s="131"/>
    </row>
    <row r="1121" spans="7:12" ht="18" customHeight="1" x14ac:dyDescent="0.15">
      <c r="G1121" s="82"/>
      <c r="H1121" s="82"/>
      <c r="I1121" s="82"/>
      <c r="J1121" s="82"/>
      <c r="K1121" s="131"/>
      <c r="L1121" s="131"/>
    </row>
    <row r="1122" spans="7:12" ht="18" customHeight="1" x14ac:dyDescent="0.15">
      <c r="G1122" s="82"/>
      <c r="H1122" s="82"/>
      <c r="I1122" s="82"/>
      <c r="J1122" s="82"/>
      <c r="K1122" s="131"/>
      <c r="L1122" s="131"/>
    </row>
    <row r="1123" spans="7:12" ht="18" customHeight="1" x14ac:dyDescent="0.15">
      <c r="G1123" s="82"/>
      <c r="H1123" s="82"/>
      <c r="I1123" s="82"/>
      <c r="J1123" s="82"/>
      <c r="K1123" s="131"/>
      <c r="L1123" s="131"/>
    </row>
    <row r="1124" spans="7:12" ht="18" customHeight="1" x14ac:dyDescent="0.15">
      <c r="G1124" s="82"/>
      <c r="H1124" s="82"/>
      <c r="I1124" s="82"/>
      <c r="J1124" s="82"/>
      <c r="K1124" s="131"/>
      <c r="L1124" s="131"/>
    </row>
    <row r="1125" spans="7:12" ht="18" customHeight="1" x14ac:dyDescent="0.15">
      <c r="G1125" s="82"/>
      <c r="H1125" s="82"/>
      <c r="I1125" s="82"/>
      <c r="J1125" s="82"/>
      <c r="K1125" s="131"/>
      <c r="L1125" s="131"/>
    </row>
    <row r="1126" spans="7:12" ht="18" customHeight="1" x14ac:dyDescent="0.15">
      <c r="G1126" s="82"/>
      <c r="H1126" s="82"/>
      <c r="I1126" s="82"/>
      <c r="J1126" s="82"/>
      <c r="K1126" s="131"/>
      <c r="L1126" s="131"/>
    </row>
    <row r="1127" spans="7:12" ht="18" customHeight="1" x14ac:dyDescent="0.15">
      <c r="G1127" s="82"/>
      <c r="H1127" s="82"/>
      <c r="I1127" s="82"/>
      <c r="J1127" s="82"/>
      <c r="K1127" s="131"/>
      <c r="L1127" s="131"/>
    </row>
    <row r="1128" spans="7:12" ht="18" customHeight="1" x14ac:dyDescent="0.15">
      <c r="G1128" s="82"/>
      <c r="H1128" s="82"/>
      <c r="I1128" s="82"/>
      <c r="J1128" s="82"/>
      <c r="K1128" s="131"/>
      <c r="L1128" s="131"/>
    </row>
    <row r="1129" spans="7:12" ht="18" customHeight="1" x14ac:dyDescent="0.15">
      <c r="G1129" s="82"/>
      <c r="H1129" s="82"/>
      <c r="I1129" s="82"/>
      <c r="J1129" s="82"/>
      <c r="K1129" s="131"/>
      <c r="L1129" s="131"/>
    </row>
    <row r="1130" spans="7:12" ht="18" customHeight="1" x14ac:dyDescent="0.15">
      <c r="G1130" s="82"/>
      <c r="H1130" s="82"/>
      <c r="I1130" s="82"/>
      <c r="J1130" s="82"/>
      <c r="K1130" s="131"/>
      <c r="L1130" s="131"/>
    </row>
    <row r="1131" spans="7:12" ht="18" customHeight="1" x14ac:dyDescent="0.15">
      <c r="G1131" s="82"/>
      <c r="H1131" s="82"/>
      <c r="I1131" s="82"/>
      <c r="J1131" s="82"/>
      <c r="K1131" s="131"/>
      <c r="L1131" s="131"/>
    </row>
    <row r="1132" spans="7:12" ht="18" customHeight="1" x14ac:dyDescent="0.15">
      <c r="G1132" s="82"/>
      <c r="H1132" s="82"/>
      <c r="I1132" s="82"/>
      <c r="J1132" s="82"/>
      <c r="K1132" s="131"/>
      <c r="L1132" s="131"/>
    </row>
    <row r="1133" spans="7:12" ht="18" customHeight="1" x14ac:dyDescent="0.15">
      <c r="G1133" s="82"/>
      <c r="H1133" s="82"/>
      <c r="I1133" s="82"/>
      <c r="J1133" s="82"/>
      <c r="K1133" s="131"/>
      <c r="L1133" s="131"/>
    </row>
    <row r="1134" spans="7:12" ht="18" customHeight="1" x14ac:dyDescent="0.15">
      <c r="G1134" s="82"/>
      <c r="H1134" s="82"/>
      <c r="I1134" s="82"/>
      <c r="J1134" s="82"/>
      <c r="K1134" s="131"/>
      <c r="L1134" s="131"/>
    </row>
    <row r="1135" spans="7:12" ht="18" customHeight="1" x14ac:dyDescent="0.15">
      <c r="G1135" s="82"/>
      <c r="H1135" s="82"/>
      <c r="I1135" s="82"/>
      <c r="J1135" s="82"/>
      <c r="K1135" s="131"/>
      <c r="L1135" s="131"/>
    </row>
    <row r="1136" spans="7:12" ht="18" customHeight="1" x14ac:dyDescent="0.15">
      <c r="G1136" s="82"/>
      <c r="H1136" s="82"/>
      <c r="I1136" s="82"/>
      <c r="J1136" s="82"/>
      <c r="K1136" s="131"/>
      <c r="L1136" s="131"/>
    </row>
    <row r="1137" spans="7:12" ht="18" customHeight="1" x14ac:dyDescent="0.15">
      <c r="G1137" s="82"/>
      <c r="H1137" s="82"/>
      <c r="I1137" s="82"/>
      <c r="J1137" s="82"/>
      <c r="K1137" s="131"/>
      <c r="L1137" s="131"/>
    </row>
    <row r="1138" spans="7:12" ht="18" customHeight="1" x14ac:dyDescent="0.15">
      <c r="G1138" s="82"/>
      <c r="H1138" s="82"/>
      <c r="I1138" s="82"/>
      <c r="J1138" s="82"/>
      <c r="K1138" s="131"/>
      <c r="L1138" s="131"/>
    </row>
    <row r="1139" spans="7:12" ht="18" customHeight="1" x14ac:dyDescent="0.15">
      <c r="G1139" s="82"/>
      <c r="H1139" s="82"/>
      <c r="I1139" s="82"/>
      <c r="J1139" s="82"/>
      <c r="K1139" s="131"/>
      <c r="L1139" s="131"/>
    </row>
    <row r="1140" spans="7:12" ht="18" customHeight="1" x14ac:dyDescent="0.15">
      <c r="G1140" s="82"/>
      <c r="H1140" s="82"/>
      <c r="I1140" s="82"/>
      <c r="J1140" s="82"/>
      <c r="K1140" s="131"/>
      <c r="L1140" s="131"/>
    </row>
    <row r="1141" spans="7:12" ht="18" customHeight="1" x14ac:dyDescent="0.15">
      <c r="G1141" s="82"/>
      <c r="H1141" s="82"/>
      <c r="I1141" s="82"/>
      <c r="J1141" s="82"/>
      <c r="K1141" s="131"/>
      <c r="L1141" s="131"/>
    </row>
    <row r="1142" spans="7:12" ht="18" customHeight="1" x14ac:dyDescent="0.15">
      <c r="G1142" s="82"/>
      <c r="H1142" s="82"/>
      <c r="I1142" s="82"/>
      <c r="J1142" s="82"/>
      <c r="K1142" s="131"/>
      <c r="L1142" s="131"/>
    </row>
    <row r="1143" spans="7:12" ht="18" customHeight="1" x14ac:dyDescent="0.15">
      <c r="G1143" s="82"/>
      <c r="H1143" s="82"/>
      <c r="I1143" s="82"/>
      <c r="J1143" s="82"/>
      <c r="K1143" s="131"/>
      <c r="L1143" s="131"/>
    </row>
    <row r="1144" spans="7:12" ht="18" customHeight="1" x14ac:dyDescent="0.15">
      <c r="G1144" s="82"/>
      <c r="H1144" s="82"/>
      <c r="I1144" s="82"/>
      <c r="J1144" s="82"/>
      <c r="K1144" s="131"/>
      <c r="L1144" s="131"/>
    </row>
    <row r="1145" spans="7:12" ht="18" customHeight="1" x14ac:dyDescent="0.15">
      <c r="G1145" s="82"/>
      <c r="H1145" s="82"/>
      <c r="I1145" s="82"/>
      <c r="J1145" s="82"/>
      <c r="K1145" s="131"/>
      <c r="L1145" s="131"/>
    </row>
    <row r="1146" spans="7:12" ht="18" customHeight="1" x14ac:dyDescent="0.15">
      <c r="G1146" s="82"/>
      <c r="H1146" s="82"/>
      <c r="I1146" s="82"/>
      <c r="J1146" s="82"/>
      <c r="K1146" s="131"/>
      <c r="L1146" s="131"/>
    </row>
    <row r="1147" spans="7:12" ht="18" customHeight="1" x14ac:dyDescent="0.15">
      <c r="G1147" s="82"/>
      <c r="H1147" s="82"/>
      <c r="I1147" s="82"/>
      <c r="J1147" s="82"/>
      <c r="K1147" s="131"/>
      <c r="L1147" s="131"/>
    </row>
    <row r="1148" spans="7:12" ht="18" customHeight="1" x14ac:dyDescent="0.15">
      <c r="G1148" s="82"/>
      <c r="H1148" s="82"/>
      <c r="I1148" s="82"/>
      <c r="J1148" s="82"/>
      <c r="K1148" s="131"/>
      <c r="L1148" s="131"/>
    </row>
    <row r="1149" spans="7:12" ht="18" customHeight="1" x14ac:dyDescent="0.15">
      <c r="G1149" s="82"/>
      <c r="H1149" s="82"/>
      <c r="I1149" s="82"/>
      <c r="J1149" s="82"/>
      <c r="K1149" s="131"/>
      <c r="L1149" s="131"/>
    </row>
    <row r="1150" spans="7:12" ht="18" customHeight="1" x14ac:dyDescent="0.15">
      <c r="G1150" s="82"/>
      <c r="H1150" s="82"/>
      <c r="I1150" s="82"/>
      <c r="J1150" s="82"/>
      <c r="K1150" s="131"/>
      <c r="L1150" s="131"/>
    </row>
    <row r="1151" spans="7:12" ht="18" customHeight="1" x14ac:dyDescent="0.15">
      <c r="G1151" s="82"/>
      <c r="H1151" s="82"/>
      <c r="I1151" s="82"/>
      <c r="J1151" s="82"/>
      <c r="K1151" s="131"/>
      <c r="L1151" s="131"/>
    </row>
    <row r="1152" spans="7:12" ht="18" customHeight="1" x14ac:dyDescent="0.15">
      <c r="G1152" s="82"/>
      <c r="H1152" s="82"/>
      <c r="I1152" s="82"/>
      <c r="J1152" s="82"/>
      <c r="K1152" s="131"/>
      <c r="L1152" s="131"/>
    </row>
    <row r="1153" spans="7:12" ht="18" customHeight="1" x14ac:dyDescent="0.15">
      <c r="G1153" s="82"/>
      <c r="H1153" s="82"/>
      <c r="I1153" s="82"/>
      <c r="J1153" s="82"/>
      <c r="K1153" s="131"/>
      <c r="L1153" s="131"/>
    </row>
    <row r="1154" spans="7:12" ht="18" customHeight="1" x14ac:dyDescent="0.15">
      <c r="G1154" s="82"/>
      <c r="H1154" s="82"/>
      <c r="I1154" s="82"/>
      <c r="J1154" s="82"/>
      <c r="K1154" s="131"/>
      <c r="L1154" s="131"/>
    </row>
    <row r="1155" spans="7:12" ht="18" customHeight="1" x14ac:dyDescent="0.15">
      <c r="G1155" s="82"/>
      <c r="H1155" s="82"/>
      <c r="I1155" s="82"/>
      <c r="J1155" s="82"/>
      <c r="K1155" s="131"/>
      <c r="L1155" s="131"/>
    </row>
    <row r="1156" spans="7:12" ht="18" customHeight="1" x14ac:dyDescent="0.15">
      <c r="G1156" s="82"/>
      <c r="H1156" s="82"/>
      <c r="I1156" s="82"/>
      <c r="J1156" s="82"/>
      <c r="K1156" s="131"/>
      <c r="L1156" s="131"/>
    </row>
    <row r="1157" spans="7:12" ht="18" customHeight="1" x14ac:dyDescent="0.15">
      <c r="G1157" s="82"/>
      <c r="H1157" s="82"/>
      <c r="I1157" s="82"/>
      <c r="J1157" s="82"/>
      <c r="K1157" s="131"/>
      <c r="L1157" s="131"/>
    </row>
    <row r="1158" spans="7:12" ht="18" customHeight="1" x14ac:dyDescent="0.15">
      <c r="G1158" s="82"/>
      <c r="H1158" s="82"/>
      <c r="I1158" s="82"/>
      <c r="J1158" s="82"/>
      <c r="K1158" s="131"/>
      <c r="L1158" s="131"/>
    </row>
    <row r="1159" spans="7:12" ht="18" customHeight="1" x14ac:dyDescent="0.15">
      <c r="G1159" s="82"/>
      <c r="H1159" s="82"/>
      <c r="I1159" s="82"/>
      <c r="J1159" s="82"/>
      <c r="K1159" s="131"/>
      <c r="L1159" s="131"/>
    </row>
    <row r="1160" spans="7:12" ht="18" customHeight="1" x14ac:dyDescent="0.15">
      <c r="G1160" s="82"/>
      <c r="H1160" s="82"/>
      <c r="I1160" s="82"/>
      <c r="J1160" s="82"/>
      <c r="K1160" s="131"/>
      <c r="L1160" s="131"/>
    </row>
    <row r="1161" spans="7:12" ht="18" customHeight="1" x14ac:dyDescent="0.15">
      <c r="G1161" s="82"/>
      <c r="H1161" s="82"/>
      <c r="I1161" s="82"/>
      <c r="J1161" s="82"/>
      <c r="K1161" s="131"/>
      <c r="L1161" s="131"/>
    </row>
    <row r="1162" spans="7:12" ht="18" customHeight="1" x14ac:dyDescent="0.15">
      <c r="G1162" s="82"/>
      <c r="H1162" s="82"/>
      <c r="I1162" s="82"/>
      <c r="J1162" s="82"/>
      <c r="K1162" s="131"/>
      <c r="L1162" s="131"/>
    </row>
    <row r="1163" spans="7:12" ht="18" customHeight="1" x14ac:dyDescent="0.15">
      <c r="G1163" s="82"/>
      <c r="H1163" s="82"/>
      <c r="I1163" s="82"/>
      <c r="J1163" s="82"/>
      <c r="K1163" s="131"/>
      <c r="L1163" s="131"/>
    </row>
    <row r="1164" spans="7:12" ht="18" customHeight="1" x14ac:dyDescent="0.15">
      <c r="G1164" s="82"/>
      <c r="H1164" s="82"/>
      <c r="I1164" s="82"/>
      <c r="J1164" s="82"/>
      <c r="K1164" s="131"/>
      <c r="L1164" s="131"/>
    </row>
    <row r="1165" spans="7:12" ht="18" customHeight="1" x14ac:dyDescent="0.15">
      <c r="G1165" s="82"/>
      <c r="H1165" s="82"/>
      <c r="I1165" s="82"/>
      <c r="J1165" s="82"/>
      <c r="K1165" s="131"/>
      <c r="L1165" s="131"/>
    </row>
    <row r="1166" spans="7:12" ht="18" customHeight="1" x14ac:dyDescent="0.15">
      <c r="G1166" s="82"/>
      <c r="H1166" s="82"/>
      <c r="I1166" s="82"/>
      <c r="J1166" s="82"/>
      <c r="K1166" s="131"/>
      <c r="L1166" s="131"/>
    </row>
    <row r="1167" spans="7:12" ht="18" customHeight="1" x14ac:dyDescent="0.15">
      <c r="G1167" s="82"/>
      <c r="H1167" s="82"/>
      <c r="I1167" s="82"/>
      <c r="J1167" s="82"/>
      <c r="K1167" s="131"/>
      <c r="L1167" s="131"/>
    </row>
    <row r="1168" spans="7:12" ht="18" customHeight="1" x14ac:dyDescent="0.15">
      <c r="G1168" s="82"/>
      <c r="H1168" s="82"/>
      <c r="I1168" s="82"/>
      <c r="J1168" s="82"/>
      <c r="K1168" s="131"/>
      <c r="L1168" s="131"/>
    </row>
    <row r="1169" spans="7:12" ht="18" customHeight="1" x14ac:dyDescent="0.15">
      <c r="G1169" s="82"/>
      <c r="H1169" s="82"/>
      <c r="I1169" s="82"/>
      <c r="J1169" s="82"/>
      <c r="K1169" s="131"/>
      <c r="L1169" s="131"/>
    </row>
    <row r="1170" spans="7:12" ht="18" customHeight="1" x14ac:dyDescent="0.15">
      <c r="G1170" s="82"/>
      <c r="H1170" s="82"/>
      <c r="I1170" s="82"/>
      <c r="J1170" s="82"/>
      <c r="K1170" s="131"/>
      <c r="L1170" s="131"/>
    </row>
    <row r="1171" spans="7:12" ht="18" customHeight="1" x14ac:dyDescent="0.15">
      <c r="G1171" s="82"/>
      <c r="H1171" s="82"/>
      <c r="I1171" s="82"/>
      <c r="J1171" s="82"/>
      <c r="K1171" s="131"/>
      <c r="L1171" s="131"/>
    </row>
    <row r="1172" spans="7:12" ht="18" customHeight="1" x14ac:dyDescent="0.15">
      <c r="G1172" s="82"/>
      <c r="H1172" s="82"/>
      <c r="I1172" s="82"/>
      <c r="J1172" s="82"/>
      <c r="K1172" s="131"/>
      <c r="L1172" s="131"/>
    </row>
    <row r="1173" spans="7:12" ht="18" customHeight="1" x14ac:dyDescent="0.15">
      <c r="G1173" s="82"/>
      <c r="H1173" s="82"/>
      <c r="I1173" s="82"/>
      <c r="J1173" s="82"/>
      <c r="K1173" s="131"/>
      <c r="L1173" s="131"/>
    </row>
    <row r="1174" spans="7:12" ht="18" customHeight="1" x14ac:dyDescent="0.15">
      <c r="G1174" s="82"/>
      <c r="H1174" s="82"/>
      <c r="I1174" s="82"/>
      <c r="J1174" s="82"/>
      <c r="K1174" s="131"/>
      <c r="L1174" s="131"/>
    </row>
    <row r="1175" spans="7:12" ht="18" customHeight="1" x14ac:dyDescent="0.15">
      <c r="G1175" s="82"/>
      <c r="H1175" s="82"/>
      <c r="I1175" s="82"/>
      <c r="J1175" s="82"/>
      <c r="K1175" s="131"/>
      <c r="L1175" s="131"/>
    </row>
    <row r="1176" spans="7:12" ht="18" customHeight="1" x14ac:dyDescent="0.15">
      <c r="G1176" s="82"/>
      <c r="H1176" s="82"/>
      <c r="I1176" s="82"/>
      <c r="J1176" s="82"/>
      <c r="K1176" s="131"/>
      <c r="L1176" s="131"/>
    </row>
    <row r="1177" spans="7:12" ht="18" customHeight="1" x14ac:dyDescent="0.15">
      <c r="G1177" s="82"/>
      <c r="H1177" s="82"/>
      <c r="I1177" s="82"/>
      <c r="J1177" s="82"/>
      <c r="K1177" s="131"/>
      <c r="L1177" s="131"/>
    </row>
    <row r="1178" spans="7:12" ht="18" customHeight="1" x14ac:dyDescent="0.15">
      <c r="G1178" s="82"/>
      <c r="H1178" s="82"/>
      <c r="I1178" s="82"/>
      <c r="J1178" s="82"/>
      <c r="K1178" s="131"/>
      <c r="L1178" s="131"/>
    </row>
    <row r="1179" spans="7:12" ht="18" customHeight="1" x14ac:dyDescent="0.15">
      <c r="G1179" s="82"/>
      <c r="H1179" s="82"/>
      <c r="I1179" s="82"/>
      <c r="J1179" s="82"/>
      <c r="K1179" s="131"/>
      <c r="L1179" s="131"/>
    </row>
    <row r="1180" spans="7:12" ht="18" customHeight="1" x14ac:dyDescent="0.15">
      <c r="G1180" s="82"/>
      <c r="H1180" s="82"/>
      <c r="I1180" s="82"/>
      <c r="J1180" s="82"/>
      <c r="K1180" s="131"/>
      <c r="L1180" s="131"/>
    </row>
    <row r="1181" spans="7:12" ht="18" customHeight="1" x14ac:dyDescent="0.15">
      <c r="G1181" s="82"/>
      <c r="H1181" s="82"/>
      <c r="I1181" s="82"/>
      <c r="J1181" s="82"/>
      <c r="K1181" s="131"/>
      <c r="L1181" s="131"/>
    </row>
    <row r="1182" spans="7:12" ht="18" customHeight="1" x14ac:dyDescent="0.15">
      <c r="G1182" s="82"/>
      <c r="H1182" s="82"/>
      <c r="I1182" s="82"/>
      <c r="J1182" s="82"/>
      <c r="K1182" s="131"/>
      <c r="L1182" s="131"/>
    </row>
    <row r="1183" spans="7:12" ht="18" customHeight="1" x14ac:dyDescent="0.15">
      <c r="G1183" s="82"/>
      <c r="H1183" s="82"/>
      <c r="I1183" s="82"/>
      <c r="J1183" s="82"/>
      <c r="K1183" s="131"/>
      <c r="L1183" s="131"/>
    </row>
    <row r="1184" spans="7:12" ht="18" customHeight="1" x14ac:dyDescent="0.15">
      <c r="G1184" s="82"/>
      <c r="H1184" s="82"/>
      <c r="I1184" s="82"/>
      <c r="J1184" s="82"/>
      <c r="K1184" s="131"/>
      <c r="L1184" s="131"/>
    </row>
    <row r="1185" spans="7:12" ht="18" customHeight="1" x14ac:dyDescent="0.15">
      <c r="G1185" s="82"/>
      <c r="H1185" s="82"/>
      <c r="I1185" s="82"/>
      <c r="J1185" s="82"/>
      <c r="K1185" s="131"/>
      <c r="L1185" s="131"/>
    </row>
    <row r="1186" spans="7:12" ht="18" customHeight="1" x14ac:dyDescent="0.15">
      <c r="G1186" s="82"/>
      <c r="H1186" s="82"/>
      <c r="I1186" s="82"/>
      <c r="J1186" s="82"/>
      <c r="K1186" s="131"/>
      <c r="L1186" s="131"/>
    </row>
    <row r="1187" spans="7:12" ht="18" customHeight="1" x14ac:dyDescent="0.15">
      <c r="G1187" s="82"/>
      <c r="H1187" s="82"/>
      <c r="I1187" s="82"/>
      <c r="J1187" s="82"/>
      <c r="K1187" s="131"/>
      <c r="L1187" s="131"/>
    </row>
    <row r="1188" spans="7:12" ht="18" customHeight="1" x14ac:dyDescent="0.15">
      <c r="G1188" s="82"/>
      <c r="H1188" s="82"/>
      <c r="I1188" s="82"/>
      <c r="J1188" s="82"/>
      <c r="K1188" s="131"/>
      <c r="L1188" s="131"/>
    </row>
    <row r="1189" spans="7:12" ht="18" customHeight="1" x14ac:dyDescent="0.15">
      <c r="G1189" s="82"/>
      <c r="H1189" s="82"/>
      <c r="I1189" s="82"/>
      <c r="J1189" s="82"/>
      <c r="K1189" s="131"/>
      <c r="L1189" s="131"/>
    </row>
    <row r="1190" spans="7:12" ht="18" customHeight="1" x14ac:dyDescent="0.15">
      <c r="G1190" s="82"/>
      <c r="H1190" s="82"/>
      <c r="I1190" s="82"/>
      <c r="J1190" s="82"/>
      <c r="K1190" s="131"/>
      <c r="L1190" s="131"/>
    </row>
    <row r="1191" spans="7:12" ht="18" customHeight="1" x14ac:dyDescent="0.15">
      <c r="G1191" s="82"/>
      <c r="H1191" s="82"/>
      <c r="I1191" s="82"/>
      <c r="J1191" s="82"/>
      <c r="K1191" s="131"/>
      <c r="L1191" s="131"/>
    </row>
    <row r="1192" spans="7:12" ht="18" customHeight="1" x14ac:dyDescent="0.15">
      <c r="G1192" s="82"/>
      <c r="H1192" s="82"/>
      <c r="I1192" s="82"/>
      <c r="J1192" s="82"/>
      <c r="K1192" s="131"/>
      <c r="L1192" s="131"/>
    </row>
    <row r="1193" spans="7:12" ht="18" customHeight="1" x14ac:dyDescent="0.15">
      <c r="G1193" s="82"/>
      <c r="H1193" s="82"/>
      <c r="I1193" s="82"/>
      <c r="J1193" s="82"/>
      <c r="K1193" s="131"/>
      <c r="L1193" s="131"/>
    </row>
    <row r="1194" spans="7:12" ht="18" customHeight="1" x14ac:dyDescent="0.15">
      <c r="G1194" s="82"/>
      <c r="H1194" s="82"/>
      <c r="I1194" s="82"/>
      <c r="J1194" s="82"/>
      <c r="K1194" s="131"/>
      <c r="L1194" s="131"/>
    </row>
    <row r="1195" spans="7:12" ht="18" customHeight="1" x14ac:dyDescent="0.15">
      <c r="G1195" s="82"/>
      <c r="H1195" s="82"/>
      <c r="I1195" s="82"/>
      <c r="J1195" s="82"/>
      <c r="K1195" s="131"/>
      <c r="L1195" s="131"/>
    </row>
    <row r="1196" spans="7:12" ht="18" customHeight="1" x14ac:dyDescent="0.15">
      <c r="G1196" s="82"/>
      <c r="H1196" s="82"/>
      <c r="I1196" s="82"/>
      <c r="J1196" s="82"/>
      <c r="K1196" s="131"/>
      <c r="L1196" s="131"/>
    </row>
    <row r="1197" spans="7:12" ht="18" customHeight="1" x14ac:dyDescent="0.15">
      <c r="G1197" s="82"/>
      <c r="H1197" s="82"/>
      <c r="I1197" s="82"/>
      <c r="J1197" s="82"/>
      <c r="K1197" s="131"/>
      <c r="L1197" s="131"/>
    </row>
    <row r="1198" spans="7:12" ht="18" customHeight="1" x14ac:dyDescent="0.15">
      <c r="G1198" s="82"/>
      <c r="H1198" s="82"/>
      <c r="I1198" s="82"/>
      <c r="J1198" s="82"/>
      <c r="K1198" s="131"/>
      <c r="L1198" s="131"/>
    </row>
    <row r="1199" spans="7:12" ht="18" customHeight="1" x14ac:dyDescent="0.15">
      <c r="G1199" s="82"/>
      <c r="H1199" s="82"/>
      <c r="I1199" s="82"/>
      <c r="J1199" s="82"/>
      <c r="K1199" s="131"/>
      <c r="L1199" s="131"/>
    </row>
    <row r="1200" spans="7:12" ht="18" customHeight="1" x14ac:dyDescent="0.15">
      <c r="G1200" s="82"/>
      <c r="H1200" s="82"/>
      <c r="I1200" s="82"/>
      <c r="J1200" s="82"/>
      <c r="K1200" s="131"/>
      <c r="L1200" s="131"/>
    </row>
    <row r="1201" spans="7:12" ht="18" customHeight="1" x14ac:dyDescent="0.15">
      <c r="G1201" s="82"/>
      <c r="H1201" s="82"/>
      <c r="I1201" s="82"/>
      <c r="J1201" s="82"/>
      <c r="K1201" s="131"/>
      <c r="L1201" s="131"/>
    </row>
    <row r="1202" spans="7:12" ht="18" customHeight="1" x14ac:dyDescent="0.15">
      <c r="G1202" s="82"/>
      <c r="H1202" s="82"/>
      <c r="I1202" s="82"/>
      <c r="J1202" s="82"/>
      <c r="K1202" s="131"/>
      <c r="L1202" s="131"/>
    </row>
    <row r="1203" spans="7:12" ht="18" customHeight="1" x14ac:dyDescent="0.15">
      <c r="G1203" s="82"/>
      <c r="H1203" s="82"/>
      <c r="I1203" s="82"/>
      <c r="J1203" s="82"/>
      <c r="K1203" s="131"/>
      <c r="L1203" s="131"/>
    </row>
    <row r="1204" spans="7:12" ht="18" customHeight="1" x14ac:dyDescent="0.15">
      <c r="G1204" s="82"/>
      <c r="H1204" s="82"/>
      <c r="I1204" s="82"/>
      <c r="J1204" s="82"/>
      <c r="K1204" s="131"/>
      <c r="L1204" s="131"/>
    </row>
    <row r="1205" spans="7:12" ht="18" customHeight="1" x14ac:dyDescent="0.15">
      <c r="G1205" s="82"/>
      <c r="H1205" s="82"/>
      <c r="I1205" s="82"/>
      <c r="J1205" s="82"/>
      <c r="K1205" s="131"/>
      <c r="L1205" s="131"/>
    </row>
    <row r="1206" spans="7:12" ht="18" customHeight="1" x14ac:dyDescent="0.15">
      <c r="G1206" s="82"/>
      <c r="H1206" s="82"/>
      <c r="I1206" s="82"/>
      <c r="J1206" s="82"/>
      <c r="K1206" s="131"/>
      <c r="L1206" s="131"/>
    </row>
    <row r="1207" spans="7:12" ht="18" customHeight="1" x14ac:dyDescent="0.15">
      <c r="G1207" s="82"/>
      <c r="H1207" s="82"/>
      <c r="I1207" s="82"/>
      <c r="J1207" s="82"/>
      <c r="K1207" s="131"/>
      <c r="L1207" s="131"/>
    </row>
    <row r="1208" spans="7:12" ht="18" customHeight="1" x14ac:dyDescent="0.15">
      <c r="G1208" s="82"/>
      <c r="H1208" s="82"/>
      <c r="I1208" s="82"/>
      <c r="J1208" s="82"/>
      <c r="K1208" s="131"/>
      <c r="L1208" s="131"/>
    </row>
    <row r="1209" spans="7:12" ht="18" customHeight="1" x14ac:dyDescent="0.15">
      <c r="G1209" s="82"/>
      <c r="H1209" s="82"/>
      <c r="I1209" s="82"/>
      <c r="J1209" s="82"/>
      <c r="K1209" s="131"/>
      <c r="L1209" s="131"/>
    </row>
    <row r="1210" spans="7:12" ht="18" customHeight="1" x14ac:dyDescent="0.15">
      <c r="G1210" s="82"/>
      <c r="H1210" s="82"/>
      <c r="I1210" s="82"/>
      <c r="J1210" s="82"/>
      <c r="K1210" s="131"/>
      <c r="L1210" s="131"/>
    </row>
    <row r="1211" spans="7:12" ht="18" customHeight="1" x14ac:dyDescent="0.15">
      <c r="G1211" s="82"/>
      <c r="H1211" s="82"/>
      <c r="I1211" s="82"/>
      <c r="J1211" s="82"/>
      <c r="K1211" s="131"/>
      <c r="L1211" s="131"/>
    </row>
    <row r="1212" spans="7:12" ht="18" customHeight="1" x14ac:dyDescent="0.15">
      <c r="G1212" s="82"/>
      <c r="H1212" s="82"/>
      <c r="I1212" s="82"/>
      <c r="J1212" s="82"/>
      <c r="K1212" s="131"/>
      <c r="L1212" s="131"/>
    </row>
    <row r="1213" spans="7:12" ht="18" customHeight="1" x14ac:dyDescent="0.15">
      <c r="G1213" s="82"/>
      <c r="H1213" s="82"/>
      <c r="I1213" s="82"/>
      <c r="J1213" s="82"/>
      <c r="K1213" s="131"/>
      <c r="L1213" s="131"/>
    </row>
    <row r="1214" spans="7:12" ht="18" customHeight="1" x14ac:dyDescent="0.15">
      <c r="G1214" s="82"/>
      <c r="H1214" s="82"/>
      <c r="I1214" s="82"/>
      <c r="J1214" s="82"/>
      <c r="K1214" s="131"/>
      <c r="L1214" s="131"/>
    </row>
    <row r="1215" spans="7:12" ht="18" customHeight="1" x14ac:dyDescent="0.15">
      <c r="G1215" s="82"/>
      <c r="H1215" s="82"/>
      <c r="I1215" s="82"/>
      <c r="J1215" s="82"/>
      <c r="K1215" s="131"/>
      <c r="L1215" s="131"/>
    </row>
    <row r="1216" spans="7:12" ht="18" customHeight="1" x14ac:dyDescent="0.15">
      <c r="G1216" s="82"/>
      <c r="H1216" s="82"/>
      <c r="I1216" s="82"/>
      <c r="J1216" s="82"/>
      <c r="K1216" s="131"/>
      <c r="L1216" s="131"/>
    </row>
    <row r="1217" spans="7:12" ht="18" customHeight="1" x14ac:dyDescent="0.15">
      <c r="G1217" s="82"/>
      <c r="H1217" s="82"/>
      <c r="I1217" s="82"/>
      <c r="J1217" s="82"/>
      <c r="K1217" s="131"/>
      <c r="L1217" s="131"/>
    </row>
    <row r="1218" spans="7:12" ht="18" customHeight="1" x14ac:dyDescent="0.15">
      <c r="G1218" s="82"/>
      <c r="H1218" s="82"/>
      <c r="I1218" s="82"/>
      <c r="J1218" s="82"/>
      <c r="K1218" s="131"/>
      <c r="L1218" s="131"/>
    </row>
    <row r="1219" spans="7:12" ht="18" customHeight="1" x14ac:dyDescent="0.15">
      <c r="G1219" s="82"/>
      <c r="H1219" s="82"/>
      <c r="I1219" s="82"/>
      <c r="J1219" s="82"/>
      <c r="K1219" s="131"/>
      <c r="L1219" s="131"/>
    </row>
    <row r="1220" spans="7:12" ht="18" customHeight="1" x14ac:dyDescent="0.15">
      <c r="G1220" s="82"/>
      <c r="H1220" s="82"/>
      <c r="I1220" s="82"/>
      <c r="J1220" s="82"/>
      <c r="K1220" s="131"/>
      <c r="L1220" s="131"/>
    </row>
    <row r="1221" spans="7:12" ht="18" customHeight="1" x14ac:dyDescent="0.15">
      <c r="G1221" s="82"/>
      <c r="H1221" s="82"/>
      <c r="I1221" s="82"/>
      <c r="J1221" s="82"/>
      <c r="K1221" s="131"/>
      <c r="L1221" s="131"/>
    </row>
    <row r="1222" spans="7:12" ht="18" customHeight="1" x14ac:dyDescent="0.15">
      <c r="G1222" s="82"/>
      <c r="H1222" s="82"/>
      <c r="I1222" s="82"/>
      <c r="J1222" s="82"/>
      <c r="K1222" s="131"/>
      <c r="L1222" s="131"/>
    </row>
    <row r="1223" spans="7:12" ht="18" customHeight="1" x14ac:dyDescent="0.15">
      <c r="G1223" s="82"/>
      <c r="H1223" s="82"/>
      <c r="I1223" s="82"/>
      <c r="J1223" s="82"/>
      <c r="K1223" s="131"/>
      <c r="L1223" s="131"/>
    </row>
    <row r="1224" spans="7:12" ht="18" customHeight="1" x14ac:dyDescent="0.15">
      <c r="G1224" s="82"/>
      <c r="H1224" s="82"/>
      <c r="I1224" s="82"/>
      <c r="J1224" s="82"/>
      <c r="K1224" s="131"/>
      <c r="L1224" s="131"/>
    </row>
    <row r="1225" spans="7:12" ht="18" customHeight="1" x14ac:dyDescent="0.15">
      <c r="G1225" s="82"/>
      <c r="H1225" s="82"/>
      <c r="I1225" s="82"/>
      <c r="J1225" s="82"/>
      <c r="K1225" s="131"/>
      <c r="L1225" s="131"/>
    </row>
    <row r="1226" spans="7:12" ht="18" customHeight="1" x14ac:dyDescent="0.15">
      <c r="G1226" s="82"/>
      <c r="H1226" s="82"/>
      <c r="I1226" s="82"/>
      <c r="J1226" s="82"/>
      <c r="K1226" s="131"/>
      <c r="L1226" s="131"/>
    </row>
    <row r="1227" spans="7:12" ht="18" customHeight="1" x14ac:dyDescent="0.15">
      <c r="G1227" s="82"/>
      <c r="H1227" s="82"/>
      <c r="I1227" s="82"/>
      <c r="J1227" s="82"/>
      <c r="K1227" s="131"/>
      <c r="L1227" s="131"/>
    </row>
    <row r="1228" spans="7:12" ht="18" customHeight="1" x14ac:dyDescent="0.15">
      <c r="G1228" s="82"/>
      <c r="H1228" s="82"/>
      <c r="I1228" s="82"/>
      <c r="J1228" s="82"/>
      <c r="K1228" s="131"/>
      <c r="L1228" s="131"/>
    </row>
    <row r="1229" spans="7:12" ht="18" customHeight="1" x14ac:dyDescent="0.15">
      <c r="G1229" s="82"/>
      <c r="H1229" s="82"/>
      <c r="I1229" s="82"/>
      <c r="J1229" s="82"/>
      <c r="K1229" s="131"/>
      <c r="L1229" s="131"/>
    </row>
    <row r="1230" spans="7:12" ht="18" customHeight="1" x14ac:dyDescent="0.15">
      <c r="G1230" s="82"/>
      <c r="H1230" s="82"/>
      <c r="I1230" s="82"/>
      <c r="J1230" s="82"/>
      <c r="K1230" s="131"/>
      <c r="L1230" s="131"/>
    </row>
    <row r="1231" spans="7:12" ht="18" customHeight="1" x14ac:dyDescent="0.15">
      <c r="G1231" s="82"/>
      <c r="H1231" s="82"/>
      <c r="I1231" s="82"/>
      <c r="J1231" s="82"/>
      <c r="K1231" s="131"/>
      <c r="L1231" s="131"/>
    </row>
    <row r="1232" spans="7:12" ht="18" customHeight="1" x14ac:dyDescent="0.15">
      <c r="G1232" s="82"/>
      <c r="H1232" s="82"/>
      <c r="I1232" s="82"/>
      <c r="J1232" s="82"/>
      <c r="K1232" s="131"/>
      <c r="L1232" s="131"/>
    </row>
    <row r="1233" spans="7:12" ht="18" customHeight="1" x14ac:dyDescent="0.15">
      <c r="G1233" s="82"/>
      <c r="H1233" s="82"/>
      <c r="I1233" s="82"/>
      <c r="J1233" s="82"/>
      <c r="K1233" s="131"/>
      <c r="L1233" s="131"/>
    </row>
    <row r="1234" spans="7:12" ht="18" customHeight="1" x14ac:dyDescent="0.15">
      <c r="G1234" s="82"/>
      <c r="H1234" s="82"/>
      <c r="I1234" s="82"/>
      <c r="J1234" s="82"/>
      <c r="K1234" s="131"/>
      <c r="L1234" s="131"/>
    </row>
    <row r="1235" spans="7:12" ht="18" customHeight="1" x14ac:dyDescent="0.15">
      <c r="G1235" s="82"/>
      <c r="H1235" s="82"/>
      <c r="I1235" s="82"/>
      <c r="J1235" s="82"/>
      <c r="K1235" s="131"/>
      <c r="L1235" s="131"/>
    </row>
    <row r="1236" spans="7:12" ht="18" customHeight="1" x14ac:dyDescent="0.15">
      <c r="G1236" s="82"/>
      <c r="H1236" s="82"/>
      <c r="I1236" s="82"/>
      <c r="J1236" s="82"/>
      <c r="K1236" s="131"/>
      <c r="L1236" s="131"/>
    </row>
    <row r="1237" spans="7:12" ht="18" customHeight="1" x14ac:dyDescent="0.15">
      <c r="G1237" s="82"/>
      <c r="H1237" s="82"/>
      <c r="I1237" s="82"/>
      <c r="J1237" s="82"/>
      <c r="K1237" s="131"/>
      <c r="L1237" s="131"/>
    </row>
    <row r="1238" spans="7:12" ht="18" customHeight="1" x14ac:dyDescent="0.15">
      <c r="G1238" s="82"/>
      <c r="H1238" s="82"/>
      <c r="I1238" s="82"/>
      <c r="J1238" s="82"/>
      <c r="K1238" s="131"/>
      <c r="L1238" s="131"/>
    </row>
    <row r="1239" spans="7:12" ht="18" customHeight="1" x14ac:dyDescent="0.15">
      <c r="G1239" s="82"/>
      <c r="H1239" s="82"/>
      <c r="I1239" s="82"/>
      <c r="J1239" s="82"/>
      <c r="K1239" s="131"/>
      <c r="L1239" s="131"/>
    </row>
    <row r="1240" spans="7:12" ht="18" customHeight="1" x14ac:dyDescent="0.15">
      <c r="G1240" s="82"/>
      <c r="H1240" s="82"/>
      <c r="I1240" s="82"/>
      <c r="J1240" s="82"/>
      <c r="K1240" s="131"/>
      <c r="L1240" s="131"/>
    </row>
    <row r="1241" spans="7:12" ht="18" customHeight="1" x14ac:dyDescent="0.15">
      <c r="G1241" s="82"/>
      <c r="H1241" s="82"/>
      <c r="I1241" s="82"/>
      <c r="J1241" s="82"/>
      <c r="K1241" s="131"/>
      <c r="L1241" s="131"/>
    </row>
    <row r="1242" spans="7:12" ht="18" customHeight="1" x14ac:dyDescent="0.15">
      <c r="G1242" s="82"/>
      <c r="H1242" s="82"/>
      <c r="I1242" s="82"/>
      <c r="J1242" s="82"/>
      <c r="K1242" s="131"/>
      <c r="L1242" s="131"/>
    </row>
    <row r="1243" spans="7:12" ht="18" customHeight="1" x14ac:dyDescent="0.15">
      <c r="G1243" s="82"/>
      <c r="H1243" s="82"/>
      <c r="I1243" s="82"/>
      <c r="J1243" s="82"/>
      <c r="K1243" s="131"/>
      <c r="L1243" s="131"/>
    </row>
    <row r="1244" spans="7:12" ht="18" customHeight="1" x14ac:dyDescent="0.15">
      <c r="G1244" s="82"/>
      <c r="H1244" s="82"/>
      <c r="I1244" s="82"/>
      <c r="J1244" s="82"/>
      <c r="K1244" s="131"/>
      <c r="L1244" s="131"/>
    </row>
    <row r="1245" spans="7:12" ht="18" customHeight="1" x14ac:dyDescent="0.15">
      <c r="G1245" s="82"/>
      <c r="H1245" s="82"/>
      <c r="I1245" s="82"/>
      <c r="J1245" s="82"/>
      <c r="K1245" s="131"/>
      <c r="L1245" s="131"/>
    </row>
    <row r="1246" spans="7:12" ht="18" customHeight="1" x14ac:dyDescent="0.15">
      <c r="G1246" s="82"/>
      <c r="H1246" s="82"/>
      <c r="I1246" s="82"/>
      <c r="J1246" s="82"/>
      <c r="K1246" s="131"/>
      <c r="L1246" s="131"/>
    </row>
    <row r="1247" spans="7:12" ht="18" customHeight="1" x14ac:dyDescent="0.15">
      <c r="G1247" s="82"/>
      <c r="H1247" s="82"/>
      <c r="I1247" s="82"/>
      <c r="J1247" s="82"/>
      <c r="K1247" s="131"/>
      <c r="L1247" s="131"/>
    </row>
    <row r="1248" spans="7:12" ht="18" customHeight="1" x14ac:dyDescent="0.15">
      <c r="G1248" s="82"/>
      <c r="H1248" s="82"/>
      <c r="I1248" s="82"/>
      <c r="J1248" s="82"/>
      <c r="K1248" s="131"/>
      <c r="L1248" s="131"/>
    </row>
    <row r="1249" spans="1:12" ht="18" customHeight="1" x14ac:dyDescent="0.15">
      <c r="G1249" s="82"/>
      <c r="H1249" s="82"/>
      <c r="I1249" s="82"/>
      <c r="J1249" s="82"/>
      <c r="K1249" s="131"/>
      <c r="L1249" s="131"/>
    </row>
    <row r="1250" spans="1:12" ht="18" customHeight="1" x14ac:dyDescent="0.15">
      <c r="G1250" s="82"/>
      <c r="H1250" s="82"/>
      <c r="I1250" s="82"/>
      <c r="J1250" s="82"/>
      <c r="K1250" s="131"/>
      <c r="L1250" s="131"/>
    </row>
    <row r="1251" spans="1:12" ht="18" customHeight="1" x14ac:dyDescent="0.15">
      <c r="G1251" s="82"/>
      <c r="H1251" s="82"/>
      <c r="I1251" s="82"/>
      <c r="J1251" s="82"/>
      <c r="K1251" s="131"/>
      <c r="L1251" s="131"/>
    </row>
    <row r="1252" spans="1:12" ht="18" customHeight="1" x14ac:dyDescent="0.15">
      <c r="G1252" s="82"/>
      <c r="H1252" s="82"/>
      <c r="I1252" s="82"/>
      <c r="J1252" s="82"/>
      <c r="K1252" s="131"/>
      <c r="L1252" s="131"/>
    </row>
    <row r="1253" spans="1:12" ht="18" customHeight="1" x14ac:dyDescent="0.15">
      <c r="G1253" s="82"/>
      <c r="H1253" s="82"/>
      <c r="I1253" s="82"/>
      <c r="J1253" s="82"/>
      <c r="K1253" s="131"/>
      <c r="L1253" s="131"/>
    </row>
    <row r="1254" spans="1:12" ht="18" customHeight="1" thickBot="1" x14ac:dyDescent="0.2">
      <c r="G1254" s="82"/>
      <c r="H1254" s="82"/>
      <c r="I1254" s="82"/>
      <c r="J1254" s="82"/>
      <c r="K1254" s="131"/>
      <c r="L1254" s="131"/>
    </row>
    <row r="1255" spans="1:12" ht="18" customHeight="1" x14ac:dyDescent="0.15">
      <c r="A1255" s="37"/>
      <c r="B1255" s="38"/>
      <c r="C1255" s="64"/>
      <c r="D1255" s="17"/>
      <c r="E1255" s="17"/>
      <c r="F1255" s="17"/>
      <c r="G1255" s="82"/>
      <c r="H1255" s="82"/>
      <c r="I1255" s="82"/>
      <c r="J1255" s="82"/>
      <c r="K1255" s="131"/>
      <c r="L1255" s="131"/>
    </row>
  </sheetData>
  <sortState ref="W2:W45">
    <sortCondition ref="W45"/>
  </sortState>
  <conditionalFormatting sqref="K2:M480">
    <cfRule type="expression" dxfId="1" priority="1">
      <formula>IF(AND(Niveau1="Verdiepend",D2="V"),$U$2,"")</formula>
    </cfRule>
    <cfRule type="expression" dxfId="0" priority="2">
      <formula>IF(AND(Niveau1="Basis",D2="B"),$U$2,"")</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5d3608ae-ae5a-49f3-b433-27dac1717451">UWVDWU-1933003600-145157</_dlc_DocId>
    <_dlc_DocIdUrl xmlns="5d3608ae-ae5a-49f3-b433-27dac1717451">
      <Url>https://digitalewerkplek.sharepoint.uwv.nl/documentcenter/_layouts/15/DocIdRedir.aspx?ID=UWVDWU-1933003600-145157</Url>
      <Description>UWVDWU-1933003600-145157</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52780A39E9B9048AE6502EEB6BA7111" ma:contentTypeVersion="30" ma:contentTypeDescription="Een nieuw document maken." ma:contentTypeScope="" ma:versionID="672f330cb420aab3b2b835c00355fe6f">
  <xsd:schema xmlns:xsd="http://www.w3.org/2001/XMLSchema" xmlns:xs="http://www.w3.org/2001/XMLSchema" xmlns:p="http://schemas.microsoft.com/office/2006/metadata/properties" xmlns:ns1="http://schemas.microsoft.com/sharepoint/v3" xmlns:ns2="5d3608ae-ae5a-49f3-b433-27dac1717451" targetNamespace="http://schemas.microsoft.com/office/2006/metadata/properties" ma:root="true" ma:fieldsID="e76f73184e01e9630a8523bfc4d82618" ns1:_="" ns2:_="">
    <xsd:import namespace="http://schemas.microsoft.com/sharepoint/v3"/>
    <xsd:import namespace="5d3608ae-ae5a-49f3-b433-27dac1717451"/>
    <xsd:element name="properties">
      <xsd:complexType>
        <xsd:sequence>
          <xsd:element name="documentManagement">
            <xsd:complexType>
              <xsd:all>
                <xsd:element ref="ns1:PublishingStartDate" minOccurs="0"/>
                <xsd:element ref="ns1:PublishingExpirationDate" minOccurs="0"/>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Begindatum van de planning" ma:description="Geplande begindatum is een sitekolom die door de publicatiefunctie gemaakt wordt. Het wordt gebruikt om een specifieke datum en tijd op te geven waarop de pagina voor het eerst verschijnt voor sitebezoekers." ma:hidden="true" ma:internalName="PublishingStartDate">
      <xsd:simpleType>
        <xsd:restriction base="dms:Unknown"/>
      </xsd:simpleType>
    </xsd:element>
    <xsd:element name="PublishingExpirationDate" ma:index="9" nillable="true" ma:displayName="Einddatum van de planning" ma:description="Geplande einddatum is een sitekolom die door de publicatiefunctie gemaakt wordt. Het wordt gebruikt om een specifieke datum en tijd op te geven waarop de pagina niet langer verschijnt voor sitebezoeke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d3608ae-ae5a-49f3-b433-27dac1717451" elementFormDefault="qualified">
    <xsd:import namespace="http://schemas.microsoft.com/office/2006/documentManagement/types"/>
    <xsd:import namespace="http://schemas.microsoft.com/office/infopath/2007/PartnerControls"/>
    <xsd:element name="_dlc_DocId" ma:index="10" nillable="true" ma:displayName="Waarde van de document-id" ma:description="De waarde van de document-id die aan dit item is toegewezen." ma:internalName="_dlc_DocId" ma:readOnly="true">
      <xsd:simpleType>
        <xsd:restriction base="dms:Text"/>
      </xsd:simpleType>
    </xsd:element>
    <xsd:element name="_dlc_DocIdUrl" ma:index="11" nillable="true" ma:displayName="Document-id" ma:description="Permanente koppeling naar dit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2"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mso-contentType ?>
<customXsn xmlns="http://schemas.microsoft.com/office/2006/metadata/customXsn">
  <xsnLocation/>
  <cached>True</cached>
  <openByDefault>False</openByDefault>
  <xsnScope/>
</customXsn>
</file>

<file path=customXml/item5.xml><?xml version="1.0" encoding="utf-8"?>
<?mso-contentType ?>
<SharedContentType xmlns="Microsoft.SharePoint.Taxonomy.ContentTypeSync" SourceId="5c8cb159-2b14-44f1-9f1e-2f87ce4796ac" ContentTypeId="0x0101" PreviousValue="false"/>
</file>

<file path=customXml/item6.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BA794CF-34EE-448C-8667-E281678E7D6C}">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5d3608ae-ae5a-49f3-b433-27dac1717451"/>
    <ds:schemaRef ds:uri="http://schemas.openxmlformats.org/package/2006/metadata/core-properties"/>
    <ds:schemaRef ds:uri="http://schemas.microsoft.com/sharepoint/v3"/>
    <ds:schemaRef ds:uri="http://www.w3.org/XML/1998/namespace"/>
  </ds:schemaRefs>
</ds:datastoreItem>
</file>

<file path=customXml/itemProps2.xml><?xml version="1.0" encoding="utf-8"?>
<ds:datastoreItem xmlns:ds="http://schemas.openxmlformats.org/officeDocument/2006/customXml" ds:itemID="{CA00A6AE-DA7D-4CDF-88CA-DB16187537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d3608ae-ae5a-49f3-b433-27dac17174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933188B-A9BB-41CF-8F8A-85C4742903D6}">
  <ds:schemaRefs>
    <ds:schemaRef ds:uri="http://schemas.microsoft.com/sharepoint/events"/>
  </ds:schemaRefs>
</ds:datastoreItem>
</file>

<file path=customXml/itemProps4.xml><?xml version="1.0" encoding="utf-8"?>
<ds:datastoreItem xmlns:ds="http://schemas.openxmlformats.org/officeDocument/2006/customXml" ds:itemID="{4FAD1713-89B3-475E-B62B-207DAFC49F76}">
  <ds:schemaRefs>
    <ds:schemaRef ds:uri="http://schemas.microsoft.com/office/2006/metadata/customXsn"/>
  </ds:schemaRefs>
</ds:datastoreItem>
</file>

<file path=customXml/itemProps5.xml><?xml version="1.0" encoding="utf-8"?>
<ds:datastoreItem xmlns:ds="http://schemas.openxmlformats.org/officeDocument/2006/customXml" ds:itemID="{0F28999E-AA4E-4AA4-9AAE-C8F215CFCE4C}">
  <ds:schemaRefs>
    <ds:schemaRef ds:uri="Microsoft.SharePoint.Taxonomy.ContentTypeSync"/>
  </ds:schemaRefs>
</ds:datastoreItem>
</file>

<file path=customXml/itemProps6.xml><?xml version="1.0" encoding="utf-8"?>
<ds:datastoreItem xmlns:ds="http://schemas.openxmlformats.org/officeDocument/2006/customXml" ds:itemID="{E4BE8C75-6389-4809-8FB8-65B7DD02011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4</vt:i4>
      </vt:variant>
      <vt:variant>
        <vt:lpstr>Benoemde bereiken</vt:lpstr>
      </vt:variant>
      <vt:variant>
        <vt:i4>25</vt:i4>
      </vt:variant>
    </vt:vector>
  </HeadingPairs>
  <TitlesOfParts>
    <vt:vector size="29" baseType="lpstr">
      <vt:lpstr>Ontwikkelwijzer</vt:lpstr>
      <vt:lpstr>Print</vt:lpstr>
      <vt:lpstr>Hoofddocument</vt:lpstr>
      <vt:lpstr>Vergelijk</vt:lpstr>
      <vt:lpstr>Functie1</vt:lpstr>
      <vt:lpstr>Functie2</vt:lpstr>
      <vt:lpstr>Functie3</vt:lpstr>
      <vt:lpstr>FunctieNiveaus</vt:lpstr>
      <vt:lpstr>Functies</vt:lpstr>
      <vt:lpstr>Functietabel</vt:lpstr>
      <vt:lpstr>FunctievergelijkerSelecteer</vt:lpstr>
      <vt:lpstr>FunctieVergelijkerTabel</vt:lpstr>
      <vt:lpstr>Menu1Begin</vt:lpstr>
      <vt:lpstr>Menu1Einde</vt:lpstr>
      <vt:lpstr>Menu1Selecteer</vt:lpstr>
      <vt:lpstr>Menu2Begin</vt:lpstr>
      <vt:lpstr>Menu2Einde</vt:lpstr>
      <vt:lpstr>Menu2Selecteer</vt:lpstr>
      <vt:lpstr>Menu3Begin</vt:lpstr>
      <vt:lpstr>Menu3Einde</vt:lpstr>
      <vt:lpstr>Menu3Selecteer</vt:lpstr>
      <vt:lpstr>Menu4Begin</vt:lpstr>
      <vt:lpstr>Menu4Einde</vt:lpstr>
      <vt:lpstr>Menu4Selecteer</vt:lpstr>
      <vt:lpstr>Menu5Begin</vt:lpstr>
      <vt:lpstr>Niveau1</vt:lpstr>
      <vt:lpstr>Niveau2</vt:lpstr>
      <vt:lpstr>Niveau3</vt:lpstr>
      <vt:lpstr>Vakgebieden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Can, Umut (U.)</dc:creator>
  <cp:lastModifiedBy>Niessen, Henry (H.J.J.M.)</cp:lastModifiedBy>
  <cp:lastPrinted>2023-02-02T11:01:00Z</cp:lastPrinted>
  <dcterms:created xsi:type="dcterms:W3CDTF">2022-05-13T07:19:30Z</dcterms:created>
  <dcterms:modified xsi:type="dcterms:W3CDTF">2023-09-04T10:41:36Z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0x010100A52780A39E9B9048AE6502EEB6BA7111</vt:lpwstr>
  </property>
  <property fmtid="{D5CDD505-2E9C-101B-9397-08002B2CF9AE}" pid="3" name="j63f7a26fd4d4d5aa85c1a9fcddc33fa">
    <vt:lpwstr>nl|c9043c9e-ce5c-4b24-8d57-becc9eefea48</vt:lpwstr>
  </property>
  <property fmtid="{D5CDD505-2E9C-101B-9397-08002B2CF9AE}" pid="4" name="h30c759ee46e4a3599848d45a3918fed">
    <vt:lpwstr>intern|f32f14b6-66e2-4e47-86c9-b607810eb4a8</vt:lpwstr>
  </property>
  <property fmtid="{D5CDD505-2E9C-101B-9397-08002B2CF9AE}" pid="5" name="TaxCatchAll">
    <vt:lpwstr>170;#nl|c9043c9e-ce5c-4b24-8d57-becc9eefea48;#936;#intern|f32f14b6-66e2-4e47-86c9-b607810eb4a8</vt:lpwstr>
  </property>
  <property fmtid="{D5CDD505-2E9C-101B-9397-08002B2CF9AE}" pid="6" name="_dlc_DocIdItemGuid">
    <vt:lpwstr>8daf17fd-e447-4461-ac23-7cd613868d15</vt:lpwstr>
  </property>
  <property fmtid="{D5CDD505-2E9C-101B-9397-08002B2CF9AE}" pid="7" name="DCTERMS:language">
    <vt:lpwstr>170;#nl|c9043c9e-ce5c-4b24-8d57-becc9eefea48</vt:lpwstr>
  </property>
  <property fmtid="{D5CDD505-2E9C-101B-9397-08002B2CF9AE}" pid="8" name="UWV:confidentiality">
    <vt:lpwstr>936;#intern|f32f14b6-66e2-4e47-86c9-b607810eb4a8</vt:lpwstr>
  </property>
</Properties>
</file>