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updateLinks="never" codeName="ThisWorkbook"/>
  <mc:AlternateContent xmlns:mc="http://schemas.openxmlformats.org/markup-compatibility/2006">
    <mc:Choice Requires="x15">
      <x15ac:absPath xmlns:x15ac="http://schemas.microsoft.com/office/spreadsheetml/2010/11/ac" url="https://dxcportal.sharepoint.com/sites/PilotrestrictedFedBerryJanneke/Shared Documents/14 Project Docs (Operational)/04 Applicaties/13. Documents CGI/WAVE11 Oct/APP - DIM-Infosphere/Connectivity Overview/Archive/"/>
    </mc:Choice>
  </mc:AlternateContent>
  <xr:revisionPtr revIDLastSave="51" documentId="8_{7B7D19D9-D9B5-4D31-A1C6-4D6E9FDD1F98}" xr6:coauthVersionLast="47" xr6:coauthVersionMax="47" xr10:uidLastSave="{4F8A9BF3-BDE7-2F4C-B3F8-D3B62FB06757}"/>
  <bookViews>
    <workbookView xWindow="0" yWindow="500" windowWidth="28800" windowHeight="16340" tabRatio="835" firstSheet="8" activeTab="9" xr2:uid="{00000000-000D-0000-FFFF-FFFF00000000}"/>
  </bookViews>
  <sheets>
    <sheet name="Versioning" sheetId="19" r:id="rId1"/>
    <sheet name="Legal Notice" sheetId="31" r:id="rId2"/>
    <sheet name="Scope &amp; Legenda" sheetId="22" r:id="rId3"/>
    <sheet name="Import" sheetId="28" r:id="rId4"/>
    <sheet name="PICs" sheetId="34" r:id="rId5"/>
    <sheet name="Connections DEV (CMO)" sheetId="33" r:id="rId6"/>
    <sheet name="Connections TST (CMO)" sheetId="32" r:id="rId7"/>
    <sheet name="Connections ACC (CMO)" sheetId="20" r:id="rId8"/>
    <sheet name="Connections PRD (CMO)" sheetId="23" r:id="rId9"/>
    <sheet name="Connections TST (TMO-FMO)" sheetId="36" r:id="rId10"/>
    <sheet name="Connections DEV (TMO-FMO)" sheetId="35" r:id="rId11"/>
    <sheet name="Connections ACC (TMO-FMO)" sheetId="24" r:id="rId12"/>
    <sheet name="Connections PRD (TMO-FMO)" sheetId="25" r:id="rId13"/>
    <sheet name="Tables" sheetId="21" state="hidden" r:id="rId14"/>
    <sheet name="Variables" sheetId="30" state="hidden" r:id="rId15"/>
    <sheet name="Confipedia" sheetId="11" r:id="rId16"/>
    <sheet name="Common Port Table" sheetId="27" r:id="rId17"/>
  </sheets>
  <functionGroups builtInGroupCount="19"/>
  <externalReferences>
    <externalReference r:id="rId18"/>
  </externalReferences>
  <definedNames>
    <definedName name="_xlnm._FilterDatabase" localSheetId="15" hidden="1">Confipedia!$A$6:$K$265</definedName>
    <definedName name="_xlnm._FilterDatabase" localSheetId="7" hidden="1">'Connections ACC (CMO)'!$A$6:$Y$104</definedName>
    <definedName name="_xlnm._FilterDatabase" localSheetId="11" hidden="1">'Connections ACC (TMO-FMO)'!$A$6:$AB$108</definedName>
    <definedName name="_xlnm._FilterDatabase" localSheetId="5" hidden="1">'Connections DEV (CMO)'!$A$6:$Y$114</definedName>
    <definedName name="_xlnm._FilterDatabase" localSheetId="10" hidden="1">'Connections DEV (TMO-FMO)'!$A$6:$AB$110</definedName>
    <definedName name="_xlnm._FilterDatabase" localSheetId="8" hidden="1">'Connections PRD (CMO)'!$A$6:$Y$116</definedName>
    <definedName name="_xlnm._FilterDatabase" localSheetId="12" hidden="1">'Connections PRD (TMO-FMO)'!$A$6:$AB$117</definedName>
    <definedName name="_xlnm._FilterDatabase" localSheetId="6" hidden="1">'Connections TST (CMO)'!$A$6:$Y$115</definedName>
    <definedName name="_xlnm._FilterDatabase" localSheetId="9" hidden="1">'Connections TST (TMO-FMO)'!$A$6:$AB$79</definedName>
    <definedName name="Bedrijf">'[1]Pull-Down menu'!$F$2:$F$3</definedName>
    <definedName name="Zoek_Figuur">OFFSET('[1]Pull-Down menu'!$G$1,MATCH('[1]Pull-Down menu'!$C$10,Bedrijf,0),0,1,1)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3" i="25" l="1"/>
  <c r="F3" i="20"/>
  <c r="L3" i="20"/>
  <c r="B7" i="20"/>
  <c r="B8" i="20"/>
  <c r="B9" i="20"/>
  <c r="B10" i="20"/>
  <c r="B11" i="20"/>
  <c r="B12" i="20"/>
  <c r="B13" i="20"/>
  <c r="B14" i="20"/>
  <c r="B15" i="20"/>
  <c r="B16" i="20"/>
  <c r="B17" i="20"/>
  <c r="B18" i="20"/>
  <c r="B19" i="20"/>
  <c r="B20" i="20"/>
  <c r="B21" i="20"/>
  <c r="B22" i="20"/>
  <c r="B23" i="20"/>
  <c r="B24" i="20"/>
  <c r="B25" i="20"/>
  <c r="B26" i="20"/>
  <c r="B27" i="20"/>
  <c r="B28" i="20"/>
  <c r="B29"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37" i="33"/>
  <c r="B36" i="33"/>
  <c r="B35" i="33"/>
  <c r="B34" i="33"/>
  <c r="B33" i="33"/>
  <c r="B32" i="33"/>
  <c r="B31" i="33"/>
  <c r="B29" i="33"/>
  <c r="B28" i="33"/>
  <c r="B27" i="33"/>
  <c r="B26" i="33"/>
  <c r="B25" i="33"/>
  <c r="B24" i="33"/>
  <c r="B23" i="33"/>
  <c r="B22" i="33"/>
  <c r="B21" i="33"/>
  <c r="B20" i="33"/>
  <c r="B19" i="33"/>
  <c r="B18" i="33"/>
  <c r="B17" i="33"/>
  <c r="B16" i="33"/>
  <c r="B15" i="33"/>
  <c r="B14" i="33"/>
  <c r="B13" i="33"/>
  <c r="B12" i="33"/>
  <c r="B11" i="33"/>
  <c r="B10" i="33"/>
  <c r="B9" i="33"/>
  <c r="B8" i="33"/>
  <c r="B7" i="33"/>
  <c r="B37" i="32"/>
  <c r="B36" i="32"/>
  <c r="B35" i="32"/>
  <c r="B34" i="32"/>
  <c r="B33" i="32"/>
  <c r="B32" i="32"/>
  <c r="B31" i="32"/>
  <c r="B29" i="32"/>
  <c r="B28" i="32"/>
  <c r="B27" i="32"/>
  <c r="B26" i="32"/>
  <c r="B25" i="32"/>
  <c r="B24" i="32"/>
  <c r="B23" i="32"/>
  <c r="B22" i="32"/>
  <c r="B21" i="32"/>
  <c r="B20" i="32"/>
  <c r="B19" i="32"/>
  <c r="B18" i="32"/>
  <c r="B17" i="32"/>
  <c r="B16" i="32"/>
  <c r="B15" i="32"/>
  <c r="B14" i="32"/>
  <c r="B13" i="32"/>
  <c r="B12" i="32"/>
  <c r="B11" i="32"/>
  <c r="B10" i="32"/>
  <c r="B9" i="32"/>
  <c r="B8" i="32"/>
  <c r="B7" i="32"/>
  <c r="L3" i="36"/>
  <c r="G3" i="36"/>
  <c r="L3" i="35"/>
  <c r="G3" i="35"/>
  <c r="B27" i="23"/>
  <c r="B113" i="33"/>
  <c r="B112" i="33"/>
  <c r="B111" i="33"/>
  <c r="B110" i="33"/>
  <c r="B109" i="33"/>
  <c r="B108" i="33"/>
  <c r="B107" i="33"/>
  <c r="B106" i="33"/>
  <c r="B105" i="33"/>
  <c r="B104" i="33"/>
  <c r="B103" i="33"/>
  <c r="B102" i="33"/>
  <c r="B101" i="33"/>
  <c r="B100" i="33"/>
  <c r="B99" i="33"/>
  <c r="B98" i="33"/>
  <c r="B97" i="33"/>
  <c r="B96" i="33"/>
  <c r="B95" i="33"/>
  <c r="B94" i="33"/>
  <c r="B93" i="33"/>
  <c r="B92" i="33"/>
  <c r="B91" i="33"/>
  <c r="B90" i="33"/>
  <c r="B89" i="33"/>
  <c r="B88" i="33"/>
  <c r="B87" i="33"/>
  <c r="B86" i="33"/>
  <c r="B85" i="33"/>
  <c r="B84" i="33"/>
  <c r="B83" i="33"/>
  <c r="B82" i="33"/>
  <c r="B81" i="33"/>
  <c r="B80" i="33"/>
  <c r="B79" i="33"/>
  <c r="B78" i="33"/>
  <c r="B77" i="33"/>
  <c r="B76" i="33"/>
  <c r="B75" i="33"/>
  <c r="B74" i="33"/>
  <c r="B73" i="33"/>
  <c r="B72" i="33"/>
  <c r="B71" i="33"/>
  <c r="B70" i="33"/>
  <c r="B69" i="33"/>
  <c r="B68" i="33"/>
  <c r="B67" i="33"/>
  <c r="B66" i="33"/>
  <c r="B65" i="33"/>
  <c r="B64" i="33"/>
  <c r="B63" i="33"/>
  <c r="B62" i="33"/>
  <c r="B61" i="33"/>
  <c r="B60" i="33"/>
  <c r="B59" i="33"/>
  <c r="B58" i="33"/>
  <c r="B57" i="33"/>
  <c r="B56" i="33"/>
  <c r="B55" i="33"/>
  <c r="B54" i="33"/>
  <c r="B53" i="33"/>
  <c r="B52" i="33"/>
  <c r="B51" i="33"/>
  <c r="B50" i="33"/>
  <c r="B49" i="33"/>
  <c r="B48" i="33"/>
  <c r="B47" i="33"/>
  <c r="B46" i="33"/>
  <c r="B45" i="33"/>
  <c r="B44" i="33"/>
  <c r="B43" i="33"/>
  <c r="B42" i="33"/>
  <c r="B41" i="33"/>
  <c r="B40" i="33"/>
  <c r="B39" i="33"/>
  <c r="B38" i="33"/>
  <c r="L3" i="33"/>
  <c r="F3" i="33"/>
  <c r="N41" i="35"/>
  <c r="O28" i="24"/>
  <c r="N29" i="24"/>
  <c r="N29" i="36"/>
  <c r="O28" i="36"/>
  <c r="O43" i="24"/>
  <c r="N28" i="24"/>
  <c r="N8" i="36"/>
  <c r="O11" i="36"/>
  <c r="O29" i="36"/>
  <c r="O44" i="36"/>
  <c r="O29" i="35"/>
  <c r="N11" i="35"/>
  <c r="N43" i="35"/>
  <c r="O41" i="24"/>
  <c r="N42" i="24"/>
  <c r="N29" i="35"/>
  <c r="O41" i="35"/>
  <c r="O11" i="35"/>
  <c r="N28" i="35"/>
  <c r="N41" i="24"/>
  <c r="O11" i="24"/>
  <c r="N28" i="36"/>
  <c r="N44" i="36"/>
  <c r="O42" i="36"/>
  <c r="O28" i="35"/>
  <c r="O42" i="35"/>
  <c r="N11" i="36"/>
  <c r="N44" i="35"/>
  <c r="N42" i="35"/>
  <c r="N13" i="35"/>
  <c r="N42" i="36"/>
  <c r="N11" i="24"/>
  <c r="N43" i="24"/>
  <c r="O43" i="35"/>
  <c r="O29" i="24"/>
  <c r="O42" i="24"/>
  <c r="O44" i="35"/>
  <c r="O49" i="24"/>
  <c r="N49" i="24"/>
  <c r="O48" i="35"/>
  <c r="N48" i="35"/>
  <c r="O48" i="36"/>
  <c r="N48" i="36"/>
  <c r="O50" i="24"/>
  <c r="N50" i="24"/>
  <c r="O49" i="35"/>
  <c r="N49" i="35"/>
  <c r="O49" i="36"/>
  <c r="N49" i="36"/>
  <c r="N46" i="25"/>
  <c r="N69" i="25"/>
  <c r="N63" i="25"/>
  <c r="N51" i="25"/>
  <c r="N65" i="25"/>
  <c r="O64" i="25"/>
  <c r="N64" i="25"/>
  <c r="O51" i="25"/>
  <c r="N29" i="25"/>
  <c r="O56" i="25"/>
  <c r="O46" i="25"/>
  <c r="O69" i="25"/>
  <c r="N44" i="25"/>
  <c r="O42" i="25"/>
  <c r="O30" i="25"/>
  <c r="O57" i="25"/>
  <c r="N59" i="25"/>
  <c r="N49" i="25"/>
  <c r="O50" i="25"/>
  <c r="O29" i="25"/>
  <c r="O43" i="25"/>
  <c r="O21" i="25"/>
  <c r="N21" i="25"/>
  <c r="O59" i="25"/>
  <c r="N60" i="25"/>
  <c r="O44" i="25"/>
  <c r="N37" i="25"/>
  <c r="O37" i="25"/>
  <c r="N50" i="25"/>
  <c r="N57" i="25"/>
  <c r="N56" i="25"/>
  <c r="N42" i="25"/>
  <c r="O60" i="25"/>
  <c r="O36" i="25"/>
  <c r="N58" i="25"/>
  <c r="N68" i="25"/>
  <c r="N43" i="25"/>
  <c r="O11" i="25"/>
  <c r="N36" i="25"/>
  <c r="O63" i="25"/>
  <c r="O53" i="25"/>
  <c r="N11" i="25"/>
  <c r="O68" i="25"/>
  <c r="N52" i="25"/>
  <c r="N53" i="25"/>
  <c r="O49" i="25"/>
  <c r="O58" i="25"/>
  <c r="N66" i="25"/>
  <c r="N30" i="25"/>
  <c r="N8" i="25"/>
  <c r="B114" i="32" l="1"/>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L3" i="32"/>
  <c r="F3" i="32"/>
  <c r="B36" i="23" l="1"/>
  <c r="B21" i="23"/>
  <c r="O19" i="36"/>
  <c r="N38" i="35"/>
  <c r="O36" i="35"/>
  <c r="N54" i="35"/>
  <c r="N17" i="36"/>
  <c r="N75" i="35"/>
  <c r="N108" i="35"/>
  <c r="N74" i="36"/>
  <c r="O15" i="35"/>
  <c r="O25" i="36"/>
  <c r="O59" i="35"/>
  <c r="O57" i="35"/>
  <c r="O73" i="36"/>
  <c r="N62" i="36"/>
  <c r="N78" i="35"/>
  <c r="N93" i="35"/>
  <c r="O35" i="36"/>
  <c r="O81" i="35"/>
  <c r="N15" i="35"/>
  <c r="O77" i="35"/>
  <c r="O58" i="36"/>
  <c r="N47" i="36"/>
  <c r="O7" i="36"/>
  <c r="O47" i="36"/>
  <c r="O9" i="36"/>
  <c r="N56" i="36"/>
  <c r="N55" i="35"/>
  <c r="O80" i="35"/>
  <c r="N10" i="35"/>
  <c r="O67" i="35"/>
  <c r="N39" i="35"/>
  <c r="N87" i="35"/>
  <c r="N10" i="36"/>
  <c r="O99" i="35"/>
  <c r="O64" i="35"/>
  <c r="O21" i="36"/>
  <c r="O31" i="36"/>
  <c r="O10" i="35"/>
  <c r="N33" i="35"/>
  <c r="O10" i="36"/>
  <c r="O56" i="36"/>
  <c r="O39" i="35"/>
  <c r="N72" i="35"/>
  <c r="O36" i="36"/>
  <c r="N71" i="36"/>
  <c r="O26" i="35"/>
  <c r="N56" i="35"/>
  <c r="N73" i="35"/>
  <c r="N62" i="35"/>
  <c r="O87" i="35"/>
  <c r="O41" i="36"/>
  <c r="N70" i="35"/>
  <c r="N76" i="36"/>
  <c r="O50" i="36"/>
  <c r="N88" i="35"/>
  <c r="N91" i="35"/>
  <c r="O27" i="36"/>
  <c r="O24" i="36"/>
  <c r="O47" i="35"/>
  <c r="O16" i="35"/>
  <c r="N71" i="35"/>
  <c r="N57" i="36"/>
  <c r="O69" i="36"/>
  <c r="O74" i="35"/>
  <c r="N103" i="35"/>
  <c r="N20" i="35"/>
  <c r="O34" i="36"/>
  <c r="N64" i="35"/>
  <c r="N67" i="35"/>
  <c r="O52" i="36"/>
  <c r="O12" i="36"/>
  <c r="O12" i="35"/>
  <c r="O72" i="35"/>
  <c r="N53" i="36"/>
  <c r="N46" i="36"/>
  <c r="O106" i="35"/>
  <c r="N36" i="35"/>
  <c r="O76" i="35"/>
  <c r="O61" i="36"/>
  <c r="N67" i="36"/>
  <c r="O68" i="35"/>
  <c r="O91" i="35"/>
  <c r="O51" i="35"/>
  <c r="N77" i="36"/>
  <c r="O27" i="35"/>
  <c r="O85" i="35"/>
  <c r="O20" i="36"/>
  <c r="N68" i="36"/>
  <c r="O70" i="36"/>
  <c r="O54" i="36"/>
  <c r="N95" i="35"/>
  <c r="O32" i="35"/>
  <c r="N32" i="35"/>
  <c r="N78" i="36"/>
  <c r="N101" i="35"/>
  <c r="O84" i="35"/>
  <c r="N99" i="35"/>
  <c r="O30" i="36"/>
  <c r="N27" i="36"/>
  <c r="N94" i="35"/>
  <c r="N24" i="35"/>
  <c r="O20" i="35"/>
  <c r="O38" i="36"/>
  <c r="N107" i="35"/>
  <c r="N47" i="35"/>
  <c r="N83" i="35"/>
  <c r="N41" i="36"/>
  <c r="N39" i="36"/>
  <c r="O24" i="35"/>
  <c r="N57" i="35"/>
  <c r="O75" i="35"/>
  <c r="O62" i="35"/>
  <c r="N14" i="36"/>
  <c r="N59" i="36"/>
  <c r="O86" i="35"/>
  <c r="N90" i="35"/>
  <c r="O107" i="35"/>
  <c r="O13" i="36"/>
  <c r="O83" i="35"/>
  <c r="N60" i="35"/>
  <c r="N53" i="35"/>
  <c r="N19" i="36"/>
  <c r="N7" i="36"/>
  <c r="N86" i="35"/>
  <c r="N97" i="35"/>
  <c r="O95" i="35"/>
  <c r="O8" i="36"/>
  <c r="N18" i="35"/>
  <c r="O89" i="35"/>
  <c r="O38" i="35"/>
  <c r="O75" i="36"/>
  <c r="O26" i="36"/>
  <c r="O45" i="36"/>
  <c r="O15" i="36"/>
  <c r="N46" i="35"/>
  <c r="O18" i="35"/>
  <c r="O57" i="36"/>
  <c r="N18" i="36"/>
  <c r="N109" i="35"/>
  <c r="N31" i="35"/>
  <c r="N100" i="35"/>
  <c r="N51" i="36"/>
  <c r="O103" i="35"/>
  <c r="N77" i="35"/>
  <c r="N54" i="36"/>
  <c r="N96" i="35"/>
  <c r="O14" i="36"/>
  <c r="N25" i="35"/>
  <c r="O14" i="35"/>
  <c r="O65" i="36"/>
  <c r="O67" i="36"/>
  <c r="N69" i="35"/>
  <c r="N106" i="35"/>
  <c r="N60" i="36"/>
  <c r="O37" i="36"/>
  <c r="N21" i="36"/>
  <c r="O37" i="35"/>
  <c r="N61" i="35"/>
  <c r="N63" i="36"/>
  <c r="N27" i="35"/>
  <c r="N52" i="35"/>
  <c r="O43" i="36"/>
  <c r="N38" i="36"/>
  <c r="N63" i="35"/>
  <c r="N66" i="35"/>
  <c r="O33" i="36"/>
  <c r="O50" i="35"/>
  <c r="N16" i="35"/>
  <c r="N34" i="36"/>
  <c r="O18" i="36"/>
  <c r="N23" i="35"/>
  <c r="O93" i="35"/>
  <c r="N59" i="35"/>
  <c r="N19" i="35"/>
  <c r="O108" i="35"/>
  <c r="O39" i="36"/>
  <c r="N21" i="35"/>
  <c r="O45" i="35"/>
  <c r="O51" i="36"/>
  <c r="N40" i="36"/>
  <c r="N72" i="36"/>
  <c r="N92" i="35"/>
  <c r="N20" i="36"/>
  <c r="O63" i="36"/>
  <c r="N26" i="35"/>
  <c r="N37" i="36"/>
  <c r="N33" i="36"/>
  <c r="O78" i="36"/>
  <c r="N31" i="36"/>
  <c r="O17" i="36"/>
  <c r="O64" i="36"/>
  <c r="O102" i="35"/>
  <c r="O101" i="35"/>
  <c r="N26" i="36"/>
  <c r="N64" i="36"/>
  <c r="N22" i="36"/>
  <c r="O8" i="35"/>
  <c r="O56" i="35"/>
  <c r="O40" i="36"/>
  <c r="N70" i="36"/>
  <c r="O88" i="35"/>
  <c r="N82" i="35"/>
  <c r="O9" i="35"/>
  <c r="O66" i="36"/>
  <c r="O16" i="36"/>
  <c r="O92" i="35"/>
  <c r="O7" i="35"/>
  <c r="N81" i="35"/>
  <c r="O71" i="36"/>
  <c r="O46" i="35"/>
  <c r="N65" i="35"/>
  <c r="N79" i="35"/>
  <c r="N9" i="36"/>
  <c r="N35" i="36"/>
  <c r="O104" i="35"/>
  <c r="O97" i="35"/>
  <c r="O19" i="35"/>
  <c r="O55" i="36"/>
  <c r="N105" i="35"/>
  <c r="O59" i="36"/>
  <c r="N22" i="35"/>
  <c r="N84" i="35"/>
  <c r="O70" i="35"/>
  <c r="N51" i="35"/>
  <c r="N24" i="36"/>
  <c r="N98" i="35"/>
  <c r="N50" i="36"/>
  <c r="N8" i="35"/>
  <c r="O40" i="35"/>
  <c r="N65" i="36"/>
  <c r="O55" i="35"/>
  <c r="O77" i="36"/>
  <c r="N23" i="36"/>
  <c r="O34" i="35"/>
  <c r="O30" i="35"/>
  <c r="N80" i="35"/>
  <c r="N25" i="36"/>
  <c r="N66" i="36"/>
  <c r="O65" i="35"/>
  <c r="O17" i="35"/>
  <c r="O62" i="36"/>
  <c r="O76" i="36"/>
  <c r="O79" i="35"/>
  <c r="N35" i="35"/>
  <c r="N50" i="35"/>
  <c r="N55" i="36"/>
  <c r="N12" i="36"/>
  <c r="N7" i="35"/>
  <c r="O23" i="35"/>
  <c r="O100" i="35"/>
  <c r="N58" i="36"/>
  <c r="O25" i="35"/>
  <c r="N14" i="35"/>
  <c r="N34" i="35"/>
  <c r="N30" i="36"/>
  <c r="N16" i="36"/>
  <c r="N89" i="35"/>
  <c r="O54" i="35"/>
  <c r="O66" i="35"/>
  <c r="O71" i="35"/>
  <c r="O63" i="35"/>
  <c r="O60" i="36"/>
  <c r="N30" i="35"/>
  <c r="N36" i="36"/>
  <c r="N32" i="36"/>
  <c r="O35" i="35"/>
  <c r="O21" i="35"/>
  <c r="N68" i="35"/>
  <c r="O74" i="36"/>
  <c r="O73" i="35"/>
  <c r="O60" i="35"/>
  <c r="O32" i="36"/>
  <c r="N104" i="35"/>
  <c r="N12" i="35"/>
  <c r="O78" i="35"/>
  <c r="N13" i="36"/>
  <c r="O96" i="35"/>
  <c r="O52" i="35"/>
  <c r="N73" i="36"/>
  <c r="N17" i="35"/>
  <c r="O72" i="36"/>
  <c r="N74" i="35"/>
  <c r="O58" i="35"/>
  <c r="O53" i="36"/>
  <c r="N52" i="36"/>
  <c r="O22" i="36"/>
  <c r="O61" i="35"/>
  <c r="O13" i="35"/>
  <c r="O33" i="35"/>
  <c r="O23" i="36"/>
  <c r="N76" i="35"/>
  <c r="N40" i="35"/>
  <c r="N69" i="36"/>
  <c r="N37" i="35"/>
  <c r="O105" i="35"/>
  <c r="N61" i="36"/>
  <c r="O31" i="35"/>
  <c r="O69" i="35"/>
  <c r="N15" i="36"/>
  <c r="N75" i="36"/>
  <c r="O90" i="35"/>
  <c r="N43" i="36"/>
  <c r="O94" i="35"/>
  <c r="O46" i="36"/>
  <c r="O98" i="35"/>
  <c r="O82" i="35"/>
  <c r="O68" i="36"/>
  <c r="N58" i="35"/>
  <c r="O22" i="35"/>
  <c r="O109" i="35"/>
  <c r="N102" i="35"/>
  <c r="O53" i="35"/>
  <c r="N9" i="35"/>
  <c r="N85" i="35"/>
  <c r="B32" i="23" l="1"/>
  <c r="B31" i="23"/>
  <c r="B15" i="23"/>
  <c r="B26" i="23"/>
  <c r="B25" i="23"/>
  <c r="B23" i="23"/>
  <c r="B12" i="23"/>
  <c r="B11" i="23"/>
  <c r="B110" i="23" l="1"/>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F3" i="23" l="1"/>
  <c r="B34" i="23"/>
  <c r="B33" i="23"/>
  <c r="B29" i="23"/>
  <c r="B28" i="23"/>
  <c r="B35" i="23"/>
  <c r="B24" i="23"/>
  <c r="B22" i="23"/>
  <c r="B20" i="23"/>
  <c r="B19" i="23"/>
  <c r="B18" i="23"/>
  <c r="B17" i="23"/>
  <c r="B16" i="23"/>
  <c r="B14" i="23"/>
  <c r="B13" i="23"/>
  <c r="B10" i="23"/>
  <c r="B9" i="23"/>
  <c r="B8" i="23"/>
  <c r="B7" i="23"/>
  <c r="N97" i="24"/>
  <c r="N52" i="24"/>
  <c r="O103" i="24"/>
  <c r="N93" i="24"/>
  <c r="N67" i="24"/>
  <c r="N90" i="24"/>
  <c r="N59" i="24"/>
  <c r="O62" i="24"/>
  <c r="O53" i="24"/>
  <c r="N61" i="24"/>
  <c r="O59" i="24"/>
  <c r="O89" i="24"/>
  <c r="O65" i="24"/>
  <c r="O104" i="24"/>
  <c r="O90" i="24"/>
  <c r="N68" i="24"/>
  <c r="N70" i="24"/>
  <c r="N101" i="24"/>
  <c r="N91" i="24"/>
  <c r="N53" i="24"/>
  <c r="O97" i="24"/>
  <c r="O71" i="24"/>
  <c r="N71" i="24"/>
  <c r="N103" i="24"/>
  <c r="O98" i="24"/>
  <c r="N94" i="24"/>
  <c r="N58" i="24"/>
  <c r="N69" i="24"/>
  <c r="O74" i="24"/>
  <c r="O69" i="24"/>
  <c r="O61" i="24"/>
  <c r="N73" i="24"/>
  <c r="O54" i="24"/>
  <c r="O73" i="24"/>
  <c r="N87" i="24"/>
  <c r="N95" i="24"/>
  <c r="O87" i="24"/>
  <c r="O101" i="24"/>
  <c r="O93" i="24"/>
  <c r="O88" i="24"/>
  <c r="N57" i="24"/>
  <c r="O72" i="24"/>
  <c r="N62" i="24"/>
  <c r="O52" i="24"/>
  <c r="N76" i="24"/>
  <c r="O56" i="24"/>
  <c r="N100" i="24"/>
  <c r="N75" i="24"/>
  <c r="N98" i="24"/>
  <c r="N48" i="24"/>
  <c r="O48" i="24"/>
  <c r="N65" i="24"/>
  <c r="N78" i="24"/>
  <c r="N55" i="24"/>
  <c r="N63" i="24"/>
  <c r="O92" i="24"/>
  <c r="O76" i="24"/>
  <c r="N104" i="24"/>
  <c r="O57" i="24"/>
  <c r="O99" i="24"/>
  <c r="N66" i="24"/>
  <c r="N96" i="24"/>
  <c r="O94" i="24"/>
  <c r="O64" i="24"/>
  <c r="N64" i="24"/>
  <c r="O102" i="24"/>
  <c r="O63" i="24"/>
  <c r="N88" i="24"/>
  <c r="N89" i="24"/>
  <c r="N72" i="24"/>
  <c r="N60" i="24"/>
  <c r="N51" i="24"/>
  <c r="O58" i="24"/>
  <c r="O67" i="24"/>
  <c r="O78" i="24"/>
  <c r="O55" i="24"/>
  <c r="O66" i="24"/>
  <c r="N56" i="24"/>
  <c r="O75" i="24"/>
  <c r="N74" i="24"/>
  <c r="O95" i="24"/>
  <c r="O68" i="24"/>
  <c r="O60" i="24"/>
  <c r="O51" i="24"/>
  <c r="O96" i="24"/>
  <c r="N92" i="24"/>
  <c r="O70" i="24"/>
  <c r="O100" i="24"/>
  <c r="O91" i="24"/>
  <c r="N102" i="24"/>
  <c r="N54" i="24"/>
  <c r="N77" i="24"/>
  <c r="O77" i="24"/>
  <c r="N99" i="24"/>
  <c r="O111" i="25"/>
  <c r="O90" i="25"/>
  <c r="O22" i="25"/>
  <c r="O39" i="25"/>
  <c r="O96" i="25"/>
  <c r="O114" i="25"/>
  <c r="O100" i="25"/>
  <c r="N108" i="25"/>
  <c r="N90" i="25"/>
  <c r="O108" i="25"/>
  <c r="O12" i="25"/>
  <c r="O27" i="25"/>
  <c r="N31" i="25"/>
  <c r="N24" i="25"/>
  <c r="N100" i="25"/>
  <c r="O34" i="25"/>
  <c r="O107" i="25"/>
  <c r="N34" i="25"/>
  <c r="O28" i="25"/>
  <c r="N20" i="25"/>
  <c r="N39" i="25"/>
  <c r="N7" i="25"/>
  <c r="N26" i="25"/>
  <c r="O16" i="25"/>
  <c r="O19" i="25"/>
  <c r="N12" i="25"/>
  <c r="O92" i="25"/>
  <c r="N87" i="25"/>
  <c r="O105" i="25"/>
  <c r="O109" i="25"/>
  <c r="O99" i="25"/>
  <c r="N18" i="25"/>
  <c r="N112" i="25"/>
  <c r="N96" i="25"/>
  <c r="N35" i="25"/>
  <c r="O110" i="25"/>
  <c r="N14" i="25"/>
  <c r="O24" i="25"/>
  <c r="O25" i="25"/>
  <c r="O15" i="25"/>
  <c r="N89" i="25"/>
  <c r="O98" i="25"/>
  <c r="O31" i="25"/>
  <c r="O10" i="25"/>
  <c r="N99" i="25"/>
  <c r="N98" i="25"/>
  <c r="O89" i="25"/>
  <c r="N9" i="25"/>
  <c r="N27" i="25"/>
  <c r="N106" i="25"/>
  <c r="N115" i="25"/>
  <c r="O35" i="25"/>
  <c r="N104" i="25"/>
  <c r="O47" i="25"/>
  <c r="O23" i="25"/>
  <c r="N93" i="25"/>
  <c r="N94" i="25"/>
  <c r="O38" i="25"/>
  <c r="O7" i="25"/>
  <c r="N17" i="25"/>
  <c r="O113" i="25"/>
  <c r="N95" i="25"/>
  <c r="O102" i="25"/>
  <c r="O106" i="25"/>
  <c r="O104" i="25"/>
  <c r="O95" i="25"/>
  <c r="O17" i="25"/>
  <c r="N102" i="25"/>
  <c r="N32" i="25"/>
  <c r="N105" i="25"/>
  <c r="N110" i="25"/>
  <c r="N91" i="25"/>
  <c r="N47" i="25"/>
  <c r="O41" i="25"/>
  <c r="N19" i="25"/>
  <c r="O116" i="25"/>
  <c r="O93" i="25"/>
  <c r="O8" i="25"/>
  <c r="O26" i="25"/>
  <c r="O86" i="25"/>
  <c r="N109" i="25"/>
  <c r="N114" i="25"/>
  <c r="O91" i="25"/>
  <c r="N86" i="25"/>
  <c r="N22" i="25"/>
  <c r="O20" i="25"/>
  <c r="N103" i="25"/>
  <c r="O45" i="25"/>
  <c r="O112" i="25"/>
  <c r="O103" i="25"/>
  <c r="O14" i="25"/>
  <c r="N107" i="25"/>
  <c r="O94" i="25"/>
  <c r="N40" i="25"/>
  <c r="O97" i="25"/>
  <c r="O101" i="25"/>
  <c r="O18" i="25"/>
  <c r="N16" i="25"/>
  <c r="O13" i="25"/>
  <c r="N88" i="25"/>
  <c r="N38" i="25"/>
  <c r="N13" i="25"/>
  <c r="O40" i="25"/>
  <c r="N101" i="25"/>
  <c r="N116" i="25"/>
  <c r="O115" i="25"/>
  <c r="O32" i="25"/>
  <c r="O9" i="25"/>
  <c r="N111" i="25"/>
  <c r="N113" i="25"/>
  <c r="N15" i="25"/>
  <c r="N25" i="25"/>
  <c r="O88" i="25"/>
  <c r="O87" i="25"/>
  <c r="O33" i="25"/>
  <c r="N28" i="25"/>
  <c r="N10" i="25"/>
  <c r="N97" i="25"/>
  <c r="N33" i="25"/>
  <c r="N41" i="25"/>
  <c r="N92" i="25"/>
  <c r="L3" i="25" l="1"/>
  <c r="L3" i="24"/>
  <c r="G3" i="24"/>
  <c r="F3" i="28"/>
  <c r="G3" i="25"/>
  <c r="B115" i="23"/>
  <c r="B114" i="23"/>
  <c r="B113" i="23"/>
  <c r="B112" i="23"/>
  <c r="B111"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L3" i="23"/>
  <c r="N14" i="24"/>
  <c r="O25" i="24"/>
  <c r="O21" i="24"/>
  <c r="N83" i="24"/>
  <c r="N47" i="24"/>
  <c r="N33" i="24"/>
  <c r="O13" i="24"/>
  <c r="N13" i="24"/>
  <c r="O106" i="24"/>
  <c r="N32" i="24"/>
  <c r="N10" i="24"/>
  <c r="N39" i="24"/>
  <c r="N30" i="24"/>
  <c r="O19" i="24"/>
  <c r="N20" i="24"/>
  <c r="N15" i="24"/>
  <c r="O20" i="24"/>
  <c r="O33" i="24"/>
  <c r="O40" i="24"/>
  <c r="N9" i="24"/>
  <c r="N17" i="24"/>
  <c r="N106" i="24"/>
  <c r="O37" i="24"/>
  <c r="N16" i="24"/>
  <c r="O18" i="24"/>
  <c r="O31" i="24"/>
  <c r="N7" i="24"/>
  <c r="O35" i="24"/>
  <c r="O8" i="24"/>
  <c r="N37" i="24"/>
  <c r="O105" i="24"/>
  <c r="O36" i="24"/>
  <c r="N18" i="24"/>
  <c r="O84" i="24"/>
  <c r="N46" i="24"/>
  <c r="O47" i="24"/>
  <c r="O17" i="24"/>
  <c r="N82" i="24"/>
  <c r="O30" i="24"/>
  <c r="O16" i="24"/>
  <c r="O23" i="24"/>
  <c r="O34" i="24"/>
  <c r="O24" i="24"/>
  <c r="N19" i="24"/>
  <c r="O46" i="24"/>
  <c r="O79" i="24"/>
  <c r="N105" i="24"/>
  <c r="O12" i="24"/>
  <c r="N21" i="24"/>
  <c r="N81" i="24"/>
  <c r="O83" i="24"/>
  <c r="N35" i="24"/>
  <c r="O32" i="24"/>
  <c r="O44" i="24"/>
  <c r="O86" i="24"/>
  <c r="O107" i="24"/>
  <c r="N12" i="24"/>
  <c r="N8" i="24"/>
  <c r="N45" i="24"/>
  <c r="O82" i="24"/>
  <c r="O27" i="24"/>
  <c r="O26" i="24"/>
  <c r="N23" i="24"/>
  <c r="O9" i="24"/>
  <c r="N27" i="24"/>
  <c r="N31" i="24"/>
  <c r="N26" i="24"/>
  <c r="N34" i="24"/>
  <c r="N86" i="24"/>
  <c r="N107" i="24"/>
  <c r="O85" i="24"/>
  <c r="O14" i="24"/>
  <c r="O38" i="24"/>
  <c r="N38" i="24"/>
  <c r="N79" i="24"/>
  <c r="N80" i="24"/>
  <c r="O45" i="24"/>
  <c r="O22" i="24"/>
  <c r="N84" i="24"/>
  <c r="N24" i="24"/>
  <c r="N85" i="24"/>
  <c r="O10" i="24"/>
  <c r="N36" i="24"/>
  <c r="O81" i="24"/>
  <c r="O80" i="24"/>
  <c r="O15" i="24"/>
  <c r="O39" i="24"/>
  <c r="N25" i="24"/>
  <c r="N22" i="24"/>
  <c r="O7" i="24"/>
  <c r="N40" i="24"/>
  <c r="N48" i="25"/>
  <c r="N85" i="25"/>
  <c r="N71" i="25"/>
  <c r="O81" i="25"/>
  <c r="N54" i="25"/>
  <c r="O84" i="25"/>
  <c r="O82" i="25"/>
  <c r="N76" i="25"/>
  <c r="O52" i="25"/>
  <c r="O78" i="25"/>
  <c r="N55" i="25"/>
  <c r="O76" i="25"/>
  <c r="O48" i="25"/>
  <c r="O74" i="25"/>
  <c r="N81" i="25"/>
  <c r="O72" i="25"/>
  <c r="O67" i="25"/>
  <c r="N83" i="25"/>
  <c r="N72" i="25"/>
  <c r="N84" i="25"/>
  <c r="N79" i="25"/>
  <c r="N77" i="25"/>
  <c r="O70" i="25"/>
  <c r="N80" i="25"/>
  <c r="N61" i="25"/>
  <c r="O73" i="25"/>
  <c r="O54" i="25"/>
  <c r="O80" i="25"/>
  <c r="N78" i="25"/>
  <c r="N74" i="25"/>
  <c r="N67" i="25"/>
  <c r="N75" i="25"/>
  <c r="N73" i="25"/>
  <c r="N82" i="25"/>
  <c r="O75" i="25"/>
  <c r="O55" i="25"/>
  <c r="N70" i="25"/>
  <c r="O85" i="25"/>
  <c r="O62" i="25"/>
  <c r="O79" i="25"/>
  <c r="O77" i="25"/>
  <c r="O83" i="25"/>
  <c r="O71" i="25"/>
  <c r="N62" i="25"/>
  <c r="O61"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F41" authorId="0" shapeId="0" xr:uid="{00000000-0006-0000-0200-000001000000}">
      <text>
        <r>
          <rPr>
            <b/>
            <sz val="9"/>
            <color indexed="81"/>
            <rFont val="Tahoma"/>
            <family val="2"/>
          </rPr>
          <t>Hartsinck, Dave (D.):</t>
        </r>
        <r>
          <rPr>
            <sz val="9"/>
            <color indexed="81"/>
            <rFont val="Tahoma"/>
            <family val="2"/>
          </rPr>
          <t xml:space="preserve">
Not yet in use at DXC</t>
        </r>
      </text>
    </comment>
    <comment ref="F44" authorId="0" shapeId="0" xr:uid="{00000000-0006-0000-0200-000002000000}">
      <text>
        <r>
          <rPr>
            <b/>
            <sz val="9"/>
            <color indexed="81"/>
            <rFont val="Tahoma"/>
            <family val="2"/>
          </rPr>
          <t>Hartsinck, Dave (D.):</t>
        </r>
        <r>
          <rPr>
            <sz val="9"/>
            <color indexed="81"/>
            <rFont val="Tahoma"/>
            <family val="2"/>
          </rPr>
          <t xml:space="preserve">
Not yet in use at DXC.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AF767F3A-8928-4AD1-8822-886D6980E421}">
      <text>
        <r>
          <rPr>
            <b/>
            <sz val="9"/>
            <color indexed="81"/>
            <rFont val="Tahoma"/>
            <family val="2"/>
          </rPr>
          <t>Hartsinck, Dave (D.):</t>
        </r>
        <r>
          <rPr>
            <sz val="9"/>
            <color indexed="81"/>
            <rFont val="Tahoma"/>
            <family val="2"/>
          </rPr>
          <t xml:space="preserve">
</t>
        </r>
        <r>
          <rPr>
            <b/>
            <sz val="9"/>
            <color indexed="81"/>
            <rFont val="Tahoma"/>
            <family val="2"/>
          </rPr>
          <t>This column uses autonumbering.</t>
        </r>
        <r>
          <rPr>
            <sz val="9"/>
            <color indexed="81"/>
            <rFont val="Tahoma"/>
            <family val="2"/>
          </rPr>
          <t xml:space="preserve"> 
To use this - you add lines through </t>
        </r>
        <r>
          <rPr>
            <b/>
            <sz val="9"/>
            <color indexed="81"/>
            <rFont val="Tahoma"/>
            <family val="2"/>
          </rPr>
          <t>copying existing rows</t>
        </r>
        <r>
          <rPr>
            <sz val="9"/>
            <color indexed="81"/>
            <rFont val="Tahoma"/>
            <family val="2"/>
          </rPr>
          <t xml:space="preserve"> into rows in this table. Then the ID numbers will settle them selves. 
If you use instert new row, the chain is broken. Then copy a line - with a number in it into the empty line. </t>
        </r>
      </text>
    </comment>
    <comment ref="O6" authorId="0" shapeId="0" xr:uid="{1844446F-DEB9-46D3-B1AE-494B51E3F6A3}">
      <text>
        <r>
          <rPr>
            <b/>
            <sz val="9"/>
            <color indexed="81"/>
            <rFont val="Tahoma"/>
            <family val="2"/>
          </rPr>
          <t>Hartsinck, Dave (D.):</t>
        </r>
        <r>
          <rPr>
            <sz val="9"/>
            <color indexed="81"/>
            <rFont val="Tahoma"/>
            <family val="2"/>
          </rPr>
          <t xml:space="preserve">
To ADD PROTOCOLS to the list:
Go to the TABLES sheet. </t>
        </r>
      </text>
    </comment>
    <comment ref="B114" authorId="0" shapeId="0" xr:uid="{56F7CECE-9E41-4A59-A698-A99E67A10476}">
      <text>
        <r>
          <rPr>
            <b/>
            <sz val="9"/>
            <color indexed="81"/>
            <rFont val="Tahoma"/>
            <family val="2"/>
          </rPr>
          <t>Hartsinck, Dave (D.):</t>
        </r>
        <r>
          <rPr>
            <sz val="9"/>
            <color indexed="81"/>
            <rFont val="Tahoma"/>
            <family val="2"/>
          </rPr>
          <t xml:space="preserve">
DO NOT REMOVE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0A0E777F-CBAD-4904-BDC5-8E8842D19019}">
      <text>
        <r>
          <rPr>
            <b/>
            <sz val="9"/>
            <color indexed="81"/>
            <rFont val="Tahoma"/>
            <family val="2"/>
          </rPr>
          <t>Hartsinck, Dave (D.):</t>
        </r>
        <r>
          <rPr>
            <sz val="9"/>
            <color indexed="81"/>
            <rFont val="Tahoma"/>
            <family val="2"/>
          </rPr>
          <t xml:space="preserve">
</t>
        </r>
        <r>
          <rPr>
            <b/>
            <sz val="9"/>
            <color indexed="81"/>
            <rFont val="Tahoma"/>
            <family val="2"/>
          </rPr>
          <t>This column uses autonumbering.</t>
        </r>
        <r>
          <rPr>
            <sz val="9"/>
            <color indexed="81"/>
            <rFont val="Tahoma"/>
            <family val="2"/>
          </rPr>
          <t xml:space="preserve"> 
To use this - you add lines through </t>
        </r>
        <r>
          <rPr>
            <b/>
            <sz val="9"/>
            <color indexed="81"/>
            <rFont val="Tahoma"/>
            <family val="2"/>
          </rPr>
          <t>copying existing rows</t>
        </r>
        <r>
          <rPr>
            <sz val="9"/>
            <color indexed="81"/>
            <rFont val="Tahoma"/>
            <family val="2"/>
          </rPr>
          <t xml:space="preserve"> into rows in this table. Then the ID numbers will settle them selves. 
If you use instert new row, the chain is broken. Then copy a line - with a number in it into the empty line. </t>
        </r>
      </text>
    </comment>
    <comment ref="O6" authorId="0" shapeId="0" xr:uid="{E8040119-CCB8-4480-8541-578BAC7FEAB1}">
      <text>
        <r>
          <rPr>
            <b/>
            <sz val="9"/>
            <color indexed="81"/>
            <rFont val="Tahoma"/>
            <family val="2"/>
          </rPr>
          <t>Hartsinck, Dave (D.):</t>
        </r>
        <r>
          <rPr>
            <sz val="9"/>
            <color indexed="81"/>
            <rFont val="Tahoma"/>
            <family val="2"/>
          </rPr>
          <t xml:space="preserve">
To ADD PROTOCOLS to the list:
Go to the TABLES sheet. </t>
        </r>
      </text>
    </comment>
    <comment ref="B115" authorId="0" shapeId="0" xr:uid="{CE3D88D4-3DEC-4D46-A07F-BF61AF36A301}">
      <text>
        <r>
          <rPr>
            <b/>
            <sz val="9"/>
            <color indexed="81"/>
            <rFont val="Tahoma"/>
            <family val="2"/>
          </rPr>
          <t>Hartsinck, Dave (D.):</t>
        </r>
        <r>
          <rPr>
            <sz val="9"/>
            <color indexed="81"/>
            <rFont val="Tahoma"/>
            <family val="2"/>
          </rPr>
          <t xml:space="preserve">
DO NOT REMOVE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00000000-0006-0000-0400-000001000000}">
      <text>
        <r>
          <rPr>
            <b/>
            <sz val="9"/>
            <color indexed="81"/>
            <rFont val="Tahoma"/>
            <family val="2"/>
          </rPr>
          <t>Hartsinck, Dave (D.):</t>
        </r>
        <r>
          <rPr>
            <sz val="9"/>
            <color indexed="81"/>
            <rFont val="Tahoma"/>
            <family val="2"/>
          </rPr>
          <t xml:space="preserve">
</t>
        </r>
        <r>
          <rPr>
            <b/>
            <sz val="9"/>
            <color indexed="81"/>
            <rFont val="Tahoma"/>
            <family val="2"/>
          </rPr>
          <t>This column uses autonumbering.</t>
        </r>
        <r>
          <rPr>
            <sz val="9"/>
            <color indexed="81"/>
            <rFont val="Tahoma"/>
            <family val="2"/>
          </rPr>
          <t xml:space="preserve"> 
To use this - you add lines through </t>
        </r>
        <r>
          <rPr>
            <b/>
            <sz val="9"/>
            <color indexed="81"/>
            <rFont val="Tahoma"/>
            <family val="2"/>
          </rPr>
          <t>copying existing rows</t>
        </r>
        <r>
          <rPr>
            <sz val="9"/>
            <color indexed="81"/>
            <rFont val="Tahoma"/>
            <family val="2"/>
          </rPr>
          <t xml:space="preserve"> into rows in this table. Then the ID numbers will settle them selves. 
If you use instert new row, the chain is broken. Then copy a line - with a number in it into the empty line. </t>
        </r>
      </text>
    </comment>
    <comment ref="O6" authorId="0" shapeId="0" xr:uid="{00000000-0006-0000-0400-000002000000}">
      <text>
        <r>
          <rPr>
            <b/>
            <sz val="9"/>
            <color indexed="81"/>
            <rFont val="Tahoma"/>
            <family val="2"/>
          </rPr>
          <t>Hartsinck, Dave (D.):</t>
        </r>
        <r>
          <rPr>
            <sz val="9"/>
            <color indexed="81"/>
            <rFont val="Tahoma"/>
            <family val="2"/>
          </rPr>
          <t xml:space="preserve">
To ADD PROTOCOLS to the list:
Go to the TABLES sheet. </t>
        </r>
      </text>
    </comment>
    <comment ref="B104" authorId="0" shapeId="0" xr:uid="{00000000-0006-0000-0400-000003000000}">
      <text>
        <r>
          <rPr>
            <b/>
            <sz val="9"/>
            <color indexed="81"/>
            <rFont val="Tahoma"/>
            <family val="2"/>
          </rPr>
          <t>Hartsinck, Dave (D.):</t>
        </r>
        <r>
          <rPr>
            <sz val="9"/>
            <color indexed="81"/>
            <rFont val="Tahoma"/>
            <family val="2"/>
          </rPr>
          <t xml:space="preserve">
DO NOT REMOVE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00000000-0006-0000-0500-000001000000}">
      <text>
        <r>
          <rPr>
            <b/>
            <sz val="9"/>
            <color indexed="81"/>
            <rFont val="Tahoma"/>
            <family val="2"/>
          </rPr>
          <t>Hartsinck, Dave (D.):</t>
        </r>
        <r>
          <rPr>
            <sz val="9"/>
            <color indexed="81"/>
            <rFont val="Tahoma"/>
            <family val="2"/>
          </rPr>
          <t xml:space="preserve">
</t>
        </r>
        <r>
          <rPr>
            <b/>
            <sz val="9"/>
            <color indexed="81"/>
            <rFont val="Tahoma"/>
            <family val="2"/>
          </rPr>
          <t>This column uses autonumbering.</t>
        </r>
        <r>
          <rPr>
            <sz val="9"/>
            <color indexed="81"/>
            <rFont val="Tahoma"/>
            <family val="2"/>
          </rPr>
          <t xml:space="preserve"> 
To use this - you add lines through </t>
        </r>
        <r>
          <rPr>
            <b/>
            <sz val="9"/>
            <color indexed="81"/>
            <rFont val="Tahoma"/>
            <family val="2"/>
          </rPr>
          <t>copying existing rows</t>
        </r>
        <r>
          <rPr>
            <sz val="9"/>
            <color indexed="81"/>
            <rFont val="Tahoma"/>
            <family val="2"/>
          </rPr>
          <t xml:space="preserve"> into rows in this table. Then the ID numbers will settle them selves. 
If you use instert new row, the chain is broken. Then copy a line - with a number in it into the empty line. </t>
        </r>
      </text>
    </comment>
    <comment ref="O6" authorId="0" shapeId="0" xr:uid="{00000000-0006-0000-0500-000002000000}">
      <text>
        <r>
          <rPr>
            <b/>
            <sz val="9"/>
            <color indexed="81"/>
            <rFont val="Tahoma"/>
            <family val="2"/>
          </rPr>
          <t>Hartsinck, Dave (D.):</t>
        </r>
        <r>
          <rPr>
            <sz val="9"/>
            <color indexed="81"/>
            <rFont val="Tahoma"/>
            <family val="2"/>
          </rPr>
          <t xml:space="preserve">
To ADD PROTOCOLS to the list:
Go to the TABLES sheet. </t>
        </r>
      </text>
    </comment>
    <comment ref="B116" authorId="0" shapeId="0" xr:uid="{00000000-0006-0000-0500-000003000000}">
      <text>
        <r>
          <rPr>
            <b/>
            <sz val="9"/>
            <color indexed="81"/>
            <rFont val="Tahoma"/>
            <family val="2"/>
          </rPr>
          <t>Hartsinck, Dave (D.):</t>
        </r>
        <r>
          <rPr>
            <sz val="9"/>
            <color indexed="81"/>
            <rFont val="Tahoma"/>
            <family val="2"/>
          </rPr>
          <t xml:space="preserve">
DO NOT REMOVE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4F6854E0-F556-4493-A969-9C5DAC6F80E0}">
      <text>
        <r>
          <rPr>
            <b/>
            <sz val="9"/>
            <color rgb="FF000000"/>
            <rFont val="Tahoma"/>
            <family val="2"/>
          </rPr>
          <t>Hartsinck, Dave (D.):</t>
        </r>
        <r>
          <rPr>
            <sz val="9"/>
            <color rgb="FF000000"/>
            <rFont val="Tahoma"/>
            <family val="2"/>
          </rPr>
          <t xml:space="preserve">
</t>
        </r>
        <r>
          <rPr>
            <b/>
            <sz val="9"/>
            <color rgb="FF000000"/>
            <rFont val="Tahoma"/>
            <family val="2"/>
          </rPr>
          <t>This column uses autonumbering.</t>
        </r>
        <r>
          <rPr>
            <sz val="9"/>
            <color rgb="FF000000"/>
            <rFont val="Tahoma"/>
            <family val="2"/>
          </rPr>
          <t xml:space="preserve"> 
</t>
        </r>
        <r>
          <rPr>
            <sz val="9"/>
            <color rgb="FF000000"/>
            <rFont val="Tahoma"/>
            <family val="2"/>
          </rPr>
          <t xml:space="preserve">To use this - you add lines through </t>
        </r>
        <r>
          <rPr>
            <b/>
            <sz val="9"/>
            <color rgb="FF000000"/>
            <rFont val="Tahoma"/>
            <family val="2"/>
          </rPr>
          <t>copying existing rows</t>
        </r>
        <r>
          <rPr>
            <sz val="9"/>
            <color rgb="FF000000"/>
            <rFont val="Tahoma"/>
            <family val="2"/>
          </rPr>
          <t xml:space="preserve"> into rows in this table. Then the ID numbers will settle them selves. 
</t>
        </r>
        <r>
          <rPr>
            <sz val="9"/>
            <color rgb="FF000000"/>
            <rFont val="Tahoma"/>
            <family val="2"/>
          </rPr>
          <t xml:space="preserve">If you use instert new row, the chain is broken. Then copy a line - with a number in it into the empty line. </t>
        </r>
      </text>
    </comment>
    <comment ref="E6" authorId="0" shapeId="0" xr:uid="{69EC0B39-56CC-45CE-9AD8-3A14EA70F81B}">
      <text>
        <r>
          <rPr>
            <b/>
            <sz val="9"/>
            <color rgb="FF000000"/>
            <rFont val="Tahoma"/>
            <family val="2"/>
          </rPr>
          <t>Hartsinck, Dave (D.):</t>
        </r>
        <r>
          <rPr>
            <sz val="9"/>
            <color rgb="FF000000"/>
            <rFont val="Tahoma"/>
            <family val="2"/>
          </rPr>
          <t xml:space="preserve">
</t>
        </r>
        <r>
          <rPr>
            <sz val="9"/>
            <color rgb="FF000000"/>
            <rFont val="Tahoma"/>
            <family val="2"/>
          </rPr>
          <t xml:space="preserve">If status is IBM  Request OR DXC Request. 
</t>
        </r>
        <r>
          <rPr>
            <sz val="9"/>
            <color rgb="FF000000"/>
            <rFont val="Tahoma"/>
            <family val="2"/>
          </rPr>
          <t xml:space="preserve">
</t>
        </r>
        <r>
          <rPr>
            <sz val="9"/>
            <color rgb="FF000000"/>
            <rFont val="Tahoma"/>
            <family val="2"/>
          </rPr>
          <t xml:space="preserve">Then the registration line will be picked up by the Auto Import Routine from the new firewall request form. 
</t>
        </r>
        <r>
          <rPr>
            <sz val="9"/>
            <color rgb="FF000000"/>
            <rFont val="Tahoma"/>
            <family val="2"/>
          </rPr>
          <t xml:space="preserve">All states will be skipped except for those marked with " =&gt; FWR import routine!" by the FWR import routine. 
</t>
        </r>
        <r>
          <rPr>
            <sz val="9"/>
            <color rgb="FF000000"/>
            <rFont val="Tahoma"/>
            <family val="2"/>
          </rPr>
          <t xml:space="preserve">
</t>
        </r>
        <r>
          <rPr>
            <sz val="9"/>
            <color rgb="FF000000"/>
            <rFont val="Tahoma"/>
            <family val="2"/>
          </rPr>
          <t xml:space="preserve">On Hold                           =&gt; When the row is still being handled 
</t>
        </r>
        <r>
          <rPr>
            <sz val="9"/>
            <color rgb="FF000000"/>
            <rFont val="Tahoma"/>
            <family val="2"/>
          </rPr>
          <t xml:space="preserve">Not Applicable            =&gt; When no firewall request is needed 
</t>
        </r>
        <r>
          <rPr>
            <sz val="9"/>
            <color rgb="FF000000"/>
            <rFont val="Tahoma"/>
            <family val="2"/>
          </rPr>
          <t xml:space="preserve">IBM Request                 =&gt; When row item is ready to be imported in Firewall Request Sheet for IBM  =&gt; FWR import routine!
</t>
        </r>
        <r>
          <rPr>
            <sz val="9"/>
            <color rgb="FF000000"/>
            <rFont val="Tahoma"/>
            <family val="2"/>
          </rPr>
          <t xml:space="preserve">DXC Request               =&gt; When row item is ready to be imported in Firewall Request Sheet for DXC   =&gt; FWR import routine!
</t>
        </r>
        <r>
          <rPr>
            <sz val="9"/>
            <color rgb="FF000000"/>
            <rFont val="Tahoma"/>
            <family val="2"/>
          </rPr>
          <t xml:space="preserve">KPN Request               =&gt;  When row item is ready to be imported in Firewall Request Sheet for KPN  =&gt; FWR import routine!
</t>
        </r>
        <r>
          <rPr>
            <sz val="9"/>
            <color rgb="FF000000"/>
            <rFont val="Tahoma"/>
            <family val="2"/>
          </rPr>
          <t xml:space="preserve">DXC FWR Issued       =&gt; Set by Firewall Request import routine - when row is imported - changerequest will be pending
</t>
        </r>
        <r>
          <rPr>
            <sz val="9"/>
            <color rgb="FF000000"/>
            <rFont val="Tahoma"/>
            <family val="2"/>
          </rPr>
          <t xml:space="preserve">IBM FWR Issued         =&gt; Set by Firewall Request import routine - when row is imported - changerequest will be pending
</t>
        </r>
        <r>
          <rPr>
            <sz val="9"/>
            <color rgb="FF000000"/>
            <rFont val="Tahoma"/>
            <family val="2"/>
          </rPr>
          <t xml:space="preserve">KPN FWR Issued       =&gt; Set by Firewall Request import routine - when row is imported - changerequest will be pending
</t>
        </r>
        <r>
          <rPr>
            <sz val="9"/>
            <color rgb="FF000000"/>
            <rFont val="Tahoma"/>
            <family val="2"/>
          </rPr>
          <t xml:space="preserve">Issue                                  =&gt; Change has already been executed, but connection still does not work
</t>
        </r>
        <r>
          <rPr>
            <sz val="9"/>
            <color rgb="FF000000"/>
            <rFont val="Tahoma"/>
            <family val="2"/>
          </rPr>
          <t xml:space="preserve">Test OK                            =&gt; Change has already been executed, and connection works directly or when issue is solved.
</t>
        </r>
        <r>
          <rPr>
            <sz val="9"/>
            <color rgb="FF000000"/>
            <rFont val="Tahoma"/>
            <family val="2"/>
          </rPr>
          <t xml:space="preserve">
</t>
        </r>
        <r>
          <rPr>
            <sz val="9"/>
            <color rgb="FF000000"/>
            <rFont val="Tahoma"/>
            <family val="2"/>
          </rPr>
          <t xml:space="preserve">When a row is imported - two things will happen in this sheet: 
</t>
        </r>
        <r>
          <rPr>
            <sz val="9"/>
            <color rgb="FF000000"/>
            <rFont val="Tahoma"/>
            <family val="2"/>
          </rPr>
          <t xml:space="preserve">1: State will be altered to "FWR Issued" - following the environment request (DXC,IBM,KPN) 
</t>
        </r>
        <r>
          <rPr>
            <sz val="9"/>
            <color rgb="FF000000"/>
            <rFont val="Tahoma"/>
            <family val="2"/>
          </rPr>
          <t xml:space="preserve">2: a dated comment is left in the AA - column - FWR number - to show whe the import was done. 
</t>
        </r>
        <r>
          <rPr>
            <sz val="9"/>
            <color rgb="FF000000"/>
            <rFont val="Tahoma"/>
            <family val="2"/>
          </rPr>
          <t xml:space="preserve">
</t>
        </r>
      </text>
    </comment>
    <comment ref="P6" authorId="0" shapeId="0" xr:uid="{65EC9F6A-D18C-4A19-95E6-8D8A7F21DE53}">
      <text>
        <r>
          <rPr>
            <b/>
            <sz val="9"/>
            <color indexed="81"/>
            <rFont val="Tahoma"/>
            <family val="2"/>
          </rPr>
          <t>Hartsinck, Dave (D.):</t>
        </r>
        <r>
          <rPr>
            <sz val="9"/>
            <color indexed="81"/>
            <rFont val="Tahoma"/>
            <family val="2"/>
          </rPr>
          <t xml:space="preserve">
To ADD PROTOCOLS to the list:
Go to the TABLES sheet. </t>
        </r>
      </text>
    </comment>
    <comment ref="T6" authorId="0" shapeId="0" xr:uid="{A5415D52-4318-4BEC-9493-5A8F04D4F880}">
      <text>
        <r>
          <rPr>
            <b/>
            <sz val="9"/>
            <color indexed="81"/>
            <rFont val="Tahoma"/>
            <family val="2"/>
          </rPr>
          <t>Hartsinck, Dave (D.):</t>
        </r>
        <r>
          <rPr>
            <sz val="9"/>
            <color indexed="81"/>
            <rFont val="Tahoma"/>
            <family val="2"/>
          </rPr>
          <t xml:space="preserve">
More information: 
See FMO lines in SCOPE / LEGENDA SHEET.</t>
        </r>
      </text>
    </comment>
    <comment ref="B79" authorId="0" shapeId="0" xr:uid="{75D8FB29-3946-4B91-A70F-1F2D0D985085}">
      <text>
        <r>
          <rPr>
            <b/>
            <sz val="9"/>
            <color indexed="81"/>
            <rFont val="Tahoma"/>
            <family val="2"/>
          </rPr>
          <t>Hartsinck, Dave (D.):</t>
        </r>
        <r>
          <rPr>
            <sz val="9"/>
            <color indexed="81"/>
            <rFont val="Tahoma"/>
            <family val="2"/>
          </rPr>
          <t xml:space="preserve">
DO NOT REMOVE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7AE2622B-BA75-4F03-B09D-80513C15F1A0}">
      <text>
        <r>
          <rPr>
            <b/>
            <sz val="9"/>
            <color indexed="81"/>
            <rFont val="Tahoma"/>
            <family val="2"/>
          </rPr>
          <t>Hartsinck, Dave (D.):</t>
        </r>
        <r>
          <rPr>
            <sz val="9"/>
            <color indexed="81"/>
            <rFont val="Tahoma"/>
            <family val="2"/>
          </rPr>
          <t xml:space="preserve">
</t>
        </r>
        <r>
          <rPr>
            <b/>
            <sz val="9"/>
            <color indexed="81"/>
            <rFont val="Tahoma"/>
            <family val="2"/>
          </rPr>
          <t>This column uses autonumbering.</t>
        </r>
        <r>
          <rPr>
            <sz val="9"/>
            <color indexed="81"/>
            <rFont val="Tahoma"/>
            <family val="2"/>
          </rPr>
          <t xml:space="preserve"> 
To use this - you add lines through </t>
        </r>
        <r>
          <rPr>
            <b/>
            <sz val="9"/>
            <color indexed="81"/>
            <rFont val="Tahoma"/>
            <family val="2"/>
          </rPr>
          <t>copying existing rows</t>
        </r>
        <r>
          <rPr>
            <sz val="9"/>
            <color indexed="81"/>
            <rFont val="Tahoma"/>
            <family val="2"/>
          </rPr>
          <t xml:space="preserve"> into rows in this table. Then the ID numbers will settle them selves. 
If you use instert new row, the chain is broken. Then copy a line - with a number in it into the empty line. </t>
        </r>
      </text>
    </comment>
    <comment ref="E6" authorId="0" shapeId="0" xr:uid="{54183869-8F05-423B-9B83-E28E209075FA}">
      <text>
        <r>
          <rPr>
            <b/>
            <sz val="9"/>
            <color rgb="FF000000"/>
            <rFont val="Tahoma"/>
            <family val="2"/>
          </rPr>
          <t>Hartsinck, Dave (D.):</t>
        </r>
        <r>
          <rPr>
            <sz val="9"/>
            <color rgb="FF000000"/>
            <rFont val="Tahoma"/>
            <family val="2"/>
          </rPr>
          <t xml:space="preserve">
</t>
        </r>
        <r>
          <rPr>
            <sz val="9"/>
            <color rgb="FF000000"/>
            <rFont val="Tahoma"/>
            <family val="2"/>
          </rPr>
          <t xml:space="preserve">If status is IBM  Request OR DXC Request. 
</t>
        </r>
        <r>
          <rPr>
            <sz val="9"/>
            <color rgb="FF000000"/>
            <rFont val="Tahoma"/>
            <family val="2"/>
          </rPr>
          <t xml:space="preserve">
</t>
        </r>
        <r>
          <rPr>
            <sz val="9"/>
            <color rgb="FF000000"/>
            <rFont val="Tahoma"/>
            <family val="2"/>
          </rPr>
          <t xml:space="preserve">Then the registration line will be picked up by the Auto Import Routine from the new firewall request form. 
</t>
        </r>
        <r>
          <rPr>
            <sz val="9"/>
            <color rgb="FF000000"/>
            <rFont val="Tahoma"/>
            <family val="2"/>
          </rPr>
          <t xml:space="preserve">All states will be skipped except for those marked with " =&gt; FWR import routine!" by the FWR import routine. 
</t>
        </r>
        <r>
          <rPr>
            <sz val="9"/>
            <color rgb="FF000000"/>
            <rFont val="Tahoma"/>
            <family val="2"/>
          </rPr>
          <t xml:space="preserve">
</t>
        </r>
        <r>
          <rPr>
            <sz val="9"/>
            <color rgb="FF000000"/>
            <rFont val="Tahoma"/>
            <family val="2"/>
          </rPr>
          <t xml:space="preserve">On Hold                           =&gt; When the row is still being handled 
</t>
        </r>
        <r>
          <rPr>
            <sz val="9"/>
            <color rgb="FF000000"/>
            <rFont val="Tahoma"/>
            <family val="2"/>
          </rPr>
          <t xml:space="preserve">Not Applicable            =&gt; When no firewall request is needed 
</t>
        </r>
        <r>
          <rPr>
            <sz val="9"/>
            <color rgb="FF000000"/>
            <rFont val="Tahoma"/>
            <family val="2"/>
          </rPr>
          <t xml:space="preserve">IBM Request                 =&gt; When row item is ready to be imported in Firewall Request Sheet for IBM  =&gt; FWR import routine!
</t>
        </r>
        <r>
          <rPr>
            <sz val="9"/>
            <color rgb="FF000000"/>
            <rFont val="Tahoma"/>
            <family val="2"/>
          </rPr>
          <t xml:space="preserve">DXC Request               =&gt; When row item is ready to be imported in Firewall Request Sheet for DXC   =&gt; FWR import routine!
</t>
        </r>
        <r>
          <rPr>
            <sz val="9"/>
            <color rgb="FF000000"/>
            <rFont val="Tahoma"/>
            <family val="2"/>
          </rPr>
          <t xml:space="preserve">KPN Request               =&gt;  When row item is ready to be imported in Firewall Request Sheet for KPN  =&gt; FWR import routine!
</t>
        </r>
        <r>
          <rPr>
            <sz val="9"/>
            <color rgb="FF000000"/>
            <rFont val="Tahoma"/>
            <family val="2"/>
          </rPr>
          <t xml:space="preserve">DXC FWR Issued       =&gt; Set by Firewall Request import routine - when row is imported - changerequest will be pending
</t>
        </r>
        <r>
          <rPr>
            <sz val="9"/>
            <color rgb="FF000000"/>
            <rFont val="Tahoma"/>
            <family val="2"/>
          </rPr>
          <t xml:space="preserve">IBM FWR Issued         =&gt; Set by Firewall Request import routine - when row is imported - changerequest will be pending
</t>
        </r>
        <r>
          <rPr>
            <sz val="9"/>
            <color rgb="FF000000"/>
            <rFont val="Tahoma"/>
            <family val="2"/>
          </rPr>
          <t xml:space="preserve">KPN FWR Issued       =&gt; Set by Firewall Request import routine - when row is imported - changerequest will be pending
</t>
        </r>
        <r>
          <rPr>
            <sz val="9"/>
            <color rgb="FF000000"/>
            <rFont val="Tahoma"/>
            <family val="2"/>
          </rPr>
          <t xml:space="preserve">Issue                                  =&gt; Change has already been executed, but connection still does not work
</t>
        </r>
        <r>
          <rPr>
            <sz val="9"/>
            <color rgb="FF000000"/>
            <rFont val="Tahoma"/>
            <family val="2"/>
          </rPr>
          <t xml:space="preserve">Test OK                            =&gt; Change has already been executed, and connection works directly or when issue is solved.
</t>
        </r>
        <r>
          <rPr>
            <sz val="9"/>
            <color rgb="FF000000"/>
            <rFont val="Tahoma"/>
            <family val="2"/>
          </rPr>
          <t xml:space="preserve">
</t>
        </r>
        <r>
          <rPr>
            <sz val="9"/>
            <color rgb="FF000000"/>
            <rFont val="Tahoma"/>
            <family val="2"/>
          </rPr>
          <t xml:space="preserve">When a row is imported - two things will happen in this sheet: 
</t>
        </r>
        <r>
          <rPr>
            <sz val="9"/>
            <color rgb="FF000000"/>
            <rFont val="Tahoma"/>
            <family val="2"/>
          </rPr>
          <t xml:space="preserve">1: State will be altered to "FWR Issued" - following the environment request (DXC,IBM,KPN) 
</t>
        </r>
        <r>
          <rPr>
            <sz val="9"/>
            <color rgb="FF000000"/>
            <rFont val="Tahoma"/>
            <family val="2"/>
          </rPr>
          <t xml:space="preserve">2: a dated comment is left in the AA - column - FWR number - to show whe the import was done. 
</t>
        </r>
        <r>
          <rPr>
            <sz val="9"/>
            <color rgb="FF000000"/>
            <rFont val="Tahoma"/>
            <family val="2"/>
          </rPr>
          <t xml:space="preserve">
</t>
        </r>
      </text>
    </comment>
    <comment ref="P6" authorId="0" shapeId="0" xr:uid="{0245CA00-944B-4639-9E13-EA9DAB516387}">
      <text>
        <r>
          <rPr>
            <b/>
            <sz val="9"/>
            <color rgb="FF000000"/>
            <rFont val="Tahoma"/>
            <family val="2"/>
          </rPr>
          <t>Hartsinck, Dave (D.):</t>
        </r>
        <r>
          <rPr>
            <sz val="9"/>
            <color rgb="FF000000"/>
            <rFont val="Tahoma"/>
            <family val="2"/>
          </rPr>
          <t xml:space="preserve">
</t>
        </r>
        <r>
          <rPr>
            <sz val="9"/>
            <color rgb="FF000000"/>
            <rFont val="Tahoma"/>
            <family val="2"/>
          </rPr>
          <t xml:space="preserve">To ADD PROTOCOLS to the list:
</t>
        </r>
        <r>
          <rPr>
            <sz val="9"/>
            <color rgb="FF000000"/>
            <rFont val="Tahoma"/>
            <family val="2"/>
          </rPr>
          <t xml:space="preserve">Go to the TABLES sheet. </t>
        </r>
      </text>
    </comment>
    <comment ref="T6" authorId="0" shapeId="0" xr:uid="{AAEE55FB-D0B2-4D7E-901D-3C730F51F4CA}">
      <text>
        <r>
          <rPr>
            <b/>
            <sz val="9"/>
            <color indexed="81"/>
            <rFont val="Tahoma"/>
            <family val="2"/>
          </rPr>
          <t>Hartsinck, Dave (D.):</t>
        </r>
        <r>
          <rPr>
            <sz val="9"/>
            <color indexed="81"/>
            <rFont val="Tahoma"/>
            <family val="2"/>
          </rPr>
          <t xml:space="preserve">
More information: 
See FMO lines in SCOPE / LEGENDA SHEET.</t>
        </r>
      </text>
    </comment>
    <comment ref="B110" authorId="0" shapeId="0" xr:uid="{05EFBF53-A53B-4FDA-9845-ECC6F6CA9C7A}">
      <text>
        <r>
          <rPr>
            <b/>
            <sz val="9"/>
            <color indexed="81"/>
            <rFont val="Tahoma"/>
            <family val="2"/>
          </rPr>
          <t>Hartsinck, Dave (D.):</t>
        </r>
        <r>
          <rPr>
            <sz val="9"/>
            <color indexed="81"/>
            <rFont val="Tahoma"/>
            <family val="2"/>
          </rPr>
          <t xml:space="preserve">
DO NOT REMOVE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00000000-0006-0000-0600-000001000000}">
      <text>
        <r>
          <rPr>
            <b/>
            <sz val="9"/>
            <color indexed="81"/>
            <rFont val="Tahoma"/>
            <family val="2"/>
          </rPr>
          <t>Hartsinck, Dave (D.):</t>
        </r>
        <r>
          <rPr>
            <sz val="9"/>
            <color indexed="81"/>
            <rFont val="Tahoma"/>
            <family val="2"/>
          </rPr>
          <t xml:space="preserve">
</t>
        </r>
        <r>
          <rPr>
            <b/>
            <sz val="9"/>
            <color indexed="81"/>
            <rFont val="Tahoma"/>
            <family val="2"/>
          </rPr>
          <t>This column uses autonumbering.</t>
        </r>
        <r>
          <rPr>
            <sz val="9"/>
            <color indexed="81"/>
            <rFont val="Tahoma"/>
            <family val="2"/>
          </rPr>
          <t xml:space="preserve"> 
To use this - you add lines through </t>
        </r>
        <r>
          <rPr>
            <b/>
            <sz val="9"/>
            <color indexed="81"/>
            <rFont val="Tahoma"/>
            <family val="2"/>
          </rPr>
          <t>copying existing rows</t>
        </r>
        <r>
          <rPr>
            <sz val="9"/>
            <color indexed="81"/>
            <rFont val="Tahoma"/>
            <family val="2"/>
          </rPr>
          <t xml:space="preserve"> into rows in this table. Then the ID numbers will settle them selves. 
If you use instert new row, the chain is broken. Then copy a line - with a number in it into the empty line. </t>
        </r>
      </text>
    </comment>
    <comment ref="E6" authorId="0" shapeId="0" xr:uid="{00000000-0006-0000-0600-000002000000}">
      <text>
        <r>
          <rPr>
            <b/>
            <sz val="9"/>
            <color rgb="FF000000"/>
            <rFont val="Tahoma"/>
            <family val="2"/>
          </rPr>
          <t>Hartsinck, Dave (D.):</t>
        </r>
        <r>
          <rPr>
            <sz val="9"/>
            <color rgb="FF000000"/>
            <rFont val="Tahoma"/>
            <family val="2"/>
          </rPr>
          <t xml:space="preserve">
</t>
        </r>
        <r>
          <rPr>
            <sz val="9"/>
            <color rgb="FF000000"/>
            <rFont val="Tahoma"/>
            <family val="2"/>
          </rPr>
          <t xml:space="preserve">If status is IBM  Request OR DXC Request. 
</t>
        </r>
        <r>
          <rPr>
            <sz val="9"/>
            <color rgb="FF000000"/>
            <rFont val="Tahoma"/>
            <family val="2"/>
          </rPr>
          <t xml:space="preserve">
</t>
        </r>
        <r>
          <rPr>
            <sz val="9"/>
            <color rgb="FF000000"/>
            <rFont val="Tahoma"/>
            <family val="2"/>
          </rPr>
          <t xml:space="preserve">Then the registration line will be picked up by the Auto Import Routine from the new firewall request form. 
</t>
        </r>
        <r>
          <rPr>
            <sz val="9"/>
            <color rgb="FF000000"/>
            <rFont val="Tahoma"/>
            <family val="2"/>
          </rPr>
          <t xml:space="preserve">All states will be skipped except for those marked with " =&gt; FWR import routine!" by the FWR import routine. 
</t>
        </r>
        <r>
          <rPr>
            <sz val="9"/>
            <color rgb="FF000000"/>
            <rFont val="Tahoma"/>
            <family val="2"/>
          </rPr>
          <t xml:space="preserve">
</t>
        </r>
        <r>
          <rPr>
            <sz val="9"/>
            <color rgb="FF000000"/>
            <rFont val="Tahoma"/>
            <family val="2"/>
          </rPr>
          <t xml:space="preserve">On Hold                           =&gt; When the row is still being handled 
</t>
        </r>
        <r>
          <rPr>
            <sz val="9"/>
            <color rgb="FF000000"/>
            <rFont val="Tahoma"/>
            <family val="2"/>
          </rPr>
          <t xml:space="preserve">Not Applicable            =&gt; When no firewall request is needed 
</t>
        </r>
        <r>
          <rPr>
            <sz val="9"/>
            <color rgb="FF000000"/>
            <rFont val="Tahoma"/>
            <family val="2"/>
          </rPr>
          <t xml:space="preserve">IBM Request                 =&gt; When row item is ready to be imported in Firewall Request Sheet for IBM  =&gt; FWR import routine!
</t>
        </r>
        <r>
          <rPr>
            <sz val="9"/>
            <color rgb="FF000000"/>
            <rFont val="Tahoma"/>
            <family val="2"/>
          </rPr>
          <t xml:space="preserve">DXC Request               =&gt; When row item is ready to be imported in Firewall Request Sheet for DXC   =&gt; FWR import routine!
</t>
        </r>
        <r>
          <rPr>
            <sz val="9"/>
            <color rgb="FF000000"/>
            <rFont val="Tahoma"/>
            <family val="2"/>
          </rPr>
          <t xml:space="preserve">KPN Request               =&gt;  When row item is ready to be imported in Firewall Request Sheet for KPN  =&gt; FWR import routine!
</t>
        </r>
        <r>
          <rPr>
            <sz val="9"/>
            <color rgb="FF000000"/>
            <rFont val="Tahoma"/>
            <family val="2"/>
          </rPr>
          <t xml:space="preserve">DXC FWR Issued       =&gt; Set by Firewall Request import routine - when row is imported - changerequest will be pending
</t>
        </r>
        <r>
          <rPr>
            <sz val="9"/>
            <color rgb="FF000000"/>
            <rFont val="Tahoma"/>
            <family val="2"/>
          </rPr>
          <t xml:space="preserve">IBM FWR Issued         =&gt; Set by Firewall Request import routine - when row is imported - changerequest will be pending
</t>
        </r>
        <r>
          <rPr>
            <sz val="9"/>
            <color rgb="FF000000"/>
            <rFont val="Tahoma"/>
            <family val="2"/>
          </rPr>
          <t xml:space="preserve">KPN FWR Issued       =&gt; Set by Firewall Request import routine - when row is imported - changerequest will be pending
</t>
        </r>
        <r>
          <rPr>
            <sz val="9"/>
            <color rgb="FF000000"/>
            <rFont val="Tahoma"/>
            <family val="2"/>
          </rPr>
          <t xml:space="preserve">Issue                                  =&gt; Change has already been executed, but connection still does not work
</t>
        </r>
        <r>
          <rPr>
            <sz val="9"/>
            <color rgb="FF000000"/>
            <rFont val="Tahoma"/>
            <family val="2"/>
          </rPr>
          <t xml:space="preserve">Test OK                            =&gt; Change has already been executed, and connection works directly or when issue is solved.
</t>
        </r>
        <r>
          <rPr>
            <sz val="9"/>
            <color rgb="FF000000"/>
            <rFont val="Tahoma"/>
            <family val="2"/>
          </rPr>
          <t xml:space="preserve">
</t>
        </r>
        <r>
          <rPr>
            <sz val="9"/>
            <color rgb="FF000000"/>
            <rFont val="Tahoma"/>
            <family val="2"/>
          </rPr>
          <t xml:space="preserve">When a row is imported - two things will happen in this sheet: 
</t>
        </r>
        <r>
          <rPr>
            <sz val="9"/>
            <color rgb="FF000000"/>
            <rFont val="Tahoma"/>
            <family val="2"/>
          </rPr>
          <t xml:space="preserve">1: State will be altered to "FWR Issued" - following the environment request (DXC,IBM,KPN) 
</t>
        </r>
        <r>
          <rPr>
            <sz val="9"/>
            <color rgb="FF000000"/>
            <rFont val="Tahoma"/>
            <family val="2"/>
          </rPr>
          <t xml:space="preserve">2: a dated comment is left in the AA - column - FWR number - to show whe the import was done. 
</t>
        </r>
        <r>
          <rPr>
            <sz val="9"/>
            <color rgb="FF000000"/>
            <rFont val="Tahoma"/>
            <family val="2"/>
          </rPr>
          <t xml:space="preserve">
</t>
        </r>
      </text>
    </comment>
    <comment ref="P6" authorId="0" shapeId="0" xr:uid="{00000000-0006-0000-0600-000003000000}">
      <text>
        <r>
          <rPr>
            <b/>
            <sz val="9"/>
            <color rgb="FF000000"/>
            <rFont val="Tahoma"/>
            <family val="2"/>
          </rPr>
          <t>Hartsinck, Dave (D.):</t>
        </r>
        <r>
          <rPr>
            <sz val="9"/>
            <color rgb="FF000000"/>
            <rFont val="Tahoma"/>
            <family val="2"/>
          </rPr>
          <t xml:space="preserve">
</t>
        </r>
        <r>
          <rPr>
            <sz val="9"/>
            <color rgb="FF000000"/>
            <rFont val="Tahoma"/>
            <family val="2"/>
          </rPr>
          <t xml:space="preserve">To ADD PROTOCOLS to the list:
</t>
        </r>
        <r>
          <rPr>
            <sz val="9"/>
            <color rgb="FF000000"/>
            <rFont val="Tahoma"/>
            <family val="2"/>
          </rPr>
          <t xml:space="preserve">Go to the TABLES sheet. </t>
        </r>
      </text>
    </comment>
    <comment ref="T6" authorId="0" shapeId="0" xr:uid="{00000000-0006-0000-0600-000004000000}">
      <text>
        <r>
          <rPr>
            <b/>
            <sz val="9"/>
            <color indexed="81"/>
            <rFont val="Tahoma"/>
            <family val="2"/>
          </rPr>
          <t>Hartsinck, Dave (D.):</t>
        </r>
        <r>
          <rPr>
            <sz val="9"/>
            <color indexed="81"/>
            <rFont val="Tahoma"/>
            <family val="2"/>
          </rPr>
          <t xml:space="preserve">
More information: 
See FMO lines in SCOPE / LEGENDA SHEET.</t>
        </r>
      </text>
    </comment>
    <comment ref="B108" authorId="0" shapeId="0" xr:uid="{00000000-0006-0000-0600-000005000000}">
      <text>
        <r>
          <rPr>
            <b/>
            <sz val="9"/>
            <color indexed="81"/>
            <rFont val="Tahoma"/>
            <family val="2"/>
          </rPr>
          <t>Hartsinck, Dave (D.):</t>
        </r>
        <r>
          <rPr>
            <sz val="9"/>
            <color indexed="81"/>
            <rFont val="Tahoma"/>
            <family val="2"/>
          </rPr>
          <t xml:space="preserve">
DO NOT REMOVE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B6" authorId="0" shapeId="0" xr:uid="{00000000-0006-0000-0700-000001000000}">
      <text>
        <r>
          <rPr>
            <b/>
            <sz val="9"/>
            <color rgb="FF000000"/>
            <rFont val="Tahoma"/>
            <family val="2"/>
          </rPr>
          <t>Hartsinck, Dave (D.):</t>
        </r>
        <r>
          <rPr>
            <sz val="9"/>
            <color rgb="FF000000"/>
            <rFont val="Tahoma"/>
            <family val="2"/>
          </rPr>
          <t xml:space="preserve">
</t>
        </r>
        <r>
          <rPr>
            <b/>
            <sz val="9"/>
            <color rgb="FF000000"/>
            <rFont val="Tahoma"/>
            <family val="2"/>
          </rPr>
          <t>This column uses autonumbering.</t>
        </r>
        <r>
          <rPr>
            <sz val="9"/>
            <color rgb="FF000000"/>
            <rFont val="Tahoma"/>
            <family val="2"/>
          </rPr>
          <t xml:space="preserve"> 
</t>
        </r>
        <r>
          <rPr>
            <sz val="9"/>
            <color rgb="FF000000"/>
            <rFont val="Tahoma"/>
            <family val="2"/>
          </rPr>
          <t xml:space="preserve">To use this - you add lines through </t>
        </r>
        <r>
          <rPr>
            <b/>
            <sz val="9"/>
            <color rgb="FF000000"/>
            <rFont val="Tahoma"/>
            <family val="2"/>
          </rPr>
          <t>copying existing rows</t>
        </r>
        <r>
          <rPr>
            <sz val="9"/>
            <color rgb="FF000000"/>
            <rFont val="Tahoma"/>
            <family val="2"/>
          </rPr>
          <t xml:space="preserve"> into rows in this table. Then the ID numbers will settle them selves. 
</t>
        </r>
        <r>
          <rPr>
            <sz val="9"/>
            <color rgb="FF000000"/>
            <rFont val="Tahoma"/>
            <family val="2"/>
          </rPr>
          <t xml:space="preserve">If you use instert new row, the chain is broken. Then copy a line - with a number in it into the empty line. </t>
        </r>
      </text>
    </comment>
    <comment ref="E6" authorId="0" shapeId="0" xr:uid="{00000000-0006-0000-0700-000002000000}">
      <text>
        <r>
          <rPr>
            <b/>
            <sz val="9"/>
            <color rgb="FF000000"/>
            <rFont val="Tahoma"/>
            <family val="2"/>
          </rPr>
          <t>Hartsinck, Dave (D.):</t>
        </r>
        <r>
          <rPr>
            <sz val="9"/>
            <color rgb="FF000000"/>
            <rFont val="Tahoma"/>
            <family val="2"/>
          </rPr>
          <t xml:space="preserve">
</t>
        </r>
        <r>
          <rPr>
            <sz val="9"/>
            <color rgb="FF000000"/>
            <rFont val="Tahoma"/>
            <family val="2"/>
          </rPr>
          <t xml:space="preserve">If status is IBM  Request OR DXC Request. 
</t>
        </r>
        <r>
          <rPr>
            <sz val="9"/>
            <color rgb="FF000000"/>
            <rFont val="Tahoma"/>
            <family val="2"/>
          </rPr>
          <t xml:space="preserve">
</t>
        </r>
        <r>
          <rPr>
            <sz val="9"/>
            <color rgb="FF000000"/>
            <rFont val="Tahoma"/>
            <family val="2"/>
          </rPr>
          <t xml:space="preserve">Then the registration line will be picked up by the Auto Import Routine from the new firewall request form. 
</t>
        </r>
        <r>
          <rPr>
            <sz val="9"/>
            <color rgb="FF000000"/>
            <rFont val="Tahoma"/>
            <family val="2"/>
          </rPr>
          <t xml:space="preserve">All states will be skipped except for those marked with " =&gt; FWR import routine!" by the FWR import routine. 
</t>
        </r>
        <r>
          <rPr>
            <sz val="9"/>
            <color rgb="FF000000"/>
            <rFont val="Tahoma"/>
            <family val="2"/>
          </rPr>
          <t xml:space="preserve">
</t>
        </r>
        <r>
          <rPr>
            <sz val="9"/>
            <color rgb="FF000000"/>
            <rFont val="Tahoma"/>
            <family val="2"/>
          </rPr>
          <t xml:space="preserve">On Hold                           =&gt; When the row is still being handled 
</t>
        </r>
        <r>
          <rPr>
            <sz val="9"/>
            <color rgb="FF000000"/>
            <rFont val="Tahoma"/>
            <family val="2"/>
          </rPr>
          <t xml:space="preserve">Not Applicable            =&gt; When no firewall request is needed 
</t>
        </r>
        <r>
          <rPr>
            <sz val="9"/>
            <color rgb="FF000000"/>
            <rFont val="Tahoma"/>
            <family val="2"/>
          </rPr>
          <t xml:space="preserve">IBM Request                 =&gt; When row item is ready to be imported in Firewall Request Sheet for IBM  =&gt; FWR import routine!
</t>
        </r>
        <r>
          <rPr>
            <sz val="9"/>
            <color rgb="FF000000"/>
            <rFont val="Tahoma"/>
            <family val="2"/>
          </rPr>
          <t xml:space="preserve">DXC Request               =&gt; When row item is ready to be imported in Firewall Request Sheet for DXC   =&gt; FWR import routine!
</t>
        </r>
        <r>
          <rPr>
            <sz val="9"/>
            <color rgb="FF000000"/>
            <rFont val="Tahoma"/>
            <family val="2"/>
          </rPr>
          <t xml:space="preserve">KPN Request               =&gt;  When row item is ready to be imported in Firewall Request Sheet for KPN  =&gt; FWR import routine!
</t>
        </r>
        <r>
          <rPr>
            <sz val="9"/>
            <color rgb="FF000000"/>
            <rFont val="Tahoma"/>
            <family val="2"/>
          </rPr>
          <t xml:space="preserve">DXC FWR Issued       =&gt; Set by Firewall Request import routine - when row is imported - changerequest will be pending
</t>
        </r>
        <r>
          <rPr>
            <sz val="9"/>
            <color rgb="FF000000"/>
            <rFont val="Tahoma"/>
            <family val="2"/>
          </rPr>
          <t xml:space="preserve">IBM FWR Issued         =&gt; Set by Firewall Request import routine - when row is imported - changerequest will be pending
</t>
        </r>
        <r>
          <rPr>
            <sz val="9"/>
            <color rgb="FF000000"/>
            <rFont val="Tahoma"/>
            <family val="2"/>
          </rPr>
          <t xml:space="preserve">KPN FWR Issued       =&gt; Set by Firewall Request import routine - when row is imported - changerequest will be pending
</t>
        </r>
        <r>
          <rPr>
            <sz val="9"/>
            <color rgb="FF000000"/>
            <rFont val="Tahoma"/>
            <family val="2"/>
          </rPr>
          <t xml:space="preserve">Issue                                  =&gt; Change has already been executed, but connection still does not work
</t>
        </r>
        <r>
          <rPr>
            <sz val="9"/>
            <color rgb="FF000000"/>
            <rFont val="Tahoma"/>
            <family val="2"/>
          </rPr>
          <t xml:space="preserve">Test OK                            =&gt; Change has already been executed, and connection works directly or when issue is solved.
</t>
        </r>
        <r>
          <rPr>
            <sz val="9"/>
            <color rgb="FF000000"/>
            <rFont val="Tahoma"/>
            <family val="2"/>
          </rPr>
          <t xml:space="preserve">
</t>
        </r>
        <r>
          <rPr>
            <sz val="9"/>
            <color rgb="FF000000"/>
            <rFont val="Tahoma"/>
            <family val="2"/>
          </rPr>
          <t xml:space="preserve">When a row is imported - two things will happen in this sheet: 
</t>
        </r>
        <r>
          <rPr>
            <sz val="9"/>
            <color rgb="FF000000"/>
            <rFont val="Tahoma"/>
            <family val="2"/>
          </rPr>
          <t xml:space="preserve">1: State will be altered to "FWR Issued" - following the environment request (DXC,IBM,KPN) 
</t>
        </r>
        <r>
          <rPr>
            <sz val="9"/>
            <color rgb="FF000000"/>
            <rFont val="Tahoma"/>
            <family val="2"/>
          </rPr>
          <t xml:space="preserve">2: a dated comment is left in the AA - column - FWR number - to show whe the import was done. 
</t>
        </r>
        <r>
          <rPr>
            <sz val="9"/>
            <color rgb="FF000000"/>
            <rFont val="Tahoma"/>
            <family val="2"/>
          </rPr>
          <t xml:space="preserve">
</t>
        </r>
      </text>
    </comment>
    <comment ref="P6" authorId="0" shapeId="0" xr:uid="{00000000-0006-0000-0700-000003000000}">
      <text>
        <r>
          <rPr>
            <b/>
            <sz val="9"/>
            <color indexed="81"/>
            <rFont val="Tahoma"/>
            <family val="2"/>
          </rPr>
          <t>Hartsinck, Dave (D.):</t>
        </r>
        <r>
          <rPr>
            <sz val="9"/>
            <color indexed="81"/>
            <rFont val="Tahoma"/>
            <family val="2"/>
          </rPr>
          <t xml:space="preserve">
To ADD PROTOCOLS to the list:
Go to the TABLES sheet. </t>
        </r>
      </text>
    </comment>
    <comment ref="T6" authorId="0" shapeId="0" xr:uid="{00000000-0006-0000-0700-000004000000}">
      <text>
        <r>
          <rPr>
            <b/>
            <sz val="9"/>
            <color indexed="81"/>
            <rFont val="Tahoma"/>
            <family val="2"/>
          </rPr>
          <t>Hartsinck, Dave (D.):</t>
        </r>
        <r>
          <rPr>
            <sz val="9"/>
            <color indexed="81"/>
            <rFont val="Tahoma"/>
            <family val="2"/>
          </rPr>
          <t xml:space="preserve">
More information: 
See FMO lines in SCOPE / LEGENDA SHEET.</t>
        </r>
      </text>
    </comment>
    <comment ref="B117" authorId="0" shapeId="0" xr:uid="{00000000-0006-0000-0700-000005000000}">
      <text>
        <r>
          <rPr>
            <b/>
            <sz val="9"/>
            <color indexed="81"/>
            <rFont val="Tahoma"/>
            <family val="2"/>
          </rPr>
          <t>Hartsinck, Dave (D.):</t>
        </r>
        <r>
          <rPr>
            <sz val="9"/>
            <color indexed="81"/>
            <rFont val="Tahoma"/>
            <family val="2"/>
          </rPr>
          <t xml:space="preserve">
DO NOT REMOVE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Hartsinck, Dave (D.)</author>
  </authors>
  <commentList>
    <comment ref="L6" authorId="0" shapeId="0" xr:uid="{00000000-0006-0000-0800-000001000000}">
      <text>
        <r>
          <rPr>
            <b/>
            <sz val="9"/>
            <color indexed="81"/>
            <rFont val="Tahoma"/>
            <family val="2"/>
          </rPr>
          <t>Hartsinck, Dave (D.):</t>
        </r>
        <r>
          <rPr>
            <sz val="9"/>
            <color indexed="81"/>
            <rFont val="Tahoma"/>
            <family val="2"/>
          </rPr>
          <t xml:space="preserve">
</t>
        </r>
        <r>
          <rPr>
            <u/>
            <sz val="9"/>
            <color indexed="81"/>
            <rFont val="Tahoma"/>
            <family val="2"/>
          </rPr>
          <t>ON HOLD</t>
        </r>
        <r>
          <rPr>
            <sz val="9"/>
            <color indexed="81"/>
            <rFont val="Tahoma"/>
            <family val="2"/>
          </rPr>
          <t xml:space="preserve"> = Data is still being gathered 
</t>
        </r>
        <r>
          <rPr>
            <u/>
            <sz val="9"/>
            <color indexed="81"/>
            <rFont val="Tahoma"/>
            <family val="2"/>
          </rPr>
          <t>NOT APPLICABLE</t>
        </r>
        <r>
          <rPr>
            <sz val="9"/>
            <color indexed="81"/>
            <rFont val="Tahoma"/>
            <family val="2"/>
          </rPr>
          <t xml:space="preserve"> = No FWR required
</t>
        </r>
        <r>
          <rPr>
            <u/>
            <sz val="9"/>
            <color indexed="81"/>
            <rFont val="Tahoma"/>
            <family val="2"/>
          </rPr>
          <t>IBM REQUEST</t>
        </r>
        <r>
          <rPr>
            <sz val="9"/>
            <color indexed="81"/>
            <rFont val="Tahoma"/>
            <family val="2"/>
          </rPr>
          <t xml:space="preserve"> = Ready to be exported, FWR -&gt; TO IBM
</t>
        </r>
        <r>
          <rPr>
            <u/>
            <sz val="9"/>
            <color indexed="81"/>
            <rFont val="Tahoma"/>
            <family val="2"/>
          </rPr>
          <t>DXC REQUEST</t>
        </r>
        <r>
          <rPr>
            <sz val="9"/>
            <color indexed="81"/>
            <rFont val="Tahoma"/>
            <family val="2"/>
          </rPr>
          <t xml:space="preserve"> = Ready to be exported, FWR -&gt; DXC
</t>
        </r>
        <r>
          <rPr>
            <u/>
            <sz val="9"/>
            <color indexed="81"/>
            <rFont val="Tahoma"/>
            <family val="2"/>
          </rPr>
          <t>KPN REQUEST</t>
        </r>
        <r>
          <rPr>
            <sz val="9"/>
            <color indexed="81"/>
            <rFont val="Tahoma"/>
            <family val="2"/>
          </rPr>
          <t xml:space="preserve"> = Ready to be exported, FWR -&gt; KPN
</t>
        </r>
        <r>
          <rPr>
            <b/>
            <sz val="9"/>
            <color indexed="81"/>
            <rFont val="Tahoma"/>
            <family val="2"/>
          </rPr>
          <t>Import routine FWR version 2.0 sets for DXC REQUEST status:</t>
        </r>
        <r>
          <rPr>
            <sz val="9"/>
            <color indexed="81"/>
            <rFont val="Tahoma"/>
            <family val="2"/>
          </rPr>
          <t xml:space="preserve">
</t>
        </r>
        <r>
          <rPr>
            <u/>
            <sz val="9"/>
            <color indexed="81"/>
            <rFont val="Tahoma"/>
            <family val="2"/>
          </rPr>
          <t>DXC FWR Issued</t>
        </r>
        <r>
          <rPr>
            <sz val="9"/>
            <color indexed="81"/>
            <rFont val="Tahoma"/>
            <family val="2"/>
          </rPr>
          <t xml:space="preserve"> = (status changed by Import Routine), status when FWR is sent off to CM / DXC
</t>
        </r>
        <r>
          <rPr>
            <u/>
            <sz val="9"/>
            <color indexed="81"/>
            <rFont val="Tahoma"/>
            <family val="2"/>
          </rPr>
          <t>IBM FWR Issued</t>
        </r>
        <r>
          <rPr>
            <sz val="9"/>
            <color indexed="81"/>
            <rFont val="Tahoma"/>
            <family val="2"/>
          </rPr>
          <t xml:space="preserve"> = A status when FWR is sent off to CM / IBM
</t>
        </r>
        <r>
          <rPr>
            <u/>
            <sz val="9"/>
            <color indexed="81"/>
            <rFont val="Tahoma"/>
            <family val="2"/>
          </rPr>
          <t>KPN FWR Issued</t>
        </r>
        <r>
          <rPr>
            <sz val="9"/>
            <color indexed="81"/>
            <rFont val="Tahoma"/>
            <family val="2"/>
          </rPr>
          <t xml:space="preserve"> = A status when FWR is sent off to CM / KPN
</t>
        </r>
        <r>
          <rPr>
            <u/>
            <sz val="9"/>
            <color indexed="81"/>
            <rFont val="Tahoma"/>
            <family val="2"/>
          </rPr>
          <t>ISSUE</t>
        </r>
        <r>
          <rPr>
            <sz val="9"/>
            <color indexed="81"/>
            <rFont val="Tahoma"/>
            <family val="2"/>
          </rPr>
          <t xml:space="preserve"> = After testing there was an issue with the connection -&gt; set only for network issues not for issues that are resolved otherwise (like for authentication)
</t>
        </r>
        <r>
          <rPr>
            <u/>
            <sz val="9"/>
            <color indexed="81"/>
            <rFont val="Tahoma"/>
            <family val="2"/>
          </rPr>
          <t>TEST OK</t>
        </r>
        <r>
          <rPr>
            <sz val="9"/>
            <color indexed="81"/>
            <rFont val="Tahoma"/>
            <family val="2"/>
          </rPr>
          <t xml:space="preserve"> = Connection is technically tested and it works (like in Wilmar's Firewall Sessions)
</t>
        </r>
      </text>
    </comment>
  </commentList>
</comments>
</file>

<file path=xl/sharedStrings.xml><?xml version="1.0" encoding="utf-8"?>
<sst xmlns="http://schemas.openxmlformats.org/spreadsheetml/2006/main" count="17296" uniqueCount="3282">
  <si>
    <t>DOCUMENT PROCES VERSION INFORMATION</t>
  </si>
  <si>
    <t>KEEP THIS POSTION</t>
  </si>
  <si>
    <t>APPLICATION(S) IN FOCUS:</t>
  </si>
  <si>
    <t>DIM-Infosphere</t>
  </si>
  <si>
    <t>Version</t>
  </si>
  <si>
    <t>Date</t>
  </si>
  <si>
    <t>Information</t>
  </si>
  <si>
    <t>SharePoint version CMO</t>
  </si>
  <si>
    <t>dd-mm-yyyy</t>
  </si>
  <si>
    <t>First iteration of the connectivy sheet</t>
  </si>
  <si>
    <t>SharePoint version TMO/FMO</t>
  </si>
  <si>
    <t>·       Update 1</t>
  </si>
  <si>
    <t>·       Update 2</t>
  </si>
  <si>
    <t>·       Update n</t>
  </si>
  <si>
    <t>Verification version 0.9</t>
  </si>
  <si>
    <t>First review version for project team (UWV) after session dd 02/03/2022
To do : Total review, add several DXC server details, add port for DIM internal connections.</t>
  </si>
  <si>
    <t>Verification version 1.0</t>
  </si>
  <si>
    <t>Added ACC  TWS servers at DXC. Set int 26 A and T on not applicable.
Adjusted TWS return port in 13b
Rewrote 8 from WAS to MetaData bridge over specific port
Rewrote 180a+18b to 18 WAS to kubernetes pod (zookeeper)
Rewrote 20a+20b to 20 WAS+Engine to kubernetes pod (kafka)</t>
  </si>
  <si>
    <t>Version 1.0.a.</t>
  </si>
  <si>
    <t>Positive verified version for 'bouwvergunning' - license to build - ACC</t>
  </si>
  <si>
    <t>Version 1.0.b</t>
  </si>
  <si>
    <t>Positive verified version for 'bouwvergunning' - license to build - PRD</t>
  </si>
  <si>
    <t>Version 1.1</t>
  </si>
  <si>
    <t>Post implementation connectivity sheet</t>
  </si>
  <si>
    <t>Version 1.1.x</t>
  </si>
  <si>
    <t>Post implementation connectivity sheet - keep updating</t>
  </si>
  <si>
    <t>DO NOT ADD LINES HERE</t>
  </si>
  <si>
    <t>DOCUMENT VERSION INFORMATION</t>
  </si>
  <si>
    <t xml:space="preserve">Document: </t>
  </si>
  <si>
    <t>Connectivity Document Template</t>
  </si>
  <si>
    <t xml:space="preserve">Version: </t>
  </si>
  <si>
    <t>2.01</t>
  </si>
  <si>
    <t xml:space="preserve">Application CI Run Status : </t>
  </si>
  <si>
    <t>In Transition</t>
  </si>
  <si>
    <t>FEATURES</t>
  </si>
  <si>
    <t>Author</t>
  </si>
  <si>
    <t>Change log</t>
  </si>
  <si>
    <t>#</t>
  </si>
  <si>
    <t>Features</t>
  </si>
  <si>
    <r>
      <rPr>
        <sz val="11"/>
        <color theme="1"/>
        <rFont val="Calibri"/>
        <family val="2"/>
        <scheme val="minor"/>
      </rPr>
      <t>Dave Hartsinck</t>
    </r>
    <r>
      <rPr>
        <i/>
        <sz val="11"/>
        <color theme="1"/>
        <rFont val="Calibri"/>
        <family val="2"/>
        <scheme val="minor"/>
      </rPr>
      <t xml:space="preserve">
contributers to this change:
- Jeroen Wijker,
- Nic Spronsen
- Cora Kuijper
- Dave Hartsinck
- Remco Esveld
- Wilmar Hofstra
- Joost Baas
</t>
    </r>
  </si>
  <si>
    <t>Added features DXC proposal voor new version 1.1. 
- Added common port table
- Added column connection description in CMO / FMO (functional)
- Added standard ports to Protocol List
- Added column port deviation CMO / FMO
- Imported additional Column for FMO: FW Request Number
- Removed Column interface type: Ingoing / Outgoing in CMO/FMO as direction is settled with FROM host (is always connection initiator) and the application in FOCUS. 
- Updated legenda sheet. 
- Added definition for Mutating / non-Mutating connection in Scope And Legenda Sheet.</t>
  </si>
  <si>
    <t>Marking a cell with ??? Highlights Cell Red
- leaves clear marks behind for unanswered questions or items in the 
  CMO or FMO sheet. 
Using the word "check" in a cell with tekst also automatically turns the cell red. So in this case you can put an action in there.  Cell returns to normal when the word "check" is removed.</t>
  </si>
  <si>
    <t xml:space="preserve">Dave Hartsinck </t>
  </si>
  <si>
    <t xml:space="preserve">Feature bug removed:  ???-feature did not work, reported by Maarten Breugem IBM. </t>
  </si>
  <si>
    <t xml:space="preserve">Inserting rows in the table by copying existing (empty) rows 
has ensures automatic numbering of ID field. </t>
  </si>
  <si>
    <t>Dave Hartsinck</t>
  </si>
  <si>
    <t xml:space="preserve">Cosmetic change - all CMO FMO cells have "Terugloop" </t>
  </si>
  <si>
    <t>Highlighted features with columns with few qualifiers.</t>
  </si>
  <si>
    <t xml:space="preserve">Cosmetic change + added MYSQL protocol to standard table. </t>
  </si>
  <si>
    <t>Dropdown list features for columns with many qualifiers</t>
  </si>
  <si>
    <t xml:space="preserve">Added "Check" feature - see features #1. </t>
  </si>
  <si>
    <t xml:space="preserve">Application name to set in one place: this sheet in cell G6. </t>
  </si>
  <si>
    <t>Turned FMO ACC, and FMO PRD for FROM / TO Zone - into selectable lists [not yet implemented]</t>
  </si>
  <si>
    <t>Header is retractable to create more table view.</t>
  </si>
  <si>
    <t xml:space="preserve">Added template version number in headers of CMO and FMO sheets. </t>
  </si>
  <si>
    <t xml:space="preserve">All CMO and FMO forms have a Reset/Clear Filter button </t>
  </si>
  <si>
    <t xml:space="preserve">Added import interface to import data from older template version  1.0 </t>
  </si>
  <si>
    <t>FMO sheets now have import routines</t>
  </si>
  <si>
    <t>XLDeploy indications for source and target application</t>
  </si>
  <si>
    <t>Auto unique referencing from between CMO - FMO (using import)</t>
  </si>
  <si>
    <t>Replaced SI Y/N with non moving and moving SI coupling variants in SI column</t>
  </si>
  <si>
    <t>Automatic Zone recognition for DXC end IBM zones</t>
  </si>
  <si>
    <t xml:space="preserve">Bug solved for slow performing sheets - cleaned out "opmaak"-rules - and simplified. </t>
  </si>
  <si>
    <t>Updates on CMO no problem for FMO re-import all new rows are auto recognized.</t>
  </si>
  <si>
    <t>Added firewall request sheet for AUTO import firewall rules controlled from TMO-FMO sheets</t>
  </si>
  <si>
    <t>The empty line feature for grouping connections is possible by providing X in CMO  column E</t>
  </si>
  <si>
    <t>Added Sheet "Variables" for importing CMO sheets and creating unique references to CMO.</t>
  </si>
  <si>
    <t>Append mode import CMO-&gt;FMO for multiple sheets import</t>
  </si>
  <si>
    <t>Added field for TMO-FMO: CMO Reference identifier for CMO lines import purposes</t>
  </si>
  <si>
    <t>IP Range tables in Sheet Tables are dynamically maintainable. First empty cell is the end of the list</t>
  </si>
  <si>
    <t xml:space="preserve">Added field for TMO-FMO: FW request status - to control import to FW request form </t>
  </si>
  <si>
    <t>Multiple IP address fields in FMO columns J and M are checked on same ZONE - red field on error</t>
  </si>
  <si>
    <t>Dave Hartsinck for v2.0</t>
  </si>
  <si>
    <t>Added import interface from CMO to FMO for acc and production</t>
  </si>
  <si>
    <t>If status is IN TRANSITION in Versioning Cell - 28H, then FW import will set "VeDaT (As Is)" as default CIA rating.</t>
  </si>
  <si>
    <t>Added control field for managing firewall requests - Column E in FMO sheets</t>
  </si>
  <si>
    <t xml:space="preserve">It is no longer necessary to mention zones - these are auto translated from ip address. </t>
  </si>
  <si>
    <t>Empty line feature implemented for grouping connections =&gt; import CMO-&gt;FMO</t>
  </si>
  <si>
    <t>Added "Variables" sheet for unique CMO refernce ID's =&gt; import CMO-&gt;FMO</t>
  </si>
  <si>
    <t xml:space="preserve">Updated Legenda </t>
  </si>
  <si>
    <t>Solution implemented for multiple IP address fields for FMO columns J and M</t>
  </si>
  <si>
    <t xml:space="preserve">V1.46 TEST: Removed automatic numbering in FMO to allow for insertions while maintaining refs. </t>
  </si>
  <si>
    <t>V1.46 TEST: Implemented append imports in CMO and FMO imports</t>
  </si>
  <si>
    <t>V1.46 TEST: Implemented imports from connectivity sheet v1.00 Pink and v1.14 Grey</t>
  </si>
  <si>
    <t>V1.46 TEST: Implemented group separation lines for import CMO and FMO</t>
  </si>
  <si>
    <t>ON HOLD =&gt; implementation of Security Group Translation.</t>
  </si>
  <si>
    <t>Added Legal Notice sheet on gehalf of UWV-DXC connectivity taskforce</t>
  </si>
  <si>
    <t xml:space="preserve">Release Decision </t>
  </si>
  <si>
    <t>GO FOR RELEASE: Joost Baas, Remco Esveld, Wilmar Hofstra [Nic Spronsen not attending], ao DXC</t>
  </si>
  <si>
    <t>Dave Hartsinck for v2.01</t>
  </si>
  <si>
    <t xml:space="preserve">Textual change in header TMO/FMO (From =&gt; To column L) </t>
  </si>
  <si>
    <t xml:space="preserve">Added control feature (16) to state if application CI is in TRANSITION or in BAU for FWR import routine. </t>
  </si>
  <si>
    <t>PENDING</t>
  </si>
  <si>
    <t>Validation button for CMO</t>
  </si>
  <si>
    <t xml:space="preserve">SOURCE REFERENCES </t>
  </si>
  <si>
    <t>Sheets / Tabs</t>
  </si>
  <si>
    <t>VBA Source Location</t>
  </si>
  <si>
    <t>Interface Entry</t>
  </si>
  <si>
    <t>Sheet References</t>
  </si>
  <si>
    <t>Versioning Tab</t>
  </si>
  <si>
    <t>no code reference</t>
  </si>
  <si>
    <t>n.a.</t>
  </si>
  <si>
    <t xml:space="preserve">Cells G6 (application name) and F28 (template version) used by reference in CMO and FMO sheets, Uses sheet [Tables] Column X. </t>
  </si>
  <si>
    <t>Scope &amp; Legenda</t>
  </si>
  <si>
    <t xml:space="preserve">no sheet references </t>
  </si>
  <si>
    <t>Import</t>
  </si>
  <si>
    <t>blad9 (Import)</t>
  </si>
  <si>
    <t>Button [IMPORT DATA]: CommandButton1_Click() import from old connectivity sheets</t>
  </si>
  <si>
    <t>Uses column N and W in sheet [Tables]</t>
  </si>
  <si>
    <t>Connections ACC (CMO)</t>
  </si>
  <si>
    <t>blad3 (Connections ACC (CMO))</t>
  </si>
  <si>
    <t>Button [RESET FILTER]: CommandButton1_Click() - filter reset command</t>
  </si>
  <si>
    <t>Uses sheet [Tables] columns: B, C, D, E, F, G and J</t>
  </si>
  <si>
    <t>Connections PRD (CMO)</t>
  </si>
  <si>
    <t>blad4 (Connections PRD (CMO))</t>
  </si>
  <si>
    <t>Connections ACC (TMO-FMO)</t>
  </si>
  <si>
    <t>blad5 (Connections ACC (TMO-FMO))
Module1:</t>
  </si>
  <si>
    <t>Button [IMPORT CMO]: CommandButton1_Click() - filter reset command
Button [RESET FILTER]: CommandButton2_Click() - filter reset command
Cell Functions Retrieve Zone in Column N and O
Other public functions CopyDataCMO, IsEmpty</t>
  </si>
  <si>
    <t>Uses sheet [Tables] columns: L, R, S, T, C, J, D, B, G, E, Y</t>
  </si>
  <si>
    <t>Connections PRD (TMO-FMO)</t>
  </si>
  <si>
    <t>blad6 (Connections PRD (TMO-FMO))
Module1:</t>
  </si>
  <si>
    <t>Confipedia</t>
  </si>
  <si>
    <t>Tables</t>
  </si>
  <si>
    <t>Variables</t>
  </si>
  <si>
    <t>Common Port Tabel</t>
  </si>
  <si>
    <t>Module1</t>
  </si>
  <si>
    <t>Public functions that do not appear in sheet related code</t>
  </si>
  <si>
    <t>LEGAL NOTICE</t>
  </si>
  <si>
    <t>Confidentiality:</t>
  </si>
  <si>
    <t xml:space="preserve">
This document has been prepared by DXC and UWV. The content is confidential and must not be communicated in whole or in part to any other party without the prior written approval of DXC. 
No copy or other reproduction, other than for the purpose of evaluation of this document, shall be made in whole or in part without the prior written permission of DXC.
The following notice applies to this document and shall be reproduced on any permitted copies
Copyright © 2021 DXC. All rights reserved
</t>
  </si>
  <si>
    <t>Distribution:</t>
  </si>
  <si>
    <t xml:space="preserve">
This document has been prepared by DXC and UWV. The content is confidential and can only be distributed to DXC personnel assigned to the UWV account, and/or UWV personnel allowed to access the technical information on the ICT environment </t>
  </si>
  <si>
    <t>LEGENDA COLUMNS CMO / FMO &amp; SCOPE</t>
  </si>
  <si>
    <t xml:space="preserve">SCOPE: </t>
  </si>
  <si>
    <r>
      <t xml:space="preserve">The scope of registration items in CMO is as follows in relation to application or applications </t>
    </r>
    <r>
      <rPr>
        <u/>
        <sz val="11"/>
        <color theme="1"/>
        <rFont val="Calibri"/>
        <family val="2"/>
        <scheme val="minor"/>
      </rPr>
      <t>in focus (Versioning cell 6G)</t>
    </r>
    <r>
      <rPr>
        <sz val="11"/>
        <color theme="1"/>
        <rFont val="Calibri"/>
        <family val="2"/>
        <charset val="238"/>
        <scheme val="minor"/>
      </rPr>
      <t xml:space="preserve"> of this document: 
     1. All connections from/to actor(types) and nodes of applications to the application(s)'s nodes in focus.
     2. All indirect connections from/to nodes of Relay Stations (like SI, GUP, ESB etc.) to the application(s)'s nodes in focus. 
     3. All end points of Relay Stations that require change (in URL or authentication...) due to the move of the application or applications in focus. 
     4. All communications within the nodes related to the application(s) in focus. </t>
    </r>
  </si>
  <si>
    <t>Form</t>
  </si>
  <si>
    <t xml:space="preserve">Field Name </t>
  </si>
  <si>
    <t>Description</t>
  </si>
  <si>
    <t xml:space="preserve">Comment / Usage </t>
  </si>
  <si>
    <t>Extra comment</t>
  </si>
  <si>
    <t>CMO</t>
  </si>
  <si>
    <t>CMO Ref</t>
  </si>
  <si>
    <t>FMO imported unique generated number</t>
  </si>
  <si>
    <t>Do not use this field - if used manually and field is not empty it will be skipped by the FMO import routing</t>
  </si>
  <si>
    <t>Moslty useful for complex environments</t>
  </si>
  <si>
    <t>ID</t>
  </si>
  <si>
    <t>ID connectivity number</t>
  </si>
  <si>
    <t xml:space="preserve">Just a sequence number -&gt; semi auto numbering, when inserting empty line, copy any ID from another line. </t>
  </si>
  <si>
    <t xml:space="preserve">IBM HLD Ref. </t>
  </si>
  <si>
    <t>Reference to HLD of IBM</t>
  </si>
  <si>
    <t>Commonly used for source reference like: BAA, GOH, HLD, or other document</t>
  </si>
  <si>
    <t>BAA = Base Architectural Administration</t>
  </si>
  <si>
    <t>Connection Description</t>
  </si>
  <si>
    <t xml:space="preserve">A short functional description of the connection </t>
  </si>
  <si>
    <t>A functional description of the connection, should be short and in one line</t>
  </si>
  <si>
    <r>
      <t>From Application</t>
    </r>
    <r>
      <rPr>
        <b/>
        <sz val="11"/>
        <rFont val="Calibri"/>
        <family val="2"/>
        <scheme val="minor"/>
      </rPr>
      <t xml:space="preserve"> (connection Initiator)</t>
    </r>
  </si>
  <si>
    <t xml:space="preserve">An application or Actor </t>
  </si>
  <si>
    <t>Could be an application or some person in a role like UWV User, UWV FB User, External User that INITIATES the connection</t>
  </si>
  <si>
    <t>XLDeploy (yes/no)</t>
  </si>
  <si>
    <t>Indicator for XLDeploy usage</t>
  </si>
  <si>
    <t xml:space="preserve">Indication is handy to where to find configuration information for users and URLS etc. </t>
  </si>
  <si>
    <t>To Application</t>
  </si>
  <si>
    <t>An application or Actor</t>
  </si>
  <si>
    <t>Could be an application or some person in a role like UWV User, UWV FB User, External User</t>
  </si>
  <si>
    <t>From PN (initiator)</t>
  </si>
  <si>
    <t>PN number IBM host</t>
  </si>
  <si>
    <t xml:space="preserve">Could be multiple partnumbers as registrered in CMDB, if a user is stated use: &lt;KWN&gt; or &lt;UCRA&gt; </t>
  </si>
  <si>
    <t xml:space="preserve">Initiator is the side STARTING the communication </t>
  </si>
  <si>
    <t>From Host</t>
  </si>
  <si>
    <t>Functional name host or destination</t>
  </si>
  <si>
    <t>Could be multiple hosts as registered in CMDB, if a user is stated use: &lt;workstation&gt;</t>
  </si>
  <si>
    <t>From IP Address</t>
  </si>
  <si>
    <t>Source IP Address</t>
  </si>
  <si>
    <t xml:space="preserve">Could be multiple IP addresses as registered in CMDB, if a user is stated use: &lt;dynamic&gt; </t>
  </si>
  <si>
    <t>To PN</t>
  </si>
  <si>
    <t>Could be multiple partnumbers as registrered in CMDB</t>
  </si>
  <si>
    <t>To Host</t>
  </si>
  <si>
    <t>To IP Address</t>
  </si>
  <si>
    <t>Target IP Address</t>
  </si>
  <si>
    <t>Could be multiple IP addresses as registered in CMDB</t>
  </si>
  <si>
    <t>Protocol + Port</t>
  </si>
  <si>
    <t>Connectivity type</t>
  </si>
  <si>
    <t>Used communications protocol with standard port - select protocol from list; if not there you can add it in Tables column C.</t>
  </si>
  <si>
    <t xml:space="preserve">Also check Common Port Table - for any help. </t>
  </si>
  <si>
    <t>Port Deviation</t>
  </si>
  <si>
    <t>Ports used that deviate from the standard port</t>
  </si>
  <si>
    <t>SI Connection</t>
  </si>
  <si>
    <t>Wether SI is involved in the connection or not</t>
  </si>
  <si>
    <t>Use Yes or No</t>
  </si>
  <si>
    <t>Mutating / Or Non-Mutating</t>
  </si>
  <si>
    <t>Wether APP2APP connection is mutating or not</t>
  </si>
  <si>
    <t>See DEFINITION BELOW</t>
  </si>
  <si>
    <t>Queue manager name</t>
  </si>
  <si>
    <t>IBM Websphere MQ queue manager name</t>
  </si>
  <si>
    <t>Queue name</t>
  </si>
  <si>
    <t>MQ queue name belonging to queue manager</t>
  </si>
  <si>
    <t>Queue type *</t>
  </si>
  <si>
    <t>MQ queue type (local / remote / transmission,...)</t>
  </si>
  <si>
    <t>Location</t>
  </si>
  <si>
    <t>DXC / IBM or external network in current situation</t>
  </si>
  <si>
    <t xml:space="preserve">The  subject matter application is in leaving datacenter, the other app determines if the value (source DC, target DC or Ext). </t>
  </si>
  <si>
    <t>In this Source DC= IBM, Target DC=DXC.</t>
  </si>
  <si>
    <t>USER</t>
  </si>
  <si>
    <t>User name to make the connection</t>
  </si>
  <si>
    <t>Sometimes user account types are mentioned or an actual user(s).</t>
  </si>
  <si>
    <t>FMO</t>
  </si>
  <si>
    <t>Mode (TMO, FMO)</t>
  </si>
  <si>
    <t>Mode of operation TMO / FMO</t>
  </si>
  <si>
    <t>Use FMO if all equipement is at DXC, use TMO if part of the connection resides at counter party datacenter</t>
  </si>
  <si>
    <t xml:space="preserve">A functional description of the connection </t>
  </si>
  <si>
    <t>Firewall Request status</t>
  </si>
  <si>
    <t>Control variable that regulates import to FWR form</t>
  </si>
  <si>
    <t xml:space="preserve">See for more information about the qualifiers of this field and how to use it in the comments of the field header </t>
  </si>
  <si>
    <r>
      <t xml:space="preserve">From Application </t>
    </r>
    <r>
      <rPr>
        <b/>
        <sz val="11"/>
        <color theme="1"/>
        <rFont val="Calibri"/>
        <family val="2"/>
        <scheme val="minor"/>
      </rPr>
      <t>(connection Initiator)</t>
    </r>
  </si>
  <si>
    <r>
      <t xml:space="preserve">Could be an application or some person in a role like UWV User, UWV FB User, External User that </t>
    </r>
    <r>
      <rPr>
        <b/>
        <sz val="11"/>
        <color theme="1"/>
        <rFont val="Calibri"/>
        <family val="2"/>
        <scheme val="minor"/>
      </rPr>
      <t>INITIATES</t>
    </r>
    <r>
      <rPr>
        <sz val="11"/>
        <color theme="1"/>
        <rFont val="Calibri"/>
        <family val="2"/>
        <charset val="238"/>
        <scheme val="minor"/>
      </rPr>
      <t xml:space="preserve"> the connection</t>
    </r>
  </si>
  <si>
    <t>From Asset (initiator)</t>
  </si>
  <si>
    <t>From Host Name (NSX-T)</t>
  </si>
  <si>
    <t>Functional name host or destination and NSX-T tag</t>
  </si>
  <si>
    <t>Could be multiple hosts as registered in CMDB, if a user is stated use: &lt;workstation&gt;, NSX-T tag for use in virtual environment</t>
  </si>
  <si>
    <t>From Host IP adress/NSX-T Security Group</t>
  </si>
  <si>
    <t>Could be multiple IP addresses as registered in CMDB, if a user is stated use: &lt;dynamic&gt; , also state NSX security group</t>
  </si>
  <si>
    <t>To Asset</t>
  </si>
  <si>
    <t>To Host Name (NSX-T)</t>
  </si>
  <si>
    <t>To  HOST IP adress/NSX-T Security Group</t>
  </si>
  <si>
    <t>Could be multiple IP addresses as registered in CMDB, also state NSX security group</t>
  </si>
  <si>
    <t>From Zone</t>
  </si>
  <si>
    <t>From Firewall Zone</t>
  </si>
  <si>
    <t>Is automated  - does not need manual input</t>
  </si>
  <si>
    <t>To Zone</t>
  </si>
  <si>
    <t>To Firewall Zone</t>
  </si>
  <si>
    <t>Mutating / Non Mutating</t>
  </si>
  <si>
    <t>C-Labeled account</t>
  </si>
  <si>
    <t>Is this a IBM customer account</t>
  </si>
  <si>
    <t>If so, then new accounts have to be requested for applications that still reside at HRC, that subject app communcates with</t>
  </si>
  <si>
    <t>C-Labeled account name</t>
  </si>
  <si>
    <t>Name of the account</t>
  </si>
  <si>
    <t xml:space="preserve">New name will be requested, as it says above. But then with the same kind of configuration for DXC connection. </t>
  </si>
  <si>
    <t xml:space="preserve">Forward Request Nr </t>
  </si>
  <si>
    <t>Request for firewall request change</t>
  </si>
  <si>
    <t>Firewall request number used to facilitate communication between from and to node</t>
  </si>
  <si>
    <t>Defintion</t>
  </si>
  <si>
    <r>
      <t xml:space="preserve">Reasong for specifying Mutating / Non Mutating
To assess risk at production GoLive the project needs to know which connections are mutating and which are not. 
In case of major problems and damages, </t>
    </r>
    <r>
      <rPr>
        <u/>
        <sz val="11"/>
        <color theme="1"/>
        <rFont val="Calibri"/>
        <family val="2"/>
        <scheme val="minor"/>
      </rPr>
      <t>a last</t>
    </r>
    <r>
      <rPr>
        <sz val="11"/>
        <color theme="1"/>
        <rFont val="Calibri"/>
        <family val="2"/>
        <charset val="238"/>
        <scheme val="minor"/>
      </rPr>
      <t xml:space="preserve"> resort to get back to operations could be to reinstate the existing environment but without transferring data back. The damage assesment depends on the specification these mutating connections. 
There are three qualifiers for a Mutating or Non Mutating connection: Mutating, Non Mutating, Not Applicable. 
A mutating connection </t>
    </r>
    <r>
      <rPr>
        <u/>
        <sz val="11"/>
        <color theme="1"/>
        <rFont val="Calibri"/>
        <family val="2"/>
        <scheme val="minor"/>
      </rPr>
      <t>within</t>
    </r>
    <r>
      <rPr>
        <sz val="11"/>
        <color theme="1"/>
        <rFont val="Calibri"/>
        <family val="2"/>
        <charset val="238"/>
        <scheme val="minor"/>
      </rPr>
      <t xml:space="preserve"> the system </t>
    </r>
    <r>
      <rPr>
        <u/>
        <sz val="11"/>
        <color theme="1"/>
        <rFont val="Calibri"/>
        <family val="2"/>
        <scheme val="minor"/>
      </rPr>
      <t>in focus</t>
    </r>
    <r>
      <rPr>
        <sz val="11"/>
        <color theme="1"/>
        <rFont val="Calibri"/>
        <family val="2"/>
        <charset val="238"/>
        <scheme val="minor"/>
      </rPr>
      <t xml:space="preserve">, like a application server talking to its own database server qualifies as: Not Applicable - because these are both the same application CI. (Unless the definition is changed, but in practice this is for 99% always a mutating connection).
A connection is considered mutating if the data in at least one application is updated due to the communications between two nodes. </t>
    </r>
    <r>
      <rPr>
        <u/>
        <sz val="11"/>
        <color theme="1"/>
        <rFont val="Calibri"/>
        <family val="2"/>
        <scheme val="minor"/>
      </rPr>
      <t>This does not include logs</t>
    </r>
    <r>
      <rPr>
        <sz val="11"/>
        <color theme="1"/>
        <rFont val="Calibri"/>
        <family val="2"/>
        <charset val="238"/>
        <scheme val="minor"/>
      </rPr>
      <t xml:space="preserve">. 
Possibilities: 
connection incoming or outgoing - with no data changes in either of the applications =&gt; Not Mutating
connection incoming or outgoing - with a data change in one of the applications  =&gt; Mutating
connection incoming or outgoing - with data changes in both of the applications =&gt; Mutating 
</t>
    </r>
  </si>
  <si>
    <t>Connection Sheet VERSION:</t>
  </si>
  <si>
    <t>IMPORT
SHEET</t>
  </si>
  <si>
    <t>V1.14 Grey</t>
  </si>
  <si>
    <t>*</t>
  </si>
  <si>
    <t>IMPORT DIRECTORY:</t>
  </si>
  <si>
    <t>Path to your file, copy that one from the address bar in your file explorer.</t>
  </si>
  <si>
    <t xml:space="preserve">IMPORT FILE NAME: </t>
  </si>
  <si>
    <t>Full file name, use mouse right click -&gt; "rename" in your file explorer to be able to copy/paste file name to this field</t>
  </si>
  <si>
    <t xml:space="preserve">IMPORT WORKSHEET: </t>
  </si>
  <si>
    <t xml:space="preserve">Choose import sheet, if it does not have a standard name - then rename to a standard name. </t>
  </si>
  <si>
    <t>Or add the worksheet name to the empty fields Tables -&gt; "Import Worksheets", and select it here.</t>
  </si>
  <si>
    <t xml:space="preserve">START LINE: </t>
  </si>
  <si>
    <t>Default: 7 for v1.14, 5 for v1.00</t>
  </si>
  <si>
    <t>END LINE:</t>
  </si>
  <si>
    <t>Default: ends when ID numbering stops - then this field = 0</t>
  </si>
  <si>
    <t xml:space="preserve">TARGET WORKSHEET: </t>
  </si>
  <si>
    <t>Target worksheet in this sheet</t>
  </si>
  <si>
    <t>INFORMATION</t>
  </si>
  <si>
    <r>
      <t xml:space="preserve">Importing from an older version connectivity sheet. 
Supported imports: v1.14 GREY and v1.00 PINK = last version of the pink sheet. 
</t>
    </r>
    <r>
      <rPr>
        <b/>
        <sz val="11"/>
        <color theme="1"/>
        <rFont val="Calibri"/>
        <family val="2"/>
        <scheme val="minor"/>
      </rPr>
      <t xml:space="preserve">Important: </t>
    </r>
    <r>
      <rPr>
        <sz val="11"/>
        <color theme="1"/>
        <rFont val="Calibri"/>
        <family val="2"/>
        <charset val="238"/>
        <scheme val="minor"/>
      </rPr>
      <t xml:space="preserve">
Import will be standard in APPEND mode.  So items will be ADDED to the target sheet. 
</t>
    </r>
    <r>
      <rPr>
        <b/>
        <sz val="11"/>
        <color theme="1"/>
        <rFont val="Calibri"/>
        <family val="2"/>
        <scheme val="minor"/>
      </rPr>
      <t>BEWARE:</t>
    </r>
    <r>
      <rPr>
        <sz val="11"/>
        <color theme="1"/>
        <rFont val="Calibri"/>
        <family val="2"/>
        <charset val="238"/>
        <scheme val="minor"/>
      </rPr>
      <t xml:space="preserve"> the first EMPTY - FROM APPLICATION cell will be considered as the end of the list, the next cell will be the append starting postion. The last line from the connectivity to import from is also determined by the first encountered EMPTY - FROM APPLICATION cell. 
</t>
    </r>
    <r>
      <rPr>
        <b/>
        <sz val="11"/>
        <color theme="1"/>
        <rFont val="Calibri"/>
        <family val="2"/>
        <scheme val="minor"/>
      </rPr>
      <t xml:space="preserve">If you have grouped lines seperated by EMPTY lines in the source or target sheet - put an "X" (and nothing else) in the FROM APPLICATION cell on the empty line. 
</t>
    </r>
  </si>
  <si>
    <t>IMPORT Last Record:</t>
  </si>
  <si>
    <t>TARGET writing line:</t>
  </si>
  <si>
    <t>CMO PRODUCTION ENVIRONMENT</t>
  </si>
  <si>
    <t>Template version:</t>
  </si>
  <si>
    <t xml:space="preserve">UWV Application Interfaces - Connectivity Overview: </t>
  </si>
  <si>
    <t>TIP: a cell equals: ??? OR contains "check" cell will turn RED.</t>
  </si>
  <si>
    <t>Fill in application name: sheet [Versioning] Cell G-6</t>
  </si>
  <si>
    <t>FMO
import ref
(do not use field)</t>
  </si>
  <si>
    <t>IBM HLD
Refer.</t>
  </si>
  <si>
    <t>Short Functional Connection Description</t>
  </si>
  <si>
    <r>
      <t xml:space="preserve">FROM APPLICATION
</t>
    </r>
    <r>
      <rPr>
        <b/>
        <sz val="11"/>
        <color rgb="FFFFFF00"/>
        <rFont val="Calibri"/>
        <family val="2"/>
        <scheme val="minor"/>
      </rPr>
      <t>Connection 
Initiator</t>
    </r>
  </si>
  <si>
    <t>XLD
Used
Y/N</t>
  </si>
  <si>
    <t>TO APPLICATION</t>
  </si>
  <si>
    <t>FROM PN (Initiator)</t>
  </si>
  <si>
    <t>FROM HOST</t>
  </si>
  <si>
    <t>FROM HOST IP adress</t>
  </si>
  <si>
    <t>TO PN</t>
  </si>
  <si>
    <t>TO HOST</t>
  </si>
  <si>
    <t>To  HOST IP adress</t>
  </si>
  <si>
    <t>Protocol
+
Port</t>
  </si>
  <si>
    <t>Port
Deviation</t>
  </si>
  <si>
    <t xml:space="preserve">SI 
Connection
</t>
  </si>
  <si>
    <t>Mutating/
Non-mutating</t>
  </si>
  <si>
    <t>Queue
manager 
name</t>
  </si>
  <si>
    <t>Queue 
name</t>
  </si>
  <si>
    <t>Queue type</t>
  </si>
  <si>
    <t xml:space="preserve">Location </t>
  </si>
  <si>
    <t>Comments</t>
  </si>
  <si>
    <t>Comments UWV</t>
  </si>
  <si>
    <t>CMOACC0033</t>
  </si>
  <si>
    <t>User access to webservices</t>
  </si>
  <si>
    <t>UWV user</t>
  </si>
  <si>
    <t>No</t>
  </si>
  <si>
    <t>DIM IIS searchsvcs</t>
  </si>
  <si>
    <t>KWN</t>
  </si>
  <si>
    <t>KWN workplace</t>
  </si>
  <si>
    <t>PN5444</t>
  </si>
  <si>
    <t>srdim016o</t>
  </si>
  <si>
    <t>10.142.193.5</t>
  </si>
  <si>
    <t>HTTPS: 443</t>
  </si>
  <si>
    <t>Mutating</t>
  </si>
  <si>
    <t xml:space="preserve">&lt;choose&gt; </t>
  </si>
  <si>
    <t xml:space="preserve">External </t>
  </si>
  <si>
    <t>CMOACC0034</t>
  </si>
  <si>
    <t>Admin access to Integration bridge</t>
  </si>
  <si>
    <t>DIM IIS Metadata Integration bridge</t>
  </si>
  <si>
    <t>PN5443</t>
  </si>
  <si>
    <t>srdim015o</t>
  </si>
  <si>
    <t>10.142.193.4</t>
  </si>
  <si>
    <t>not applicable</t>
  </si>
  <si>
    <t>CMOACC0035</t>
  </si>
  <si>
    <t>UWV FB from UCRA to Integration bridge for Remote server</t>
  </si>
  <si>
    <t>UCRA</t>
  </si>
  <si>
    <t>PN4170
PN4171</t>
  </si>
  <si>
    <t>srucra001o
srucra002o</t>
  </si>
  <si>
    <t>10.140.128.17
10.140.128.18</t>
  </si>
  <si>
    <t>RDP: 3389</t>
  </si>
  <si>
    <t>IBM</t>
  </si>
  <si>
    <t>Member of "L-RG-UWV-x-DIM-INFOSPHERE-IIS-METADATA-INTEGRATION"</t>
  </si>
  <si>
    <t>CMOACC0036</t>
  </si>
  <si>
    <t>UWV FB from UCRA to all servers</t>
  </si>
  <si>
    <t>DIM srvrs</t>
  </si>
  <si>
    <t>PN5441
PN5442
PN5444</t>
  </si>
  <si>
    <t>srdim013o
srdim014o
srdim016o</t>
  </si>
  <si>
    <t>10.142.193.6
10.142.193.3
10.142.193.5</t>
  </si>
  <si>
    <t>SSH: 22</t>
  </si>
  <si>
    <t>local Linux user accounts</t>
  </si>
  <si>
    <t>CMOACC0037</t>
  </si>
  <si>
    <t>FAT client to Engine server</t>
  </si>
  <si>
    <t>DIM Engine srvr</t>
  </si>
  <si>
    <t>PN5442</t>
  </si>
  <si>
    <t>srdim014o</t>
  </si>
  <si>
    <t>10.142.193.3</t>
  </si>
  <si>
    <t>TCP/UDP:</t>
  </si>
  <si>
    <t>CMOACC0038</t>
  </si>
  <si>
    <t>FAT client to Services server</t>
  </si>
  <si>
    <t>DIM services svr</t>
  </si>
  <si>
    <t>PN5441</t>
  </si>
  <si>
    <t>srdim013o</t>
  </si>
  <si>
    <t>10.142.193.6</t>
  </si>
  <si>
    <t>CMOACC0039</t>
  </si>
  <si>
    <t>FAT client to IIS Services server</t>
  </si>
  <si>
    <t>CMOACC0040</t>
  </si>
  <si>
    <t>From WAS srvr toMetadata Interchange Agent</t>
  </si>
  <si>
    <t xml:space="preserve">TCP: </t>
  </si>
  <si>
    <t>CMOACC0041</t>
  </si>
  <si>
    <t>From Integration srvr to DB srvr</t>
  </si>
  <si>
    <t>DWH</t>
  </si>
  <si>
    <t>PN3188</t>
  </si>
  <si>
    <t>srdwh049t</t>
  </si>
  <si>
    <t>10.140.97.92</t>
  </si>
  <si>
    <t>Oracle Client: 1521</t>
  </si>
  <si>
    <t>CMOACC0042</t>
  </si>
  <si>
    <t>10a</t>
  </si>
  <si>
    <t>From Engine srvr to DB srvr</t>
  </si>
  <si>
    <t>CMOACC0043</t>
  </si>
  <si>
    <t>10b</t>
  </si>
  <si>
    <t>From DB srvr to Engine srvr</t>
  </si>
  <si>
    <t>NFS: 2049, 111</t>
  </si>
  <si>
    <t>111, 635,2049,4045,4046</t>
  </si>
  <si>
    <t>CMOACC0044</t>
  </si>
  <si>
    <t>11a</t>
  </si>
  <si>
    <t>Put  files on SI FT
(Not applicable for DEV)</t>
  </si>
  <si>
    <t>dummy</t>
  </si>
  <si>
    <t>CMOACC0045</t>
  </si>
  <si>
    <t>11b</t>
  </si>
  <si>
    <t>receive from SI FT
(Not applicable for DEV)</t>
  </si>
  <si>
    <t>CMOACC0046</t>
  </si>
  <si>
    <t>Access other UWV source systems - 
Is currently not in use</t>
  </si>
  <si>
    <t>CMOACC0047</t>
  </si>
  <si>
    <t>13a</t>
  </si>
  <si>
    <t xml:space="preserve">Communication to Workload scheduler
(Not applicable for DEV) </t>
  </si>
  <si>
    <t>CMOACC0048</t>
  </si>
  <si>
    <t>13b</t>
  </si>
  <si>
    <t xml:space="preserve">Communication from Workload scheduler 
(Not applicable for DEV) </t>
  </si>
  <si>
    <t>CMOACC0049</t>
  </si>
  <si>
    <t xml:space="preserve">Not applicable since move IWS to DXC
(Not applicable for DEV) </t>
  </si>
  <si>
    <t>CMOACC0050</t>
  </si>
  <si>
    <t>Send mail from Engine server</t>
  </si>
  <si>
    <t>MAIL</t>
  </si>
  <si>
    <t>UWV MailRelay</t>
  </si>
  <si>
    <t>uwvmailrelay.voorzieningen.uwv.nl</t>
  </si>
  <si>
    <t>SMTP: 25</t>
  </si>
  <si>
    <t>CMOACC0051</t>
  </si>
  <si>
    <t>Connection to GIT Repository
 (O+T only)</t>
  </si>
  <si>
    <t>GIT Repository on OToD</t>
  </si>
  <si>
    <r>
      <t xml:space="preserve">OToD server </t>
    </r>
    <r>
      <rPr>
        <sz val="11"/>
        <color rgb="FFFF0000"/>
        <rFont val="Calibri"/>
        <family val="2"/>
        <scheme val="minor"/>
      </rPr>
      <t>welke</t>
    </r>
  </si>
  <si>
    <t>OToD server</t>
  </si>
  <si>
    <t>10.140.178.31</t>
  </si>
  <si>
    <t>443
7070</t>
  </si>
  <si>
    <t>Non-mutating</t>
  </si>
  <si>
    <t>CMOACC0052</t>
  </si>
  <si>
    <t>Connection to WPOL by services svr</t>
  </si>
  <si>
    <t>DIM services srvr</t>
  </si>
  <si>
    <t>WPOL</t>
  </si>
  <si>
    <t>uwv.wpol.nl</t>
  </si>
  <si>
    <t>LDAP / SSL: 636</t>
  </si>
  <si>
    <t>CMOACC0053</t>
  </si>
  <si>
    <t>From Services svr to Search (zookeeper)</t>
  </si>
  <si>
    <t>&lt;choose&gt;</t>
  </si>
  <si>
    <t>CMOACC0054</t>
  </si>
  <si>
    <t>From Services srvr to DB srvr</t>
  </si>
  <si>
    <t>CMOACC0055</t>
  </si>
  <si>
    <t>From Services and Engine svr to Search (kafka)</t>
  </si>
  <si>
    <t>PN5441
PN5442</t>
  </si>
  <si>
    <t>srdim013o
srdim014o</t>
  </si>
  <si>
    <t>10.142.193.6
10.142.193.3</t>
  </si>
  <si>
    <t>CMOACC0056</t>
  </si>
  <si>
    <t>From IIS Search to DB server</t>
  </si>
  <si>
    <t>CMOACC0057</t>
  </si>
  <si>
    <t>Connection to WPOL by Meta Data Bridge svr
(DEV only). Obsolete</t>
  </si>
  <si>
    <t>DIM Metadata bridge srvr</t>
  </si>
  <si>
    <t>CMOACC0058</t>
  </si>
  <si>
    <t>23a</t>
  </si>
  <si>
    <t>UWV FB from DWH mngt server to all RH servers</t>
  </si>
  <si>
    <t>DIM RH servers</t>
  </si>
  <si>
    <t>PN3997</t>
  </si>
  <si>
    <t>srdwh066p</t>
  </si>
  <si>
    <t>10.140.161.211</t>
  </si>
  <si>
    <t>Local RH users</t>
  </si>
  <si>
    <t>CMOACC0059</t>
  </si>
  <si>
    <t>23b</t>
  </si>
  <si>
    <t>UWV FB from DWH mngt server from all RH servers</t>
  </si>
  <si>
    <t>Local AIX accounts</t>
  </si>
  <si>
    <t>CMOACC0060</t>
  </si>
  <si>
    <t>connection to Flexnet</t>
  </si>
  <si>
    <t>DIM servers</t>
  </si>
  <si>
    <t>Flexnet</t>
  </si>
  <si>
    <t>PN5441
PN5442
PN5443
PN5444</t>
  </si>
  <si>
    <t>srdim013o
srdim014o
srdim015o
srdim016o</t>
  </si>
  <si>
    <t>10.142.193.6
10.142.193.3
10.142.193.4
10.142.193.5</t>
  </si>
  <si>
    <t>PN3609</t>
  </si>
  <si>
    <t>srflex001p</t>
  </si>
  <si>
    <t>10.140.160.29</t>
  </si>
  <si>
    <t>HTTP: 80</t>
  </si>
  <si>
    <t>CMOACC0061</t>
  </si>
  <si>
    <t>Connection to AD from all systems</t>
  </si>
  <si>
    <t>DIM</t>
  </si>
  <si>
    <t>AD</t>
  </si>
  <si>
    <t>PN5161
PN5162</t>
  </si>
  <si>
    <t>srad033p
srad034p</t>
  </si>
  <si>
    <t>10.111.2.4
10.111.2.5</t>
  </si>
  <si>
    <t>53,88,389,636</t>
  </si>
  <si>
    <t>CMOACC0062</t>
  </si>
  <si>
    <t>DB link to KDB-WWO
 (O)</t>
  </si>
  <si>
    <t>DWH DB server</t>
  </si>
  <si>
    <t>KDB-WWO</t>
  </si>
  <si>
    <t>DXC server</t>
  </si>
  <si>
    <t>10.178.130.82</t>
  </si>
  <si>
    <t>CMOACC0063</t>
  </si>
  <si>
    <t>Metadata bridge to IIS services</t>
  </si>
  <si>
    <t>DIM Services srvr</t>
  </si>
  <si>
    <t>#END</t>
  </si>
  <si>
    <t>CMOPRD0033</t>
  </si>
  <si>
    <t>PN5440</t>
  </si>
  <si>
    <t>srdim012t</t>
  </si>
  <si>
    <t>10.142.65.5</t>
  </si>
  <si>
    <t>CMOPRD0034</t>
  </si>
  <si>
    <t>PN5439</t>
  </si>
  <si>
    <t>srdim011t</t>
  </si>
  <si>
    <t>10.142.65.4</t>
  </si>
  <si>
    <t>CMOPRD0035</t>
  </si>
  <si>
    <t>PN4193
PN4194</t>
  </si>
  <si>
    <t>srucra007t
srucra008t</t>
  </si>
  <si>
    <t>10.140.96.16
10.140.96.17</t>
  </si>
  <si>
    <t>CMOPRD0036</t>
  </si>
  <si>
    <t>PN5437
PN5438
PN5440</t>
  </si>
  <si>
    <t>srdim009t
srdim010t
srdim012t</t>
  </si>
  <si>
    <t>10.142.65.6
10.142.65.3
10.142.65.5</t>
  </si>
  <si>
    <t>CMOPRD0037</t>
  </si>
  <si>
    <t>PN5438</t>
  </si>
  <si>
    <t>srdim010t</t>
  </si>
  <si>
    <t>10.142.65.3</t>
  </si>
  <si>
    <t>CMOPRD0038</t>
  </si>
  <si>
    <t>PN5437</t>
  </si>
  <si>
    <t>srdim009t</t>
  </si>
  <si>
    <t>10.142.65.6</t>
  </si>
  <si>
    <t>CMOPRD0039</t>
  </si>
  <si>
    <t>CMOPRD0040</t>
  </si>
  <si>
    <t>CMOPRD0041</t>
  </si>
  <si>
    <t>CMOPRD0042</t>
  </si>
  <si>
    <t>CMOPRD0043</t>
  </si>
  <si>
    <t>CMOPRD0044</t>
  </si>
  <si>
    <t>Put  files on SI FT
(Not applicable for Test)</t>
  </si>
  <si>
    <t>CMOPRD0045</t>
  </si>
  <si>
    <t>receive from SI FT
(Not applicable for Test)</t>
  </si>
  <si>
    <t>CMOPRD0046</t>
  </si>
  <si>
    <t>CMOPRD0047</t>
  </si>
  <si>
    <t xml:space="preserve">Communication to Workload scheduler
(Not applicable for Test) </t>
  </si>
  <si>
    <t>CMOPRD0048</t>
  </si>
  <si>
    <t xml:space="preserve">Communication from Workload scheduler 
(Not applicable for Test) </t>
  </si>
  <si>
    <t>CMOPRD0049</t>
  </si>
  <si>
    <t xml:space="preserve">Not applicable since move IWS to DXC
(Not applicable for Test) </t>
  </si>
  <si>
    <t>CMOPRD0050</t>
  </si>
  <si>
    <t>CMOPRD0051</t>
  </si>
  <si>
    <t>CMOPRD0052</t>
  </si>
  <si>
    <t>CMOPRD0053</t>
  </si>
  <si>
    <t>CMOPRD0054</t>
  </si>
  <si>
    <t>CMOPRD0055</t>
  </si>
  <si>
    <t>PN5437
PN5438</t>
  </si>
  <si>
    <t>srdim009t
srdim010t</t>
  </si>
  <si>
    <t>10.142.65.6
10.142.65.3</t>
  </si>
  <si>
    <t>CMOPRD0056</t>
  </si>
  <si>
    <t>CMOPRD0057</t>
  </si>
  <si>
    <t>CMOPRD0058</t>
  </si>
  <si>
    <t>PN5437
PN5438
PN5439
PN5440</t>
  </si>
  <si>
    <t>srdim009t
srdim010t
srdim011t
srdim012t</t>
  </si>
  <si>
    <t>10.142.65.6
10.142.65.3
10.142.65.4
10.142.65.5</t>
  </si>
  <si>
    <t>CMOPRD0059</t>
  </si>
  <si>
    <t>CMOPRD0060</t>
  </si>
  <si>
    <t>CMOPRD0061</t>
  </si>
  <si>
    <t>CMOPRD0062</t>
  </si>
  <si>
    <t>DB link to KDB-WWO
Not appliccable yet</t>
  </si>
  <si>
    <t>CMOPRD0063</t>
  </si>
  <si>
    <t>CMO ACCEPTANCE ENVIRONMENT</t>
  </si>
  <si>
    <t>TO APPLICATION
CI</t>
  </si>
  <si>
    <t>CMOACC0002</t>
  </si>
  <si>
    <t>PN5436</t>
  </si>
  <si>
    <t>srdim008a</t>
  </si>
  <si>
    <t>10.142.2.6</t>
  </si>
  <si>
    <t>CMOACC0003</t>
  </si>
  <si>
    <t>PN5435</t>
  </si>
  <si>
    <t>srdim007a</t>
  </si>
  <si>
    <t>10.142.2.5</t>
  </si>
  <si>
    <t>CMOACC0004</t>
  </si>
  <si>
    <t>PN4189
PN4190</t>
  </si>
  <si>
    <t>srucra003a
srucra004a</t>
  </si>
  <si>
    <t>10.140.64.91
10.140.64.93</t>
  </si>
  <si>
    <t>CMOACC0005</t>
  </si>
  <si>
    <t>PN5433
PN5434
PN5436</t>
  </si>
  <si>
    <t>srdim005a
srdim006a
srdim008a</t>
  </si>
  <si>
    <t>10.142.2.3
10.142.2.4
10.142.2.6</t>
  </si>
  <si>
    <t>CMOACC0006</t>
  </si>
  <si>
    <t>PN5434</t>
  </si>
  <si>
    <t>srdim006a</t>
  </si>
  <si>
    <t>10.142.2.4</t>
  </si>
  <si>
    <t>CMOACC0007</t>
  </si>
  <si>
    <t>PN5433</t>
  </si>
  <si>
    <t>srdim005a</t>
  </si>
  <si>
    <t>10.142.2.3</t>
  </si>
  <si>
    <t>CMOACC0008</t>
  </si>
  <si>
    <t>CMOACC0009</t>
  </si>
  <si>
    <t>CMOACC0010</t>
  </si>
  <si>
    <r>
      <t xml:space="preserve">From Integration srvr to DB srvr  </t>
    </r>
    <r>
      <rPr>
        <sz val="11"/>
        <color rgb="FFFF0000"/>
        <rFont val="Calibri"/>
        <family val="2"/>
        <scheme val="minor"/>
      </rPr>
      <t>Wordt DIM DB server</t>
    </r>
  </si>
  <si>
    <t>DIM Integration srvr</t>
  </si>
  <si>
    <t>PN3187</t>
  </si>
  <si>
    <t>srdwh048a</t>
  </si>
  <si>
    <t>10.140.66.125</t>
  </si>
  <si>
    <t>CMOACC0011</t>
  </si>
  <si>
    <r>
      <t xml:space="preserve">From Engine srvr to DB srvr </t>
    </r>
    <r>
      <rPr>
        <sz val="11"/>
        <color rgb="FFFF0000"/>
        <rFont val="Calibri"/>
        <family val="2"/>
        <scheme val="minor"/>
      </rPr>
      <t>Wordt DIM DB server</t>
    </r>
  </si>
  <si>
    <t>CMOACC0012</t>
  </si>
  <si>
    <r>
      <t xml:space="preserve">From DB srvr to Engine srvr
</t>
    </r>
    <r>
      <rPr>
        <sz val="11"/>
        <color rgb="FFFF0000"/>
        <rFont val="Calibri"/>
        <family val="2"/>
        <scheme val="minor"/>
      </rPr>
      <t>Is dit de nieuwe DIM DB server?</t>
    </r>
  </si>
  <si>
    <t>CMOACC0013</t>
  </si>
  <si>
    <t>Put  files on SI FT</t>
  </si>
  <si>
    <t>SI FT</t>
  </si>
  <si>
    <t>CI2885</t>
  </si>
  <si>
    <t>SI-Filetransfer-acc.hrc.ba.uwv.nl</t>
  </si>
  <si>
    <t>10.140.65.87</t>
  </si>
  <si>
    <t>SFTP: 22</t>
  </si>
  <si>
    <t>MOVE: SI DXC</t>
  </si>
  <si>
    <t>Is not in use yet. Possible future use.</t>
  </si>
  <si>
    <t>CMOACC0014</t>
  </si>
  <si>
    <t>receive from SI FT</t>
  </si>
  <si>
    <t>PN4649
PN4650</t>
  </si>
  <si>
    <t>srsift003a
srsift004a</t>
  </si>
  <si>
    <t>10.140.67.192
10.140.67.193</t>
  </si>
  <si>
    <t>DIM_SFTP</t>
  </si>
  <si>
    <t>CMOACC0015</t>
  </si>
  <si>
    <t>CMOACC0016</t>
  </si>
  <si>
    <t xml:space="preserve">Communication to Workload scheduler </t>
  </si>
  <si>
    <t>Generieke TWS</t>
  </si>
  <si>
    <t>uwvmxvaaapp0001</t>
  </si>
  <si>
    <t>10.178.16.10</t>
  </si>
  <si>
    <t>31111
31116</t>
  </si>
  <si>
    <t>DXC</t>
  </si>
  <si>
    <t>CMOACC0017</t>
  </si>
  <si>
    <t xml:space="preserve">Communication from Workload scheduler </t>
  </si>
  <si>
    <t>CMOACC0018</t>
  </si>
  <si>
    <t>Not applicable since move IWS to DXC</t>
  </si>
  <si>
    <t>CMOACC0019</t>
  </si>
  <si>
    <t>CMOACC0020</t>
  </si>
  <si>
    <t>CMOACC0021</t>
  </si>
  <si>
    <t>CMOACC0022</t>
  </si>
  <si>
    <t>CMOACC0023</t>
  </si>
  <si>
    <r>
      <t xml:space="preserve">From Services srvr to DB srvr   </t>
    </r>
    <r>
      <rPr>
        <sz val="11"/>
        <color rgb="FFFF0000"/>
        <rFont val="Calibri"/>
        <family val="2"/>
        <scheme val="minor"/>
      </rPr>
      <t>wordt Dim DB server</t>
    </r>
  </si>
  <si>
    <t>CMOACC0024</t>
  </si>
  <si>
    <t>PN5433
PN5434</t>
  </si>
  <si>
    <t>srdim005a
srdim006a</t>
  </si>
  <si>
    <t>10.142.2.3
10.142.2.4</t>
  </si>
  <si>
    <t>CMOACC0025</t>
  </si>
  <si>
    <r>
      <t xml:space="preserve">From IIS Search to DB server </t>
    </r>
    <r>
      <rPr>
        <sz val="11"/>
        <color rgb="FFFF0000"/>
        <rFont val="Calibri"/>
        <family val="2"/>
        <scheme val="minor"/>
      </rPr>
      <t>Wordt db server DIM)</t>
    </r>
  </si>
  <si>
    <t>CMOACC0026</t>
  </si>
  <si>
    <t>CMOACC0027</t>
  </si>
  <si>
    <r>
      <t xml:space="preserve">UWV FB from DWH mngt server to all RH servers </t>
    </r>
    <r>
      <rPr>
        <sz val="11"/>
        <color rgb="FFFF0000"/>
        <rFont val="Calibri"/>
        <family val="2"/>
        <scheme val="minor"/>
      </rPr>
      <t>Wordt de management server of DIM-Infosphere</t>
    </r>
  </si>
  <si>
    <r>
      <t xml:space="preserve">DWH  </t>
    </r>
    <r>
      <rPr>
        <sz val="11"/>
        <color rgb="FFFF0000"/>
        <rFont val="Calibri"/>
        <family val="2"/>
        <scheme val="minor"/>
      </rPr>
      <t>DIM?</t>
    </r>
  </si>
  <si>
    <t>PN5433
PN5434
PN5435
PN5436</t>
  </si>
  <si>
    <t>srdim005a
srdim006a
srdim007a
srdim008a</t>
  </si>
  <si>
    <t>10.142.2.3
10.142.2.4
10.142.2.5
10.142.2.6</t>
  </si>
  <si>
    <t>CMOACC0028</t>
  </si>
  <si>
    <t>CMOACC0029</t>
  </si>
  <si>
    <t>CMOACC0030</t>
  </si>
  <si>
    <t>CMOACC0031</t>
  </si>
  <si>
    <t>CMOACC0032</t>
  </si>
  <si>
    <r>
      <t xml:space="preserve">FROM APPLICATION
</t>
    </r>
    <r>
      <rPr>
        <b/>
        <sz val="13"/>
        <color rgb="FFFFFF00"/>
        <rFont val="Calibri"/>
        <family val="2"/>
        <scheme val="minor"/>
      </rPr>
      <t>Connection 
Initiator</t>
    </r>
  </si>
  <si>
    <t>CMOPRD0002</t>
  </si>
  <si>
    <t>PN5432</t>
  </si>
  <si>
    <t>srdim004p</t>
  </si>
  <si>
    <t>10.142.130.6</t>
  </si>
  <si>
    <t>CMOPRD0003</t>
  </si>
  <si>
    <t>PN5431</t>
  </si>
  <si>
    <t>srdim003p</t>
  </si>
  <si>
    <t>10.142.130.5</t>
  </si>
  <si>
    <t>CMOPRD0004</t>
  </si>
  <si>
    <t>PN4191
PN4192</t>
  </si>
  <si>
    <t>srucra005p
srucra006p</t>
  </si>
  <si>
    <t>10.111.0.180
10.111.0.181</t>
  </si>
  <si>
    <r>
      <t>Member of "L-RG-UWV-</t>
    </r>
    <r>
      <rPr>
        <sz val="11"/>
        <color rgb="FFFF0000"/>
        <rFont val="Calibri"/>
        <family val="2"/>
        <scheme val="minor"/>
      </rPr>
      <t>x</t>
    </r>
    <r>
      <rPr>
        <sz val="11"/>
        <color theme="1"/>
        <rFont val="Calibri"/>
        <family val="2"/>
        <charset val="238"/>
        <scheme val="minor"/>
      </rPr>
      <t>-DIM-INFOSPHERE-IIS-METADATA-INTEGRATION"</t>
    </r>
  </si>
  <si>
    <t>CMOPRD0005</t>
  </si>
  <si>
    <t>PN5429
PN5430
PN5432</t>
  </si>
  <si>
    <t>srdim001p
srdim002p
srdim004p</t>
  </si>
  <si>
    <t>10.142.130.3
10.142.130.4
10.142.130.6</t>
  </si>
  <si>
    <t>CMOPRD0006</t>
  </si>
  <si>
    <t>PN5430</t>
  </si>
  <si>
    <t>srdim002p</t>
  </si>
  <si>
    <t>10.142.130.4</t>
  </si>
  <si>
    <t>CMOPRD0007</t>
  </si>
  <si>
    <t>PN5429</t>
  </si>
  <si>
    <t>srdim001p</t>
  </si>
  <si>
    <t>10.142.130.3</t>
  </si>
  <si>
    <t>CMOPRD0008</t>
  </si>
  <si>
    <t>CMOPRD0009</t>
  </si>
  <si>
    <t>CMOPRD0010</t>
  </si>
  <si>
    <t>DIM integration srvr</t>
  </si>
  <si>
    <t>PN3186</t>
  </si>
  <si>
    <t>srdwh047p</t>
  </si>
  <si>
    <t>10.111.3.250</t>
  </si>
  <si>
    <t>CMOPRD0011</t>
  </si>
  <si>
    <t>CMOPRD0012</t>
  </si>
  <si>
    <t>CMOPRD0013</t>
  </si>
  <si>
    <t>CI2939</t>
  </si>
  <si>
    <t>SI-Filetransfer-prd.hrc.ba.uwv.nl</t>
  </si>
  <si>
    <t>10.111.1.81</t>
  </si>
  <si>
    <t>CMOPRD0014</t>
  </si>
  <si>
    <t>PN4697
PN4698</t>
  </si>
  <si>
    <t>srsift005p
srsift007p</t>
  </si>
  <si>
    <t>10.111.1.174
10.111.1.175</t>
  </si>
  <si>
    <t>CMOPRD0015</t>
  </si>
  <si>
    <t>CMOPRD0016</t>
  </si>
  <si>
    <t>uwvm3vapapp0002
uwvm2vapapp0002</t>
  </si>
  <si>
    <t>10.178.24.11
10.178.24.10
10.178.24.12</t>
  </si>
  <si>
    <t>CMOPRD0017</t>
  </si>
  <si>
    <t>10.178.24.10
10.178.24.11</t>
  </si>
  <si>
    <t>CMOPRD0018</t>
  </si>
  <si>
    <t>CMOPRD0019</t>
  </si>
  <si>
    <t>CMOPRD0020</t>
  </si>
  <si>
    <r>
      <t xml:space="preserve">Connection to GIT Repository
 </t>
    </r>
    <r>
      <rPr>
        <sz val="11"/>
        <color rgb="FFFF0000"/>
        <rFont val="Calibri"/>
        <family val="2"/>
        <scheme val="minor"/>
      </rPr>
      <t>(O+T only)</t>
    </r>
  </si>
  <si>
    <t>CMOPRD0021</t>
  </si>
  <si>
    <t>CMOPRD0022</t>
  </si>
  <si>
    <t>CMOPRD0023</t>
  </si>
  <si>
    <t>CMOPRD0024</t>
  </si>
  <si>
    <t>PN5429
PN5430</t>
  </si>
  <si>
    <t>srdim001p
srdim002p</t>
  </si>
  <si>
    <t>10.142.130.3
10.142.130.4</t>
  </si>
  <si>
    <t>CMOPRD0025</t>
  </si>
  <si>
    <t>CMOPRD0026</t>
  </si>
  <si>
    <t>CMOPRD0027</t>
  </si>
  <si>
    <r>
      <t xml:space="preserve">UWV FB from DWH mngt server </t>
    </r>
    <r>
      <rPr>
        <sz val="11"/>
        <color rgb="FFFF0000"/>
        <rFont val="Calibri"/>
        <family val="2"/>
        <scheme val="minor"/>
      </rPr>
      <t>to</t>
    </r>
    <r>
      <rPr>
        <sz val="11"/>
        <color theme="1"/>
        <rFont val="Calibri"/>
        <family val="2"/>
        <charset val="238"/>
        <scheme val="minor"/>
      </rPr>
      <t xml:space="preserve"> all RH servers</t>
    </r>
  </si>
  <si>
    <t>PN5429
PN5430
PN5432
PN3186</t>
  </si>
  <si>
    <t>srdim001p
srdim002p
srdim004p
srdwh047p</t>
  </si>
  <si>
    <t>10.142.130.3
10.142.130.4
10.142.130.6
10.111.3.250</t>
  </si>
  <si>
    <t>CMOPRD0028</t>
  </si>
  <si>
    <r>
      <t xml:space="preserve">UWV FB from DWH mngt server </t>
    </r>
    <r>
      <rPr>
        <sz val="11"/>
        <color rgb="FFFF0000"/>
        <rFont val="Calibri"/>
        <family val="2"/>
        <scheme val="minor"/>
      </rPr>
      <t>from</t>
    </r>
    <r>
      <rPr>
        <sz val="11"/>
        <color theme="1"/>
        <rFont val="Calibri"/>
        <family val="2"/>
        <charset val="238"/>
        <scheme val="minor"/>
      </rPr>
      <t xml:space="preserve"> all RH servers</t>
    </r>
  </si>
  <si>
    <t>CMOPRD0029</t>
  </si>
  <si>
    <t>PN5429
PN5430
PN5431
PN5432</t>
  </si>
  <si>
    <t>srdim001p
srdim002p
srdim003p
srdim004p</t>
  </si>
  <si>
    <t>10.142.130.3
10.142.130.4
10.142.130.5
10.142.130.6</t>
  </si>
  <si>
    <t>CMOPRD0030</t>
  </si>
  <si>
    <r>
      <t xml:space="preserve">Connection to AD from all systems
</t>
    </r>
    <r>
      <rPr>
        <sz val="11"/>
        <color rgb="FFFF0000"/>
        <rFont val="Calibri"/>
        <family val="2"/>
        <scheme val="minor"/>
      </rPr>
      <t>Is kyndryll setup die niet meer nodig is.</t>
    </r>
  </si>
  <si>
    <t>CMOPRD0031</t>
  </si>
  <si>
    <t>DB link to KDB-WWO</t>
  </si>
  <si>
    <t>PN5420</t>
  </si>
  <si>
    <t>srkdbwwo005p</t>
  </si>
  <si>
    <t>10.111.5.122</t>
  </si>
  <si>
    <t>Datafabriek</t>
  </si>
  <si>
    <t>CMOPRD0032</t>
  </si>
  <si>
    <t>FMO Test ENVIRONMENT</t>
  </si>
  <si>
    <t>Import sheet:</t>
  </si>
  <si>
    <t>CMO
import
(do not use field)</t>
  </si>
  <si>
    <t>Mode
TMO,
FMO</t>
  </si>
  <si>
    <t>FW Request
Status</t>
  </si>
  <si>
    <t>From Asset</t>
  </si>
  <si>
    <t>From Host Name /NSX-T Security Group</t>
  </si>
  <si>
    <t>From HOST IP adress</t>
  </si>
  <si>
    <t xml:space="preserve">To Asset </t>
  </si>
  <si>
    <t>To Host Name /NSX-T Security Group</t>
  </si>
  <si>
    <t>FROM ZONE</t>
  </si>
  <si>
    <t>TO ZONE</t>
  </si>
  <si>
    <t>SI 
Connection</t>
  </si>
  <si>
    <t>C-Labeled 
Acount</t>
  </si>
  <si>
    <t>C-Labeled
Account 
Name</t>
  </si>
  <si>
    <t>FW Request Number</t>
  </si>
  <si>
    <t>DXC Request</t>
  </si>
  <si>
    <t>DIM IIS searchsvcs 
(DIM Search)</t>
  </si>
  <si>
    <t>KWN Workplace</t>
  </si>
  <si>
    <t>SG-UWV-CLIENTS</t>
  </si>
  <si>
    <t>uwvm2vltapp0004</t>
  </si>
  <si>
    <t>10.178.145.105</t>
  </si>
  <si>
    <t>???</t>
  </si>
  <si>
    <t>RFC-307637</t>
  </si>
  <si>
    <t>Not Applicable</t>
  </si>
  <si>
    <t>DIM IIS Metadata Integration bridge 
(DIM Bridge)</t>
  </si>
  <si>
    <r>
      <rPr>
        <sz val="11"/>
        <color rgb="FFFF0000"/>
        <rFont val="Calibri (Hoofdtekst)"/>
      </rPr>
      <t>uwvm2vwtapp0002</t>
    </r>
    <r>
      <rPr>
        <sz val="11"/>
        <rFont val="Calibri"/>
        <family val="2"/>
        <scheme val="minor"/>
      </rPr>
      <t xml:space="preserve">
uwvm2vwtapp0003</t>
    </r>
  </si>
  <si>
    <r>
      <rPr>
        <sz val="11"/>
        <color rgb="FFFF0000"/>
        <rFont val="Calibri (Hoofdtekst)"/>
      </rPr>
      <t>10.178.145.103</t>
    </r>
    <r>
      <rPr>
        <sz val="11"/>
        <rFont val="Calibri"/>
        <family val="2"/>
        <scheme val="minor"/>
      </rPr>
      <t xml:space="preserve">
10.178.145.115</t>
    </r>
  </si>
  <si>
    <t>uwva2vwtapp0031
uwva3vwtapp0008</t>
  </si>
  <si>
    <t>10.178.134.147
10.178.134.79</t>
  </si>
  <si>
    <r>
      <t xml:space="preserve">DIM srvrs 
(DIM Engine 
</t>
    </r>
    <r>
      <rPr>
        <sz val="11"/>
        <color rgb="FFFF0000"/>
        <rFont val="Calibri (Hoofdtekst)"/>
      </rPr>
      <t>DIM APP (services)</t>
    </r>
    <r>
      <rPr>
        <sz val="11"/>
        <color theme="1"/>
        <rFont val="Calibri"/>
        <family val="2"/>
        <charset val="238"/>
        <scheme val="minor"/>
      </rPr>
      <t xml:space="preserve">
DIM Search 
DIM DB 
DIM Man-P
</t>
    </r>
    <r>
      <rPr>
        <sz val="11"/>
        <color rgb="FFFF0000"/>
        <rFont val="Calibri (Hoofdtekst)"/>
      </rPr>
      <t>NFS Servers</t>
    </r>
    <r>
      <rPr>
        <sz val="11"/>
        <color theme="1"/>
        <rFont val="Calibri"/>
        <family val="2"/>
        <charset val="238"/>
        <scheme val="minor"/>
      </rPr>
      <t>)</t>
    </r>
  </si>
  <si>
    <t>uwvm2vltapp0003
uwvm2vltapp0005
uwvm2vltapp0004
uwvm2vatora0001
uwvm2vltapp0002</t>
  </si>
  <si>
    <t>10.178.145.104
10.178.145.106
10.178.145.105
10.178.53.11
10.178.145.102</t>
  </si>
  <si>
    <t>4a</t>
  </si>
  <si>
    <t>UCRA -T</t>
  </si>
  <si>
    <t>DIM DB - T</t>
  </si>
  <si>
    <t>uwvm2vatora0001</t>
  </si>
  <si>
    <t>10.178.53.11</t>
  </si>
  <si>
    <t>Oracle Client</t>
  </si>
  <si>
    <t>RFC-311521</t>
  </si>
  <si>
    <t>UWV wensenlijst</t>
  </si>
  <si>
    <t>DIM Engine srvr 
(DIM Engine)</t>
  </si>
  <si>
    <t>uwvm2vltapp0005</t>
  </si>
  <si>
    <t>10.178.145.106</t>
  </si>
  <si>
    <t>DIM services svr 
(DIM APP)</t>
  </si>
  <si>
    <t>uwvm2vltapp0003</t>
  </si>
  <si>
    <t>10.178.145.104</t>
  </si>
  <si>
    <t>DIM Engine srvr 
(DIM Bridge)</t>
  </si>
  <si>
    <t>DWH 
(DIM DB)</t>
  </si>
  <si>
    <r>
      <t xml:space="preserve">PN3188 </t>
    </r>
    <r>
      <rPr>
        <sz val="11"/>
        <color rgb="FFFF0000"/>
        <rFont val="Calibri"/>
        <family val="2"/>
        <scheme val="minor"/>
      </rPr>
      <t>Wordt DIM-DB server</t>
    </r>
  </si>
  <si>
    <t>20220810-007-A</t>
  </si>
  <si>
    <t xml:space="preserve">DIM Engine srvr 
(DIM Engine) </t>
  </si>
  <si>
    <t>(DIM DB)</t>
  </si>
  <si>
    <t>DIM-NFS server</t>
  </si>
  <si>
    <t xml:space="preserve">PN3188
</t>
  </si>
  <si>
    <t>DIM Engine srvr 
(DIMEngine)</t>
  </si>
  <si>
    <t>SI FT
(source systems: Gina, UPA, SMF, Excasso, CBBS, Peercode, IMF, UZS, Peoplesoft, RESAFASA, BAS)</t>
  </si>
  <si>
    <t>KPN Request</t>
  </si>
  <si>
    <t>RFC-307628</t>
  </si>
  <si>
    <t>DIM services srvr 
(DIM APP)</t>
  </si>
  <si>
    <t>10.74.1.1
10.74.1.4
10.74.1.2
10.74.1.3</t>
  </si>
  <si>
    <t>RFC-307626 / RFC-314167</t>
  </si>
  <si>
    <t>20a</t>
  </si>
  <si>
    <t>88 
389
3268
3269</t>
  </si>
  <si>
    <t>RFC-311714</t>
  </si>
  <si>
    <t>20b</t>
  </si>
  <si>
    <t>Connection to WPOL by DIM DB svr</t>
  </si>
  <si>
    <t>DIM DB Srvr</t>
  </si>
  <si>
    <t>DIM-DB server</t>
  </si>
  <si>
    <t>TCP</t>
  </si>
  <si>
    <t>88
389
636</t>
  </si>
  <si>
    <t>RFC-311723/RFC-314168</t>
  </si>
  <si>
    <t>DIM services svr 
(DIM APP 
DIM Engine)</t>
  </si>
  <si>
    <t>uwvm2vltapp0003
uwvm2vltapp0005</t>
  </si>
  <si>
    <t>10.178.145.104
10.178.145.106</t>
  </si>
  <si>
    <t>pn3997</t>
  </si>
  <si>
    <t>DWH  DIM</t>
  </si>
  <si>
    <t xml:space="preserve">DIM RH servers 
(DIM Engine 
DIM APP 
DIM Search) </t>
  </si>
  <si>
    <t>DIM-Infoshere Management server P</t>
  </si>
  <si>
    <t>uwvm2vapapp0036</t>
  </si>
  <si>
    <t>10.178.55.11</t>
  </si>
  <si>
    <r>
      <t xml:space="preserve">PN5437
PN5438
PN5440
</t>
    </r>
    <r>
      <rPr>
        <sz val="11"/>
        <color rgb="FFFF0000"/>
        <rFont val="Calibri"/>
        <family val="2"/>
        <scheme val="minor"/>
      </rPr>
      <t>DIM-DB server</t>
    </r>
  </si>
  <si>
    <t>uwvm2vltapp0003
uwvm2vltapp0005
uwvm2vltapp0004</t>
  </si>
  <si>
    <t>10.178.145.104
10.178.145.106
10.178.145.105</t>
  </si>
  <si>
    <r>
      <t xml:space="preserve">DWH </t>
    </r>
    <r>
      <rPr>
        <sz val="11"/>
        <color rgb="FFFF0000"/>
        <rFont val="Calibri"/>
        <family val="2"/>
        <scheme val="minor"/>
      </rPr>
      <t>Dim-Infosphere Management server P</t>
    </r>
  </si>
  <si>
    <t>DIM-Infoshere Management server</t>
  </si>
  <si>
    <t xml:space="preserve">DIM servers 
</t>
  </si>
  <si>
    <r>
      <t xml:space="preserve">uwvm2vltapp0003
uwvm2vltapp0005
</t>
    </r>
    <r>
      <rPr>
        <sz val="11"/>
        <color rgb="FFFF0000"/>
        <rFont val="Calibri (Hoofdtekst)"/>
      </rPr>
      <t xml:space="preserve">uwvm2vwtapp0002
</t>
    </r>
    <r>
      <rPr>
        <sz val="11"/>
        <color theme="1"/>
        <rFont val="Calibri (Hoofdtekst)"/>
      </rPr>
      <t>uwvm2vwtapp0003 -</t>
    </r>
    <r>
      <rPr>
        <sz val="11"/>
        <rFont val="Calibri"/>
        <family val="2"/>
        <scheme val="minor"/>
      </rPr>
      <t xml:space="preserve">
uwvm2vltapp0004</t>
    </r>
  </si>
  <si>
    <r>
      <t xml:space="preserve">10.178.145.104
10.178.145.106
</t>
    </r>
    <r>
      <rPr>
        <sz val="11"/>
        <color rgb="FFFF0000"/>
        <rFont val="Calibri (Hoofdtekst)"/>
      </rPr>
      <t xml:space="preserve">10.178.145.103
</t>
    </r>
    <r>
      <rPr>
        <sz val="11"/>
        <color theme="1"/>
        <rFont val="Calibri (Hoofdtekst)"/>
      </rPr>
      <t xml:space="preserve">10.178.145.115 - </t>
    </r>
    <r>
      <rPr>
        <sz val="11"/>
        <rFont val="Calibri"/>
        <family val="2"/>
        <scheme val="minor"/>
      </rPr>
      <t xml:space="preserve">
10.178.145.105</t>
    </r>
  </si>
  <si>
    <t>DIM Servers</t>
  </si>
  <si>
    <t>DWH DB server 
(DIM DB)</t>
  </si>
  <si>
    <t>uwva3vltunm0019.T-dc.ba.uwv.nl</t>
  </si>
  <si>
    <t>Oracle Client: 1526</t>
  </si>
  <si>
    <t>RFC-318084</t>
  </si>
  <si>
    <t>DIM Services srvr 
(DIM APP)</t>
  </si>
  <si>
    <t>nim server bur interface - clients DIM bur interface</t>
  </si>
  <si>
    <t xml:space="preserve">nim server bur </t>
  </si>
  <si>
    <t>DIM-DB-T  bur interface</t>
  </si>
  <si>
    <t>uwvamxnim01</t>
  </si>
  <si>
    <t>192.168.255.54</t>
  </si>
  <si>
    <t>192.168.190.139</t>
  </si>
  <si>
    <t>nimsh: 3901 - 3902
icmp: 5813
rsh: 513 - 1023
rlogin: 513
shell: 514
bootp: 67 - 68
tftp: 69 and 32,768 - 65,535
nfs: 2049
mountd: 32,768 - 65,535
portmapper: 111
NIM: 1 058 - 1059</t>
  </si>
  <si>
    <t>RFC-311618</t>
  </si>
  <si>
    <t>UWV FB from DWH mngt server to AIX DB Servers</t>
  </si>
  <si>
    <t>DWH  DIM Mgmt Server</t>
  </si>
  <si>
    <t>DIM AIX DB server</t>
  </si>
  <si>
    <t xml:space="preserve">RFC-313890 </t>
  </si>
  <si>
    <t>UWV FB from DWH AIX DB Servers to DIM Mgmt server</t>
  </si>
  <si>
    <t>Oracle Access from the Mgmt server</t>
  </si>
  <si>
    <t>"Database Server DIM-DB-T -&gt; 	
NFS Server DIM-NFS-CH-T"</t>
  </si>
  <si>
    <t>DIM DB T</t>
  </si>
  <si>
    <t>DIM NFS CH T</t>
  </si>
  <si>
    <t xml:space="preserve">10.178.53.11	</t>
  </si>
  <si>
    <t>uwvm2vltapp0002</t>
  </si>
  <si>
    <t>10.178.145.102</t>
  </si>
  <si>
    <t>T_DWH SEC-ZONE</t>
  </si>
  <si>
    <t>111
2049</t>
  </si>
  <si>
    <t>Non-Mutating</t>
  </si>
  <si>
    <t>RFC-314674</t>
  </si>
  <si>
    <t>DIM-Infosphere Eng Srv-  AZUREDEVOPS</t>
  </si>
  <si>
    <t xml:space="preserve">DIM Engine </t>
  </si>
  <si>
    <t>AZUREDEVOPS</t>
  </si>
  <si>
    <t>uwvm2vwpapp0039</t>
  </si>
  <si>
    <t>10.178.144.166</t>
  </si>
  <si>
    <t>22
443</t>
  </si>
  <si>
    <t>RFC-317876</t>
  </si>
  <si>
    <t>UCRA-DAP - DIM DB T</t>
  </si>
  <si>
    <t>UCRA-DAP</t>
  </si>
  <si>
    <t>srucra012p
srucra013p</t>
  </si>
  <si>
    <t>10.111.5.219
10.111.5.226</t>
  </si>
  <si>
    <t>RFC-318911</t>
  </si>
  <si>
    <t>20230127-001-A</t>
  </si>
  <si>
    <t>FMO Development ENVIRONMENT</t>
  </si>
  <si>
    <t>Connections DEV (CMO)</t>
  </si>
  <si>
    <t>DIM IIS searchsvcs
(DIM Search)</t>
  </si>
  <si>
    <t>uwvm2vloapp0005</t>
  </si>
  <si>
    <t>10.178.145.109</t>
  </si>
  <si>
    <t>RFC-307932</t>
  </si>
  <si>
    <r>
      <rPr>
        <sz val="11"/>
        <color rgb="FFFF0000"/>
        <rFont val="Calibri (Hoofdtekst)"/>
      </rPr>
      <t>uwvm2vwoapp0007</t>
    </r>
    <r>
      <rPr>
        <sz val="11"/>
        <color theme="1"/>
        <rFont val="Calibri"/>
        <family val="2"/>
        <charset val="238"/>
        <scheme val="minor"/>
      </rPr>
      <t xml:space="preserve">
uwvm2vwoapp0008</t>
    </r>
  </si>
  <si>
    <r>
      <rPr>
        <sz val="11"/>
        <color rgb="FFFF0000"/>
        <rFont val="Calibri (Hoofdtekst)"/>
      </rPr>
      <t>10.178.145.110</t>
    </r>
    <r>
      <rPr>
        <sz val="11"/>
        <color theme="1"/>
        <rFont val="Calibri"/>
        <family val="2"/>
        <charset val="238"/>
        <scheme val="minor"/>
      </rPr>
      <t xml:space="preserve">
10.178.145.116</t>
    </r>
  </si>
  <si>
    <t>Issue</t>
  </si>
  <si>
    <t>UCRA-O</t>
  </si>
  <si>
    <r>
      <rPr>
        <sz val="11"/>
        <color theme="9" tint="-0.249977111117893"/>
        <rFont val="Calibri"/>
        <family val="2"/>
        <scheme val="minor"/>
      </rPr>
      <t>uwva2vwoapp0010</t>
    </r>
    <r>
      <rPr>
        <sz val="11"/>
        <color theme="1"/>
        <rFont val="Calibri"/>
        <family val="2"/>
        <charset val="238"/>
        <scheme val="minor"/>
      </rPr>
      <t xml:space="preserve">
uwva3vwoapp0005</t>
    </r>
  </si>
  <si>
    <t>10.178.134.24
10.178.134.25</t>
  </si>
  <si>
    <r>
      <rPr>
        <sz val="11"/>
        <color rgb="FFFF0000"/>
        <rFont val="Calibri (Hoofdtekst)"/>
      </rPr>
      <t>uwvm2vwoapp0007</t>
    </r>
    <r>
      <rPr>
        <sz val="11"/>
        <color theme="1"/>
        <rFont val="Calibri"/>
        <family val="2"/>
        <charset val="238"/>
        <scheme val="minor"/>
      </rPr>
      <t xml:space="preserve">
</t>
    </r>
    <r>
      <rPr>
        <sz val="11"/>
        <color theme="9" tint="-0.249977111117893"/>
        <rFont val="Calibri"/>
        <family val="2"/>
        <scheme val="minor"/>
      </rPr>
      <t>uwvm2vwoapp0008</t>
    </r>
  </si>
  <si>
    <r>
      <rPr>
        <sz val="11"/>
        <color rgb="FFFF0000"/>
        <rFont val="Calibri (Hoofdtekst)"/>
      </rPr>
      <t>10.178.145.110</t>
    </r>
    <r>
      <rPr>
        <sz val="11"/>
        <color theme="1"/>
        <rFont val="Calibri"/>
        <family val="2"/>
        <charset val="238"/>
        <scheme val="minor"/>
      </rPr>
      <t xml:space="preserve">
</t>
    </r>
    <r>
      <rPr>
        <sz val="11"/>
        <color theme="9" tint="-0.249977111117893"/>
        <rFont val="Calibri"/>
        <family val="2"/>
        <scheme val="minor"/>
      </rPr>
      <t>10.178.145.116</t>
    </r>
  </si>
  <si>
    <t>RFC-308880</t>
  </si>
  <si>
    <t>UWV FB from UCRA to all servers 
(UWV FB from UCRA to DIM Engine, DIM APP, DIM Search, DIM DB, DIM Mgmt, 2 FS Servers)</t>
  </si>
  <si>
    <r>
      <t xml:space="preserve">DIM srvrs 
(DIM Engine 
</t>
    </r>
    <r>
      <rPr>
        <sz val="11"/>
        <color theme="1"/>
        <rFont val="Calibri (Hoofdtekst)"/>
      </rPr>
      <t>DIM APP (services)</t>
    </r>
    <r>
      <rPr>
        <sz val="11"/>
        <color theme="1"/>
        <rFont val="Calibri"/>
        <family val="2"/>
        <charset val="238"/>
        <scheme val="minor"/>
      </rPr>
      <t xml:space="preserve">
DIM Search 
DIM DB 
DIM Man-P
</t>
    </r>
    <r>
      <rPr>
        <sz val="11"/>
        <color theme="1"/>
        <rFont val="Calibri (Hoofdtekst)"/>
      </rPr>
      <t>NFS Servers</t>
    </r>
    <r>
      <rPr>
        <sz val="11"/>
        <color theme="1"/>
        <rFont val="Calibri"/>
        <family val="2"/>
        <charset val="238"/>
        <scheme val="minor"/>
      </rPr>
      <t>)</t>
    </r>
  </si>
  <si>
    <t>uwva2vwoapp0010
uwva3vwoapp0005</t>
  </si>
  <si>
    <t xml:space="preserve">10.178.134.24
10.178.134.25
</t>
  </si>
  <si>
    <r>
      <rPr>
        <sz val="11"/>
        <color rgb="FFFF0000"/>
        <rFont val="Calibri (Hoofdtekst)"/>
      </rPr>
      <t>UWVA2VLOAPP0047</t>
    </r>
    <r>
      <rPr>
        <sz val="11"/>
        <color theme="1"/>
        <rFont val="Calibri"/>
        <family val="2"/>
        <charset val="238"/>
        <scheme val="minor"/>
      </rPr>
      <t xml:space="preserve">
</t>
    </r>
    <r>
      <rPr>
        <sz val="11"/>
        <color theme="9" tint="-0.249977111117893"/>
        <rFont val="Calibri"/>
        <family val="2"/>
        <scheme val="minor"/>
      </rPr>
      <t>uwvm2vloapp0006
uwvm2vloapp0004
uwvm2vloapp0005
uwvm2vaoora0001
uwvm2vapapp0036
uwvm2vloapp0003</t>
    </r>
  </si>
  <si>
    <r>
      <rPr>
        <sz val="11"/>
        <color rgb="FFFF0000"/>
        <rFont val="Calibri (Hoofdtekst)"/>
      </rPr>
      <t>10.178.148.21</t>
    </r>
    <r>
      <rPr>
        <sz val="11"/>
        <color theme="1"/>
        <rFont val="Calibri"/>
        <family val="2"/>
        <charset val="238"/>
        <scheme val="minor"/>
      </rPr>
      <t xml:space="preserve">
1</t>
    </r>
    <r>
      <rPr>
        <sz val="11"/>
        <color theme="9" tint="-0.249977111117893"/>
        <rFont val="Calibri"/>
        <family val="2"/>
        <scheme val="minor"/>
      </rPr>
      <t>0.178.145.114
10.178.145.108
10.178.145.109
10.178.52.11
10.178.55.11
10.178.145.107</t>
    </r>
  </si>
  <si>
    <t>Test OK</t>
  </si>
  <si>
    <t xml:space="preserve">DIM DB </t>
  </si>
  <si>
    <t>uwvm2vaoora0001</t>
  </si>
  <si>
    <t>10.178.52.11</t>
  </si>
  <si>
    <t>UWV Wenzenlijst</t>
  </si>
  <si>
    <t>uwvm2vloapp0004</t>
  </si>
  <si>
    <t>10.178.145.108</t>
  </si>
  <si>
    <t>FAT client to Services server 
(FAT client to APP Server)</t>
  </si>
  <si>
    <r>
      <rPr>
        <sz val="11"/>
        <color rgb="FFFF0000"/>
        <rFont val="Calibri (Hoofdtekst)"/>
      </rPr>
      <t>UWVA2VLOAPP0047</t>
    </r>
    <r>
      <rPr>
        <sz val="11"/>
        <color theme="1"/>
        <rFont val="Calibri"/>
        <family val="2"/>
        <charset val="238"/>
        <scheme val="minor"/>
      </rPr>
      <t xml:space="preserve">
</t>
    </r>
    <r>
      <rPr>
        <sz val="11"/>
        <color theme="9" tint="-0.249977111117893"/>
        <rFont val="Calibri"/>
        <family val="2"/>
        <scheme val="minor"/>
      </rPr>
      <t>uwvm2vloapp0006</t>
    </r>
  </si>
  <si>
    <r>
      <rPr>
        <sz val="11"/>
        <color rgb="FFFF0000"/>
        <rFont val="Calibri (Hoofdtekst)"/>
      </rPr>
      <t>10.178.148.21</t>
    </r>
    <r>
      <rPr>
        <sz val="11"/>
        <color theme="1"/>
        <rFont val="Calibri"/>
        <family val="2"/>
        <charset val="238"/>
        <scheme val="minor"/>
      </rPr>
      <t xml:space="preserve">
</t>
    </r>
    <r>
      <rPr>
        <sz val="11"/>
        <color theme="9" tint="-0.249977111117893"/>
        <rFont val="Calibri"/>
        <family val="2"/>
        <scheme val="minor"/>
      </rPr>
      <t>10.178.145.114</t>
    </r>
  </si>
  <si>
    <t>FAT client to IIS Services server 
(FAT Clients to DIM Search)</t>
  </si>
  <si>
    <t>From WAS srvr toMetadata Interchange Agent 
(From DIM APP to DIM Bridge)</t>
  </si>
  <si>
    <t xml:space="preserve">DIM services svr 
(DIM APP)
</t>
  </si>
  <si>
    <t>DIM IIS Metadata Integration 
(DIM Bridge)</t>
  </si>
  <si>
    <r>
      <rPr>
        <sz val="11"/>
        <color rgb="FFFF0000"/>
        <rFont val="Calibri (Hoofdtekst)"/>
      </rPr>
      <t xml:space="preserve">UWVA2VLOAPP0047 </t>
    </r>
    <r>
      <rPr>
        <sz val="11"/>
        <color theme="1"/>
        <rFont val="Calibri"/>
        <family val="2"/>
        <charset val="238"/>
        <scheme val="minor"/>
      </rPr>
      <t xml:space="preserve">
uwvm2vloapp0006</t>
    </r>
  </si>
  <si>
    <r>
      <rPr>
        <sz val="11"/>
        <color rgb="FFFF0000"/>
        <rFont val="Calibri (Hoofdtekst)"/>
      </rPr>
      <t>10.178.148.21</t>
    </r>
    <r>
      <rPr>
        <sz val="11"/>
        <color theme="1"/>
        <rFont val="Calibri"/>
        <family val="2"/>
        <charset val="238"/>
        <scheme val="minor"/>
      </rPr>
      <t xml:space="preserve">
10.178.145.114</t>
    </r>
  </si>
  <si>
    <t>From Integration srvr to DB srvr 
(From DIM Bridge to DIM DB)</t>
  </si>
  <si>
    <t>DIM-Infosphere DB server</t>
  </si>
  <si>
    <t xml:space="preserve"> uwvm2vaoora0001</t>
  </si>
  <si>
    <t xml:space="preserve"> 10.178.52.11</t>
  </si>
  <si>
    <t>DIM DB
DIM Engine server</t>
  </si>
  <si>
    <t>DIM-Infosphere DB server
DIM Eng</t>
  </si>
  <si>
    <t>uwvm2vaoora0001
uwvm2vloapp0004</t>
  </si>
  <si>
    <t xml:space="preserve"> 10.178.52.11
10.178.145.108</t>
  </si>
  <si>
    <t>uwvm2vloapp0003</t>
  </si>
  <si>
    <t>10.178.145.107</t>
  </si>
  <si>
    <t/>
  </si>
  <si>
    <t>RFC-307931</t>
  </si>
  <si>
    <t>IBM Request</t>
  </si>
  <si>
    <t xml:space="preserve">OToD server </t>
  </si>
  <si>
    <r>
      <rPr>
        <strike/>
        <sz val="11"/>
        <color theme="1"/>
        <rFont val="Calibri"/>
        <family val="2"/>
        <scheme val="minor"/>
      </rPr>
      <t xml:space="preserve">RFC-307932 </t>
    </r>
    <r>
      <rPr>
        <sz val="11"/>
        <color theme="1"/>
        <rFont val="Calibri"/>
        <family val="2"/>
        <charset val="238"/>
        <scheme val="minor"/>
      </rPr>
      <t>/ RFC-317184</t>
    </r>
  </si>
  <si>
    <r>
      <rPr>
        <sz val="11"/>
        <color rgb="FFFF0000"/>
        <rFont val="Calibri (Hoofdtekst)"/>
      </rPr>
      <t>UWVA2VLOAPP0047</t>
    </r>
    <r>
      <rPr>
        <sz val="11"/>
        <color theme="1"/>
        <rFont val="Calibri"/>
        <family val="2"/>
        <charset val="238"/>
        <scheme val="minor"/>
      </rPr>
      <t xml:space="preserve">
uwvm2vloapp0006</t>
    </r>
  </si>
  <si>
    <t>RFC-308872</t>
  </si>
  <si>
    <t>uwvm2vloapp0006</t>
  </si>
  <si>
    <t>10.178.145.114</t>
  </si>
  <si>
    <t>88 
3268
3269</t>
  </si>
  <si>
    <t>RFC-311621
RFC-311714</t>
  </si>
  <si>
    <t>DIM DB</t>
  </si>
  <si>
    <t>DIM DB server</t>
  </si>
  <si>
    <r>
      <rPr>
        <sz val="11"/>
        <color theme="1"/>
        <rFont val="Calibri (Hoofdtekst)"/>
      </rPr>
      <t>88</t>
    </r>
    <r>
      <rPr>
        <sz val="11"/>
        <color theme="1"/>
        <rFont val="Calibri"/>
        <family val="2"/>
        <charset val="238"/>
        <scheme val="minor"/>
      </rPr>
      <t xml:space="preserve">
389
636</t>
    </r>
  </si>
  <si>
    <t>RFC-311725</t>
  </si>
  <si>
    <r>
      <rPr>
        <sz val="11"/>
        <color rgb="FFFF0000"/>
        <rFont val="Calibri"/>
        <family val="2"/>
        <scheme val="minor"/>
      </rPr>
      <t>UWVA2VLOAPP0047</t>
    </r>
    <r>
      <rPr>
        <sz val="11"/>
        <color theme="1"/>
        <rFont val="Calibri"/>
        <family val="2"/>
        <charset val="238"/>
        <scheme val="minor"/>
      </rPr>
      <t xml:space="preserve">
uwvm2vloapp0004</t>
    </r>
  </si>
  <si>
    <t>10.178.148.21
10.178.145.108</t>
  </si>
  <si>
    <t>DIM Management Server (DXC)</t>
  </si>
  <si>
    <t>PN5441
PN5442
PN5444
DIM-DB server</t>
  </si>
  <si>
    <r>
      <rPr>
        <sz val="11"/>
        <color rgb="FFFF0000"/>
        <rFont val="Calibri (Hoofdtekst)"/>
      </rPr>
      <t>UWVA2VLOAPP0047</t>
    </r>
    <r>
      <rPr>
        <sz val="11"/>
        <color theme="1"/>
        <rFont val="Calibri"/>
        <family val="2"/>
        <charset val="238"/>
        <scheme val="minor"/>
      </rPr>
      <t xml:space="preserve">
uwvm2vloapp0006"
uwvm2vloapp0004
uwvm2vloapp0005
uwvm2vaoora0001</t>
    </r>
  </si>
  <si>
    <r>
      <rPr>
        <sz val="11"/>
        <color rgb="FFFF0000"/>
        <rFont val="Calibri (Hoofdtekst)"/>
      </rPr>
      <t>10.178.148.21</t>
    </r>
    <r>
      <rPr>
        <sz val="11"/>
        <color theme="1"/>
        <rFont val="Calibri"/>
        <family val="2"/>
        <charset val="238"/>
        <scheme val="minor"/>
      </rPr>
      <t xml:space="preserve">
10.178.145.114"
10.178.145.108
10.178.145.109
10.178.52.11</t>
    </r>
  </si>
  <si>
    <t>UWV FB from DWH mngt server to DIM Bridge</t>
  </si>
  <si>
    <t>DIM Bridge</t>
  </si>
  <si>
    <r>
      <rPr>
        <sz val="11"/>
        <color rgb="FFFF0000"/>
        <rFont val="Calibri"/>
        <family val="2"/>
        <scheme val="minor"/>
      </rPr>
      <t>UWVA2VLOAPP0047</t>
    </r>
    <r>
      <rPr>
        <sz val="11"/>
        <color theme="1"/>
        <rFont val="Calibri"/>
        <family val="2"/>
        <charset val="238"/>
        <scheme val="minor"/>
      </rPr>
      <t xml:space="preserve">
uwvm2vloapp0004
uwvm2vloapp0005
uwvm2vaoora0001</t>
    </r>
  </si>
  <si>
    <t>10.178.148.21
10.178.145.108
10.178.145.109
10.178.52.11</t>
  </si>
  <si>
    <r>
      <rPr>
        <sz val="11"/>
        <color rgb="FFFF0000"/>
        <rFont val="Calibri"/>
        <family val="2"/>
        <scheme val="minor"/>
      </rPr>
      <t>UWVA2VLOAPP0047</t>
    </r>
    <r>
      <rPr>
        <sz val="11"/>
        <color theme="1"/>
        <rFont val="Calibri"/>
        <family val="2"/>
        <charset val="238"/>
        <scheme val="minor"/>
      </rPr>
      <t xml:space="preserve">
uwvm2vloapp0004
uwvm2vloapp0005
</t>
    </r>
    <r>
      <rPr>
        <sz val="11"/>
        <color rgb="FFFF0000"/>
        <rFont val="Calibri (Hoofdtekst)"/>
      </rPr>
      <t>uwvm2vwoapp0007</t>
    </r>
    <r>
      <rPr>
        <sz val="11"/>
        <color theme="1"/>
        <rFont val="Calibri"/>
        <family val="2"/>
        <charset val="238"/>
        <scheme val="minor"/>
      </rPr>
      <t xml:space="preserve">
uwvm2vwoapp0008"</t>
    </r>
  </si>
  <si>
    <r>
      <t xml:space="preserve">10.178.148.21
10.178.145.108
10.178.145.109
</t>
    </r>
    <r>
      <rPr>
        <sz val="11"/>
        <color rgb="FFFF0000"/>
        <rFont val="Calibri (Hoofdtekst)"/>
      </rPr>
      <t>10.178.145.110</t>
    </r>
    <r>
      <rPr>
        <sz val="11"/>
        <color theme="1"/>
        <rFont val="Calibri"/>
        <family val="2"/>
        <charset val="238"/>
        <scheme val="minor"/>
      </rPr>
      <t xml:space="preserve">
10.178.145.116"</t>
    </r>
  </si>
  <si>
    <t xml:space="preserve">DIM Servers
</t>
  </si>
  <si>
    <r>
      <t xml:space="preserve">10.178.148.21
10.178.145.108
10.178.145.109
</t>
    </r>
    <r>
      <rPr>
        <sz val="11"/>
        <color rgb="FFFF0000"/>
        <rFont val="Calibri (Hoofdtekst)"/>
      </rPr>
      <t>10.178.145.110</t>
    </r>
    <r>
      <rPr>
        <sz val="11"/>
        <color theme="1"/>
        <rFont val="Calibri"/>
        <family val="2"/>
        <charset val="238"/>
        <scheme val="minor"/>
      </rPr>
      <t xml:space="preserve">
10.178.145.116</t>
    </r>
  </si>
  <si>
    <t xml:space="preserve">1527
</t>
  </si>
  <si>
    <t xml:space="preserve">RFC-317208
RFC-319900
</t>
  </si>
  <si>
    <t xml:space="preserve">
RAL-ID: 20230207-002-A</t>
  </si>
  <si>
    <t>DIM IIS Metadata Integration bridge
(DIM Bridge)</t>
  </si>
  <si>
    <t>DIM-DB-O  bur interface</t>
  </si>
  <si>
    <t>192.168.190.11</t>
  </si>
  <si>
    <t>RFC-311617</t>
  </si>
  <si>
    <t>DIM-Infosphere AIX DB server</t>
  </si>
  <si>
    <t>RFC-313887</t>
  </si>
  <si>
    <t>"Database Server DIM-DB-D -&gt; 	
NFS Server DIM-NFS-CH-D"</t>
  </si>
  <si>
    <t>DIM DBV D</t>
  </si>
  <si>
    <t>DIM NFS CH D</t>
  </si>
  <si>
    <t xml:space="preserve">10.178.52.11	</t>
  </si>
  <si>
    <t>DIM NFS D</t>
  </si>
  <si>
    <t>O_DWH SEC-ZONE</t>
  </si>
  <si>
    <r>
      <rPr>
        <sz val="11"/>
        <color rgb="FFFF0000"/>
        <rFont val="Calibri"/>
        <family val="2"/>
        <scheme val="minor"/>
      </rPr>
      <t>111</t>
    </r>
    <r>
      <rPr>
        <sz val="11"/>
        <color theme="1"/>
        <rFont val="Calibri"/>
        <family val="2"/>
        <charset val="238"/>
        <scheme val="minor"/>
      </rPr>
      <t xml:space="preserve">
</t>
    </r>
    <r>
      <rPr>
        <sz val="11"/>
        <color theme="9" tint="-0.249977111117893"/>
        <rFont val="Calibri"/>
        <family val="2"/>
        <scheme val="minor"/>
      </rPr>
      <t>2049</t>
    </r>
  </si>
  <si>
    <t>UCRA-DAP - DIM DB D</t>
  </si>
  <si>
    <t>DIM DB D</t>
  </si>
  <si>
    <t>FMO ACCEPTANCE ENVIRONMENT</t>
  </si>
  <si>
    <t>uwvm3vlaapp0023</t>
  </si>
  <si>
    <t>10.178.145.121</t>
  </si>
  <si>
    <t>RFC-309899</t>
  </si>
  <si>
    <t xml:space="preserve">DIM IIS Metadata Integration bridge 
(DIM Bridge) </t>
  </si>
  <si>
    <t>uwvm3vwaapp0001
uwvm2vwaapp0001</t>
  </si>
  <si>
    <t>10.178.128.37
10.178.128.38</t>
  </si>
  <si>
    <t>uwvm3vwaapp0060</t>
  </si>
  <si>
    <t>10.178.145.117</t>
  </si>
  <si>
    <t>DIM srvrs 
(DIM Engine 
DIM APP 
DIM Search 
DIM DB 
DIM Mgmt 
2 FS Servers)</t>
  </si>
  <si>
    <t>uwvm3vlaapp0021
uwvm3vlaapp0022
uwvm3vlaapp0023
uwvm3vaaora0011
uwvm2vapapp0036	
uwvm2vlpapp0023
uwvm2vlpapp0024</t>
  </si>
  <si>
    <t>10.178.145.119
10.178.145.120
10.178.145.121
10.178.54.12
10.178.55.11
10.178.145.127
10.178.145.128</t>
  </si>
  <si>
    <t>RFC-309899
RFC-310916</t>
  </si>
  <si>
    <t>RFC-310916 IP Change</t>
  </si>
  <si>
    <t>UCRA - A</t>
  </si>
  <si>
    <t>uwvm3vaaora0011</t>
  </si>
  <si>
    <t>10.178.54.12</t>
  </si>
  <si>
    <t>uwvm3vlaapp0022</t>
  </si>
  <si>
    <t>10.178.145.120</t>
  </si>
  <si>
    <t xml:space="preserve">DIM services svr 
(DIM APP) </t>
  </si>
  <si>
    <t>uwvm3vlaapp0021</t>
  </si>
  <si>
    <t>10.178.145.119</t>
  </si>
  <si>
    <t xml:space="preserve">DIM IIS searchsvcs 
(DIM Search) </t>
  </si>
  <si>
    <t>From Integration srvr to DB srvr  Wordt DIM DB server 
(From DIM Bridge to DIM DB)</t>
  </si>
  <si>
    <t xml:space="preserve">DIM Integration srvr 
(DIM Bridge) </t>
  </si>
  <si>
    <t xml:space="preserve">DWH 
(DIM DB) </t>
  </si>
  <si>
    <t>From Engine srvr to DB srvr Wordt DIM DB server</t>
  </si>
  <si>
    <t>From DB srvr to Engine srvr
Is dit de nieuwe DIM DB server?</t>
  </si>
  <si>
    <t>DIM DB and DIM Engine</t>
  </si>
  <si>
    <t>DIM-Infosphere DB server and DIM Engine server</t>
  </si>
  <si>
    <t>uwvm3vaaora0011
uwvm3vlaapp0022</t>
  </si>
  <si>
    <t xml:space="preserve">10.178.54.12
10.178.145.120
</t>
  </si>
  <si>
    <t>DIM NFS</t>
  </si>
  <si>
    <t>uwvm2vlpapp0023
uwvm2vlpapp0024</t>
  </si>
  <si>
    <t>10.178.145.127
10.178.145.128</t>
  </si>
  <si>
    <r>
      <t xml:space="preserve">NFS: </t>
    </r>
    <r>
      <rPr>
        <sz val="11"/>
        <color rgb="FFFF0000"/>
        <rFont val="Calibri"/>
        <family val="2"/>
        <scheme val="minor"/>
      </rPr>
      <t>2049</t>
    </r>
    <r>
      <rPr>
        <sz val="11"/>
        <color theme="1"/>
        <rFont val="Calibri"/>
        <family val="2"/>
        <charset val="238"/>
        <scheme val="minor"/>
      </rPr>
      <t xml:space="preserve">, </t>
    </r>
    <r>
      <rPr>
        <sz val="11"/>
        <color rgb="FF00B050"/>
        <rFont val="Calibri"/>
        <family val="2"/>
        <scheme val="minor"/>
      </rPr>
      <t>111</t>
    </r>
  </si>
  <si>
    <t>RFC-309899
RFC-317577</t>
  </si>
  <si>
    <t>Put  files on SI FT for file and dump accesses with UWV source systems via SI-FT</t>
  </si>
  <si>
    <t>receive from SI FT for file and dump accesses with UWV source systems via SI-FT</t>
  </si>
  <si>
    <t>RFC-309742</t>
  </si>
  <si>
    <t xml:space="preserve">DIM services srvr 
(DIM APP) 
</t>
  </si>
  <si>
    <t>RFC-309741</t>
  </si>
  <si>
    <r>
      <rPr>
        <sz val="11"/>
        <color rgb="FFFF0000"/>
        <rFont val="Calibri"/>
        <family val="2"/>
        <scheme val="minor"/>
      </rPr>
      <t xml:space="preserve">88 </t>
    </r>
    <r>
      <rPr>
        <sz val="11"/>
        <color theme="1"/>
        <rFont val="Calibri"/>
        <family val="2"/>
        <charset val="238"/>
        <scheme val="minor"/>
      </rPr>
      <t xml:space="preserve">
</t>
    </r>
    <r>
      <rPr>
        <sz val="11"/>
        <color rgb="FFFF0000"/>
        <rFont val="Calibri"/>
        <family val="2"/>
        <scheme val="minor"/>
      </rPr>
      <t>3268
3269</t>
    </r>
  </si>
  <si>
    <t>RFC-311714
RFC-317263 DXC</t>
  </si>
  <si>
    <t xml:space="preserve">DIM DB Srvr
</t>
  </si>
  <si>
    <t>RFC-311724
RFC-317263 DXC</t>
  </si>
  <si>
    <t xml:space="preserve">DIM services srvr 
(DIM APP)
</t>
  </si>
  <si>
    <t>From Services srvr to DB srvr   wordt Dim DB server</t>
  </si>
  <si>
    <t xml:space="preserve">uwvm3vlaapp0021	
uwvm3vlaapp0022	</t>
  </si>
  <si>
    <t>10.178.145.119
10.178.145.120</t>
  </si>
  <si>
    <t>From IIS Search to DB server Wordt db server DIM)</t>
  </si>
  <si>
    <r>
      <t xml:space="preserve">UWV FB from DWH mngt server to all RH servers Wordt de management server of DIM-Infosphere </t>
    </r>
    <r>
      <rPr>
        <sz val="11"/>
        <color rgb="FFFF0000"/>
        <rFont val="Calibri"/>
        <family val="2"/>
        <scheme val="minor"/>
      </rPr>
      <t>Let op PN5435 is een windows server</t>
    </r>
  </si>
  <si>
    <t xml:space="preserve"> DIM Management server (DXC) </t>
  </si>
  <si>
    <t>DIM-Infoshere Management server-P</t>
  </si>
  <si>
    <r>
      <t xml:space="preserve">PN5433
PN5434
PN5436 
</t>
    </r>
    <r>
      <rPr>
        <sz val="11"/>
        <color rgb="FFFF0000"/>
        <rFont val="Calibri"/>
        <family val="2"/>
        <scheme val="minor"/>
      </rPr>
      <t>DIM-DB server</t>
    </r>
  </si>
  <si>
    <t>uwvm3vlaapp0021
uwvm3vlaapp0022
uwvm3vlaapp0023	
uwvm3vaaora0011</t>
  </si>
  <si>
    <t>10.178.145.119
10.178.145.120
10.178.145.121
10.178.54.12</t>
  </si>
  <si>
    <t xml:space="preserve">UWV FB from DWH mngt server from all RH servers </t>
  </si>
  <si>
    <t>uwvm3vlaapp0021	
uwvm3vlaapp0022
uwvm3vlaapp0023
uwvm3vapapp0011</t>
  </si>
  <si>
    <t>10.178.145.119
10.178.145.120
10.178.145.121
10.178.54.11</t>
  </si>
  <si>
    <t>uwvm3vlaapp0021
uwvm3vlaapp0022
uwvm3vwaapp0060
uwvm3vlaapp0023</t>
  </si>
  <si>
    <t>10.178.145.119
10.178.145.120
10.178.145.117
10.178.145.121</t>
  </si>
  <si>
    <r>
      <t xml:space="preserve">Metadata bridge to IIS services </t>
    </r>
    <r>
      <rPr>
        <sz val="11"/>
        <color rgb="FFFF0000"/>
        <rFont val="Calibri"/>
        <family val="2"/>
        <scheme val="minor"/>
      </rPr>
      <t xml:space="preserve">
</t>
    </r>
  </si>
  <si>
    <t>RFC-313886</t>
  </si>
  <si>
    <t>"Database Server DIM-DB-A -&gt;
NFS Server DIM-NFS-C-A
NFS Server DIM-NFS-H-A"</t>
  </si>
  <si>
    <t>DIM NFS C_A
DIM NFS H_A</t>
  </si>
  <si>
    <t xml:space="preserve">10.178.54.12	</t>
  </si>
  <si>
    <t>uwvm3vlaapp0024
uwvm3vlaapp0025</t>
  </si>
  <si>
    <t>10.178.145.122
10.178.145.123</t>
  </si>
  <si>
    <t>A_DWH SEC-ZONE</t>
  </si>
  <si>
    <t>UCRA-DAP - DIM DB A</t>
  </si>
  <si>
    <t>DIM DB A</t>
  </si>
  <si>
    <t>FMO PRODUCTION ENVIRONMENT</t>
  </si>
  <si>
    <t>ToHost Name /NSX-T Security Group</t>
  </si>
  <si>
    <t>uwvm2vlpapp0022</t>
  </si>
  <si>
    <t>10.178.145.126</t>
  </si>
  <si>
    <t>RFC-310927</t>
  </si>
  <si>
    <t>uwvm2vwpapp0061</t>
  </si>
  <si>
    <t>10.178.145.118</t>
  </si>
  <si>
    <t>UCRA-P</t>
  </si>
  <si>
    <t>wvm2vwpapp0002
uwvm3vwpapp0002</t>
  </si>
  <si>
    <t xml:space="preserve">10.178.128.30
10.178.128.31
</t>
  </si>
  <si>
    <t>uwvm2vlpapp0021
uwvm2vlpapp0020
uwvm2vlpapp0022	
uwvm2vapora0012
uwvm2vapapp0036
uwvm2vlpapp0023
uwvm2vlpapp0024</t>
  </si>
  <si>
    <t>10.178.145.125
10.178.145.124
10.178.145.126
10.178.55.12
10.178.55.11
10.178.145.127
10.178.145.128</t>
  </si>
  <si>
    <t>UWV FB from UCRA-P to DIM DB</t>
  </si>
  <si>
    <t>uwvm2vapora0012</t>
  </si>
  <si>
    <t>10.178.55.12</t>
  </si>
  <si>
    <t>uwvm2vlpapp0021</t>
  </si>
  <si>
    <t>10.178.145.125</t>
  </si>
  <si>
    <t>uwvm2vlpapp0020</t>
  </si>
  <si>
    <t>10.178.145.124</t>
  </si>
  <si>
    <t>DWH 
(DIM DB)
DIM-Engine</t>
  </si>
  <si>
    <t>DIM-Infosphere DB server  
DIM Infosphere Engine Server</t>
  </si>
  <si>
    <t xml:space="preserve">uwvm2vapora0012
uwvm2vlpapp0021		</t>
  </si>
  <si>
    <t>10.178.55.12
10.178.145.125</t>
  </si>
  <si>
    <t>DIM-NFS Server</t>
  </si>
  <si>
    <t xml:space="preserve">uwva2vwpapp0010
SI-Filetransfer.p-dc.ba.uwv.nl
</t>
  </si>
  <si>
    <t xml:space="preserve">10.178.146.40
</t>
  </si>
  <si>
    <t>RFC-319328</t>
  </si>
  <si>
    <t>TMO</t>
  </si>
  <si>
    <t xml:space="preserve">PN4697
PN4698
</t>
  </si>
  <si>
    <t>PN4697</t>
  </si>
  <si>
    <t>uwva2vwpapp0010</t>
  </si>
  <si>
    <t>10.178.146.40</t>
  </si>
  <si>
    <t>RFC-320044</t>
  </si>
  <si>
    <t>RFC-310917</t>
  </si>
  <si>
    <t>10.74.1.1
10.74.1.2
10.74.1.3
10.74.1.4</t>
  </si>
  <si>
    <t>RFC-310919; RFC-319276</t>
  </si>
  <si>
    <t>RFC-311714; RFC-319276</t>
  </si>
  <si>
    <t>RFC-311654; RFC-319276</t>
  </si>
  <si>
    <t xml:space="preserve">uwvm2vlpapp0020
uwvm2vlpapp0021	</t>
  </si>
  <si>
    <t>10.142.130.3
10.178.145.125</t>
  </si>
  <si>
    <r>
      <t xml:space="preserve">UWV FB from DWH mngt server to all RH servers Wordt de management server of DIM-Infosphere </t>
    </r>
    <r>
      <rPr>
        <sz val="11"/>
        <color rgb="FFFF0000"/>
        <rFont val="Calibri"/>
        <family val="2"/>
        <scheme val="minor"/>
      </rPr>
      <t>Let op PN3186 is de productie DB server bij Kyndryl.</t>
    </r>
  </si>
  <si>
    <t>PN5429
PN5430
PN5432
DIM-Infosphere DB server</t>
  </si>
  <si>
    <t>uwvm2vlpapp0020	
uwvm2vlpapp0021	
uwvm2vlpapp0022
uwvm2vapora0012</t>
  </si>
  <si>
    <t>10.178.145.124
10.178.145.125
10.178.145.126
10.178.55.12</t>
  </si>
  <si>
    <t xml:space="preserve">UWV FB from DWH mngt server to all RH servers </t>
  </si>
  <si>
    <t xml:space="preserve">uwvm2vlpapp0020
uwvm2vlpapp0021	
uwvm2vwpapp0061	
uwvm2vlpapp0022	</t>
  </si>
  <si>
    <t>10.178.145.124
10.178.145.125
10.178.145.118
10.178.145.126</t>
  </si>
  <si>
    <t xml:space="preserve">uwvm2vlpapp0020
uwvm2vlpapp0021
uwvm2vwpapp0061	
uwvm2vlpapp0022	</t>
  </si>
  <si>
    <t>TBD</t>
  </si>
  <si>
    <t xml:space="preserve">Metadata bridge to IIS services 
</t>
  </si>
  <si>
    <t>RFC-313891</t>
  </si>
  <si>
    <t>"Database Server DIM-DB-P -&gt;
NFS Server DIM-NFS-C-P
NFS Server DIM-NFS-H-P"</t>
  </si>
  <si>
    <t>DIM NFS C-P
DIM BFS H-P</t>
  </si>
  <si>
    <t>P_DWH SEC-ZONE</t>
  </si>
  <si>
    <t xml:space="preserve"> RFC-314674</t>
  </si>
  <si>
    <t>UCRA-DAP - DIM AIX DB server</t>
  </si>
  <si>
    <t>PN5594
PN5595</t>
  </si>
  <si>
    <t>DWH  DIM Mgmt Server - richting TSC</t>
  </si>
  <si>
    <t>TSC</t>
  </si>
  <si>
    <t>be04qdb153uwvxm.hrc.ba.uwv.nl</t>
  </si>
  <si>
    <t>10.140.160.22</t>
  </si>
  <si>
    <t>RFC-320045</t>
  </si>
  <si>
    <t>UCRA-DAP - DIM DB P</t>
  </si>
  <si>
    <t>DIM DB P</t>
  </si>
  <si>
    <t xml:space="preserve">	uwvm2vapora0012</t>
  </si>
  <si>
    <t>DWH  DIM Mgmt Server - richting SI-FT</t>
  </si>
  <si>
    <t>DWH DIM Mgmt Server</t>
  </si>
  <si>
    <t>SI-FT</t>
  </si>
  <si>
    <t>DWH  DIM Mgmt Server - to DATPROF for anonimising data</t>
  </si>
  <si>
    <t>DATPROF</t>
  </si>
  <si>
    <t>uwva2vlpora0064</t>
  </si>
  <si>
    <t>10.178.225.98</t>
  </si>
  <si>
    <t>RFC-319488</t>
  </si>
  <si>
    <t xml:space="preserve">DATPROF to DWH DIM Mgmt Server </t>
  </si>
  <si>
    <t>TABLES USED IN CMO / FMO SHEETS</t>
  </si>
  <si>
    <r>
      <rPr>
        <b/>
        <sz val="11"/>
        <color theme="1"/>
        <rFont val="Calibri"/>
        <family val="2"/>
        <scheme val="minor"/>
      </rPr>
      <t>ADDING PROTOCOLS</t>
    </r>
    <r>
      <rPr>
        <sz val="11"/>
        <color theme="1"/>
        <rFont val="Calibri"/>
        <family val="2"/>
        <charset val="238"/>
        <scheme val="minor"/>
      </rPr>
      <t xml:space="preserve">
Just add protocols at withing lightblue colored region and 
will appear in the dropdown list in the protocol column of the
connection sheet. </t>
    </r>
  </si>
  <si>
    <t xml:space="preserve">Confirm </t>
  </si>
  <si>
    <t xml:space="preserve">Protocol </t>
  </si>
  <si>
    <t>Interface Type</t>
  </si>
  <si>
    <t>MQ Queue Type</t>
  </si>
  <si>
    <t>Zones</t>
  </si>
  <si>
    <t>Import Worksheets</t>
  </si>
  <si>
    <t xml:space="preserve">SI </t>
  </si>
  <si>
    <t>SI Description (IST -&gt; SOLL)</t>
  </si>
  <si>
    <t>FWR Management</t>
  </si>
  <si>
    <t>FWR Environment</t>
  </si>
  <si>
    <t>FMO Import Worksheets</t>
  </si>
  <si>
    <t>CIA Rating</t>
  </si>
  <si>
    <t>FWQ Environment</t>
  </si>
  <si>
    <t>FWQ Protocol</t>
  </si>
  <si>
    <t>Zone IP range start</t>
  </si>
  <si>
    <t>Zone IP range end</t>
  </si>
  <si>
    <t>Zone Name</t>
  </si>
  <si>
    <t>Net Mask</t>
  </si>
  <si>
    <t>CIDR Range</t>
  </si>
  <si>
    <t>Import vesion</t>
  </si>
  <si>
    <t>Run Status</t>
  </si>
  <si>
    <t>TMO / FMO</t>
  </si>
  <si>
    <t>DYNAMIC LENGHT</t>
  </si>
  <si>
    <t>Yes</t>
  </si>
  <si>
    <t>Incoming</t>
  </si>
  <si>
    <t xml:space="preserve">Local </t>
  </si>
  <si>
    <t>ZONE A</t>
  </si>
  <si>
    <t>End 2 End Connection not using SI</t>
  </si>
  <si>
    <t>On Hold</t>
  </si>
  <si>
    <t>Development</t>
  </si>
  <si>
    <t>High</t>
  </si>
  <si>
    <t>KPN Productie</t>
  </si>
  <si>
    <t>TCP/UDP</t>
  </si>
  <si>
    <t>145.84.152.1</t>
  </si>
  <si>
    <t>145.84.155.254</t>
  </si>
  <si>
    <t>IBM Acceptatie Secure Zone</t>
  </si>
  <si>
    <t>255.255.252.0</t>
  </si>
  <si>
    <t>145.84.152.0/22</t>
  </si>
  <si>
    <t>V1.00 Pink</t>
  </si>
  <si>
    <t>FTP: 21</t>
  </si>
  <si>
    <t>Outgoing</t>
  </si>
  <si>
    <t>Transmission</t>
  </si>
  <si>
    <t>ZONE B</t>
  </si>
  <si>
    <t>SI IBM</t>
  </si>
  <si>
    <t>Using SI AMG at IBM - and after migration</t>
  </si>
  <si>
    <t>Test</t>
  </si>
  <si>
    <t>Mid</t>
  </si>
  <si>
    <t>KPN Werkplek</t>
  </si>
  <si>
    <t>10.146.16.1</t>
  </si>
  <si>
    <t>10.146.19.254</t>
  </si>
  <si>
    <t>10.146.16.0/22</t>
  </si>
  <si>
    <t>Business As Usual</t>
  </si>
  <si>
    <t>Explicit FTPS: 21</t>
  </si>
  <si>
    <t>Receive</t>
  </si>
  <si>
    <t>ZONE C</t>
  </si>
  <si>
    <t>Connections ACC GAT (CMO)</t>
  </si>
  <si>
    <t>Using SI GEN at IBM - with migration at SI DXC</t>
  </si>
  <si>
    <t>Acceptance</t>
  </si>
  <si>
    <t>Connections ACC GAT (TMO-FMO)</t>
  </si>
  <si>
    <t>Low</t>
  </si>
  <si>
    <t>IBM OTAP</t>
  </si>
  <si>
    <t>UDP</t>
  </si>
  <si>
    <t>10.140.64.1</t>
  </si>
  <si>
    <t>10.140.79.254</t>
  </si>
  <si>
    <t xml:space="preserve"> 255.255.240.0</t>
  </si>
  <si>
    <t>10.140.64.0/20</t>
  </si>
  <si>
    <t>Implicit FTPS Active: 990, 20</t>
  </si>
  <si>
    <t>Remote</t>
  </si>
  <si>
    <t>Connections ACC PAT (CMO)</t>
  </si>
  <si>
    <t>SI DXC</t>
  </si>
  <si>
    <t xml:space="preserve">(Already) Using SI GEN at DXC </t>
  </si>
  <si>
    <t>Production</t>
  </si>
  <si>
    <t>Connections ACC PAT (TMO-FMO)</t>
  </si>
  <si>
    <t>DXC OTAP</t>
  </si>
  <si>
    <t>10.145.32.1</t>
  </si>
  <si>
    <t>10.145.47.254</t>
  </si>
  <si>
    <t>10.145.32.0/20</t>
  </si>
  <si>
    <t>Connections ACC KAT (CMO)</t>
  </si>
  <si>
    <t>SI [DC?]</t>
  </si>
  <si>
    <t>Variable set by import routine from v1.14</t>
  </si>
  <si>
    <t>WATO</t>
  </si>
  <si>
    <t>Connections ACC KAT (TMO-FMO)</t>
  </si>
  <si>
    <t>DXC MGMT</t>
  </si>
  <si>
    <t>10.140.49.1</t>
  </si>
  <si>
    <t>10.140.49.254</t>
  </si>
  <si>
    <t>255.255.255.0</t>
  </si>
  <si>
    <t>10.140.49.0/24</t>
  </si>
  <si>
    <t>Connections ACC TST (CMO)</t>
  </si>
  <si>
    <t>DXC FWR Issued</t>
  </si>
  <si>
    <t>KATO</t>
  </si>
  <si>
    <t>Connections ACC TST (TMO-FMO)</t>
  </si>
  <si>
    <t>Others</t>
  </si>
  <si>
    <t>10.145.100.1</t>
  </si>
  <si>
    <t>10.145.100.254</t>
  </si>
  <si>
    <t>10.145.100.0/24</t>
  </si>
  <si>
    <t>HTTP/SOAP: 80</t>
  </si>
  <si>
    <t>Connections ACC OPL (CMO)</t>
  </si>
  <si>
    <t>IBM FWR Issued</t>
  </si>
  <si>
    <t>KAT</t>
  </si>
  <si>
    <t>Connections ACC OPL (TMO-FMO)</t>
  </si>
  <si>
    <t>10.142.0.1</t>
  </si>
  <si>
    <t>10.142.0.126</t>
  </si>
  <si>
    <t>10.142.0.0/25</t>
  </si>
  <si>
    <t>Connections ACC PREPROD (CMO)</t>
  </si>
  <si>
    <t>KPN FWR Issued</t>
  </si>
  <si>
    <t>PAT</t>
  </si>
  <si>
    <t>Connections ACC PREPROD (TMO-FMO)</t>
  </si>
  <si>
    <t>10.145.80.1</t>
  </si>
  <si>
    <t>10.145.80.254</t>
  </si>
  <si>
    <t>10.145.80.0/24</t>
  </si>
  <si>
    <t>HTTPS/SOAP: 443</t>
  </si>
  <si>
    <t>GAT</t>
  </si>
  <si>
    <t>10.142.64.1</t>
  </si>
  <si>
    <t>10.142.64.126</t>
  </si>
  <si>
    <t>10.142.64.0/25</t>
  </si>
  <si>
    <t>Telnet: 23</t>
  </si>
  <si>
    <t>FAT</t>
  </si>
  <si>
    <t>10.145.81.1</t>
  </si>
  <si>
    <t>10.145.81.254</t>
  </si>
  <si>
    <t>10.145.81.0/24</t>
  </si>
  <si>
    <t>ICAP: 1344</t>
  </si>
  <si>
    <t xml:space="preserve">OTOD </t>
  </si>
  <si>
    <t>10.140.160.1</t>
  </si>
  <si>
    <t>10.140.161.254</t>
  </si>
  <si>
    <t>IBM Application Mgmt</t>
  </si>
  <si>
    <t>255.255.254.0</t>
  </si>
  <si>
    <t>10.140.160.0/23</t>
  </si>
  <si>
    <t>MQ: 7501</t>
  </si>
  <si>
    <t>OTOD-O</t>
  </si>
  <si>
    <t>10.145.64.1</t>
  </si>
  <si>
    <t>10.145.65.254</t>
  </si>
  <si>
    <t>10.145.64.0/23</t>
  </si>
  <si>
    <t>MQ: 7701</t>
  </si>
  <si>
    <t>OTOD-T</t>
  </si>
  <si>
    <t>10.140.164.1</t>
  </si>
  <si>
    <t>10.140.164.254</t>
  </si>
  <si>
    <t>IBM DMZ-Backend-Prod</t>
  </si>
  <si>
    <t>10.140.164.0/24</t>
  </si>
  <si>
    <t>IMF: 135</t>
  </si>
  <si>
    <t>10.145.98.1</t>
  </si>
  <si>
    <t>10.145.98.254</t>
  </si>
  <si>
    <t>10.145.98.0/24</t>
  </si>
  <si>
    <t>JMS: 1099</t>
  </si>
  <si>
    <t>10.161.6.1</t>
  </si>
  <si>
    <t>10.161.6.254</t>
  </si>
  <si>
    <t>IBM DMZ-External-Accept</t>
  </si>
  <si>
    <t>10.161.6.0/24</t>
  </si>
  <si>
    <t>LDAP: 389</t>
  </si>
  <si>
    <t>10.160.6.1</t>
  </si>
  <si>
    <t>10.160.6.254</t>
  </si>
  <si>
    <t>10.160.6.0/24</t>
  </si>
  <si>
    <t>145.84.168.1</t>
  </si>
  <si>
    <t>145.84.169.254</t>
  </si>
  <si>
    <t>IBM DMZ-External-Prod</t>
  </si>
  <si>
    <t>145.84.168.0/23</t>
  </si>
  <si>
    <t>MS SQL Client: 1433</t>
  </si>
  <si>
    <t xml:space="preserve">10.160.0.1 </t>
  </si>
  <si>
    <t>10.160.1.254</t>
  </si>
  <si>
    <t>10.160.0.0/23</t>
  </si>
  <si>
    <t>MYSQL: 3308</t>
  </si>
  <si>
    <t>10.161.3.1</t>
  </si>
  <si>
    <t>10.161.3.254</t>
  </si>
  <si>
    <t>10.161.3.0/24</t>
  </si>
  <si>
    <t>10.160.4.1</t>
  </si>
  <si>
    <t>10.160.4.254</t>
  </si>
  <si>
    <t>10.160.4.0/24</t>
  </si>
  <si>
    <t>POP3: 110</t>
  </si>
  <si>
    <t>145.84.172.1</t>
  </si>
  <si>
    <t>145.84.173.254</t>
  </si>
  <si>
    <t>IBM DMZ-Internal-Prod</t>
  </si>
  <si>
    <t>145.84.172.0/23</t>
  </si>
  <si>
    <t>OAP: 5575</t>
  </si>
  <si>
    <t>10.146.32.1</t>
  </si>
  <si>
    <t>10.146.33.254</t>
  </si>
  <si>
    <t>10.146.32.0/23</t>
  </si>
  <si>
    <t>10.161.2.1</t>
  </si>
  <si>
    <t>10.161.2.254</t>
  </si>
  <si>
    <t>10.161.2.0/24</t>
  </si>
  <si>
    <t>SMB: 445</t>
  </si>
  <si>
    <t>10.145.96.1</t>
  </si>
  <si>
    <t>10.145.96.254</t>
  </si>
  <si>
    <t>10.145.96.0/24</t>
  </si>
  <si>
    <t>145.84.160.1</t>
  </si>
  <si>
    <t>145.84.163.254</t>
  </si>
  <si>
    <t>IBM Ontwikkel Secure Zone</t>
  </si>
  <si>
    <t>145.84.160.0/22</t>
  </si>
  <si>
    <t>10.146.40.1</t>
  </si>
  <si>
    <t>10.146.43.254</t>
  </si>
  <si>
    <t>10.146.40.0/22</t>
  </si>
  <si>
    <t>10.140.178.1</t>
  </si>
  <si>
    <t>10.140.179.254</t>
  </si>
  <si>
    <t>10.140.178.0/23</t>
  </si>
  <si>
    <t>10.140.128.1</t>
  </si>
  <si>
    <t>10.140.143.254</t>
  </si>
  <si>
    <t>10.140.128.0/20</t>
  </si>
  <si>
    <t>WMI: 135</t>
  </si>
  <si>
    <t>10.145.112.1</t>
  </si>
  <si>
    <t>10.145.127.254</t>
  </si>
  <si>
    <t>10.145.112.0/20</t>
  </si>
  <si>
    <t>Proprietary:</t>
  </si>
  <si>
    <t>145.84.128.1</t>
  </si>
  <si>
    <t>145.84.135.254</t>
  </si>
  <si>
    <t>IBM Productie Secure Zone</t>
  </si>
  <si>
    <t>255.255.248.0</t>
  </si>
  <si>
    <t>145.84.128.0/21</t>
  </si>
  <si>
    <t>10.145.144.1</t>
  </si>
  <si>
    <t>10.145.159.254</t>
  </si>
  <si>
    <t>255.255.240.0</t>
  </si>
  <si>
    <t>10.145.144.0/20</t>
  </si>
  <si>
    <t>10.142.128.1</t>
  </si>
  <si>
    <t>10.142.128.126</t>
  </si>
  <si>
    <t>10.142.128.0/25</t>
  </si>
  <si>
    <t>UDP:</t>
  </si>
  <si>
    <t>10.145.82.1</t>
  </si>
  <si>
    <t>10.145.82.254</t>
  </si>
  <si>
    <t>10.145.82.0/24</t>
  </si>
  <si>
    <t>ODBC:</t>
  </si>
  <si>
    <t>10.142.192.1</t>
  </si>
  <si>
    <t>10.142.192.126</t>
  </si>
  <si>
    <t>10.142.192.0/25</t>
  </si>
  <si>
    <t>JDBC:</t>
  </si>
  <si>
    <t>10.145.83.1</t>
  </si>
  <si>
    <t>10.145.83.254</t>
  </si>
  <si>
    <t>10.145.83.0/24</t>
  </si>
  <si>
    <t>10.111.0.1</t>
  </si>
  <si>
    <t>10.111.255.254</t>
  </si>
  <si>
    <t>255.255.0.0</t>
  </si>
  <si>
    <t>10.111.0.0/16</t>
  </si>
  <si>
    <t>10.143.0.1</t>
  </si>
  <si>
    <t>10.143.255.254</t>
  </si>
  <si>
    <t>10.143.0.0/16</t>
  </si>
  <si>
    <t>10.145.102.1</t>
  </si>
  <si>
    <t>10.145.102.254</t>
  </si>
  <si>
    <t>10.145.102.0/24</t>
  </si>
  <si>
    <t>10.146.0.1</t>
  </si>
  <si>
    <t>10.146.7.254</t>
  </si>
  <si>
    <t>10.146.0.0/21</t>
  </si>
  <si>
    <t>145.84.144.1</t>
  </si>
  <si>
    <t>145.84.147.254</t>
  </si>
  <si>
    <t>IBM Test Secure Zone</t>
  </si>
  <si>
    <t>145.84.144.0/22</t>
  </si>
  <si>
    <t>10.140.176.1</t>
  </si>
  <si>
    <t>10.140.177.254</t>
  </si>
  <si>
    <t>10.140.176.0/23</t>
  </si>
  <si>
    <t>10.140.96.1</t>
  </si>
  <si>
    <t>10.140.111.254</t>
  </si>
  <si>
    <t>10.140.96.0/20</t>
  </si>
  <si>
    <t>10.145.0.1</t>
  </si>
  <si>
    <t>10.145.15.254</t>
  </si>
  <si>
    <t>10.145.0.0/20</t>
  </si>
  <si>
    <t>10.146.24.1</t>
  </si>
  <si>
    <t>10.146.27.254</t>
  </si>
  <si>
    <t xml:space="preserve"> 255.255.252.0</t>
  </si>
  <si>
    <t>10.146.24.0/22</t>
  </si>
  <si>
    <t>10.178.0.1</t>
  </si>
  <si>
    <t>10.178.7.254</t>
  </si>
  <si>
    <t>O-FrontOffice_SEC-ZONE</t>
  </si>
  <si>
    <t>10.178.0.0/21</t>
  </si>
  <si>
    <t>10.178.8.1</t>
  </si>
  <si>
    <t>10.178.15.254</t>
  </si>
  <si>
    <t>T-FrontOffice_SEC-ZONE</t>
  </si>
  <si>
    <t>10.178.8.0/21</t>
  </si>
  <si>
    <t>10.178.16.1</t>
  </si>
  <si>
    <t>10.178.23.254</t>
  </si>
  <si>
    <t>A-FrontOffice_SEC-ZONE</t>
  </si>
  <si>
    <t>10.178.16.0/21</t>
  </si>
  <si>
    <t>10.178.24.1</t>
  </si>
  <si>
    <t>10.178.31.254</t>
  </si>
  <si>
    <t>P-FrontOffice_SEC-ZONE</t>
  </si>
  <si>
    <t>10.178.24.0/21</t>
  </si>
  <si>
    <t>10.178.32.1</t>
  </si>
  <si>
    <t>10.178.39.254</t>
  </si>
  <si>
    <t>P-BackOffice_SEC-ZONE</t>
  </si>
  <si>
    <t>10.178.32.0/21</t>
  </si>
  <si>
    <t>10.178.40.1</t>
  </si>
  <si>
    <t>10.178.47.254</t>
  </si>
  <si>
    <t>A-BackOffice_SEC-ZONE</t>
  </si>
  <si>
    <t>10.178.40.0/21</t>
  </si>
  <si>
    <t>10.178.64.1</t>
  </si>
  <si>
    <t>10.178.67.254</t>
  </si>
  <si>
    <t>O-KLUIS-ZONE</t>
  </si>
  <si>
    <t>10.178.64.0/22</t>
  </si>
  <si>
    <t>10.178.68.1</t>
  </si>
  <si>
    <t>10.178.71.254</t>
  </si>
  <si>
    <t>T-KLUIS-ZONE</t>
  </si>
  <si>
    <t>10.178.68.0/22</t>
  </si>
  <si>
    <t>10.178.72.1</t>
  </si>
  <si>
    <t>10.178.75.254</t>
  </si>
  <si>
    <t>A-KLUIS-ZONE</t>
  </si>
  <si>
    <t>10.178.72.0/22</t>
  </si>
  <si>
    <t>10.178.76.1</t>
  </si>
  <si>
    <t>10.178.79.254</t>
  </si>
  <si>
    <t>P-KLUIS-ZONE</t>
  </si>
  <si>
    <t>10.178.76.0/22</t>
  </si>
  <si>
    <t>10.178.112.1</t>
  </si>
  <si>
    <t>10.178.119.254</t>
  </si>
  <si>
    <t>HOUSING-zone</t>
  </si>
  <si>
    <t>10.178.112.0/21</t>
  </si>
  <si>
    <t>10.178.120.1</t>
  </si>
  <si>
    <t>10.178.127.254</t>
  </si>
  <si>
    <t>3PA_Tooling-ZONE</t>
  </si>
  <si>
    <t>10.178.120.0/21</t>
  </si>
  <si>
    <t>10.176.0.1</t>
  </si>
  <si>
    <t>10.176.7.254</t>
  </si>
  <si>
    <t>A_DMZ-ZONE *EXTERNAL-DMZ*</t>
  </si>
  <si>
    <t>10.176.0.0/21</t>
  </si>
  <si>
    <t>10.176.8.1</t>
  </si>
  <si>
    <t>10.176.15.254</t>
  </si>
  <si>
    <t>P_DMZ-ZONE *EXTERNAL-DMZ*</t>
  </si>
  <si>
    <t>10.176.8.0/21</t>
  </si>
  <si>
    <t>10.177.16.1</t>
  </si>
  <si>
    <t>10.177.23.254</t>
  </si>
  <si>
    <t>A_DMZ-ZONE *INTERNAL-DMZ*</t>
  </si>
  <si>
    <t>10.177.16.0/21</t>
  </si>
  <si>
    <t>10.177.24.1</t>
  </si>
  <si>
    <t>10.177.31.254</t>
  </si>
  <si>
    <t>P_DMZ-ZONE *INTERNAL-DMZ*</t>
  </si>
  <si>
    <t>10.177.24.0/21</t>
  </si>
  <si>
    <t>10.177.32.1</t>
  </si>
  <si>
    <t>10.177.39.254</t>
  </si>
  <si>
    <t>A_DMZ-ZONE *BACKEND-DMZ*</t>
  </si>
  <si>
    <t>10.177.32.0/21</t>
  </si>
  <si>
    <t>10.177.40.1</t>
  </si>
  <si>
    <t>10.177.47.254</t>
  </si>
  <si>
    <t>P_DMZ-ZONE *BACKEND-DMZ*</t>
  </si>
  <si>
    <t>10.177.40.0/21</t>
  </si>
  <si>
    <t>10.178.128.1</t>
  </si>
  <si>
    <t>10.178.143.254</t>
  </si>
  <si>
    <t>PRIVCLOUD OTAP FO SEC-ZONE</t>
  </si>
  <si>
    <t>10.178.128.0/20</t>
  </si>
  <si>
    <t>10.178.144.1</t>
  </si>
  <si>
    <t>10.178.159.254</t>
  </si>
  <si>
    <t>PRIVCLOUD OTAP BO SEC-ZONE</t>
  </si>
  <si>
    <t>10.178.144.0/20</t>
  </si>
  <si>
    <t>10.178.224.1</t>
  </si>
  <si>
    <t>10.178.239.254</t>
  </si>
  <si>
    <t>PRIVCLOUD OTAP KLUIS-ZONE</t>
  </si>
  <si>
    <t>10.178.224.0/20</t>
  </si>
  <si>
    <t>10.178.240.1</t>
  </si>
  <si>
    <t>10.178.255.254</t>
  </si>
  <si>
    <t>PRIVCLOUD 3PA TOOLING-ZONE</t>
  </si>
  <si>
    <t>10.178.240.0/20</t>
  </si>
  <si>
    <t>10.178.160.1</t>
  </si>
  <si>
    <t>10.178.167.254</t>
  </si>
  <si>
    <t>PRIVCLOUD A-P_EXTERNAL DMZ</t>
  </si>
  <si>
    <t>10.176.160.0/21</t>
  </si>
  <si>
    <t>10.177.168.1</t>
  </si>
  <si>
    <t>10.177.175.254</t>
  </si>
  <si>
    <t>PRIVCLOUD A-P_INTERNAL DMZ</t>
  </si>
  <si>
    <t>10.177.168.0/21</t>
  </si>
  <si>
    <t>10.177.176.1</t>
  </si>
  <si>
    <t>10.177.191.254</t>
  </si>
  <si>
    <t>PRIVCLOUD A-P_BACKEND DMZ</t>
  </si>
  <si>
    <t>10.177.176.0/20</t>
  </si>
  <si>
    <t>10.74.4.1</t>
  </si>
  <si>
    <t>10.74.5.254</t>
  </si>
  <si>
    <t>UWV Virtual Workspace</t>
  </si>
  <si>
    <t>10.74.4.0/23</t>
  </si>
  <si>
    <t>10.74.16.1</t>
  </si>
  <si>
    <t>10.79.19.254</t>
  </si>
  <si>
    <t>10.74.16.0/22</t>
  </si>
  <si>
    <t>10.74.22.1</t>
  </si>
  <si>
    <t>10.74.23.254</t>
  </si>
  <si>
    <t>10.74.22.0/23</t>
  </si>
  <si>
    <t>10.122.71.61</t>
  </si>
  <si>
    <t>10.122.71.62</t>
  </si>
  <si>
    <t>KPN SMTP Gateway</t>
  </si>
  <si>
    <t>X</t>
  </si>
  <si>
    <t>10.122.74.1</t>
  </si>
  <si>
    <t>KPN PROXY Voorzieningen UWV</t>
  </si>
  <si>
    <t>10.122.71.63</t>
  </si>
  <si>
    <t>10.74.1.4</t>
  </si>
  <si>
    <t>KPN WPOL LDAP</t>
  </si>
  <si>
    <t>VARIABLES</t>
  </si>
  <si>
    <t xml:space="preserve">Do not alter the values in this page unless you know what you are doing. </t>
  </si>
  <si>
    <t>Variable</t>
  </si>
  <si>
    <t>Value</t>
  </si>
  <si>
    <t>D7</t>
  </si>
  <si>
    <t>Uniquely created CMO reference number  ACC</t>
  </si>
  <si>
    <t>While importing CMO to FMO cmo reference is created - for the purpose of creating integrated FMO sheet.</t>
  </si>
  <si>
    <t>D8</t>
  </si>
  <si>
    <t>Prefix for CMO reference number ACC</t>
  </si>
  <si>
    <t>CMOACC</t>
  </si>
  <si>
    <t>This is just a prefix to make the reference number look good - :-), you could change the prefix with each import</t>
  </si>
  <si>
    <t>D9</t>
  </si>
  <si>
    <t>Uniquely created CMO reference number  PROD</t>
  </si>
  <si>
    <t>D10</t>
  </si>
  <si>
    <t>Prefix for CMO reference number PRD</t>
  </si>
  <si>
    <t>CMOPRD</t>
  </si>
  <si>
    <t>D11 - FWR</t>
  </si>
  <si>
    <t>Uniquely created internal search replace FWR number</t>
  </si>
  <si>
    <t>Counter - These numbers are issued by the firewall request form, not by any procedures in this form</t>
  </si>
  <si>
    <t>D12 - FWR</t>
  </si>
  <si>
    <t>Prefix for internal firewall request administration</t>
  </si>
  <si>
    <t>INTFWR</t>
  </si>
  <si>
    <t>CONFIPEDIA INFORMATION - source: IBM</t>
  </si>
  <si>
    <t>IBM_UC_APPLICATIES.CI_Naam</t>
  </si>
  <si>
    <t>IBM_UC_APPLICATIES.CI_Naam_2</t>
  </si>
  <si>
    <t>IBM_UC_APPLICATIES.Divisie</t>
  </si>
  <si>
    <t>IBM_UC_APPLICATIES.Klantgebied</t>
  </si>
  <si>
    <t>IBM_UC_APPLICATIES.CI_Status</t>
  </si>
  <si>
    <t>SoortCluster</t>
  </si>
  <si>
    <t>IBM_UC_CLUSTERAPPLICATIES (incl contractsystemen).CI_Naam</t>
  </si>
  <si>
    <t>IBM_UC_CLUSTERAPPLICATIES (incl contractsystemen).CI_Naam_2</t>
  </si>
  <si>
    <t>IBM_UC_CLUSTERAPPLICATIES (incl contractsystemen).Divisie</t>
  </si>
  <si>
    <t>IBM_UC_CLUSTERAPPLICATIES (incl contractsystemen).Klantgebied</t>
  </si>
  <si>
    <t>IBM_UC_CLUSTERAPPLICATIES (incl contractsystemen).CI_Status</t>
  </si>
  <si>
    <t>AGS</t>
  </si>
  <si>
    <t>AG-schil t.b.v. EAS, IMF en Resa/Fasa</t>
  </si>
  <si>
    <t>SMZ</t>
  </si>
  <si>
    <t>Actief</t>
  </si>
  <si>
    <t>AME</t>
  </si>
  <si>
    <t>Automatische Monitoring E-Dienstverlening</t>
  </si>
  <si>
    <t>WERKbedrijf</t>
  </si>
  <si>
    <t>AMIGI SHAREPOINT</t>
  </si>
  <si>
    <t>AMI, MIP GIP SharePoint</t>
  </si>
  <si>
    <t>APPP</t>
  </si>
  <si>
    <t>Klant en Service</t>
  </si>
  <si>
    <t>KenS - UWV.NL</t>
  </si>
  <si>
    <t>Nieuw</t>
  </si>
  <si>
    <t>APPP_AUTH</t>
  </si>
  <si>
    <t>APPP_IKO</t>
  </si>
  <si>
    <t>AppPlatform IKO</t>
  </si>
  <si>
    <t>AVB/DVB</t>
  </si>
  <si>
    <t>Gegevensdiensten</t>
  </si>
  <si>
    <t>GD Bronnen</t>
  </si>
  <si>
    <t>BAS</t>
  </si>
  <si>
    <t>Banken Afhandeling Systeem</t>
  </si>
  <si>
    <t>Staven (overig)</t>
  </si>
  <si>
    <t>ERP Staven</t>
  </si>
  <si>
    <t>BASWARE</t>
  </si>
  <si>
    <t>Basware Ondersteunen elektronische factuurafhandeling (G&amp;I Crediteuren)</t>
  </si>
  <si>
    <t>BBS</t>
  </si>
  <si>
    <t>Betalingsonmacht BeoordelingsSysteem</t>
  </si>
  <si>
    <t>Uitkeren</t>
  </si>
  <si>
    <t>Uitkeren VFV</t>
  </si>
  <si>
    <t>BCSIM</t>
  </si>
  <si>
    <t>Bestands Conversie Server Inputmanagement</t>
  </si>
  <si>
    <t>DIV</t>
  </si>
  <si>
    <t>BEHEER IKWF-WW</t>
  </si>
  <si>
    <t>BEHEER Inkomsten- en wijzigingformulier-WW</t>
  </si>
  <si>
    <t>BEHEERPORTAAL_MIJNUWV</t>
  </si>
  <si>
    <t>BI_Analytics</t>
  </si>
  <si>
    <t>PowerBI Dashboard omgeving</t>
  </si>
  <si>
    <t>BIZZDESIGN ARCHITECT</t>
  </si>
  <si>
    <t>Bizzdesign Architect</t>
  </si>
  <si>
    <t>Staven (ICT)</t>
  </si>
  <si>
    <t>ICT Services</t>
  </si>
  <si>
    <t>BO&amp;C</t>
  </si>
  <si>
    <t>BO&amp;C WERKBEDRIJF, Beroepen, Opleidingen en Competenties, bron voor matchen.</t>
  </si>
  <si>
    <t>WERKbedrijf - Service Integratie</t>
  </si>
  <si>
    <t>BPB</t>
  </si>
  <si>
    <t>Basis Platform BetaalStraten</t>
  </si>
  <si>
    <t>ContractCluster</t>
  </si>
  <si>
    <t>TWS-BPB</t>
  </si>
  <si>
    <t>Tivoli Workload Scheduler voor BPB</t>
  </si>
  <si>
    <t>BPMONE-GD</t>
  </si>
  <si>
    <t>BPMONE Gegevensdiensten</t>
  </si>
  <si>
    <t>BRAVO</t>
  </si>
  <si>
    <t>Basis RApportage Voorziening</t>
  </si>
  <si>
    <t>BRM-OBB</t>
  </si>
  <si>
    <t>Business Rules Management (BRM)</t>
  </si>
  <si>
    <t>ICT BS (Centrale IV)</t>
  </si>
  <si>
    <t>BRM-ODM</t>
  </si>
  <si>
    <t>Online Decision Management</t>
  </si>
  <si>
    <t>BVV-APPL</t>
  </si>
  <si>
    <t>BeslagVrijeVoet Front end Applicatie</t>
  </si>
  <si>
    <t>BVV-RM</t>
  </si>
  <si>
    <t>BeslagVrijeVoet Rekenmodule</t>
  </si>
  <si>
    <t>CBBS</t>
  </si>
  <si>
    <t>Claim beoordelings- en borgingsysteem voor verzekeringsartsen en arbeidsdeskundi</t>
  </si>
  <si>
    <t>C-DCT</t>
  </si>
  <si>
    <t>Centralisatie Document Classificatie Tabellen</t>
  </si>
  <si>
    <t>CDK</t>
  </si>
  <si>
    <t>Werkbedr.Dig Klantbeeld. Brongegevens raadpleging over de W&amp;I-keten (SUWInet Ink</t>
  </si>
  <si>
    <t>CONFLUENCE</t>
  </si>
  <si>
    <t>ICT TSC</t>
  </si>
  <si>
    <t>COSTCONTROL</t>
  </si>
  <si>
    <t>CostControl t.b.v. FEZ PC&amp;A</t>
  </si>
  <si>
    <t>FEZ PC en A</t>
  </si>
  <si>
    <t>DAGLOON</t>
  </si>
  <si>
    <t>Dagloon Intranet dagloon module</t>
  </si>
  <si>
    <t>Uitkeren WW</t>
  </si>
  <si>
    <t>DATACAP</t>
  </si>
  <si>
    <t>DATPROF Privacy</t>
  </si>
  <si>
    <t>DHHAPP</t>
  </si>
  <si>
    <t>Handhaving APP-applicatie</t>
  </si>
  <si>
    <t>Handhaving</t>
  </si>
  <si>
    <t>DIGID_ID_ACCESS_MAN</t>
  </si>
  <si>
    <t>DIM-InfoSphere</t>
  </si>
  <si>
    <t>InfoSphere Information Server modules t.b.v. DIM</t>
  </si>
  <si>
    <t>GD DWH</t>
  </si>
  <si>
    <t>DLA</t>
  </si>
  <si>
    <t>Doelgroepverklaring Loonkostenvoordeel Aanvraagafhandeling</t>
  </si>
  <si>
    <t>Uitkeren AW</t>
  </si>
  <si>
    <t>DRL</t>
  </si>
  <si>
    <t>DIV Regielaag</t>
  </si>
  <si>
    <t>DSM</t>
  </si>
  <si>
    <t>Data &amp; Software management</t>
  </si>
  <si>
    <t>DVB-WEBAPPLICATIE</t>
  </si>
  <si>
    <t>DVB Webapplicatie</t>
  </si>
  <si>
    <t>DVS</t>
  </si>
  <si>
    <t>Dossier Volgsysteem ook wel bekend als DOVS</t>
  </si>
  <si>
    <t>DWANGSOM</t>
  </si>
  <si>
    <t>DWANGSOM (K&amp;S)</t>
  </si>
  <si>
    <t>KenS - Klantcontact</t>
  </si>
  <si>
    <t>Datawarehouse</t>
  </si>
  <si>
    <t>DWH-NG</t>
  </si>
  <si>
    <t>Niek Generiek</t>
  </si>
  <si>
    <t>SUAG</t>
  </si>
  <si>
    <t>Status Uitkering Arbeidsgeschiktheid</t>
  </si>
  <si>
    <t>GD Services</t>
  </si>
  <si>
    <t>DWH-BO</t>
  </si>
  <si>
    <t>BusinessObjects omgeving van DWH</t>
  </si>
  <si>
    <t>DWH-DESKTOP</t>
  </si>
  <si>
    <t>DWH Business Intelligence en Tooling omgeving</t>
  </si>
  <si>
    <t>DWH-DMAP</t>
  </si>
  <si>
    <t>DMAP omgeving van DWH</t>
  </si>
  <si>
    <t>DWH-Dwarfs</t>
  </si>
  <si>
    <t>EA-EDOS</t>
  </si>
  <si>
    <t>E-Dossier</t>
  </si>
  <si>
    <t>E-AFSPRAAK</t>
  </si>
  <si>
    <t>EA-GN</t>
  </si>
  <si>
    <t>Elektronisch Archief- Generiek EAED</t>
  </si>
  <si>
    <t>EA-IG</t>
  </si>
  <si>
    <t>Elektronisch Archief- Interne Gebruikers silo</t>
  </si>
  <si>
    <t>EA-IR</t>
  </si>
  <si>
    <t>Elektronisch Archief- Internet raadplegen silo</t>
  </si>
  <si>
    <t>EAS</t>
  </si>
  <si>
    <t>Electronisch AgenderingsSysteem</t>
  </si>
  <si>
    <t>EA-SP</t>
  </si>
  <si>
    <t>Elektronisch Archief- Secondary Proces  silo</t>
  </si>
  <si>
    <t>EA-WS</t>
  </si>
  <si>
    <t>Elektronisch Archief- Webservice  silo</t>
  </si>
  <si>
    <t>EDVBUS</t>
  </si>
  <si>
    <t>E-DienstVerlening serviceBus</t>
  </si>
  <si>
    <t>EFLOW</t>
  </si>
  <si>
    <t>Platform voor de geautomatiseerde verwerking van binnenkomende documenten (multi</t>
  </si>
  <si>
    <t>EGV</t>
  </si>
  <si>
    <t>Externe Generieke Viewer</t>
  </si>
  <si>
    <t>E-INTAKE</t>
  </si>
  <si>
    <t>E-INTAKE WERKBEDRIJF, Internetdienst werkzoekende voor electronische intake</t>
  </si>
  <si>
    <t>ELISE</t>
  </si>
  <si>
    <t>ELISE WERKBEDRIJF,  Matchengine van WERK.NL. Contractueel onder WERK.NL</t>
  </si>
  <si>
    <t>EPM</t>
  </si>
  <si>
    <t>Eind Product Magazijn</t>
  </si>
  <si>
    <t>ESA</t>
  </si>
  <si>
    <t>Eenduidige Software Aanlevering</t>
  </si>
  <si>
    <t>ESB</t>
  </si>
  <si>
    <t>ESB WERKBEDRIJF, Enterprise Service Bus Middelware van Oracle voor berichtenserv</t>
  </si>
  <si>
    <t>EURES</t>
  </si>
  <si>
    <t>EURES WERKBEDRIJF, website voor Europees georienteerde vacatures</t>
  </si>
  <si>
    <t>FA-EXCASSO-COMPLEX</t>
  </si>
  <si>
    <t>FA-EXCASSO-COMPLEX (IBM)</t>
  </si>
  <si>
    <t>AFLOSSINGSCAPACITEIT-INV</t>
  </si>
  <si>
    <t>Webapplicatie Aflossingscapaciteit Invorderen</t>
  </si>
  <si>
    <t>ALI</t>
  </si>
  <si>
    <t>Algemeen Loonbetaling Informatiesysteem</t>
  </si>
  <si>
    <t>BFA</t>
  </si>
  <si>
    <t>Basisregistratie Financiële Afhandeling</t>
  </si>
  <si>
    <t>BSU</t>
  </si>
  <si>
    <t>Betalingen Systeem UOSV</t>
  </si>
  <si>
    <t>EBH</t>
  </si>
  <si>
    <t>Excasso BoekHouden</t>
  </si>
  <si>
    <t>EXCASSO</t>
  </si>
  <si>
    <t>Excasso</t>
  </si>
  <si>
    <t>FBS-SFB</t>
  </si>
  <si>
    <t>Flexitabel Beheer Systeem</t>
  </si>
  <si>
    <t>GEM</t>
  </si>
  <si>
    <t>Gemeenschappelijke fiscale persoonsgegevens</t>
  </si>
  <si>
    <t>INV</t>
  </si>
  <si>
    <t>Registratie, verrekening en incasso van vorderingen</t>
  </si>
  <si>
    <t>OPB</t>
  </si>
  <si>
    <t>Ongelabelde Posten Beheer (Rekening Courant Systeem)</t>
  </si>
  <si>
    <t>RPO</t>
  </si>
  <si>
    <t>Regio, Personeel en Organisatie</t>
  </si>
  <si>
    <t>Fileshare Applicaties IBM</t>
  </si>
  <si>
    <t>FLEKS</t>
  </si>
  <si>
    <t>Flexibel Klant Systeem.</t>
  </si>
  <si>
    <t>Bezwaar en Beroep</t>
  </si>
  <si>
    <t>BPM|ONE</t>
  </si>
  <si>
    <t>BPM|one Process Design Workflow tool</t>
  </si>
  <si>
    <t>MIV</t>
  </si>
  <si>
    <t>Management Informatie Voorziening</t>
  </si>
  <si>
    <t>MODUS|ONE</t>
  </si>
  <si>
    <t>Brievenboek B&amp;B-HIP en (t.z.t.) Werkbedrijf</t>
  </si>
  <si>
    <t>KenS - Online diensten</t>
  </si>
  <si>
    <t>FLEXNET</t>
  </si>
  <si>
    <t>Flexnet Manager Platform 9.2</t>
  </si>
  <si>
    <t>GCU</t>
  </si>
  <si>
    <t>Generiek Correspondentiesysteem UWV</t>
  </si>
  <si>
    <t>GENERIEKE PDF CONVERTER</t>
  </si>
  <si>
    <t>BCSEA</t>
  </si>
  <si>
    <t>GINA</t>
  </si>
  <si>
    <t>Generieke INkomsten Applicatie</t>
  </si>
  <si>
    <t>GRC-Control</t>
  </si>
  <si>
    <t>Governance Risk en Compliance tool (ISMS)</t>
  </si>
  <si>
    <t>GVI</t>
  </si>
  <si>
    <t>Gemeenschappelijke Verwijs Index</t>
  </si>
  <si>
    <t>HGO</t>
  </si>
  <si>
    <t>Historische Gegevens Opslag</t>
  </si>
  <si>
    <t>IBASE</t>
  </si>
  <si>
    <t>Ibase en Analyst notebook</t>
  </si>
  <si>
    <t>IBASE-FEZ</t>
  </si>
  <si>
    <t>IBC-ING</t>
  </si>
  <si>
    <t>Inside Business Connect-ING</t>
  </si>
  <si>
    <t>IFF</t>
  </si>
  <si>
    <t>Intern Fraude Formulier</t>
  </si>
  <si>
    <t>IKWF-WW</t>
  </si>
  <si>
    <t>IKWF WW</t>
  </si>
  <si>
    <t>IMF</t>
  </si>
  <si>
    <t>Informatiesysteem Medische Functie</t>
  </si>
  <si>
    <t>IMFR</t>
  </si>
  <si>
    <t>Informatiesysteem Medische Functie Registratie</t>
  </si>
  <si>
    <t>INKIJK_KCC_MIJNUWV</t>
  </si>
  <si>
    <t>INSPIRE</t>
  </si>
  <si>
    <t>Voorheen ODD (Océ Document Designer)</t>
  </si>
  <si>
    <t>IPC</t>
  </si>
  <si>
    <t>Inkijk PVC Webportal</t>
  </si>
  <si>
    <t>IWW</t>
  </si>
  <si>
    <t>Inno WW</t>
  </si>
  <si>
    <t>IWW-DVBB2</t>
  </si>
  <si>
    <t>IWW DVBB2</t>
  </si>
  <si>
    <t>IWW-KENNIS</t>
  </si>
  <si>
    <t>Kennissysteem</t>
  </si>
  <si>
    <t>JIM</t>
  </si>
  <si>
    <t>Journaalposten Interface Module, oude benaming was BHS</t>
  </si>
  <si>
    <t>JIRA</t>
  </si>
  <si>
    <t>Bevindingen registratie t.b.v. TSC</t>
  </si>
  <si>
    <t>K3CR</t>
  </si>
  <si>
    <t>Klant Contact Centrum Contact Registratie Systeem incl. WK3B (webservice k3c)</t>
  </si>
  <si>
    <t>KAS</t>
  </si>
  <si>
    <t>Klacht Afhandeling Systeem</t>
  </si>
  <si>
    <t>KBS</t>
  </si>
  <si>
    <t>Klantbeeld Systeem</t>
  </si>
  <si>
    <t>SGI</t>
  </si>
  <si>
    <t>Suwinet Gak Inkijk</t>
  </si>
  <si>
    <t>Kopiedatabase WWO</t>
  </si>
  <si>
    <t>KETENMONITORING AGENTS</t>
  </si>
  <si>
    <t>KKD</t>
  </si>
  <si>
    <t>Klant Keuze Database</t>
  </si>
  <si>
    <t>KLANTBEELD</t>
  </si>
  <si>
    <t>Klantbeeld</t>
  </si>
  <si>
    <t>KOA Aanvraag WW</t>
  </si>
  <si>
    <t>KRS</t>
  </si>
  <si>
    <t>Kwaliteit Registratie Systeem</t>
  </si>
  <si>
    <t>KVB</t>
  </si>
  <si>
    <t>Kandidatenverkenner Banenafspraak</t>
  </si>
  <si>
    <t>LABWIA</t>
  </si>
  <si>
    <t>LAS</t>
  </si>
  <si>
    <t>Nw Loonstaten Administratie Systeem</t>
  </si>
  <si>
    <t>ADLAS</t>
  </si>
  <si>
    <t>ADministratie LoonAangifte Systeem</t>
  </si>
  <si>
    <t>LUZIVER</t>
  </si>
  <si>
    <t>LUZIVER Vrijwillige Verzekering</t>
  </si>
  <si>
    <t>MBD</t>
  </si>
  <si>
    <t>MutatieBestanden Distributeur, applicatie t.b.v. het aanmaken van mutatiebestand</t>
  </si>
  <si>
    <t>MIJN GEGEVENSDIENSTEN</t>
  </si>
  <si>
    <t>MIJN_BERICHTENWERK</t>
  </si>
  <si>
    <t>MIJN_IOW</t>
  </si>
  <si>
    <t>MIJN_TAKEN</t>
  </si>
  <si>
    <t>MIJN_UWV_PORTAAL</t>
  </si>
  <si>
    <t>MIJN_VRAAGDIALOGEN</t>
  </si>
  <si>
    <t>Aanvraag WW en aanvraag TW</t>
  </si>
  <si>
    <t>MIJN_VZ_AANVRAAG</t>
  </si>
  <si>
    <t>e-Aanvraag voorzieningen</t>
  </si>
  <si>
    <t>MIJNBERICHTEN</t>
  </si>
  <si>
    <t>MIJNBEZWAAR</t>
  </si>
  <si>
    <t>Digitaal bezwaarformulier op mijnUWV</t>
  </si>
  <si>
    <t>MIJNDOCUMENTEN</t>
  </si>
  <si>
    <t>MIJNSTATUSWW</t>
  </si>
  <si>
    <t>MIJNSTATUSZW</t>
  </si>
  <si>
    <t>MIJNUWV</t>
  </si>
  <si>
    <t>MIP</t>
  </si>
  <si>
    <t>Mijn Informatie Portaal WERKBEDRIJF</t>
  </si>
  <si>
    <t>MIS KCC</t>
  </si>
  <si>
    <t>Management Informatie Systeem KCC</t>
  </si>
  <si>
    <t>MOI-SMBA</t>
  </si>
  <si>
    <t>Sociaal Medische Beoordeling van Arbeidsvermogen</t>
  </si>
  <si>
    <t>MOM</t>
  </si>
  <si>
    <t>Multichannel Output Management</t>
  </si>
  <si>
    <t>NOW</t>
  </si>
  <si>
    <t>Noodfonds Overbrugging Werkgelegenheid</t>
  </si>
  <si>
    <t>Uitkeren OSW</t>
  </si>
  <si>
    <t>OAM</t>
  </si>
  <si>
    <t>Oracle Access Manager</t>
  </si>
  <si>
    <t>OBG</t>
  </si>
  <si>
    <t>Overheid &amp; Onderwijs Basis Gegevens</t>
  </si>
  <si>
    <t>OBI</t>
  </si>
  <si>
    <t>Oracle Business Intelligence Enterprise Edition</t>
  </si>
  <si>
    <t>ODS</t>
  </si>
  <si>
    <t>Operational Data Store</t>
  </si>
  <si>
    <t>OKL_AUTH</t>
  </si>
  <si>
    <t>OKL Authenticatie</t>
  </si>
  <si>
    <t>KenS - Ontkoppellaag</t>
  </si>
  <si>
    <t>OKL_BIA</t>
  </si>
  <si>
    <t>OKL_BWS</t>
  </si>
  <si>
    <t>OKL Bewijsstukken</t>
  </si>
  <si>
    <t>OKL_ERDWW</t>
  </si>
  <si>
    <t>OKL_KCV</t>
  </si>
  <si>
    <t>OKL Klant contactvoorkeuren</t>
  </si>
  <si>
    <t>OKL_KOF</t>
  </si>
  <si>
    <t>OKL_Kanaal Ondersteunende Functies</t>
  </si>
  <si>
    <t>OKL_KPS</t>
  </si>
  <si>
    <t>Ontkoppellaag Klant Profiel Service</t>
  </si>
  <si>
    <t>OKL_MELDING</t>
  </si>
  <si>
    <t>OKL_PGA</t>
  </si>
  <si>
    <t>OKL Persoons Gebonden Apparaat</t>
  </si>
  <si>
    <t>OKL_SIBB</t>
  </si>
  <si>
    <t>Ontkoppellaag StatusInformatie Bezwaar&amp;Beroep</t>
  </si>
  <si>
    <t>OKL_SIIOW</t>
  </si>
  <si>
    <t>Ontkoppellaag StatusInformatie Inkomensvoorziening Oudere Werkloze</t>
  </si>
  <si>
    <t>OKL_SIWW</t>
  </si>
  <si>
    <t>Ontkoppellaag StatusInformatie WW</t>
  </si>
  <si>
    <t>OKL_SIZW</t>
  </si>
  <si>
    <t>Ontkoppellaag StatusInformatie ZW</t>
  </si>
  <si>
    <t>OMNITRACKER</t>
  </si>
  <si>
    <t>ITSM Service Tool</t>
  </si>
  <si>
    <t>OPB-BAW</t>
  </si>
  <si>
    <t>Operationele Proces Besturing - Business Automation Workflow</t>
  </si>
  <si>
    <t>OT ON DEMAND</t>
  </si>
  <si>
    <t>Partner Vacature Applicatie</t>
  </si>
  <si>
    <t>PDI</t>
  </si>
  <si>
    <t>PremieDIfferentiatie</t>
  </si>
  <si>
    <t>PEERCODE</t>
  </si>
  <si>
    <t>Uitkeren ZW</t>
  </si>
  <si>
    <t>PEOPLESOFT ELM</t>
  </si>
  <si>
    <t>Oracle PeopleSoft Enterprise Learning Management</t>
  </si>
  <si>
    <t>PEOPLESOFT FIM GG</t>
  </si>
  <si>
    <t>PEOPLESOFT FIM KG</t>
  </si>
  <si>
    <t>PEOPLESOFT HCM</t>
  </si>
  <si>
    <t>PEOPLESOFT UPK</t>
  </si>
  <si>
    <t>Opleidingsonderdeel</t>
  </si>
  <si>
    <t>PEPER</t>
  </si>
  <si>
    <t>PersoneelsPlanning en Rapportage</t>
  </si>
  <si>
    <t>PHOENIKS</t>
  </si>
  <si>
    <t>Premie en Handhaving Op nieuw te integreren kernsysteem</t>
  </si>
  <si>
    <t>PLATO2</t>
  </si>
  <si>
    <t>Plaatsingsysteem IV-functie</t>
  </si>
  <si>
    <t>POLIS ANALYSE OMGEVING</t>
  </si>
  <si>
    <t>Polis Analyse Omgeving (PAO/MIS)</t>
  </si>
  <si>
    <t>POLIS ARCHIEF</t>
  </si>
  <si>
    <t>Polis Archief</t>
  </si>
  <si>
    <t>POLIS BRON</t>
  </si>
  <si>
    <t>Bron Laden</t>
  </si>
  <si>
    <t>POLIS BULK LEVEREN</t>
  </si>
  <si>
    <t>Bron Bulk leveren</t>
  </si>
  <si>
    <t>POLIS DATABASE</t>
  </si>
  <si>
    <t>Database PPLS</t>
  </si>
  <si>
    <t>POLIS LEVEREN</t>
  </si>
  <si>
    <t>Bron Real time leveren</t>
  </si>
  <si>
    <t>POLIS LEVEREN PLM</t>
  </si>
  <si>
    <t>Polis Leveren Parametriseerbare Lever Module</t>
  </si>
  <si>
    <t>POWERDESIGNER</t>
  </si>
  <si>
    <t>PowerDesigner</t>
  </si>
  <si>
    <t>PUBLISH ONE</t>
  </si>
  <si>
    <t>PublishOne Handboeken publicatie</t>
  </si>
  <si>
    <t>PVC</t>
  </si>
  <si>
    <t>Persoons Verwijzer Component</t>
  </si>
  <si>
    <t>QLIKVIEW</t>
  </si>
  <si>
    <t>Rapportagetool voor business analyse</t>
  </si>
  <si>
    <t>QRADAR</t>
  </si>
  <si>
    <t>Security Information &amp; Event Managementtool (SIEM)</t>
  </si>
  <si>
    <t>RABO</t>
  </si>
  <si>
    <t>SMF Raadplegen en Borgen electronisch dossier</t>
  </si>
  <si>
    <t>RECHTSORDE</t>
  </si>
  <si>
    <t>REKENTOOLS AW</t>
  </si>
  <si>
    <t>Betreft rekentools voor AW en WW</t>
  </si>
  <si>
    <t>RESA/FASA</t>
  </si>
  <si>
    <t>REgistratie Systeem AAW / WAO en Financieel Afhandeling Systeem AAW / WAO</t>
  </si>
  <si>
    <t>BCM</t>
  </si>
  <si>
    <t>Boete Controle Maatregelen</t>
  </si>
  <si>
    <t>DLT</t>
  </si>
  <si>
    <t>Dossier Locatie Tabel</t>
  </si>
  <si>
    <t>RIO</t>
  </si>
  <si>
    <t>Registratie Integriteit Onderzoek</t>
  </si>
  <si>
    <t>Bestuurszaken BI</t>
  </si>
  <si>
    <t>SELF SERVICE BI</t>
  </si>
  <si>
    <t>Self Service BI tbv Bronnen op de Polisomgeving</t>
  </si>
  <si>
    <t>SI AMG</t>
  </si>
  <si>
    <t>SysteemIntegratie API Management Gateway</t>
  </si>
  <si>
    <t>ICT Systeemintegratie</t>
  </si>
  <si>
    <t>SI API CATALOG</t>
  </si>
  <si>
    <t>SysteemIntegratie API CATALOG</t>
  </si>
  <si>
    <t>SI BIZTALK BATCH</t>
  </si>
  <si>
    <t>SI BIZTALK ONLINE</t>
  </si>
  <si>
    <t>SI EKV BELASTINGDIENST</t>
  </si>
  <si>
    <t>SI FILETRANSFER (FT)</t>
  </si>
  <si>
    <t>SI GENERIEK</t>
  </si>
  <si>
    <t>SI IM TRADERS</t>
  </si>
  <si>
    <t>SJAAK</t>
  </si>
  <si>
    <t>Selfservice Jar Awesome Application Kickstarter</t>
  </si>
  <si>
    <t>SMF-TOTAAL</t>
  </si>
  <si>
    <t>SMF-SYSTEEMCOMPLEX (geheel)</t>
  </si>
  <si>
    <t>SMF-AA-DIENST</t>
  </si>
  <si>
    <t>Autorisatie Authenticatie Dienst</t>
  </si>
  <si>
    <t>SMF-ABC</t>
  </si>
  <si>
    <t>Autorisatie Beheer Console</t>
  </si>
  <si>
    <t>SMF-AGP</t>
  </si>
  <si>
    <t>Algemeen Gegevens Portaal (toont o.a. ODS gegevens)</t>
  </si>
  <si>
    <t>SMF-OSI</t>
  </si>
  <si>
    <t>Operationele Stuur Informatie</t>
  </si>
  <si>
    <t>SMF-PACTA</t>
  </si>
  <si>
    <t>Agenda- en brievensysteem</t>
  </si>
  <si>
    <t>SMF-PM</t>
  </si>
  <si>
    <t>Proces Management  applicatie binnen SMT TOTAAL</t>
  </si>
  <si>
    <t>SMF-ZWARBORAP</t>
  </si>
  <si>
    <t>Rapportagetool VA's van ZW-arbo</t>
  </si>
  <si>
    <t>SONAR</t>
  </si>
  <si>
    <t>SONAR WERKBEDRIJF, CRM applicatie voor KVF</t>
  </si>
  <si>
    <t>SPIEGEL</t>
  </si>
  <si>
    <t>SSSO</t>
  </si>
  <si>
    <t>Simple Single Sign-On</t>
  </si>
  <si>
    <t>SVN</t>
  </si>
  <si>
    <t>SVN Subversion Versiebeheer</t>
  </si>
  <si>
    <t>TBS</t>
  </si>
  <si>
    <t>Toegang Beheer Systeem, spec. Voor VMS applicaties</t>
  </si>
  <si>
    <t>TNT</t>
  </si>
  <si>
    <t>Postcodetabel applicatie (opvolger van applicatie PTT)</t>
  </si>
  <si>
    <t>TOEREKENAPPLICATIE</t>
  </si>
  <si>
    <t>TOFU</t>
  </si>
  <si>
    <t>Tijdelijke Overbrugging Flexwerkers &amp; Uitzendkrachtenten'</t>
  </si>
  <si>
    <t>TPV</t>
  </si>
  <si>
    <t>Tonen Printer Vooraankondiging</t>
  </si>
  <si>
    <t>TRIDION UWV.NL</t>
  </si>
  <si>
    <t>TRIPLEFORMS</t>
  </si>
  <si>
    <t>Centrale Webformulieren Voorziening</t>
  </si>
  <si>
    <t>TWS-GENERIEK</t>
  </si>
  <si>
    <t>Tivoli Workload Scheduler als generieke dienst</t>
  </si>
  <si>
    <t>UWV CONTROLLED REMOTE ACCESS</t>
  </si>
  <si>
    <t>UGC</t>
  </si>
  <si>
    <t>UWV Gegevensdiensten Contact</t>
  </si>
  <si>
    <t>UPA</t>
  </si>
  <si>
    <t>UWV Persoons Administratie</t>
  </si>
  <si>
    <t>UWV.NL</t>
  </si>
  <si>
    <t>UWV INTERNET</t>
  </si>
  <si>
    <t>UWV-CONTENTREGISTER</t>
  </si>
  <si>
    <t>UWV Contentregister</t>
  </si>
  <si>
    <t>UZC</t>
  </si>
  <si>
    <t>UWV Ziektewet Systeem (IBM)</t>
  </si>
  <si>
    <t>BRIEVENBOEK CBS UZS</t>
  </si>
  <si>
    <t>Cordares Brievenboek Systeem UZS</t>
  </si>
  <si>
    <t>GUP-SERVER</t>
  </si>
  <si>
    <t>Generiek UWVML platform voor UZS</t>
  </si>
  <si>
    <t>OSI-UZS</t>
  </si>
  <si>
    <t>UZS</t>
  </si>
  <si>
    <t>UWV Ziektewet Systeem</t>
  </si>
  <si>
    <t>UZSPRINT</t>
  </si>
  <si>
    <t>Placet Digitaal Dossier Print</t>
  </si>
  <si>
    <t>VerA</t>
  </si>
  <si>
    <t>Vergunning Applicatie</t>
  </si>
  <si>
    <t>VTS-TRC</t>
  </si>
  <si>
    <t>VertaalServer - Transactie Routering Component</t>
  </si>
  <si>
    <t>VTS-OBG</t>
  </si>
  <si>
    <t>Vertaalserver - Overheid en Onderwijs Basis Gegevens</t>
  </si>
  <si>
    <t>WBS</t>
  </si>
  <si>
    <t>WBS WERKBEDRIJF, Werk Bemiddeling Service - Matching VC en CV</t>
  </si>
  <si>
    <t>WBSBUS</t>
  </si>
  <si>
    <t>Werkbedrijf Service BUS</t>
  </si>
  <si>
    <t>WERK.NL</t>
  </si>
  <si>
    <t>WERK.NL WERKBEDRIJF</t>
  </si>
  <si>
    <t>WERK_BEHEERPORTAAL</t>
  </si>
  <si>
    <t>Werk.nl - Beheermodule</t>
  </si>
  <si>
    <t>KenS - Werk.nl</t>
  </si>
  <si>
    <t>WERK_INT_PORTAAL</t>
  </si>
  <si>
    <t>Werk.nl - Intermediair portaal</t>
  </si>
  <si>
    <t>WERK_MIJNPORTAAL</t>
  </si>
  <si>
    <t>Werk.nl - Werkzoekenden portaal</t>
  </si>
  <si>
    <t>WERK_PUBLIEK</t>
  </si>
  <si>
    <t>Werk.nl - Content</t>
  </si>
  <si>
    <t>WERK_WGR_PORTAAL</t>
  </si>
  <si>
    <t>E-Dienstverlening Werkgeversportaal (werk.nl)</t>
  </si>
  <si>
    <t>WERKVERKENNER</t>
  </si>
  <si>
    <t>In Test</t>
  </si>
  <si>
    <t>WGR_BEHEERPORTAAL</t>
  </si>
  <si>
    <t>WGR_BERICHTEN</t>
  </si>
  <si>
    <t>WGR_BEZWAAR</t>
  </si>
  <si>
    <t>WGR_DOCUMENTEN</t>
  </si>
  <si>
    <t>WGR_DOELGROEPREGISTER</t>
  </si>
  <si>
    <t>Doelgroepregister applicatie werkgeversportaal</t>
  </si>
  <si>
    <t>WGR_ERDWW</t>
  </si>
  <si>
    <t>WGR_ID_ACCESS_MAN</t>
  </si>
  <si>
    <t>Werkgeversportaal autorisatie.</t>
  </si>
  <si>
    <t>WGR_PORTAAL</t>
  </si>
  <si>
    <t>WGR_TONENGEGEVENS</t>
  </si>
  <si>
    <t>WGR_UPLOADDOCU</t>
  </si>
  <si>
    <t>WGR_VERZUIMMELDER</t>
  </si>
  <si>
    <t>WINTER</t>
  </si>
  <si>
    <t>Winter</t>
  </si>
  <si>
    <t>WK3B</t>
  </si>
  <si>
    <t>WK3B Webservice</t>
  </si>
  <si>
    <t>WTL</t>
  </si>
  <si>
    <t>Wet Tegemoetkomingen Loondomein</t>
  </si>
  <si>
    <t>WWF</t>
  </si>
  <si>
    <t>WerkloosheidsWet Faillissementen (incl. IOW)</t>
  </si>
  <si>
    <t>WWO</t>
  </si>
  <si>
    <t>WerkloosheidsWet Ontslag</t>
  </si>
  <si>
    <t>WWW</t>
  </si>
  <si>
    <t>Weer WW incl. BNO, WTV en CTV</t>
  </si>
  <si>
    <t>BRIEVENBOEK CBS OSW</t>
  </si>
  <si>
    <t>Cordares Brievenboek Systeem Overige Soorten Werkloosheid</t>
  </si>
  <si>
    <t>XL DEPLOY</t>
  </si>
  <si>
    <t>Automatische Software Deployment</t>
  </si>
  <si>
    <t>ZAU</t>
  </si>
  <si>
    <t>Zelfstandigen Applicatie UWV</t>
  </si>
  <si>
    <t>ZIEKBETERMELDER</t>
  </si>
  <si>
    <t>ZiekBetermelder</t>
  </si>
  <si>
    <t>ZOMER</t>
  </si>
  <si>
    <t>COMMON PORTS TABLE</t>
  </si>
  <si>
    <t>Port</t>
  </si>
  <si>
    <t>Status</t>
  </si>
  <si>
    <t>TCP, UDP</t>
  </si>
  <si>
    <t>Reserved; do not use (but is a permissible source port value if the sending process does not expect messages in response)</t>
  </si>
  <si>
    <t>Official</t>
  </si>
  <si>
    <t>TCPMUX</t>
  </si>
  <si>
    <t>RJE (Remote Job Entry)</t>
  </si>
  <si>
    <t>ECHO protocol</t>
  </si>
  <si>
    <t>DISCARD protocol</t>
  </si>
  <si>
    <t>SYSTAT protocol</t>
  </si>
  <si>
    <t>DAYTIME protocol</t>
  </si>
  <si>
    <t>QOTD (Quote of the Day) protocol</t>
  </si>
  <si>
    <t>Message Send Protocol</t>
  </si>
  <si>
    <t>CHARGEN (Character Generator) protocol</t>
  </si>
  <si>
    <t>FTP Protocol (data) - port for transferring FTP data</t>
  </si>
  <si>
    <t>FTP Protocol (control) - port for FTP commands and flow control</t>
  </si>
  <si>
    <t>SSH (Secure Shell) - used for secure logins, file transfers (scp, sftp) and port forwarding</t>
  </si>
  <si>
    <t>Telnet protocol - unencrypted text communication, remote login service</t>
  </si>
  <si>
    <t>SMTP (Simple Mail Transport Protocol) - used for email routing between email servers</t>
  </si>
  <si>
    <t>RSFTP - A simple FTP-like protocol</t>
  </si>
  <si>
    <t>Unofficial</t>
  </si>
  <si>
    <t>QMS Magicolor 2 printer</t>
  </si>
  <si>
    <t>TIME protocol</t>
  </si>
  <si>
    <t>Route Access Protocol</t>
  </si>
  <si>
    <t>Resource Location Protocol</t>
  </si>
  <si>
    <t>Graphics</t>
  </si>
  <si>
    <t>Host Name Server/WINS Replications</t>
  </si>
  <si>
    <t>WHOIS protocol</t>
  </si>
  <si>
    <t>TACACS Login Host protocol</t>
  </si>
  <si>
    <t>DNS (Domain Name System)</t>
  </si>
  <si>
    <t>MTP, Mail Transfer Protocol</t>
  </si>
  <si>
    <t>BOOTP (BootStrap Protocol) server; also used by DHCP</t>
  </si>
  <si>
    <t>BOOTP (BootStrap Protocol) client; also used by DHCP</t>
  </si>
  <si>
    <t>TFTP (Trivial File Transfer Protocol)</t>
  </si>
  <si>
    <t>Gopher protocol</t>
  </si>
  <si>
    <t>Finger protocol</t>
  </si>
  <si>
    <t>HTTP (HyperText Transfer Protocol) - used for transferring web pages</t>
  </si>
  <si>
    <t>Torpark - Onion routing ORport</t>
  </si>
  <si>
    <t>Torpark - Control Port</t>
  </si>
  <si>
    <t>Kerberos - authenticating agent</t>
  </si>
  <si>
    <t>HOSTNAME</t>
  </si>
  <si>
    <t>ISO-TSAP protocol/Microsoft Exchange</t>
  </si>
  <si>
    <t>Remote Telnet Service</t>
  </si>
  <si>
    <t>POP, Post Office Protocol, version 2</t>
  </si>
  <si>
    <t>POP3 (Post Office Protocol version 3) - used for retrieving emails</t>
  </si>
  <si>
    <t>SUNRPC protocol</t>
  </si>
  <si>
    <t>Ident - old server identification system, still used by IRC servers to identify its users</t>
  </si>
  <si>
    <t>SFTP, Simple File Transfer Protocol</t>
  </si>
  <si>
    <t>UUCP-PATH</t>
  </si>
  <si>
    <t>SQL Services</t>
  </si>
  <si>
    <t>NNTP (Network News Transfer Protocol) - used for retrieving newsgroups messages</t>
  </si>
  <si>
    <t>NTP (Network Time Protocol) - used for time synchronization</t>
  </si>
  <si>
    <t>EPMAP / Microsoft RPC Locator Service</t>
  </si>
  <si>
    <t>NetBIOS NetBIOS Name Service</t>
  </si>
  <si>
    <t>NetBIOS NetBIOS Datagram Service</t>
  </si>
  <si>
    <t>NetBIOS NetBIOS Session Service</t>
  </si>
  <si>
    <t>IMAP4 (Internet Message Access Protocol 4) - used for retrieving emails</t>
  </si>
  <si>
    <t>BFTP, Background File Transfer Program</t>
  </si>
  <si>
    <t>SGMP, Simple Gateway Monitoring Protocol</t>
  </si>
  <si>
    <t>SQL Service</t>
  </si>
  <si>
    <t>KNET VM Command Message Protocol</t>
  </si>
  <si>
    <t>DMSP, Distributed Mail Service Protocol</t>
  </si>
  <si>
    <t>NSS-Routing</t>
  </si>
  <si>
    <t>SGMP-TRAPS</t>
  </si>
  <si>
    <t>SNMP (Simple Network Management Protocol)</t>
  </si>
  <si>
    <t>SNMPTRAP</t>
  </si>
  <si>
    <t>Print-srv</t>
  </si>
  <si>
    <t>BGP (Border Gateway Protocol) - an exterior gateway routing protocol that enables groups of routers to share routing information to ensure efficient and loop-free routes can be established. BGP is commonly used within and between ISPs.</t>
  </si>
  <si>
    <t>Gateway Access Control Protocol (GACP)</t>
  </si>
  <si>
    <t>Prospero Directory Service</t>
  </si>
  <si>
    <t>OSU Network Monitoring System, Apple AirPort Base Station PPP status or discovery, AirPort Admin Utility or Express Assistant</t>
  </si>
  <si>
    <t>TCP. UDP</t>
  </si>
  <si>
    <t>SRMP (Spider Remote Monitoring Protocol)</t>
  </si>
  <si>
    <t>IRC (Internet Relay Chat)</t>
  </si>
  <si>
    <t>AppleTalk Routing Maintenance</t>
  </si>
  <si>
    <t>The Quick Mail Transfer Protocol</t>
  </si>
  <si>
    <t>IPX</t>
  </si>
  <si>
    <t>MPP, Message Posting Protocol</t>
  </si>
  <si>
    <t>IMAP, Interactive Mail AccessProtocol, version 3</t>
  </si>
  <si>
    <t>ESRO, Efficient Short Remote Operations</t>
  </si>
  <si>
    <t>BGMP, Border Gateway Multicast Protocol</t>
  </si>
  <si>
    <t>Apple Server-Admin-Tool, Workgroup-Manager-Tool</t>
  </si>
  <si>
    <t>TSP, Time Stamp Protocol</t>
  </si>
  <si>
    <t>IMMP, Internet Message Mapping Protocol</t>
  </si>
  <si>
    <t>HP OpenView HTTPs Operations Agent</t>
  </si>
  <si>
    <t>SMTP, Simple Mail Transfer Protocol. On-Demand Mail Relay (ODMR)</t>
  </si>
  <si>
    <t>Rpc2portmap</t>
  </si>
  <si>
    <t>ClearCase albd</t>
  </si>
  <si>
    <t>A Remote Network Server System</t>
  </si>
  <si>
    <t>AURP, AppleTalk Update-Based Routing Protocol</t>
  </si>
  <si>
    <t>LDAP (Lightweight Directory Access Protocol)</t>
  </si>
  <si>
    <t>UPS Uninterruptible Power Supply</t>
  </si>
  <si>
    <t>Direct Connect Hub port</t>
  </si>
  <si>
    <t>SLP (Service Location Protocol)</t>
  </si>
  <si>
    <t>HTTPS - HTTP Protocol over TLS/SSL (used for transferring web pages securely using encryption)</t>
  </si>
  <si>
    <t>SNPP, Simple Network Paging Protocol</t>
  </si>
  <si>
    <t>Microsoft-DS (Active Directory, Windows shares, Sasser worm, Agobot, Zobotworm)</t>
  </si>
  <si>
    <t>Microsoft-DS SMB file sharing</t>
  </si>
  <si>
    <t>Kerberos Change/Set password</t>
  </si>
  <si>
    <t>SMTP over SSL - CONFLICT with registered Cisco protocol</t>
  </si>
  <si>
    <t>Conflict</t>
  </si>
  <si>
    <t>ISAKMP, IKE-Internet Key Exchange</t>
  </si>
  <si>
    <t>exec, Remote Process Execution</t>
  </si>
  <si>
    <t>comsat, together with biff: notifies users of new c.q. yet unread e-mail</t>
  </si>
  <si>
    <t>Login</t>
  </si>
  <si>
    <t>Who</t>
  </si>
  <si>
    <t>rsh protocol - used to execute non-interactive commandline commands on a remote system and see the screen return</t>
  </si>
  <si>
    <t>syslog protocol - used for system logging</t>
  </si>
  <si>
    <t>Line Printer Daemon protocol - used in LPD printer servers</t>
  </si>
  <si>
    <t>Talk</t>
  </si>
  <si>
    <t>NTalk</t>
  </si>
  <si>
    <t>efs</t>
  </si>
  <si>
    <t>Routing - RIP</t>
  </si>
  <si>
    <t>Router</t>
  </si>
  <si>
    <t>NCP (NetWare Core Protocol) is used for a variety things such as access to primary NetWare server resources, Time Synchronization, etc.</t>
  </si>
  <si>
    <t>Timed, Timeserver</t>
  </si>
  <si>
    <t>RPC</t>
  </si>
  <si>
    <t>AOL Instant Messenger, IRC</t>
  </si>
  <si>
    <t>netnews</t>
  </si>
  <si>
    <t>netwall, For Emergency Broadcasts</t>
  </si>
  <si>
    <t>UUCP (Unix-to-Unix Copy Protocol)</t>
  </si>
  <si>
    <t>commerce (Commerce Applications)</t>
  </si>
  <si>
    <t>klogin, Kerberos login</t>
  </si>
  <si>
    <t>kshell, Kerberos Remote Shell</t>
  </si>
  <si>
    <t>DHCPv6 client</t>
  </si>
  <si>
    <t>DHCPv6 server</t>
  </si>
  <si>
    <t>AFP (Apple Filing Protocol)</t>
  </si>
  <si>
    <t>new-rwho, new-who</t>
  </si>
  <si>
    <t>RTSP (Real Time Streaming Protocol)</t>
  </si>
  <si>
    <t>Remotefs, rfs, rfs_server</t>
  </si>
  <si>
    <t>rmonitor, Remote Monitor</t>
  </si>
  <si>
    <t>monitor</t>
  </si>
  <si>
    <t>chcmd</t>
  </si>
  <si>
    <t>NNTP protocol over TLS/SSL (NNTPS)</t>
  </si>
  <si>
    <t>Email message submission (SMTP) (RFC 2476)</t>
  </si>
  <si>
    <t>FileMaker 6.0 Web Sharing (HTTP Alternate, see port 80)</t>
  </si>
  <si>
    <t>HTTP RPC Ep Map/Microsoft DCOM</t>
  </si>
  <si>
    <t>TUNNEL</t>
  </si>
  <si>
    <t>IPP, Internet Printing Protocol</t>
  </si>
  <si>
    <t>LDAP over SSL (encrypted transmission)</t>
  </si>
  <si>
    <t>MSDP, Multicast Source Discovery Protocol</t>
  </si>
  <si>
    <t>LDP, Label Distribution Protocol</t>
  </si>
  <si>
    <t>DHCP Failover Protocol</t>
  </si>
  <si>
    <t>RRP, Registry Registrar Protocol</t>
  </si>
  <si>
    <t>DTCP, Dynamic Tunnel Configuration Protocol</t>
  </si>
  <si>
    <t>AODV, Ad hoc On-Demand Distance Vector</t>
  </si>
  <si>
    <t>sun-dr, Remote Dynamic Reconfiguration</t>
  </si>
  <si>
    <t>Doom, First online FPS</t>
  </si>
  <si>
    <t>ACAP, Application Configuration Access Protocol</t>
  </si>
  <si>
    <t>Microsoft Exchange Routing</t>
  </si>
  <si>
    <t>Hyperwave-ISP</t>
  </si>
  <si>
    <t>IEEE-MMS-SSL</t>
  </si>
  <si>
    <t>OLSR, Optimized Link State Routing</t>
  </si>
  <si>
    <t>Access Network</t>
  </si>
  <si>
    <t>EPP, Extensible Provisioning Protocol</t>
  </si>
  <si>
    <t>LMP, Link Management Protocol.</t>
  </si>
  <si>
    <t>IRIS over BEEP</t>
  </si>
  <si>
    <t>SILC, Secure Internet Live Conferencing</t>
  </si>
  <si>
    <t>TDP, Tag Distribution Protocol</t>
  </si>
  <si>
    <t>TBRPF, Topology Broadcast based on Reverse-Path Forwarding</t>
  </si>
  <si>
    <t>SMQP, Simple Message Queue Protocol</t>
  </si>
  <si>
    <t>kerberos-adm, Kerberos administration</t>
  </si>
  <si>
    <t>Kerberos version IV</t>
  </si>
  <si>
    <t>Conserver serial-console management server</t>
  </si>
  <si>
    <t>CMP (Certificate Management Protocol)</t>
  </si>
  <si>
    <t>iSCSI</t>
  </si>
  <si>
    <t>rsync - File synchronisation protocol</t>
  </si>
  <si>
    <t>Samba Web Administration Tool (SWAT)</t>
  </si>
  <si>
    <t>VMware Server</t>
  </si>
  <si>
    <t>Network Console on Acid (NCA) - local tty redirection over OpenSSH</t>
  </si>
  <si>
    <t>SofaWare Technologies Remote HTTPS management for firewall devices running embedded Checkpoint Firewall-1 software</t>
  </si>
  <si>
    <t>FTP Protocol (data) over TLS/SSL</t>
  </si>
  <si>
    <t>FTP Protocol (control) over TLS/SSL</t>
  </si>
  <si>
    <t>NAS (Netnews Admin System)</t>
  </si>
  <si>
    <t>Telnet protocol over TLS/SSL</t>
  </si>
  <si>
    <t>IMAP4 over SSL (encrypted transmission)</t>
  </si>
  <si>
    <t>POP3 over SSL (encrypted transmission)</t>
  </si>
  <si>
    <t>Reserved</t>
  </si>
  <si>
    <t>.</t>
  </si>
  <si>
    <t>Native IPv6 behind IPv4-to-IPv4 NAT Customer Premises Equipment (6a44)[118]</t>
  </si>
  <si>
    <t>Microsoft DCOM services</t>
  </si>
  <si>
    <t>nim, IBM AIX Network Installation Manager (NIM)</t>
  </si>
  <si>
    <t>nimreg, IBM AIX Network Installation Manager (NIM)</t>
  </si>
  <si>
    <t>SOCKS proxy</t>
  </si>
  <si>
    <t>WebObjects[11]</t>
  </si>
  <si>
    <t>rmiactivation, Java remote method invocation (RMI) activation</t>
  </si>
  <si>
    <t>Assigned</t>
  </si>
  <si>
    <t>rmiregistry, Java remote method invocation (RMI) registry</t>
  </si>
  <si>
    <t>Kerberos Post Office Protocol (KPOP)[citation needed]</t>
  </si>
  <si>
    <t>Yes[120]</t>
  </si>
  <si>
    <t>Licklider Transmission Protocol (LTP) delay tolerant networking protocol</t>
  </si>
  <si>
    <t>[note 1][119]</t>
  </si>
  <si>
    <t>Battle.net chat/game protocol, used by Blizzard's games[121]</t>
  </si>
  <si>
    <t>Cisco IP SLA (Service Assurance Agent)</t>
  </si>
  <si>
    <t>OpenVPN</t>
  </si>
  <si>
    <t>The cajo project Free dynamic transparent distributed computing in Java</t>
  </si>
  <si>
    <t>Kazaa</t>
  </si>
  <si>
    <t>QuickTime Streaming Server administration[11]</t>
  </si>
  <si>
    <t>Infoseek search agent</t>
  </si>
  <si>
    <t>VLC media player default port for UDP/RTP stream</t>
  </si>
  <si>
    <t>Nessus Security Scanner</t>
  </si>
  <si>
    <t>Microsoft System Center Operations Manager (SCOM) (formerly Microsoft Operations Manager (MOM)) agent</t>
  </si>
  <si>
    <t>Internet Protocol Security (IPSec)</t>
  </si>
  <si>
    <t>Windows RxMon.exe</t>
  </si>
  <si>
    <t>Dell OpenManage HTTPS[122]</t>
  </si>
  <si>
    <t>Festival Speech Synthesis System server[123]</t>
  </si>
  <si>
    <t>AMX ICSP (Protocol for communications with AMX control systems devices)</t>
  </si>
  <si>
    <t>neo4j-shell[citation needed]</t>
  </si>
  <si>
    <t>Strapi[124]</t>
  </si>
  <si>
    <t>Sails.js default port[125]</t>
  </si>
  <si>
    <t>WASTE Encrypted File Sharing Program[citation needed]</t>
  </si>
  <si>
    <t>Qubes (Manufacturing Execution System)</t>
  </si>
  <si>
    <t>Internet Content Adaptation Protocol</t>
  </si>
  <si>
    <t>IBM Lotus Notes/Domino (RPC) protocol</t>
  </si>
  <si>
    <t>Mimer SQL</t>
  </si>
  <si>
    <t>IBM WebSphere MQ (formerly known as MQSeries)</t>
  </si>
  <si>
    <t>Timbuktu Service 1 Port</t>
  </si>
  <si>
    <t>Timbuktu Service 2 Port</t>
  </si>
  <si>
    <t>Timbuktu Service 3 Port</t>
  </si>
  <si>
    <t>Timbuktu Service 4 Port</t>
  </si>
  <si>
    <t>Reverse Gossip Transport Protocol (RGTP), used to access a General-purpose Reverse-Ordered Gossip Gathering System (GROGGS) bulletin board, such as that implemented on the Cambridge University's Phoenix system</t>
  </si>
  <si>
    <t>Microsoft SQL Server database management system (MSSQL) server</t>
  </si>
  <si>
    <t>Microsoft SQL Server database management system (MSSQL) monitor</t>
  </si>
  <si>
    <t>AIRS data interchange.</t>
  </si>
  <si>
    <t>Sid Meier's CivNet, a multiplayer remake of the original Sid Meier's Civilization game[citation needed]</t>
  </si>
  <si>
    <t>Citrix Independent Computing Architecture (ICA)[126]</t>
  </si>
  <si>
    <t>IBM Tivoli Storage Manager server[127]</t>
  </si>
  <si>
    <t>IBM Tivoli Storage Manager client scheduler[127]</t>
  </si>
  <si>
    <t>Windows Live Messenger (Whiteboard and Application Sharing)[128]</t>
  </si>
  <si>
    <t>Microsoft's Windows Internet Name Service (WINS)</t>
  </si>
  <si>
    <t>Garena game client[citation needed]</t>
  </si>
  <si>
    <t>nCUBE License Manager</t>
  </si>
  <si>
    <t>Oracle database default listener, in future releases[when?][129] official port 2483 (TCP/IP) and 2484 (TCP/IP with SSL)</t>
  </si>
  <si>
    <t>ingreslock, ingres</t>
  </si>
  <si>
    <t>Oracle Net Services, formerly known as SQL*Net[130]</t>
  </si>
  <si>
    <t>Apache Derby Network Server[131]</t>
  </si>
  <si>
    <t>IBM Sametime Virtual Places Chat</t>
  </si>
  <si>
    <t>Eclipse Target Communication Framework[132]</t>
  </si>
  <si>
    <t>1C:Enterprise server agent (ragent)[133][134]</t>
  </si>
  <si>
    <t>1C:Enterprise master cluster manager (rmngr)[133]</t>
  </si>
  <si>
    <t>1C:Enterprise configuration repository server[133]</t>
  </si>
  <si>
    <t>1C:Enterprise cluster administration server (RAS)[133]</t>
  </si>
  <si>
    <t>Laplink</t>
  </si>
  <si>
    <t>1C:Enterprise debug server[133]</t>
  </si>
  <si>
    <t>Gadu-Gadu (direct client-to-client)[citation needed]</t>
  </si>
  <si>
    <t>1560–1590</t>
  </si>
  <si>
    <t>1C:Enterprise cluster working processes[133]</t>
  </si>
  <si>
    <t>MIL STD 2045-47001 VMF</t>
  </si>
  <si>
    <t>IBM Tivoli Storage Manager web client[127]</t>
  </si>
  <si>
    <t>1582–1583</t>
  </si>
  <si>
    <t>IBM Tivoli Storage Manager server web interface[127]</t>
  </si>
  <si>
    <t>Pervasive PSQL[135]</t>
  </si>
  <si>
    <t>Cisco VLAN Query Protocol (VQP)</t>
  </si>
  <si>
    <t>DarkComet remote administration tool (RAT)[citation needed]</t>
  </si>
  <si>
    <t>iSketch[136]</t>
  </si>
  <si>
    <t>LonTalk normal</t>
  </si>
  <si>
    <t>LonTalk urgent</t>
  </si>
  <si>
    <t>Early deployment of RADIUS before RFC standardization was done using UDP port number 1645. Enabled for compatibility reasons by default on Cisco[citation needed] and Juniper Networks RADIUS servers.[137] Official port is 1812. TCP port 1645 MUST NOT be used.[138]</t>
  </si>
  <si>
    <t>Old radacct port,[when?] RADIUS accounting protocol. Enabled for compatibility reasons by default on Cisco[citation needed] and Juniper Networks RADIUS servers.[137] Official port is 1813. TCP port 1646 MUST NOT be used.[138]</t>
  </si>
  <si>
    <t>Perforce[139]</t>
  </si>
  <si>
    <t>Novell GroupWise clients in client/server access mode</t>
  </si>
  <si>
    <t>Microsoft Key Management Service (KMS) for Windows Activation[140]</t>
  </si>
  <si>
    <t>Layer 2 Forwarding Protocol (L2F)</t>
  </si>
  <si>
    <t>Layer 2 Tunneling Protocol (L2TP)[11]</t>
  </si>
  <si>
    <t>Windward Studios games (vdmplay)</t>
  </si>
  <si>
    <t>L2TP/IPsec, for establish an initial connection[141]</t>
  </si>
  <si>
    <t>America's Army, a massively multiplayer online game (MMO)[142]</t>
  </si>
  <si>
    <t>H.323 registration and alternate communication</t>
  </si>
  <si>
    <t>H.323 call signaling</t>
  </si>
  <si>
    <t>Point-to-Point Tunneling Protocol (PPTP)[11]</t>
  </si>
  <si>
    <t>Microsoft Media Services (MMS, ms-streaming)</t>
  </si>
  <si>
    <t>Novell ZENworks[143][144]</t>
  </si>
  <si>
    <t>Federal Emergency Management Information System</t>
  </si>
  <si>
    <t>Decomissioned [sic] Port 04/14/00, ms[2]</t>
  </si>
  <si>
    <t>Microsoft Message Queuing</t>
  </si>
  <si>
    <t>RADIUS authentication protocol, radius</t>
  </si>
  <si>
    <t>RADIUS accounting protocol, radius-acct</t>
  </si>
  <si>
    <t>Microsoft Notification Protocol (MSNP), used by the Microsoft Messenger service and a number of instant messaging Messenger clients</t>
  </si>
  <si>
    <t>Node-RED[145]</t>
  </si>
  <si>
    <t>MQTT (formerly MQ Telemetry Transport)</t>
  </si>
  <si>
    <t>Simple Service Discovery Protocol (SSDP),[11] discovery of UPnP devices</t>
  </si>
  <si>
    <t>Macromedia Flash Communications Server MX, the precursor to Adobe Flash Media Server before Macromedia's acquisition by Adobe on December 3, 2005</t>
  </si>
  <si>
    <t>Real Time Messaging Protocol (RTMP)[citation needed], primarily used in Adobe Flash[146]</t>
  </si>
  <si>
    <t>Gemini, a lightweight, collaboratively designed protocol, striving to fill the gap between Gopher and HTTP[147]</t>
  </si>
  <si>
    <t>Cisco IOS IP Service Level Agreements (IP SLAs) Control Protocol[citation needed]</t>
  </si>
  <si>
    <t>Netop Remote Control</t>
  </si>
  <si>
    <t>InterSystems Caché</t>
  </si>
  <si>
    <t>Big Brother</t>
  </si>
  <si>
    <t>Cisco Hot Standby Router Protocol (HSRP)[148][self-published source]</t>
  </si>
  <si>
    <t>Cisco X.25 over TCP (XOT) service</t>
  </si>
  <si>
    <t>Cisco Skinny Client Control Protocol (SCCP)</t>
  </si>
  <si>
    <t>Artemis: Spaceship Bridge Simulator[149]</t>
  </si>
  <si>
    <t>Civilization IV multiplayer[150]</t>
  </si>
  <si>
    <t>Network File System (NFS)[11]</t>
  </si>
  <si>
    <t>Civilization IV multiplayer[150]</t>
  </si>
  <si>
    <t>Autodesk NLM (FLEXlm)</t>
  </si>
  <si>
    <t>cPanel default[151]</t>
  </si>
  <si>
    <t>Secure RADIUS Service (radsec)</t>
  </si>
  <si>
    <t>cPanel default SSL[151]</t>
  </si>
  <si>
    <t>GNUnet</t>
  </si>
  <si>
    <t>WebHost Manager default[151]</t>
  </si>
  <si>
    <t>WebHost Manager default SSL[151]</t>
  </si>
  <si>
    <t>cPanel default web mail[151]</t>
  </si>
  <si>
    <t>cPanel default SSL web mail[151]</t>
  </si>
  <si>
    <t>Warzone 2100 multiplayer[citation needed]</t>
  </si>
  <si>
    <t>Networked Transport of RTCM via Internet Protocol (NTRIP)[citation needed]</t>
  </si>
  <si>
    <t>Zephyr Notification Service server</t>
  </si>
  <si>
    <t>Zephyr Notification Service serv-hm connection</t>
  </si>
  <si>
    <t>Zephyr Notification Service hostmanager</t>
  </si>
  <si>
    <t>GTP control messages (GTP-C)</t>
  </si>
  <si>
    <t>TDMoIP (TDM over IP)</t>
  </si>
  <si>
    <t>GTP user data messages (GTP-U)</t>
  </si>
  <si>
    <t>GDB remote debug port</t>
  </si>
  <si>
    <t>EForward-document transport system</t>
  </si>
  <si>
    <t>Apache ZooKeeper default client port[citation needed]</t>
  </si>
  <si>
    <t>Apple Push Notification Service[11][152]</t>
  </si>
  <si>
    <t>Apple Push Notification Service, feedback service[11][152]</t>
  </si>
  <si>
    <t>NOAAPORT Broadcast Network</t>
  </si>
  <si>
    <t>EMWIN</t>
  </si>
  <si>
    <t>ESET anti-virus updates[153]</t>
  </si>
  <si>
    <t>EtherNet/IP implicit messaging for IO data</t>
  </si>
  <si>
    <t>DirectAdmin Access[154]</t>
  </si>
  <si>
    <t>2222–2226</t>
  </si>
  <si>
    <t>ESET Remote administrator[153]</t>
  </si>
  <si>
    <t>General Dynamics Remote Encryptor Configuration Information Protocol (RECIPe)</t>
  </si>
  <si>
    <t>CoMotion master</t>
  </si>
  <si>
    <t>CoMotion backup</t>
  </si>
  <si>
    <t>ArmA multiplayer[citation needed]</t>
  </si>
  <si>
    <t>Halo: Combat Evolved multiplayer host[155]</t>
  </si>
  <si>
    <t>ArmA multiplayer (default port for game +1)[citation needed]</t>
  </si>
  <si>
    <t>Halo: Combat Evolved multiplayer listener[155]</t>
  </si>
  <si>
    <t>ArmA multiplayer (default port for game +3)[citation needed]</t>
  </si>
  <si>
    <t>AIM game LAN network port[citation needed]</t>
  </si>
  <si>
    <t>Ghost (blogging platform)[156]</t>
  </si>
  <si>
    <t>Default for BMC Control-M/Server Configuration Agent</t>
  </si>
  <si>
    <t>Default for BMC Control-M/Server, to allow the Control-M/Enterprise Manager to connect to the Control-M/Server</t>
  </si>
  <si>
    <t>Default for K9 Web Protection/parental controls, content filtering agent[citation needed]</t>
  </si>
  <si>
    <t>Docker REST API (plain)</t>
  </si>
  <si>
    <t>Docker REST API (SSL)</t>
  </si>
  <si>
    <t>Docker Swarm cluster management communications[157][self-published source]</t>
  </si>
  <si>
    <t>CoreOS etcd client communication</t>
  </si>
  <si>
    <t>KGS Go Server[158]</t>
  </si>
  <si>
    <t>CoreOS etcd server communication</t>
  </si>
  <si>
    <t>OpenView Session Mgr</t>
  </si>
  <si>
    <t>FileMaker Data Access Layer (ODBC/JDBC)</t>
  </si>
  <si>
    <t>CVS version control system password-based server</t>
  </si>
  <si>
    <t>IEC 60870-5-104, used to send electric power telecontrol messages between two systems via directly connected data circuits</t>
  </si>
  <si>
    <t>OrientDB database listening for binary client connections[159]</t>
  </si>
  <si>
    <t>Media Gateway Control Protocol (MGCP) media gateway</t>
  </si>
  <si>
    <t>ovwdb—OpenView Network Node Manager (NNM) daemon</t>
  </si>
  <si>
    <t>XRPL</t>
  </si>
  <si>
    <t>OrientDB database listening for HTTP client connections[159]</t>
  </si>
  <si>
    <t>Oracle database listening for insecure client connections to the listener, replaces port 1521[when?]</t>
  </si>
  <si>
    <t>Oracle database listening for SSL client connections to the listener</t>
  </si>
  <si>
    <t>NetFS communication[160]</t>
  </si>
  <si>
    <t>NetFS probe</t>
  </si>
  <si>
    <t>Multicast Address Dynamic Client Allocation Protocol (MADCAP).[161] All standard messages are UDP datagrams.[162]</t>
  </si>
  <si>
    <t>LonTalk/IP</t>
  </si>
  <si>
    <t>2546–2548</t>
  </si>
  <si>
    <t>EVault data protection services</t>
  </si>
  <si>
    <t>Ultima Online servers[citation needed]</t>
  </si>
  <si>
    <t>Citrix Independent Computing Architecture (ICA) with Session Reliability; port 1494 without session reliability[126]</t>
  </si>
  <si>
    <t>DICT[163]</t>
  </si>
  <si>
    <t>SQL Anywhere database server[164][165]</t>
  </si>
  <si>
    <t>XBT Tracker.[166] UDP tracker extension is considered experimental.[167]</t>
  </si>
  <si>
    <t>Media Gateway Control Protocol (MGCP) media gateway controller (call agent)</t>
  </si>
  <si>
    <t>Short Message Peer-to-Peer (SMPP)[citation needed]</t>
  </si>
  <si>
    <t>corbaloc:iiop URL, per the CORBA 3.0.3 specification</t>
  </si>
  <si>
    <t>gsi ftp, per the GridFTP specification</t>
  </si>
  <si>
    <t>I2P BOB Bridge[168]</t>
  </si>
  <si>
    <t>Megaco text H.248</t>
  </si>
  <si>
    <t>Megaco binary (ASN.1) H.248</t>
  </si>
  <si>
    <t>gpsd, GPS daemon</t>
  </si>
  <si>
    <t>WAP push Multimedia Messaging Service (MMS)</t>
  </si>
  <si>
    <t>WAP push secure (MMS)</t>
  </si>
  <si>
    <t>Symantec System Center agent (SSC-AGENT)</t>
  </si>
  <si>
    <t>Cloud9 IDE server[citation needed]</t>
  </si>
  <si>
    <t>Ruby on Rails development default[169]</t>
  </si>
  <si>
    <t>Meteor development default[170][failed verification]</t>
  </si>
  <si>
    <t>Resilio Sync,[171] spun from BitTorrent Sync.</t>
  </si>
  <si>
    <t>Distributed Interactive Simulation (DIS)[citation needed]</t>
  </si>
  <si>
    <t>GOGS (self-hosted GIT service) [172]</t>
  </si>
  <si>
    <t>iSync[11]</t>
  </si>
  <si>
    <t>Common Internet File System (CIFS). See also port 445 for Server Message Block (SMB), a dialect of CIFS.</t>
  </si>
  <si>
    <t>gds-db (Interbase/Firebird databases)</t>
  </si>
  <si>
    <t>APC PowerChute Network</t>
  </si>
  <si>
    <t>Xbox LIVE and Games for Windows – Live</t>
  </si>
  <si>
    <t>BlackBerry Enterprise Server communication protocol[173]</t>
  </si>
  <si>
    <t>Squid caching web proxy[174]</t>
  </si>
  <si>
    <t>Fibre Channel over IP (FCIP)</t>
  </si>
  <si>
    <t>WhiskerControl research control protocol</t>
  </si>
  <si>
    <t>msft-gc, Microsoft Global Catalog (LDAP service which contains data from Active Directory forests)</t>
  </si>
  <si>
    <t>msft-gc-ssl, Microsoft Global Catalog over SSL (similar to port 3268, LDAP over SSL)</t>
  </si>
  <si>
    <t>Net Assistant,[11] a predecessor to Apple Remote Desktop</t>
  </si>
  <si>
    <t>Apple Remote Desktop 2.0 or later[11]</t>
  </si>
  <si>
    <t>Virtual Air Traffic Simulation (VATSIM) network voice communication[citation needed]</t>
  </si>
  <si>
    <t>Odette File Transfer Protocol (OFTP)</t>
  </si>
  <si>
    <t>MySQL database system[11]</t>
  </si>
  <si>
    <t>DECE GEODI Server</t>
  </si>
  <si>
    <t>Thundercloud DataPath Overlay Control</t>
  </si>
  <si>
    <t>Eggdrop, an IRC bot default port[175]</t>
  </si>
  <si>
    <t>Network Caller ID server</t>
  </si>
  <si>
    <t>CruiseControl.rb[176]</t>
  </si>
  <si>
    <t>GTP' 3GPP GSM/UMTS CDR logging protocol</t>
  </si>
  <si>
    <t>Microsoft Terminal Server (RDP) officially registered as Windows Based Terminal (WBT)[177]</t>
  </si>
  <si>
    <t>Novell NDPS Printer Agent</t>
  </si>
  <si>
    <t>xmlBlaster</t>
  </si>
  <si>
    <t>Xware xTrm Communication Protocol</t>
  </si>
  <si>
    <t>Xware xTrm Communication Protocol over SSL</t>
  </si>
  <si>
    <t>Resource Reservation Protocol (RSVP)</t>
  </si>
  <si>
    <t>STUN, a protocol for NAT traversal[178]</t>
  </si>
  <si>
    <t>TURN, a protocol for NAT traversal[179] (extension to STUN)</t>
  </si>
  <si>
    <t>STUN Behavior Discovery.[180] See also port 5349.</t>
  </si>
  <si>
    <t>PlayStation Network[181]</t>
  </si>
  <si>
    <t>Slim Devices discovery protocol</t>
  </si>
  <si>
    <t>Slim Devices SlimProto protocol</t>
  </si>
  <si>
    <t>Network UPS Tools (NUT)</t>
  </si>
  <si>
    <t>MPLS LSP-echo Port</t>
  </si>
  <si>
    <t>Smartcard Port</t>
  </si>
  <si>
    <t>SMTP alternate[182]</t>
  </si>
  <si>
    <t>Teredo tunneling</t>
  </si>
  <si>
    <t>Distcc, distributed compiler[11]</t>
  </si>
  <si>
    <t>Cyc</t>
  </si>
  <si>
    <t>Apple SASL, used by macOS Server Password Server[11]</t>
  </si>
  <si>
    <t>Battlefield 4</t>
  </si>
  <si>
    <t>Information Exchange</t>
  </si>
  <si>
    <t>Digital Audio Access Protocol (DAAP), used by Apple's iTunes and AirPlay[11]</t>
  </si>
  <si>
    <t>Subversion (SVN)[11] version control system</t>
  </si>
  <si>
    <t>Web Services Dynamic Discovery (WS-Discovery), used by various components of Windows Vista and later</t>
  </si>
  <si>
    <t>Some Blizzard games[121]</t>
  </si>
  <si>
    <t>Club Penguin Disney online game for kids</t>
  </si>
  <si>
    <t>Netia NA-ER Port</t>
  </si>
  <si>
    <t>CimTrak registered port</t>
  </si>
  <si>
    <t>RBLcheckd server daemon</t>
  </si>
  <si>
    <t>Bidirectional Forwarding Detection (BFD)for IPv4 and IPv6 (Single Hop) (RFC 5881)</t>
  </si>
  <si>
    <t>VoIP program used by Ventrilo</t>
  </si>
  <si>
    <t>RADIUS change of authorization</t>
  </si>
  <si>
    <t>Harman Professional HiQnet protocol</t>
  </si>
  <si>
    <t>RedSeal Networks client/server connection[citation needed]</t>
  </si>
  <si>
    <t>WarMUX game server</t>
  </si>
  <si>
    <t>System Management Agent, developed and used by Cerner to monitor and manage solutions</t>
  </si>
  <si>
    <t>ERP Server Application used by F10 Software</t>
  </si>
  <si>
    <t>IGRS</t>
  </si>
  <si>
    <t>Diameter base protocol (RFC 3588)</t>
  </si>
  <si>
    <t>Oracle Enterprise Manager Remote Agent</t>
  </si>
  <si>
    <t>udt_os, IBM UniData UDT OS[183]</t>
  </si>
  <si>
    <t>Warframe online interaction[citation needed]</t>
  </si>
  <si>
    <t>OpenTTD game (masterserver and content service)</t>
  </si>
  <si>
    <t>Palo Alto Networks' Panorama management of firewalls and log collectors &amp; pre-PAN-OS 8.0 Panorama-to-managed devices software updates.[184]</t>
  </si>
  <si>
    <t>OpenTTD game</t>
  </si>
  <si>
    <t>Norman distributed scanning service</t>
  </si>
  <si>
    <t>Diablo II game</t>
  </si>
  <si>
    <t>Microsoft Ants game</t>
  </si>
  <si>
    <t>Protocol information and warnings[clarification needed]</t>
  </si>
  <si>
    <t>IBM Rational Developer for System z Remote System Explorer Daemon</t>
  </si>
  <si>
    <t>Solaris lockd NFS lock daemon/manager</t>
  </si>
  <si>
    <t>Mud Master Chat protocol (MMCP) - Peer-to-peer communications between MUD clients.[185]</t>
  </si>
  <si>
    <t>Minger Email Address Verification Protocol[186]</t>
  </si>
  <si>
    <t>Amazon Echo Dot (Amazon Alexa) streaming connection with Spotify[187]</t>
  </si>
  <si>
    <t>OpenCORE Remote Control Service</t>
  </si>
  <si>
    <t>Kerio</t>
  </si>
  <si>
    <t>PxPlus Client server interface ProvideX</t>
  </si>
  <si>
    <t>Ascom Timeplex Bridge Relay Element (BRE)</t>
  </si>
  <si>
    <t>Shofar (ShofarNexus)</t>
  </si>
  <si>
    <t>Xgrid[11]</t>
  </si>
  <si>
    <t>Smartcard-TLS</t>
  </si>
  <si>
    <t>Microsoft Remote Web Workplace administration</t>
  </si>
  <si>
    <t>Teradici PCoIP</t>
  </si>
  <si>
    <t>ManageSieve[188]</t>
  </si>
  <si>
    <t>Couch Potato Android app[189]</t>
  </si>
  <si>
    <t>TinyMUD and various derivatives</t>
  </si>
  <si>
    <t>NATS server default port[190]</t>
  </si>
  <si>
    <t>Aleph One, a computer game</t>
  </si>
  <si>
    <t>Orthanc – DICOM server[191]</t>
  </si>
  <si>
    <t>Quassel distributed IRC client</t>
  </si>
  <si>
    <t>Docker implementations, redistributions, and setups default[192][needs update?]</t>
  </si>
  <si>
    <t>CrashPlan</t>
  </si>
  <si>
    <t>Viber[193]</t>
  </si>
  <si>
    <t>Simple Railroad Command Protocol (SRCP)</t>
  </si>
  <si>
    <t>TrueConf Client - TrueConf Server media data exchange[194]</t>
  </si>
  <si>
    <t>Referral Whois (RWhois) Protocol[195]</t>
  </si>
  <si>
    <t>Oracle WebCenter Content: Content Server—Intradoc Socket port. (formerly known as Oracle Universal Content Management).</t>
  </si>
  <si>
    <t>Metasploit's default listener port[196]</t>
  </si>
  <si>
    <t>Xvfb X server virtual frame buffer service</t>
  </si>
  <si>
    <t>4444–4445</t>
  </si>
  <si>
    <t>I2P HTTP/S proxy</t>
  </si>
  <si>
    <t>Integrated Client Message Service (ICMS)</t>
  </si>
  <si>
    <t>Apple Wide Area Connectivity Service, used by Back to My Mac[11]</t>
  </si>
  <si>
    <t>IPSec NAT Traversal[11] (RFC 3947, RFC 4306)</t>
  </si>
  <si>
    <t>4502–4534</t>
  </si>
  <si>
    <t>Microsoft Silverlight connectable ports under non-elevated trust</t>
  </si>
  <si>
    <t>4505–4506</t>
  </si>
  <si>
    <t>Salt master</t>
  </si>
  <si>
    <t>Armagetron Advanced server default</t>
  </si>
  <si>
    <t>default Log4j socketappender port</t>
  </si>
  <si>
    <t>Sinatra default server port in development mode (HTTP)</t>
  </si>
  <si>
    <t>Inter-Asterisk eXchange (IAX2)</t>
  </si>
  <si>
    <t>Identity Registration Protocol</t>
  </si>
  <si>
    <t>Direct End to End Secure Chat Protocol</t>
  </si>
  <si>
    <t>4610–4640</t>
  </si>
  <si>
    <t>QualiSystems TestShell Suite Services</t>
  </si>
  <si>
    <t>OrbitNet Message Service</t>
  </si>
  <si>
    <t>Default for older versions of eMule[197]</t>
  </si>
  <si>
    <t>Google Desktop Search</t>
  </si>
  <si>
    <t>eMule optional web interface[197]</t>
  </si>
  <si>
    <t>PulseAudio sound server</t>
  </si>
  <si>
    <t>Computer Associates Desktop and Server Management (DMP)/Port Multiplexer[198]</t>
  </si>
  <si>
    <t>Gearman's job server</t>
  </si>
  <si>
    <t>IP Flow Information Export</t>
  </si>
  <si>
    <t>Apprentice</t>
  </si>
  <si>
    <t>SIMON (service and discovery)</t>
  </si>
  <si>
    <t>Virtual eXtensible Local Area Network (VXLAN)</t>
  </si>
  <si>
    <t>IP Routable RocE (RoCEv2)</t>
  </si>
  <si>
    <t>OPC UA Connection Protocol (TCP) and OPC UA Multicast Datagram Protocol (UDP) for OPC Unified Architecture from OPC Foundation</t>
  </si>
  <si>
    <t>OPC UA TCP Protocol over TLS/SSL for OPC Unified Architecture from OPC Foundation</t>
  </si>
  <si>
    <t>Web Fresh Communication, Quadrion Software &amp; Odorless Entertainment</t>
  </si>
  <si>
    <t>Java, Glassfish Application Server administration default</t>
  </si>
  <si>
    <t>LysKOM Protocol A</t>
  </si>
  <si>
    <t>DrayTek DSL Status Monitoring[199]</t>
  </si>
  <si>
    <t>Munin Resource Monitoring Tool</t>
  </si>
  <si>
    <t>Cylon Controls UC32 Communications Port</t>
  </si>
  <si>
    <t>UPnP—Windows network device interoperability</t>
  </si>
  <si>
    <t>VTun, VPN Software</t>
  </si>
  <si>
    <t>ASP.NET Core — Development Webserver</t>
  </si>
  <si>
    <t>FlightGear multiplayer[200]</t>
  </si>
  <si>
    <t>Synology Inc. Management Console, File Station, Audio Station</t>
  </si>
  <si>
    <t>Flask Development Webserver</t>
  </si>
  <si>
    <t>Heroku console access</t>
  </si>
  <si>
    <t>Docker Registry[201]</t>
  </si>
  <si>
    <t>AT&amp;T U-verse public, educational, and government access (PEG) streaming over HTTP[202]</t>
  </si>
  <si>
    <t>High-Speed SECS Message Services[citation needed]</t>
  </si>
  <si>
    <t>3CX Phone System Legacy Management Console</t>
  </si>
  <si>
    <t>RidgeRun GStreamer Daemon (GSTD) [203]</t>
  </si>
  <si>
    <t>5000–5500</t>
  </si>
  <si>
    <t>League of Legends, a multiplayer online battle arena video game[204]</t>
  </si>
  <si>
    <t>Slingbox and Slingplayer</t>
  </si>
  <si>
    <t>Iperf (Tool for measuring TCP and UDP bandwidth performance)</t>
  </si>
  <si>
    <t>Synology Inc. Secured Management Console, File Station, Audio Station</t>
  </si>
  <si>
    <t>3CX Phone System Secured Management Console, Secure API</t>
  </si>
  <si>
    <t>ASSA ARX access control system[205]</t>
  </si>
  <si>
    <t>FileMaker – name binding and transport[11]</t>
  </si>
  <si>
    <t>Real-time Transport Protocol media data (RTP) (RFC 3551, RFC 4571)</t>
  </si>
  <si>
    <t>Real-time Transport Protocol control protocol (RTCP) (RFC 3551, RFC 4571)</t>
  </si>
  <si>
    <t>Palo Alto Networks - User-ID agent</t>
  </si>
  <si>
    <t>Registered to: TelePath (the IBM FlowMark workflow-management system messaging platform)[206]</t>
  </si>
  <si>
    <t>The TCP port is now used for: IBM WebSphere MQ Workflow</t>
  </si>
  <si>
    <t>TelePath (the IBM FlowMark workflow-management system messaging platform)[206]</t>
  </si>
  <si>
    <t>scpi-raw Standard Commands for Programmable Instruments</t>
  </si>
  <si>
    <t>Sonic Robo Blast 2 and Sonic Robo Blast 2 Kart servers</t>
  </si>
  <si>
    <t>AVM CAPI-over-TCP (ISDN over Ethernet tunneling)[citation needed]</t>
  </si>
  <si>
    <t>Android ADB server</t>
  </si>
  <si>
    <t>Standard port in Filebeats/Logstash implementation of Lumberjack protocol.</t>
  </si>
  <si>
    <t>Texai Message Service</t>
  </si>
  <si>
    <t>Yahoo! Messenger</t>
  </si>
  <si>
    <t>ita-agent Symantec Intruder Alert[207]</t>
  </si>
  <si>
    <t>Session Initiation Protocol (SIP)[11]</t>
  </si>
  <si>
    <t>Session Initiation Protocol (SIP) over TLS</t>
  </si>
  <si>
    <t>Localisation access</t>
  </si>
  <si>
    <t>EPICS Channel Access server[208]</t>
  </si>
  <si>
    <t>EPICS Channel Access repeater beacon[208]</t>
  </si>
  <si>
    <t>Binary Floor Control Protocol (BFCP)[209]</t>
  </si>
  <si>
    <t>EPCglobal Low Level Reader Protocol (LLRP)</t>
  </si>
  <si>
    <t>EPCglobal Low Level Reader Protocol (LLRP) over TLS</t>
  </si>
  <si>
    <t>3CX Phone System 3CX Tunnel Protocol, 3CX App API, 3CX Session Border Controller</t>
  </si>
  <si>
    <t>SafeNet, Inc Sentinel LM, Sentinel RMS, License Manager, client-to-server</t>
  </si>
  <si>
    <t>SafeNet, Inc Sentinel LM, Sentinel RMS, License Manager, server-to-server</t>
  </si>
  <si>
    <t>IBM Tivoli Framework NetCOOL/Impact[210] HTTP Service</t>
  </si>
  <si>
    <t>Neverwinter Nights</t>
  </si>
  <si>
    <t>TorgaNET (Micronational Darknet)</t>
  </si>
  <si>
    <t>TorgaNET (Micronational Intelligence Darknet)</t>
  </si>
  <si>
    <t>ATMP Ascend Tunnel Management Protocol[211]</t>
  </si>
  <si>
    <t>ESRI SDE Instance</t>
  </si>
  <si>
    <t>ESRI SDE Remote Start</t>
  </si>
  <si>
    <t>BZFlag</t>
  </si>
  <si>
    <t>PC over IP Endpoint Management[212]</t>
  </si>
  <si>
    <t>AOL Instant Messenger protocol.[11] The chat app is defunct as of 15 December 2017.[213]</t>
  </si>
  <si>
    <t>EchoLink VoIP Amateur Radio Software (Voice)</t>
  </si>
  <si>
    <t>EchoLink VoIP Amateur Radio Software (Voice)</t>
  </si>
  <si>
    <t>EchoLink VoIP Amateur Radio Software (Information)</t>
  </si>
  <si>
    <t>Iperf3 (Tool for measuring TCP and UDP bandwidth performance)</t>
  </si>
  <si>
    <t>Extensible Messaging and Presence Protocol (XMPP) client connection[11][214][215]</t>
  </si>
  <si>
    <t>Extensible Messaging and Presence Protocol (XMPP) client connection over SSL</t>
  </si>
  <si>
    <t>HP Virtual Room Service</t>
  </si>
  <si>
    <t>Google Play, Android Cloud to Device Messaging Service, Google Cloud Messaging</t>
  </si>
  <si>
    <t>Control And Provisioning of Wireless Access Points (CAPWAP) CAPWAP control[216]</t>
  </si>
  <si>
    <t>Control And Provisioning of Wireless Access Points (CAPWAP) CAPWAP data[216]</t>
  </si>
  <si>
    <t>Extensible Messaging and Presence Protocol (XMPP) server-to-server connection[11][214][215]</t>
  </si>
  <si>
    <t>Extensible Messaging and Presence Protocol (XMPP)[217]</t>
  </si>
  <si>
    <t>Extensible Messaging and Presence Protocol (XMPP)[218]</t>
  </si>
  <si>
    <t>Extensible Messaging and Presence Protocol (XMPP)[219]</t>
  </si>
  <si>
    <t>Outlaws, a 1997 first-person shooter video game[citation needed]</t>
  </si>
  <si>
    <t>Certificate Management over CMS[220]</t>
  </si>
  <si>
    <t>STUN over TLS/DTLS, a protocol for NAT traversal[178]</t>
  </si>
  <si>
    <t>TURN over TLS/DTLS, a protocol for NAT traversal[179]</t>
  </si>
  <si>
    <t>STUN Behavior Discovery over TLS.[180] See also port 3478.</t>
  </si>
  <si>
    <t>NAT Port Mapping Protocol and Port Control Protocol—client-requested configuration for connections through network address translators and firewalls</t>
  </si>
  <si>
    <t>Multicast DNS (mDNS)[11]</t>
  </si>
  <si>
    <t>Link-Local Multicast Name Resolution (LLMNR), allows hosts to perform name resolution for hosts on the same local link (only provided by Windows Vista and Server 2008)</t>
  </si>
  <si>
    <t>Web Services for Devices (WSDAPI) (only provided by Windows Vista, Windows 7 and Server 2008)</t>
  </si>
  <si>
    <t>WSDAPI Applications to Use a Secure Channel (only provided by Windows Vista, Windows 7 and Server 2008)</t>
  </si>
  <si>
    <t>Kega Fusion, a Sega multi-console emulator[221][222]</t>
  </si>
  <si>
    <t>Multicast File Transfer Protocol (MFTP)[223][importance?]</t>
  </si>
  <si>
    <t>NetSupport Manager</t>
  </si>
  <si>
    <t>IBM Rational Synergy (Telelogic Synergy) (Continuus CM) Message Router</t>
  </si>
  <si>
    <t>Wonderware SuiteLink service</t>
  </si>
  <si>
    <t>SNS Agent</t>
  </si>
  <si>
    <t>PostgreSQL[11] database system</t>
  </si>
  <si>
    <t>Bouwsoft file/webserver[224]</t>
  </si>
  <si>
    <t>Cisco Unified Video Advantage[citation needed]</t>
  </si>
  <si>
    <t>OSIsoft PI Server Client Access [225]</t>
  </si>
  <si>
    <t>OSIsoft PI Asset Framework Client Access [226]</t>
  </si>
  <si>
    <t>OSIsoft PI Notifications Client Access [227]</t>
  </si>
  <si>
    <t>VMware VAMI (Virtual Appliance Management Infrastructure)—used for initial setup of various administration settings on Virtual Appliances designed using the VAMI architecture.</t>
  </si>
  <si>
    <t>Schneider Electric's ClearSCADA (SCADA implementation for Windows) — used for client-to-server communication.[228]</t>
  </si>
  <si>
    <t>IBM Cognos TM1 Admin server</t>
  </si>
  <si>
    <t>Hotline tracker server connection</t>
  </si>
  <si>
    <t>Hotline tracker server discovery</t>
  </si>
  <si>
    <t>Hotline control connection</t>
  </si>
  <si>
    <t>VNC Remote Frame Buffer RFB protocol—for incoming listening viewer</t>
  </si>
  <si>
    <t>Hotline file transfer connection</t>
  </si>
  <si>
    <t>Setiqueue Proxy server client for SETI@Home project</t>
  </si>
  <si>
    <t>Hewlett-Packard Data Protector[citation needed]</t>
  </si>
  <si>
    <t>Fastboot default wireless port</t>
  </si>
  <si>
    <t>Oracle WebCenter Content: Inbound Refinery—Intradoc Socket port. (formerly known as Oracle Universal Content Management). Port though often changed during installation</t>
  </si>
  <si>
    <t>Freeciv versions up to 2.0, Hewlett-Packard Data Protector, McAfee EndPoint Encryption Database Server, SAP, Default for Microsoft Dynamics CRM 4.0, Softether VPN default port</t>
  </si>
  <si>
    <t>Freeciv, Oracle WebLogic Server Node Manager[229]</t>
  </si>
  <si>
    <t>Session Data Transport (SDT), a part of Architecture for Control Networks (ACN)[230][full citation needed]</t>
  </si>
  <si>
    <t>Kibana[citation needed]</t>
  </si>
  <si>
    <t>pcANYWHEREdata, Symantec pcAnywhere (version 7.52 and later[231])[232] data</t>
  </si>
  <si>
    <t>pcANYWHEREstat, Symantec pcAnywhere (version 7.52 and later) status</t>
  </si>
  <si>
    <t>IBM Lotus Sametime p2p file transfer</t>
  </si>
  <si>
    <t>NRPE (Nagios)</t>
  </si>
  <si>
    <t>NSCA (Nagios)</t>
  </si>
  <si>
    <t>FILEMQ ZeroMQ File Message Queuing Protocol</t>
  </si>
  <si>
    <t>ZRE-DISC ZeroMQ Realtime Exchange Protocol (Discovery)</t>
  </si>
  <si>
    <t>Advanced Message Queuing Protocol (AMQP)[233] over TLS</t>
  </si>
  <si>
    <t>Advanced Message Queuing Protocol (AMQP)[233]</t>
  </si>
  <si>
    <t>Constrained Application Protocol (CoAP)</t>
  </si>
  <si>
    <t>Constrained Application Protocol Secure (CoAPs)</t>
  </si>
  <si>
    <t>Nagios Cross Platform Agent (NCPA)[234]</t>
  </si>
  <si>
    <t>Hazelcast default communication port[235]</t>
  </si>
  <si>
    <t>Microsoft RPC, DFSR (SYSVOL) Replication Service[citation needed]</t>
  </si>
  <si>
    <t>Microsoft DPM Data Channel (with the agent coordinator)</t>
  </si>
  <si>
    <t>Microsoft DPM Data Channel (with the protection agent)</t>
  </si>
  <si>
    <t>System Center Operations Manager[236]</t>
  </si>
  <si>
    <t>Operations Manager Console</t>
  </si>
  <si>
    <t>IDA Discover Port 1</t>
  </si>
  <si>
    <t>IDA Discover Port 2</t>
  </si>
  <si>
    <t>VNC Remote Frame Buffer RFB protocol over HTTP</t>
  </si>
  <si>
    <t>ProjectWise Server[237]</t>
  </si>
  <si>
    <t>Remote Frame Buffer protocol (RFB)</t>
  </si>
  <si>
    <t>Virtual Network Computing (VNC) Remote Frame Buffer RFB protocol[11][238]</t>
  </si>
  <si>
    <t>Windows service "C:\Program Files\Intel\Intel(R) Online Connect Access\IntelTechnologyAccessService.exe" that listens on 127.0.0.1</t>
  </si>
  <si>
    <t>AMMYY admin Remote Control</t>
  </si>
  <si>
    <t>TeamViewer remote desktop protocol[239]</t>
  </si>
  <si>
    <t>CouchDB database server</t>
  </si>
  <si>
    <t>Windows PowerShell Default psSession Port[240] Windows Remote Management Service (WinRM-HTTP)[241]</t>
  </si>
  <si>
    <t>Windows PowerShell Default psSession Port[240] Windows Remote Management Service (WinRM-HTTPS)[241]</t>
  </si>
  <si>
    <t>5988–5989</t>
  </si>
  <si>
    <t>CIM-XML (DMTF Protocol)[242]</t>
  </si>
  <si>
    <t>6000–6063</t>
  </si>
  <si>
    <t>X11—used between an X client and server over the network</t>
  </si>
  <si>
    <t>Default for BMC Software Control-M/Server—Socket used for communication between Control-M processes—though often changed during installation</t>
  </si>
  <si>
    <t>Default for Camfrog chat &amp; cam client</t>
  </si>
  <si>
    <t>JD Edwards EnterpriseOne ERP system JDENet messaging client listener</t>
  </si>
  <si>
    <t>Arcserve backup</t>
  </si>
  <si>
    <t>Arcserve backup</t>
  </si>
  <si>
    <t>Peer Distributed Transfer Protocol (PDTP), FTP like file server in a P2P network</t>
  </si>
  <si>
    <t>Vizrt System</t>
  </si>
  <si>
    <t>Ventrilo authentication for version 3</t>
  </si>
  <si>
    <t>Backup Exec Agent Browser[citation needed]</t>
  </si>
  <si>
    <t>softcm, HP Softbench CM</t>
  </si>
  <si>
    <t>spc, HP Softbench Sub-Process Control</t>
  </si>
  <si>
    <t>dtspcd, execute commands and launch applications remotely</t>
  </si>
  <si>
    <t>Blizzard's Battle.net gaming service and some games,[121] ArenaNet gaming service, Relic gaming service</t>
  </si>
  <si>
    <t>Club Penguin Disney online game for kids, Used by some Blizzard games[121]</t>
  </si>
  <si>
    <t>ObjectDB database server[243]</t>
  </si>
  <si>
    <t>ARINC 840 EFB Application Control Interface</t>
  </si>
  <si>
    <t>Oracle WebCenter Content Portable: Content Server (With Native UI) and Inbound Refinery</t>
  </si>
  <si>
    <t>Thermo-Calc Software AB: Management of service nodes in a processing grid for thermodynamic calculations</t>
  </si>
  <si>
    <t>Oracle WebCenter Content Portable: Admin</t>
  </si>
  <si>
    <t>Oracle WebCenter Content Portable: Content Server Web UI</t>
  </si>
  <si>
    <t>Oracle WebCenter Content Portable: JavaDB</t>
  </si>
  <si>
    <t>Oracle WebCenter Content Portable: Capture</t>
  </si>
  <si>
    <t>Oracle WebCenter Content Portable: Content Server—Intradoc Socket port</t>
  </si>
  <si>
    <t>Oracle WebCenter Content Portable: Inbound Refinery—Intradoc Socket port</t>
  </si>
  <si>
    <t>WinMX (see also 6699)</t>
  </si>
  <si>
    <t>planet M.U.L.E.</t>
  </si>
  <si>
    <t>Sybase Advantage Database Server</t>
  </si>
  <si>
    <t>SFlow, sFlow traffic monitoring</t>
  </si>
  <si>
    <t>gnutella-svc, gnutella (FrostWire, Limewire, Shareaza, etc.)</t>
  </si>
  <si>
    <t>gnutella-rtr, Gnutella alternate</t>
  </si>
  <si>
    <t>App Discovery and Access Protocol</t>
  </si>
  <si>
    <t>Redis key-value data store</t>
  </si>
  <si>
    <t>EMC CLARiiON</t>
  </si>
  <si>
    <t>PgBouncer—A connection pooler for PostgreSQL</t>
  </si>
  <si>
    <t>Leap Motion Websocket Server TLS</t>
  </si>
  <si>
    <t>Leap Motion Websocket Server</t>
  </si>
  <si>
    <t>Sun Grid Engine Qmaster Service</t>
  </si>
  <si>
    <t>Sun Grid Engine Execution Service</t>
  </si>
  <si>
    <t>6463–6472</t>
  </si>
  <si>
    <t>Discord RPC[244]</t>
  </si>
  <si>
    <t>Port assignment for medical device communication in accordance to IEEE 11073-20701</t>
  </si>
  <si>
    <t>NETCONF over TLS</t>
  </si>
  <si>
    <t>Syslog over TLS[245]</t>
  </si>
  <si>
    <t>Elipse RPC Protocol (REC)</t>
  </si>
  <si>
    <t>Windows Admin Center</t>
  </si>
  <si>
    <t>Pylons project#Pyramid Default Pylons Pyramid web service port</t>
  </si>
  <si>
    <t>Check MK Agent</t>
  </si>
  <si>
    <t>SANE (Scanner Access Now Easy)—SANE network scanner daemon[246]</t>
  </si>
  <si>
    <t>6560–6561</t>
  </si>
  <si>
    <t>Speech-Dispatcher daemon[citation needed]</t>
  </si>
  <si>
    <t>Windows Live FolderShare client</t>
  </si>
  <si>
    <t>Microsoft Hyper-V Live</t>
  </si>
  <si>
    <t>Music Player Daemon (MPD)</t>
  </si>
  <si>
    <t>Microsoft Forefront Threat Management Gateway</t>
  </si>
  <si>
    <t>Microsoft Windows WSS Communication</t>
  </si>
  <si>
    <t>odette-ftps, Odette File Transfer Protocol (OFTP) over TLS/SSL</t>
  </si>
  <si>
    <t>Multicast FTP</t>
  </si>
  <si>
    <t>OpenFlow[citation needed]</t>
  </si>
  <si>
    <t>6660–6664</t>
  </si>
  <si>
    <t>Internet Relay Chat (IRC)</t>
  </si>
  <si>
    <t>6665–6669</t>
  </si>
  <si>
    <t>Osorno Automation Protocol (OSAUT)</t>
  </si>
  <si>
    <t>IRC SSL (Secure Internet Relay Chat)—often used</t>
  </si>
  <si>
    <t>Synology Cloud station</t>
  </si>
  <si>
    <t>WinMX (see also 6257)</t>
  </si>
  <si>
    <t>AberMUD and derivatives default port</t>
  </si>
  <si>
    <t>BitTorrent Local Peer Discovery</t>
  </si>
  <si>
    <t>6783–6785</t>
  </si>
  <si>
    <t>Splashtop Remote server broadcast</t>
  </si>
  <si>
    <t>6881–6887</t>
  </si>
  <si>
    <t>BitTorrent part of full range of ports used most often</t>
  </si>
  <si>
    <t>MUSE</t>
  </si>
  <si>
    <t>BitTorrent part of full range of ports used most often</t>
  </si>
  <si>
    <t>6889–6890</t>
  </si>
  <si>
    <t>6891–6900</t>
  </si>
  <si>
    <t>Windows Live Messenger (File transfer)</t>
  </si>
  <si>
    <t>Windows Live Messenger (Voice)</t>
  </si>
  <si>
    <t>6902–6968</t>
  </si>
  <si>
    <t>split-ping, ping with RX/TX latency/loss split</t>
  </si>
  <si>
    <t>acmsoda</t>
  </si>
  <si>
    <t>BitTorrent tracker</t>
  </si>
  <si>
    <t>6970–6999</t>
  </si>
  <si>
    <t>QuickTime Streaming Server[11]</t>
  </si>
  <si>
    <t>Default for Vuze's built-in HTTPS Bittorrent Tracker</t>
  </si>
  <si>
    <t>Avira Server Management Console</t>
  </si>
  <si>
    <t>Avira Server Management Console</t>
  </si>
  <si>
    <t>Default for BEA WebLogic Server's HTTP server, though often changed during installation</t>
  </si>
  <si>
    <t>Default for BEA WebLogic Server's HTTPS server, though often changed during installation</t>
  </si>
  <si>
    <t>Default for BMC Software Control-M/Server and Control-M/Agent for Agent-to-Server, though often changed during installation</t>
  </si>
  <si>
    <t>Default for BMC Software Control-M/Server and Control-M/Agent for Server-to-Agent, though often changed during installation</t>
  </si>
  <si>
    <t>Default for Cisco AON AMC (AON Management Console)[247]</t>
  </si>
  <si>
    <t>Database mirroring endpoints[248]</t>
  </si>
  <si>
    <t>Bryan Wilcutt T2-NMCS Protocol for SatCom Modems</t>
  </si>
  <si>
    <t>Zimbra LMTP [mailbox]—local mail delivery</t>
  </si>
  <si>
    <t>Zimbra conversion server</t>
  </si>
  <si>
    <t>Real Time Streaming Protocol (RTSP), used by QuickTime Streaming Server. TCP is used by default, UDP is used as an alternate.[11]</t>
  </si>
  <si>
    <t>Enemy Territory: Quake Wars</t>
  </si>
  <si>
    <t>Peercast[citation needed]</t>
  </si>
  <si>
    <t>Tibia</t>
  </si>
  <si>
    <t>CNAP (Calypso Network Access Protocol)</t>
  </si>
  <si>
    <t>WatchMe - WatchMe Monitoring</t>
  </si>
  <si>
    <t>Zimbra mysql [mailbox][citation needed]</t>
  </si>
  <si>
    <t>Zimbra mysql [logger][citation needed]</t>
  </si>
  <si>
    <t>Sibelius License Server</t>
  </si>
  <si>
    <t>Web control interface for Folding@home v7.3.6 and later[249]</t>
  </si>
  <si>
    <t>RTPS (Real Time Publish Subscribe) DDS Discovery</t>
  </si>
  <si>
    <t>RTPS (Real Time Publish Subscribe) DDS User-Traffic</t>
  </si>
  <si>
    <t>RTPS (Real Time Publish Subscribe) DDS Meta-Traffic</t>
  </si>
  <si>
    <t>Stateless Transport Tunneling (STT)</t>
  </si>
  <si>
    <t>Rise: The Vieneo Province</t>
  </si>
  <si>
    <t>Neo4J Server webadmin[250]</t>
  </si>
  <si>
    <t>Default port used by Open iT Server.[251]</t>
  </si>
  <si>
    <t>Saratoga file transfer protocol[252][253]</t>
  </si>
  <si>
    <t>CPE WAN Management Protocol (CWMP) Technical Report 069</t>
  </si>
  <si>
    <t>Populous: The Beginning server</t>
  </si>
  <si>
    <t>Instrument Neutral Distributed Interface</t>
  </si>
  <si>
    <t>ERLPhase</t>
  </si>
  <si>
    <t>hddtemp—Utility to monitor hard drive temperature</t>
  </si>
  <si>
    <t>7652–7654</t>
  </si>
  <si>
    <t>I2P anonymizing overlay network</t>
  </si>
  <si>
    <t>I2P SAM Bridge Socket API</t>
  </si>
  <si>
    <t>7656–7660</t>
  </si>
  <si>
    <t>I2P anonymizing overlay network</t>
  </si>
  <si>
    <t>BrettspielWelt BSW Boardgame Portal</t>
  </si>
  <si>
    <t>Delivery Optimization for Windows 10[254]</t>
  </si>
  <si>
    <t>Bolt database connection</t>
  </si>
  <si>
    <t>7707–7708</t>
  </si>
  <si>
    <t>Killing Floor</t>
  </si>
  <si>
    <t>iChat server file transfer proxy[11]</t>
  </si>
  <si>
    <t>Oracle Cluster File System 2[citation needed]</t>
  </si>
  <si>
    <t>Windows backdoor program tini.exe default[citation needed]</t>
  </si>
  <si>
    <t>Just Cause 2: Multiplayer Mod Server[citation needed]</t>
  </si>
  <si>
    <t>Terraria default server</t>
  </si>
  <si>
    <t>San Andreas Multiplayer (SA-MP) default port server</t>
  </si>
  <si>
    <t>SCP: Secret Laboratory Multiplayer Server</t>
  </si>
  <si>
    <t>7777–7788</t>
  </si>
  <si>
    <t>Unreal Tournament series default server[citation needed]</t>
  </si>
  <si>
    <t>Default used by Smartlaunch Internet Cafe Administration[255] software</t>
  </si>
  <si>
    <t>PowerSchool Gradebook Server[citation needed]</t>
  </si>
  <si>
    <t>Default that will be used by the iControl Internet Cafe Suite Administration software</t>
  </si>
  <si>
    <t>Default for YSFlight server[256]</t>
  </si>
  <si>
    <t>Fixed port used for Adobe Flash Debug Player to communicate with a debugger (Flash IDE, Flex Builder or fdb).[257]</t>
  </si>
  <si>
    <t>Docker Swarm communication among nodes[157]</t>
  </si>
  <si>
    <t>Used by SilverBluff Studios for communication between servers and clients.[citation needed]</t>
  </si>
  <si>
    <t>Atlassian Bitbucket (default port)[citation needed]</t>
  </si>
  <si>
    <t>Commonly used for Internet radio streams such as SHOUTcast[citation needed], Icecast[citation needed] and iTunes Radio[11]</t>
  </si>
  <si>
    <t>DynamoDB Local[258]</t>
  </si>
  <si>
    <t>Django Development Webserver[259]</t>
  </si>
  <si>
    <t>Tomcat remote shutdown[11]</t>
  </si>
  <si>
    <t>Quest AppAssure 5 API[260]</t>
  </si>
  <si>
    <t>Proxmox Virtual Environment admin web interface[261]</t>
  </si>
  <si>
    <t>Quest AppAssure 5 Engine[260]</t>
  </si>
  <si>
    <t>Proxmox Backup Server admin web interface</t>
  </si>
  <si>
    <t>Alternative port for HTTP. See also ports 80 and 8080.</t>
  </si>
  <si>
    <t>IBM HTTP Server administration default[importance?]</t>
  </si>
  <si>
    <t>iCal, a calendar application by Apple[11]</t>
  </si>
  <si>
    <t>Matrix homeserver federation over HTTP[262]</t>
  </si>
  <si>
    <t>Apache JServ Protocol (ajp13)[citation needed]</t>
  </si>
  <si>
    <t>Buildbot web status page[citation needed]</t>
  </si>
  <si>
    <t>Orthanc – REST API over HTTP[191]</t>
  </si>
  <si>
    <t>OpenERP 5.0 XML-RPC protocol[263]</t>
  </si>
  <si>
    <t>OpenERP 5.0 NET-RPC protocol[263]</t>
  </si>
  <si>
    <t>Gadu-Gadu</t>
  </si>
  <si>
    <t>Killing Floor web administration interface[citation needed]</t>
  </si>
  <si>
    <t>Alternative port for HTTP. See also ports 80 and 8008.</t>
  </si>
  <si>
    <t>Apache Tomcat[264]</t>
  </si>
  <si>
    <t>Atlassian JIRA applications[265]</t>
  </si>
  <si>
    <t>Asterisk management access via HTTP[citation needed]</t>
  </si>
  <si>
    <t>Splunk daemon management[266]</t>
  </si>
  <si>
    <t>Fritz!Box automatic TR-069 configuration[267]</t>
  </si>
  <si>
    <t>Atlassian Confluence[268]</t>
  </si>
  <si>
    <t>Coral Content Distribution Network (legacy; 80 and 8080 now supported)[269]</t>
  </si>
  <si>
    <t>Matrix identity server[citation needed]</t>
  </si>
  <si>
    <t>CouchBase web administration[270]</t>
  </si>
  <si>
    <t>CouchBase API[270]</t>
  </si>
  <si>
    <t>JOSM Remote Control</t>
  </si>
  <si>
    <t>PAC Pacifica Coin</t>
  </si>
  <si>
    <t>Check Point Cluster Control Protocol</t>
  </si>
  <si>
    <t>Privoxy—advertisement-filtering Web proxy</t>
  </si>
  <si>
    <t>Polipo Web proxy</t>
  </si>
  <si>
    <t>BURST Reference Software P2P</t>
  </si>
  <si>
    <t>Standard BURST Mining Pool Software Port</t>
  </si>
  <si>
    <t>BURST Reference Software Web Interface</t>
  </si>
  <si>
    <t>Puppet (software) Client agent</t>
  </si>
  <si>
    <t>Puppet (software) Master server</t>
  </si>
  <si>
    <t>Microsoft Remote Administration for IIS Manager[271]</t>
  </si>
  <si>
    <t>NCSA Brown Dog Data Access Proxy</t>
  </si>
  <si>
    <t>8194–8195</t>
  </si>
  <si>
    <t>Bloomberg Terminal[272]</t>
  </si>
  <si>
    <t>GoToMyPC</t>
  </si>
  <si>
    <t>MiniDLNA media server Web Interface</t>
  </si>
  <si>
    <t>VMware VI Web Access via HTTP[273]</t>
  </si>
  <si>
    <t>HTTPS listener for Apache Synapse[274]</t>
  </si>
  <si>
    <t>Dynamic DNS for at least No-IP and DynDNS[275]</t>
  </si>
  <si>
    <t>HTTP listener for Apache Synapse[274]</t>
  </si>
  <si>
    <t>HTTP Listener for Gatecraft Plugin</t>
  </si>
  <si>
    <t>Winbox—Default on a MikroTik RouterOS for a Windows application used to administer MikroTik RouterOS[276]</t>
  </si>
  <si>
    <t>Teeworlds Server</t>
  </si>
  <si>
    <t>Bitcoin JSON-RPC server[277]</t>
  </si>
  <si>
    <t>Bitcoin[278]</t>
  </si>
  <si>
    <t>VMware VI Web Access via HTTPS[273]</t>
  </si>
  <si>
    <t>VisualSVN Distributed File System Service (VDFS)[279]</t>
  </si>
  <si>
    <t>Syncthing web GUI</t>
  </si>
  <si>
    <t>Shadowsocks proxy server[citation needed]</t>
  </si>
  <si>
    <t>Commvault Communications Service (GxCVD, found in all client computers)</t>
  </si>
  <si>
    <t>Commvault Server Event Manager (GxEvMgrS, available in CommServe)</t>
  </si>
  <si>
    <t>Commvault Firewall (GxFWD, tunnel port for HTTP/HTTPS)</t>
  </si>
  <si>
    <t>SW Soft Plesk Control Panel</t>
  </si>
  <si>
    <t>Apache Tomcat SSL</t>
  </si>
  <si>
    <t>Promise WebPAM SSL</t>
  </si>
  <si>
    <t>iCal over SSL[11]</t>
  </si>
  <si>
    <t>MineOs WebUi</t>
  </si>
  <si>
    <t>Bitmessage</t>
  </si>
  <si>
    <t>Matrix homeserver federation over HTTPS[262]</t>
  </si>
  <si>
    <t>MapleStory Login Server</t>
  </si>
  <si>
    <t>Adobe ColdFusion built-in web server[280]</t>
  </si>
  <si>
    <t>Windows Server Update Services over HTTP, when using the default role installation settings in Windows Server 2012 and later versions.[281][282]</t>
  </si>
  <si>
    <t>Windows Server Update Services over HTTPS, when using the default role installation settings in Windows Server 2012 and later versions.[281][282]</t>
  </si>
  <si>
    <t>Freegate, an Internet anonymizer and proxy tool[283]</t>
  </si>
  <si>
    <t>Tibero database[citation needed]</t>
  </si>
  <si>
    <t>Lotus Notes Traveler auto synchronization for Windows Mobile and Nokia devices[284]</t>
  </si>
  <si>
    <t>Ultra Fractal, a fractal generation and rendering software application – distributed calculations over networked computers[285][286]</t>
  </si>
  <si>
    <t>Default port of a local GUN relay peer that the Internet Archive[287] and others use as a decentralized mirror for censorship resistance.[288]</t>
  </si>
  <si>
    <t>Voice channel of TeamSpeak 2,[289] a proprietary Voice over IP protocol targeted at gamers[citation needed]</t>
  </si>
  <si>
    <t>Nessus, a vulnerability scanner – remote XML-RPC web server[290][third-party source needed]</t>
  </si>
  <si>
    <t>Opera Unite, an extensible framework for web applications[291][292]</t>
  </si>
  <si>
    <t>Alternate port of CDDB (Compact Disc Database) protocol, used to look up audio CD (compact disc) information over the Internet.[293] See also port 888.</t>
  </si>
  <si>
    <t>IBM WebSphere Application Server SOAP connector[294][jargon]</t>
  </si>
  <si>
    <t>Secure MQTT (MQTT over TLS)[295][296]</t>
  </si>
  <si>
    <t>HyperVM over HTTP[citation needed]</t>
  </si>
  <si>
    <t>HyperVM over HTTPS[citation needed]</t>
  </si>
  <si>
    <t>Freenet web UI (localhost only)[citation needed]</t>
  </si>
  <si>
    <t>Default for IPython[297] / Jupyter[298] notebook dashboards</t>
  </si>
  <si>
    <t>MAMP[299]</t>
  </si>
  <si>
    <t>Apache Solr[300]</t>
  </si>
  <si>
    <t>Alternate port for I2P Monotone Proxy[168][jargon]</t>
  </si>
  <si>
    <t>I2P Monotone Proxy[168][jargon]</t>
  </si>
  <si>
    <t>Alternate port for I2P Monotone Proxy[168][jargon]</t>
  </si>
  <si>
    <t>SonarQube Web Server[301]</t>
  </si>
  <si>
    <t>DBGp</t>
  </si>
  <si>
    <t>SqueezeCenter web server &amp; streaming</t>
  </si>
  <si>
    <t>UDPCast</t>
  </si>
  <si>
    <t>Play! Framework web server[302]</t>
  </si>
  <si>
    <t>Hadoop NameNode default port</t>
  </si>
  <si>
    <t>PHP-FPM default port</t>
  </si>
  <si>
    <t>QBittorrent's embedded torrent tracker default port[303]</t>
  </si>
  <si>
    <t>ETL Service Manager[304]</t>
  </si>
  <si>
    <t>Microsoft SharePoint authoring environment</t>
  </si>
  <si>
    <t>cisco-xremote router configuration[citation needed]</t>
  </si>
  <si>
    <t>Tor network default</t>
  </si>
  <si>
    <t>DBGp Proxy</t>
  </si>
  <si>
    <t>HSQLDB default port</t>
  </si>
  <si>
    <t>Newforma Server comms</t>
  </si>
  <si>
    <t>Reserved[2]</t>
  </si>
  <si>
    <t>Tomcat in standalone mode[11]</t>
  </si>
  <si>
    <t>Tor often used</t>
  </si>
  <si>
    <t>Apache Cassandra native protocol clients</t>
  </si>
  <si>
    <t>WebSphere Application Server Administration Console secure</t>
  </si>
  <si>
    <t>9050–9051</t>
  </si>
  <si>
    <t>Tor (SOCKS-5 proxy client)</t>
  </si>
  <si>
    <t>WebSphere Application Server Administration Console</t>
  </si>
  <si>
    <t>glrpc, Groove Collaboration software GLRPC</t>
  </si>
  <si>
    <t>WebSphere Application Server HTTP Transport (port 1) default</t>
  </si>
  <si>
    <t>Remote Potato by FatAttitude, Windows Media Center addon</t>
  </si>
  <si>
    <t>ServerWMC, Windows Media Center addon</t>
  </si>
  <si>
    <t>Prometheus metrics server</t>
  </si>
  <si>
    <t>Openfire Administration Console</t>
  </si>
  <si>
    <t>SqueezeCenter control (CLI)</t>
  </si>
  <si>
    <t>Cherokee Admin Panel</t>
  </si>
  <si>
    <t>Openfire Administration Console (SSL Secured)</t>
  </si>
  <si>
    <t>Transmission (BitTorrent client) Web Interface</t>
  </si>
  <si>
    <t>H2 (DBMS) Database Server</t>
  </si>
  <si>
    <t>Apache Kafka A Distributed Streaming Platform[305]</t>
  </si>
  <si>
    <t>PDL Data Stream, used for printing to certain network printers[11]</t>
  </si>
  <si>
    <t>Bacula Director</t>
  </si>
  <si>
    <t>Bacula File Daemon</t>
  </si>
  <si>
    <t>Bacula Storage Daemon</t>
  </si>
  <si>
    <t>MXit Instant Messenger</t>
  </si>
  <si>
    <t>Tor Browser</t>
  </si>
  <si>
    <t>Sierra Wireless Airlink</t>
  </si>
  <si>
    <t>Avtex LLC—qStats</t>
  </si>
  <si>
    <t>Elasticsearch[306]—default Elasticsearch port</t>
  </si>
  <si>
    <t>iPass Platform Service</t>
  </si>
  <si>
    <t>Sony PlayStation RemotePlay[307]</t>
  </si>
  <si>
    <t>IBM Cognos BI[citation needed]</t>
  </si>
  <si>
    <t>D-Link Shareport Share storage and MFP printers[citation needed]</t>
  </si>
  <si>
    <t>Sphinx Native API</t>
  </si>
  <si>
    <t>Sony PlayStation Vita Host Collaboration WiFi Data Transfer[308]</t>
  </si>
  <si>
    <t>Sphinx SphinxQL</t>
  </si>
  <si>
    <t>Litecoin JSON-RPC server</t>
  </si>
  <si>
    <t>Litecoin</t>
  </si>
  <si>
    <t>Used by all Supercell games such as Brawl Stars and Clash of Clans, mobile freemium strategy video games</t>
  </si>
  <si>
    <t>adws, Microsoft AD DS Web Services, Powershell uses this port</t>
  </si>
  <si>
    <t>OpenVAS Greenbone Security Assistant web interface</t>
  </si>
  <si>
    <t>git, Git pack transfer service</t>
  </si>
  <si>
    <t>MooseFS distributed file system – master control port[309]</t>
  </si>
  <si>
    <t>MooseFS distributed file system – master command port[309]</t>
  </si>
  <si>
    <t>MooseFS distributed file system – master client port[309]</t>
  </si>
  <si>
    <t>MooseFS distributed file system – Chunkservers[309]</t>
  </si>
  <si>
    <t>MooseFS distributed file system – CGI server[309]</t>
  </si>
  <si>
    <t>VMware Websense Triton console (HTTPS port used for accessing and administrating a vCenter Server via the Web Management Interface)</t>
  </si>
  <si>
    <t>NCSA Brown Dog Data Tilling Service</t>
  </si>
  <si>
    <t>mngsuite, LANDesk Management Suite Remote Control</t>
  </si>
  <si>
    <t>laes-bf, IP Fabrics Surveillance buffering function</t>
  </si>
  <si>
    <t>Factory Interface Network Service (FINS), a network protocol used by Omron programmable logic controllers[citation needed]</t>
  </si>
  <si>
    <t>VGG Image Search Engine VISE</t>
  </si>
  <si>
    <t>Spiceworks Desktop, IT Helpdesk Software</t>
  </si>
  <si>
    <t>Content centric networking (CCN, CCNx)[citation needed]</t>
  </si>
  <si>
    <t>WebDAV Source</t>
  </si>
  <si>
    <t>WebCT e-learning portal</t>
  </si>
  <si>
    <t>Tripwire—File Integrity Monitoring Software[310]</t>
  </si>
  <si>
    <t>SCTP tunneling (port number used in SCTP packets encapsulated in UDP, RFC 6951)</t>
  </si>
  <si>
    <t>Banana for Apache Solr</t>
  </si>
  <si>
    <t>Tvheadend HTTP server (web interface)[311]</t>
  </si>
  <si>
    <t>Tvheadend HTSP server (Streaming protocol)[311]</t>
  </si>
  <si>
    <t>TeamSpeak 3 server default (voice) port (for the conflicting service see the IANA list)[312]</t>
  </si>
  <si>
    <t>ZeroTier Default port for ZeroTier</t>
  </si>
  <si>
    <t>Splunk port for communication between the forwarders and indexers</t>
  </si>
  <si>
    <t>Urchin Web Analytics[citation needed]</t>
  </si>
  <si>
    <t>Dash (cryptocurrency)[313]</t>
  </si>
  <si>
    <t>Network Data Management Protocol</t>
  </si>
  <si>
    <t>BackupExec</t>
  </si>
  <si>
    <t>Webmin, Web-based Unix/Linux system administration tool (default port)</t>
  </si>
  <si>
    <t>10000–20000</t>
  </si>
  <si>
    <t>Used on VoIP networks for receiving and transmitting voice telephony traffic which includes Google Voice via the OBiTalk ATA devices as well as on the MagicJack and Vonage ATA network devices.[314]</t>
  </si>
  <si>
    <t>Ubiquiti UniFi access points broadcast to 255.255.255.255:10001 (UDP) to locate the controller(s)</t>
  </si>
  <si>
    <t>CrossFire, a multiplayer online First Person Shooter[citation needed]</t>
  </si>
  <si>
    <t>TeamSpeak 3 ServerQuery[312]</t>
  </si>
  <si>
    <t>Zimbra smtp [mta]—to amavis from postfix[citation needed]</t>
  </si>
  <si>
    <t>Zimbra smtp [mta]—back to postfix from amavis[citation needed]</t>
  </si>
  <si>
    <t>Mathoid server [315]</t>
  </si>
  <si>
    <t>Zabbix agent</t>
  </si>
  <si>
    <t>Zabbix trapper</t>
  </si>
  <si>
    <t>NMEA 0183 Navigational Data. Transport of NMEA 0183 sentences over TCP or UDP</t>
  </si>
  <si>
    <t>Intuit Quickbooks client</t>
  </si>
  <si>
    <t>FRISK Software International's fpscand virus scanning daemon for Unix platforms[316]</t>
  </si>
  <si>
    <t>FRISK Software International's f-protd virus scanning daemon for Unix platforms[317]</t>
  </si>
  <si>
    <t>10201–10204</t>
  </si>
  <si>
    <t>GE Intelligent Platforms Proficy HMI/SCADA – CIMPLICITY WebView[318]</t>
  </si>
  <si>
    <t>Lock On: Modern Air Combat[citation needed]</t>
  </si>
  <si>
    <t>SWAT 4 Dedicated Server[citation needed]</t>
  </si>
  <si>
    <t>BlueStacks (android simulator) broadcast[319]</t>
  </si>
  <si>
    <t>TLS-enabled Rsyslog (default by convention)</t>
  </si>
  <si>
    <t>Touhou fight games (Immaterial and Missing Power, Scarlet Weather Rhapsody, Hisoutensoku, Hopeless Masquerade and Urban Legend in Limbo)</t>
  </si>
  <si>
    <t>Farming Simulator 2011[citation needed]</t>
  </si>
  <si>
    <t>Jungle Disk (this port is opened by the Jungle Disk Monitor service on the localhost)[citation needed]</t>
  </si>
  <si>
    <t>Octopus Deploy Tentacle deployment agent[320]</t>
  </si>
  <si>
    <t>metasys ( Johnson Controls Metasys java AC control environment )</t>
  </si>
  <si>
    <t>Risk of Rain multiplayer server</t>
  </si>
  <si>
    <t>RiCcI, Remote Configuration Interface (Redhat Linux)</t>
  </si>
  <si>
    <t>ACR/NEMA Digital Imaging and Communications in Medicine (DICOM)</t>
  </si>
  <si>
    <t>memcached[11]</t>
  </si>
  <si>
    <t>memcached incoming SSL proxy</t>
  </si>
  <si>
    <t>memcached internal outgoing SSL proxy</t>
  </si>
  <si>
    <t>Savage: Battle for Newerth[citation needed]</t>
  </si>
  <si>
    <t>Robot Operating System master</t>
  </si>
  <si>
    <t>OpenPGP HTTP key server</t>
  </si>
  <si>
    <t>OpenRCT2 multiplayer[321]</t>
  </si>
  <si>
    <t>CubeForm, Multiplayer SandBox Game</t>
  </si>
  <si>
    <t>Audition Online Dance Battle, Korea Server—Status/Version Check</t>
  </si>
  <si>
    <t>Audition Online Dance Battle, Korea Server</t>
  </si>
  <si>
    <t>Second Life, used for server UDP in-bound[322]</t>
  </si>
  <si>
    <t>Second Life, used for LSL HTTPS in-bound[323]</t>
  </si>
  <si>
    <t>Second Life, used for LSL HTTP in-bound[323]</t>
  </si>
  <si>
    <t>Graylog Extended Log Format (GELF)[324][importance?]</t>
  </si>
  <si>
    <t>Light Weight Access Point Protocol (LWAPP) LWAPP data (RFC 5412)</t>
  </si>
  <si>
    <t>Light Weight Access Point Protocol (LWAPP) LWAPP control (RFC 5412)</t>
  </si>
  <si>
    <t>Makerbot UDP Broadcast (client to printer) (JSON-RPC)[325]</t>
  </si>
  <si>
    <t>Makerbot UDP Broadcast (printer to client) (JSON-RPC)[325]</t>
  </si>
  <si>
    <t>Cube World[326]</t>
  </si>
  <si>
    <t>Little Fighter 2</t>
  </si>
  <si>
    <t>NetBus remote administration tool (often Trojan horse).</t>
  </si>
  <si>
    <t>IBM HMC web browser management access over HTTPS instead of default port 443[327]</t>
  </si>
  <si>
    <t>NSClient/NSClient++/NC_Net (Nagios)</t>
  </si>
  <si>
    <t>LogMeIn Hamachi (VPN tunnel software; also port 32976)—used to connect to Mediation Server (bibi.hamachi.cc); will attempt to use SSL (TCP port 443) if both 12975 &amp; 32976 fail to connect</t>
  </si>
  <si>
    <t>13000–13050</t>
  </si>
  <si>
    <t>Second Life, used for server UDP in-bound[328]</t>
  </si>
  <si>
    <t>Default[329] for BMC Software Control-M/Enterprise Manager Corba communication, though often changed during installation</t>
  </si>
  <si>
    <t>ISO 13400 Road vehicles — Diagnostic communication over Internet Protocol(DoIP)</t>
  </si>
  <si>
    <t>Symantec NetBackup—bprd (formerly VERITAS)</t>
  </si>
  <si>
    <t>Symantec NetBackup—bpdbm (formerly VERITAS)</t>
  </si>
  <si>
    <t>Symantec Network Utility—vnetd (formerly VERITAS)</t>
  </si>
  <si>
    <t>Symantec NetBackup—bpcd (formerly VERITAS)</t>
  </si>
  <si>
    <t>Symantec VOPIED protocol (formerly VERITAS)</t>
  </si>
  <si>
    <t>Symantec NetBackup Database—nbdb (formerly VERITAS)</t>
  </si>
  <si>
    <t>Symantec nomdb (formerly VERITAS)</t>
  </si>
  <si>
    <t>MAVLink Ground Station Port</t>
  </si>
  <si>
    <t>Battlefield 1942 and mods</t>
  </si>
  <si>
    <t>Age of Wonders III p2p port[330]</t>
  </si>
  <si>
    <t>psyBNC</t>
  </si>
  <si>
    <t>Wesnoth</t>
  </si>
  <si>
    <t>Kaspersky Network Agent[citation needed]</t>
  </si>
  <si>
    <t>Teltonika networks remote management system (RMS)</t>
  </si>
  <si>
    <t>ZeroNet fileserver[citation needed]</t>
  </si>
  <si>
    <t>Battlefield Vietnam and mods</t>
  </si>
  <si>
    <t>XPilot Contact</t>
  </si>
  <si>
    <t>RabbitMQ management plugin[331]</t>
  </si>
  <si>
    <t>Oracle WebCenter Content: Imaging (formerly known as Oracle Universal Content Management). Port though often changed during installation</t>
  </si>
  <si>
    <t>shroudBNC</t>
  </si>
  <si>
    <t>macOS Server Web (HTTP) service with performance cache[332]</t>
  </si>
  <si>
    <t>Oracle WebCenter Content: Content Server (formerly known as Oracle Universal Content Management). Port though often changed during installation</t>
  </si>
  <si>
    <t>Oracle WebCenter Content: Content Server Web UI. Port though often changed during installation</t>
  </si>
  <si>
    <t>Oracle WebCenter Content: Inbound Refinery (formerly known as Oracle Universal Content Management). Port though often changed during installation</t>
  </si>
  <si>
    <t>Project Zomboid multiplayer. Additional sequential ports used for each player connecting to server.[citation needed]</t>
  </si>
  <si>
    <t>Oracle WebCenter Content: Records Management (formerly known as Oracle Universal Records Management). Port though often changed during installation</t>
  </si>
  <si>
    <t>CISCO Default RTP MIN</t>
  </si>
  <si>
    <t>16384–16403</t>
  </si>
  <si>
    <t>Real-time Transport Protocol (RTP), RTP Control Protocol (RTCP), used by Apple's iChat for audio and video[11]</t>
  </si>
  <si>
    <t>16384–16387</t>
  </si>
  <si>
    <t>Real-time Transport Protocol (RTP), RTP Control Protocol (RTCP), used by Apple's FaceTime and Game Center[11]</t>
  </si>
  <si>
    <t>16393–16402</t>
  </si>
  <si>
    <t>Real-time Transport Protocol (RTP), RTP Control Protocol (RTCP), used by Apple's FaceTime and Game Center[11]</t>
  </si>
  <si>
    <t>16403–16472</t>
  </si>
  <si>
    <t>Real-time Transport Protocol (RTP), RTP Control Protocol (RTCP), used by Apple's Game Center[11]</t>
  </si>
  <si>
    <t>Oracle WebCenter Content: Capture (formerly known as Oracle Document Capture). Port though often changed during installation</t>
  </si>
  <si>
    <t>Battlefield 2 and mods</t>
  </si>
  <si>
    <t>Worms multiplayer</t>
  </si>
  <si>
    <t>Train Realtime Data Protocol (TRDP) Process Data, network protocol used in train communication.[2][333]</t>
  </si>
  <si>
    <t>Train Realtime Data Protocol (TRDP) Message Data, network protocol used in train communication.[2][334]</t>
  </si>
  <si>
    <t>CS Server (CSMS), default binary protocol port</t>
  </si>
  <si>
    <t>DMXControl 3 Network Broker</t>
  </si>
  <si>
    <t>Dropbox LanSync Protocol (db-lsp); used to synchronize file catalogs between Dropbox clients on a local network.</t>
  </si>
  <si>
    <t>Monero P2P network communications[citation needed]</t>
  </si>
  <si>
    <t>Monero incoming RPC calls[citation needed]</t>
  </si>
  <si>
    <t>memcached Internal REST HTTPS for SSL</t>
  </si>
  <si>
    <t>memcached Internal CAPI HTTPS for SSL</t>
  </si>
  <si>
    <t>RAD PDF Service</t>
  </si>
  <si>
    <t>Audition Online Dance Battle, AsiaSoft Thailand Server status/version check</t>
  </si>
  <si>
    <t>Audition Online Dance Battle, AsiaSoft Thailand Server</t>
  </si>
  <si>
    <t>Audition Online Dance Battle, AsiaSoft Thailand Server FAM database</t>
  </si>
  <si>
    <t>Audition Online Dance Battle, AsiaSoft SEA Server status/version check</t>
  </si>
  <si>
    <t>Audition Online Dance Battle, AsiaSoft SEA Server</t>
  </si>
  <si>
    <t>Audition Online Dance Battle, AsiaSoft SEA Server FAM database</t>
  </si>
  <si>
    <t>Bitcoin testnet[278]</t>
  </si>
  <si>
    <t>Audition Online Dance Battle, KAIZEN Brazil Server status/version check</t>
  </si>
  <si>
    <t>Audition Online Dance Battle, KAIZEN Brazil Server</t>
  </si>
  <si>
    <t>Audition Online Dance Battle R4p3 Server, Nexon Server status/version check</t>
  </si>
  <si>
    <t>Audition Online Dance Battle, Nexon Server</t>
  </si>
  <si>
    <t>X-BEAT status/version check</t>
  </si>
  <si>
    <t>X-BEAT</t>
  </si>
  <si>
    <t>YouView</t>
  </si>
  <si>
    <t>Audition Online Dance Battle, G10/alaplaya Server status/version check</t>
  </si>
  <si>
    <t>JACK sound server</t>
  </si>
  <si>
    <t>Audition Online Dance Battle, G10/alaplaya Server</t>
  </si>
  <si>
    <t>Minecraft: Bedrock Edition multiplayer server[335]</t>
  </si>
  <si>
    <t>Minecraft: Bedrock Edition IPv6 multiplayer server[335]</t>
  </si>
  <si>
    <t>Gkrellm Server</t>
  </si>
  <si>
    <t>Panda Software AdminSecure Communication Agent</t>
  </si>
  <si>
    <t>Google Talk Voice and Video connections[336]</t>
  </si>
  <si>
    <t>Google Talk Voice and Video connections[336]</t>
  </si>
  <si>
    <t>systemd-journal-gatewayd[337]</t>
  </si>
  <si>
    <t>systemd-journal-remote[338]</t>
  </si>
  <si>
    <t>4D database SQL Communication[339]</t>
  </si>
  <si>
    <t>4D database Client Server Communication[339]</t>
  </si>
  <si>
    <t>4D database DB4D Communication[339]</t>
  </si>
  <si>
    <t>Distributed Network Protocol—Secure (DNP—Secure), a secure version of the protocol used in SCADA systems between communicating RTU's and IED's</t>
  </si>
  <si>
    <t>Distributed Network Protocol (DNP), a protocol used in SCADA systems between communicating RTU's and IED's</t>
  </si>
  <si>
    <t>Usermin, Web-based Unix/Linux user administration tool (default port)</t>
  </si>
  <si>
    <t>HW Development IoT comms</t>
  </si>
  <si>
    <t>0 A.D. Empires Ascendant</t>
  </si>
  <si>
    <t>Ableton Link</t>
  </si>
  <si>
    <t>Starbound Server (default), Starbound</t>
  </si>
  <si>
    <t>Syncthing (default)</t>
  </si>
  <si>
    <t>FLIR Systems Camera Resource Protocol</t>
  </si>
  <si>
    <t>Davis Instruments, WeatherLink IP</t>
  </si>
  <si>
    <t>Soldat Dedicated Server</t>
  </si>
  <si>
    <t>Skype default protocol</t>
  </si>
  <si>
    <t>Duke Nukem 3D source ports</t>
  </si>
  <si>
    <t>Pyzor spam detection network</t>
  </si>
  <si>
    <t>NetBeans integrated development environment</t>
  </si>
  <si>
    <t>Tonido Directory Server for Tonido which is a Personal Web App and P2P platform</t>
  </si>
  <si>
    <t>BINKP, Fidonet mail transfers over TCP/IP</t>
  </si>
  <si>
    <t>Synergy: keyboard/mouse sharing software</t>
  </si>
  <si>
    <t>StepMania: Online: Dance Dance Revolution Simulator</t>
  </si>
  <si>
    <t>Minecraft (Java Edition) multiplayer server[340][341]</t>
  </si>
  <si>
    <t>Minecraft (Java Edition) multiplayer server query[342]</t>
  </si>
  <si>
    <t>Minecraft (Java Edition) multiplayer server RCON[343]</t>
  </si>
  <si>
    <t>collectd default port[344]</t>
  </si>
  <si>
    <t>id Software's Quake server</t>
  </si>
  <si>
    <t>EVE Online</t>
  </si>
  <si>
    <t>Xonotic, an open-source arena shooter</t>
  </si>
  <si>
    <t>MSI MysticLight</t>
  </si>
  <si>
    <t>26900–26901</t>
  </si>
  <si>
    <t>26909–26911</t>
  </si>
  <si>
    <t>Action Tanks Online</t>
  </si>
  <si>
    <t>PowerBuilder SySAM license server</t>
  </si>
  <si>
    <t>27000–27006</t>
  </si>
  <si>
    <t>id Software's QuakeWorld master server</t>
  </si>
  <si>
    <t>27000–27009</t>
  </si>
  <si>
    <t>FlexNet Publisher's License server (from the range of default ports)</t>
  </si>
  <si>
    <t>27000–27015</t>
  </si>
  <si>
    <t>Steam (game client traffic)[345]</t>
  </si>
  <si>
    <t>GoldSrc and Source engine dedicated server port[345]</t>
  </si>
  <si>
    <t>27015–27018</t>
  </si>
  <si>
    <t>Unturned, a survival game</t>
  </si>
  <si>
    <t>27015–27030</t>
  </si>
  <si>
    <t>Steam (matchmaking and HLTV)[345]</t>
  </si>
  <si>
    <t>Steam (downloads)[345]</t>
  </si>
  <si>
    <t>Magicka and Space Engineers server port</t>
  </si>
  <si>
    <t>MongoDB daemon process (mongod) and routing service (mongos)[346]</t>
  </si>
  <si>
    <t>27031–27035</t>
  </si>
  <si>
    <t>Steam (In-Home Streaming)[345]</t>
  </si>
  <si>
    <t>Sub7 default.</t>
  </si>
  <si>
    <t>27500–27900</t>
  </si>
  <si>
    <t>id Software's QuakeWorld</t>
  </si>
  <si>
    <t>Kaillera server</t>
  </si>
  <si>
    <t>27901–27910</t>
  </si>
  <si>
    <t>id Software's Quake II master server</t>
  </si>
  <si>
    <t>OpenArena outgoing</t>
  </si>
  <si>
    <t>27960–27969</t>
  </si>
  <si>
    <t>Activision's Enemy Territory and id Software's Quake III Arena, Quake III and Quake Live and some ioquake3 derived games, such as Urban Terror (OpenArena incoming)</t>
  </si>
  <si>
    <t>Siemens PLM Software license server[2]</t>
  </si>
  <si>
    <t>Starsiege: Tribes[citation needed]</t>
  </si>
  <si>
    <t>Rust (video game)[347]</t>
  </si>
  <si>
    <t>Rust RCON (video game)[348]</t>
  </si>
  <si>
    <t>Palo Alto Networks' Panorama HA-1 backup unencrypted sync port.[26]</t>
  </si>
  <si>
    <t>Palo Alto Networks' Panorama-to-managed devices software updates, PAN-OS 8.0 and later.[184]</t>
  </si>
  <si>
    <t>Palo Alto Networks' Panorama HA unencrypted sync port.[26]</t>
  </si>
  <si>
    <t>Palo Alto Networks' Panorama HA-1 backup sync port.[26]</t>
  </si>
  <si>
    <t>28770–28771</t>
  </si>
  <si>
    <t>AssaultCube Reloaded, a video game based upon a modification of AssaultCube[citation needed]</t>
  </si>
  <si>
    <t>28785–28786</t>
  </si>
  <si>
    <t>Cube 2: Sauerbraten[349]</t>
  </si>
  <si>
    <t>Killing Floor[citation needed]</t>
  </si>
  <si>
    <t>Nintendo Wi-Fi Connection[350]</t>
  </si>
  <si>
    <t>Call of Duty; Call of Duty: United Offensive; Call of Duty 2; Call of Duty 4: Modern Warfare[citation needed] Call of Duty: World at War (PC platform)[351]</t>
  </si>
  <si>
    <t>Perfect World, an adventure and fantasy MMORPG[citation needed]</t>
  </si>
  <si>
    <t>Jedi Knight: Jedi Academy by Ravensoft[citation needed]</t>
  </si>
  <si>
    <t>29900–29901</t>
  </si>
  <si>
    <t>XLink Kai P2P</t>
  </si>
  <si>
    <t>Minetest server default port[352]</t>
  </si>
  <si>
    <t>TeamSpeak 3 File Transfer[312]</t>
  </si>
  <si>
    <t>Multiplicity: keyboard/mouse/clipboard sharing software[citation needed]</t>
  </si>
  <si>
    <t>Back Orifice and Back Orifice 2000 remote administration tools[353][354]</t>
  </si>
  <si>
    <t>ncat, a netcat alternative[355]</t>
  </si>
  <si>
    <t>BOINC RPC[356]</t>
  </si>
  <si>
    <t>Rocket U2[357]</t>
  </si>
  <si>
    <t>TetriNET</t>
  </si>
  <si>
    <t>Immunet Protect (UDP in version 2.0,[358] TCP since version 3.0[359])</t>
  </si>
  <si>
    <t>Plex Media Server[360]</t>
  </si>
  <si>
    <t>A backdoor found on certain Linksys, Netgear and other wireless DSL modems/combination routers[361]</t>
  </si>
  <si>
    <t>Ace of Spades, a multiplayer FPS video game[citation needed]</t>
  </si>
  <si>
    <t>LogMeIn Hamachi, a VPN application; also TCP port 12975 and SSL (TCP 443).[362]</t>
  </si>
  <si>
    <t>traceroute</t>
  </si>
  <si>
    <t>Jenkins, a continuous integration (CI) tool[363][364]</t>
  </si>
  <si>
    <t>Infestation: Survivor Stories (formerly known as The War Z), a multiplayer zombie video game[verification needed]</t>
  </si>
  <si>
    <t>Factorio, a multiplayer survival and factory-building game[365]</t>
  </si>
  <si>
    <t>OpenStack Identity (Keystone) administration[366][self-published source?]</t>
  </si>
  <si>
    <t>Folding@home Control Port</t>
  </si>
  <si>
    <t>TZSP intrusion detection[citation needed]</t>
  </si>
  <si>
    <t>SafetyNET p – a real-time Industrial Ethernet protocol</t>
  </si>
  <si>
    <t>Tentacle Server[367] - Pandora FMS</t>
  </si>
  <si>
    <t>Crestron Control Port[368] - Crestron Electronics</t>
  </si>
  <si>
    <t>Crestron Terminal Port[369] - Crestron Electronics</t>
  </si>
  <si>
    <t>Crestron Secure Control Port[370] - Crestron Electronics</t>
  </si>
  <si>
    <t>Crestron Secure Terminal Port[371] - Crestron Electronics</t>
  </si>
  <si>
    <t>ZeroNet web UI default port[citation needed]</t>
  </si>
  <si>
    <t>43594–43595</t>
  </si>
  <si>
    <t>RuneScape[372]</t>
  </si>
  <si>
    <t>Mu Online Connect Server[citation needed]</t>
  </si>
  <si>
    <t>EtherNet/IP explicit messaging</t>
  </si>
  <si>
    <t>47808–47823</t>
  </si>
  <si>
    <t>BACnet Building Automation and Control Networks (4780810 = BAC016 to 4782310 = BACF16)</t>
  </si>
  <si>
    <t xml:space="preserve">DWH DB server </t>
  </si>
  <si>
    <t>uwva2vlaora0004</t>
  </si>
  <si>
    <t>uwvm3vlpora0006</t>
  </si>
  <si>
    <t>10.178.146.123</t>
  </si>
  <si>
    <t>10.178.144.151</t>
  </si>
  <si>
    <t>RFC-320932</t>
  </si>
  <si>
    <t>RFC-320931</t>
  </si>
  <si>
    <t>DBA-GD-RDP-P</t>
  </si>
  <si>
    <t>uwvm2vwpapp0066</t>
  </si>
  <si>
    <t>10.178.145.160</t>
  </si>
  <si>
    <t>uwvm2vwtapp0003
uwvm2vwoapp0008
uwvm3vwaapp0060
uwvm2vwpapp0061</t>
  </si>
  <si>
    <t>10.178.145.115
10.178.145.116
10.178.145.117
10.178.145.118</t>
  </si>
  <si>
    <t>DIM DB T-O-A-P</t>
  </si>
  <si>
    <t>uwvm2vapora0012
uwvm3vaaora0011
uwvm2vaoora0001
uwvm2vatora0001</t>
  </si>
  <si>
    <t>10.178.55.12
10.178.54.12
10.178.52.11
10.178.53.11</t>
  </si>
  <si>
    <t>DIM Services srvr T-O-A-P</t>
  </si>
  <si>
    <t xml:space="preserve">uwvm2vltapp0002
uwvm2vltapp0003
uwvm2vltapp0004
uwvm2vltapp0005
uwvm2vloapp0003
uwvm2vloapp0004
uwvm2vloapp0005
uwvm2vloapp0006
uwvm3vlaapp0021
uwvm3vlaapp0022
uwvm3vlaapp0023
uwvm3vlaapp0024
uwvm3vlaapp0025
uwvm2vlpapp0020
uwvm2vlpapp0021
uwvm2vlpapp0022
uwvm2vlpapp0023
uwvm2vlpapp0024
uwvm2vapapp0036	
</t>
  </si>
  <si>
    <t>10.178.145.102
10.178.145.104
10.178.145.105
10.178.145.106
10.178.145.107
10.178.145.108
10.178.145.109
10.178.145.114
10.178.145.119
10.178.145.120
10.178.145.121
10.178.145.122
10.178.145.123
10.178.145.124
10.178.145.125
10.178.145.126
10.178.145.127
10.178.145.128
10.178.55.11</t>
  </si>
  <si>
    <t>10.178.128.30
10.178.128.31</t>
  </si>
  <si>
    <t>UCRA RDP License Server</t>
  </si>
  <si>
    <t>uwvm2vwpapp0004</t>
  </si>
  <si>
    <t>10.178.128.34</t>
  </si>
  <si>
    <t>DIM linux T-O-A-P</t>
  </si>
  <si>
    <t xml:space="preserve">uwva3vwaapp0128
</t>
  </si>
  <si>
    <t>10.178.148.71</t>
  </si>
  <si>
    <t>SMB Server</t>
  </si>
  <si>
    <t>Conndction from SMB server to the DBA-GD-RDP-P</t>
  </si>
  <si>
    <t>RFC-322224</t>
  </si>
  <si>
    <t>We need connection from DiM-Infosphere-Acceptance(DXC) to PolisPlus production (DXC).
 RAL-ID 20221010-001-A
Description: CrossConnection  from ADIM DIM-Infosphere (DXC) ACCEPTANCE to POLIS Cluster PROD(DXC) for product SUAG. Needed until 30-06-2024
"</t>
  </si>
  <si>
    <t xml:space="preserve">Dim-Infosphere-A	</t>
  </si>
  <si>
    <t>PolisPlus</t>
  </si>
  <si>
    <t>Polis Plus</t>
  </si>
  <si>
    <t xml:space="preserve">p-ppls-bo-lb-avi.p-dc.ba.uwv.nl </t>
  </si>
  <si>
    <t>10.178.159.37</t>
  </si>
  <si>
    <t>443
9443</t>
  </si>
  <si>
    <t>RAL-ID 20221010-001-A</t>
  </si>
  <si>
    <t>We need connection from DiM-Infosphere-production(DXC) to UGC productie (DXC).
UGC-EPM
RAL-ID 20221010-002-A
CrossConnection  from ADIM DIM-Infosphere (DXC) ACCEPTANCE to UGC-EPM PROD (DXC) for product SUAG.  Needed until 30-06-2024</t>
  </si>
  <si>
    <t>Dim-Infosphere-A</t>
  </si>
  <si>
    <t xml:space="preserve">	UCG</t>
  </si>
  <si>
    <t xml:space="preserve">	uwvm2vwpweb0010.p-dc.ba.uwv.nl</t>
  </si>
  <si>
    <t>10.178.144.253</t>
  </si>
  <si>
    <t>UCG</t>
  </si>
  <si>
    <t>RAL-ID 20221010-002-A</t>
  </si>
  <si>
    <t>RFC-325517</t>
  </si>
  <si>
    <t>RFC-325518</t>
  </si>
  <si>
    <t>Dim-Infosphere-P</t>
  </si>
  <si>
    <t>dap</t>
  </si>
  <si>
    <t>31111;34243</t>
  </si>
  <si>
    <t xml:space="preserve">Connectie van DBA-GD-RDP (jump server) naar DSM </t>
  </si>
  <si>
    <t>DXC request</t>
  </si>
  <si>
    <t>uwvm3vwpapp0001</t>
  </si>
  <si>
    <t>10.178.144.13</t>
  </si>
  <si>
    <t>DSM (SMB)</t>
  </si>
  <si>
    <t xml:space="preserve">PRIVCLOUD OTAP BO SEC-ZONE
</t>
  </si>
  <si>
    <t>UCRA-P
UWV Werkplet</t>
  </si>
  <si>
    <t>45a</t>
  </si>
  <si>
    <t>UWV Werkplek -&gt; DBA-GD-RDP-P</t>
  </si>
  <si>
    <t>UWV Werkplek</t>
  </si>
  <si>
    <t>Jump server to Management server</t>
  </si>
  <si>
    <t>Jump server to AIX db</t>
  </si>
  <si>
    <t>DBA-GD-RDP-T</t>
  </si>
  <si>
    <t>DBA-GD-RDP-D</t>
  </si>
  <si>
    <t>DIM Management Server (DXC)TO DWH</t>
  </si>
  <si>
    <t xml:space="preserve">uwvm2vapora0013 </t>
  </si>
  <si>
    <t>10.178.55.13</t>
  </si>
  <si>
    <t xml:space="preserve">RFC-328853
</t>
  </si>
  <si>
    <t xml:space="preserve">From. DWH TO DIM </t>
  </si>
  <si>
    <t xml:space="preserve"> DBA-GD-RDP-P</t>
  </si>
  <si>
    <t>46a</t>
  </si>
  <si>
    <t>Re-issue request for new ports
Was port 80 - does not work!
Check - new FWR
OTHER PORTS APPLICABLE, Split up in 46a and 46b</t>
  </si>
  <si>
    <t>135, 137-139, 445, 5985-5986, 49152-65535</t>
  </si>
  <si>
    <t>46b</t>
  </si>
  <si>
    <t>Re-issue request for new ports
Was port 80 - does not work!
Check - new FWR</t>
  </si>
  <si>
    <t>135, 137-139, 5985-5986</t>
  </si>
  <si>
    <t>36a</t>
  </si>
  <si>
    <t>uwva3vwpapp0059
uwva2vwpapp0133</t>
  </si>
  <si>
    <t>10.178.148.82
10.178.148.81</t>
  </si>
  <si>
    <t>UCRA-TWDA-P - DIM AIX DB server</t>
  </si>
  <si>
    <t>UCRA-TWDA-P</t>
  </si>
  <si>
    <t>RFC-329219</t>
  </si>
  <si>
    <t>RFC-329221</t>
  </si>
  <si>
    <t>UCRA-TWDA-A</t>
  </si>
  <si>
    <t>UCRA-TWDA-O - DIM AIX DB server</t>
  </si>
  <si>
    <t>UCRA-TWDA-O</t>
  </si>
  <si>
    <t>UCRA-TWDA-T - DIM AIX DB server</t>
  </si>
  <si>
    <t>UCRA-TWDA-T</t>
  </si>
  <si>
    <t>UCRA-TWDA-A - DIM AIX DB server</t>
  </si>
  <si>
    <t>RFC-329830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</si>
</sst>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theme="1"/>
      <name val="Verdana"/>
      <family val="2"/>
    </font>
    <font>
      <sz val="11"/>
      <color theme="1"/>
      <name val="Calibri"/>
      <family val="2"/>
      <scheme val="minor"/>
    </font>
    <font>
      <sz val="11"/>
      <color theme="1"/>
      <name val="Calibri"/>
      <family val="2"/>
      <scheme val="minor"/>
    </font>
    <font>
      <b/>
      <sz val="13"/>
      <color theme="3"/>
      <name val="Calibri"/>
      <family val="2"/>
      <charset val="238"/>
      <scheme val="minor"/>
    </font>
    <font>
      <b/>
      <sz val="13"/>
      <color theme="0"/>
      <name val="Calibri"/>
      <family val="2"/>
      <charset val="238"/>
      <scheme val="minor"/>
    </font>
    <font>
      <b/>
      <sz val="11"/>
      <color theme="1"/>
      <name val="Calibri"/>
      <family val="2"/>
      <scheme val="minor"/>
    </font>
    <font>
      <b/>
      <sz val="13"/>
      <color theme="3"/>
      <name val="Calibri"/>
      <family val="2"/>
      <scheme val="minor"/>
    </font>
    <font>
      <u/>
      <sz val="11"/>
      <color theme="10"/>
      <name val="Calibri"/>
      <family val="2"/>
      <scheme val="minor"/>
    </font>
    <font>
      <sz val="9"/>
      <color theme="1"/>
      <name val="Verdana"/>
      <family val="2"/>
    </font>
    <font>
      <sz val="11"/>
      <color rgb="FF000000"/>
      <name val="Calibri"/>
      <family val="2"/>
    </font>
    <font>
      <b/>
      <sz val="16"/>
      <color theme="0"/>
      <name val="Calibri"/>
      <family val="2"/>
      <scheme val="minor"/>
    </font>
    <font>
      <b/>
      <sz val="11"/>
      <color theme="0"/>
      <name val="Calibri"/>
      <family val="2"/>
      <scheme val="minor"/>
    </font>
    <font>
      <b/>
      <sz val="18"/>
      <color theme="0"/>
      <name val="Calibri"/>
      <family val="2"/>
      <scheme val="minor"/>
    </font>
    <font>
      <b/>
      <sz val="22"/>
      <color theme="0"/>
      <name val="Calibri"/>
      <family val="2"/>
      <scheme val="minor"/>
    </font>
    <font>
      <b/>
      <sz val="18"/>
      <name val="Calibri"/>
      <family val="2"/>
      <scheme val="minor"/>
    </font>
    <font>
      <b/>
      <sz val="11"/>
      <color rgb="FFFFFF00"/>
      <name val="Calibri"/>
      <family val="2"/>
      <scheme val="minor"/>
    </font>
    <font>
      <sz val="9"/>
      <color indexed="81"/>
      <name val="Tahoma"/>
      <family val="2"/>
    </font>
    <font>
      <b/>
      <sz val="9"/>
      <color indexed="81"/>
      <name val="Tahoma"/>
      <family val="2"/>
    </font>
    <font>
      <i/>
      <sz val="11"/>
      <color theme="1"/>
      <name val="Calibri"/>
      <family val="2"/>
      <scheme val="minor"/>
    </font>
    <font>
      <b/>
      <sz val="11"/>
      <color theme="0"/>
      <name val="Calibri"/>
      <family val="2"/>
    </font>
    <font>
      <b/>
      <i/>
      <sz val="11"/>
      <color theme="0"/>
      <name val="Calibri"/>
      <family val="2"/>
      <scheme val="minor"/>
    </font>
    <font>
      <b/>
      <sz val="13"/>
      <color rgb="FFFFFF00"/>
      <name val="Calibri"/>
      <family val="2"/>
      <scheme val="minor"/>
    </font>
    <font>
      <b/>
      <sz val="14"/>
      <color theme="1"/>
      <name val="Calibri"/>
      <family val="2"/>
      <scheme val="minor"/>
    </font>
    <font>
      <i/>
      <sz val="11"/>
      <color theme="0"/>
      <name val="Calibri"/>
      <family val="2"/>
      <scheme val="minor"/>
    </font>
    <font>
      <sz val="11"/>
      <name val="Calibri"/>
      <family val="2"/>
      <scheme val="minor"/>
    </font>
    <font>
      <b/>
      <sz val="11"/>
      <name val="Calibri"/>
      <family val="2"/>
      <scheme val="minor"/>
    </font>
    <font>
      <b/>
      <sz val="22"/>
      <color rgb="FF00B0F0"/>
      <name val="Calibri"/>
      <family val="2"/>
      <scheme val="minor"/>
    </font>
    <font>
      <b/>
      <sz val="22"/>
      <color rgb="FFFFFF00"/>
      <name val="Calibri"/>
      <family val="2"/>
      <scheme val="minor"/>
    </font>
    <font>
      <b/>
      <sz val="20"/>
      <color theme="0"/>
      <name val="Calibri"/>
      <family val="2"/>
      <scheme val="minor"/>
    </font>
    <font>
      <u/>
      <sz val="11"/>
      <color theme="1"/>
      <name val="Calibri"/>
      <family val="2"/>
      <scheme val="minor"/>
    </font>
    <font>
      <b/>
      <sz val="14"/>
      <color theme="0"/>
      <name val="Calibri"/>
      <family val="2"/>
      <scheme val="minor"/>
    </font>
    <font>
      <u/>
      <sz val="11"/>
      <color theme="10"/>
      <name val="Calibri"/>
      <family val="2"/>
      <charset val="238"/>
      <scheme val="minor"/>
    </font>
    <font>
      <b/>
      <i/>
      <sz val="13"/>
      <color theme="0"/>
      <name val="Calibri"/>
      <family val="2"/>
      <scheme val="minor"/>
    </font>
    <font>
      <sz val="11"/>
      <name val="Calibri"/>
      <family val="2"/>
      <charset val="238"/>
      <scheme val="minor"/>
    </font>
    <font>
      <u/>
      <sz val="9"/>
      <color indexed="81"/>
      <name val="Tahoma"/>
      <family val="2"/>
    </font>
    <font>
      <i/>
      <sz val="11"/>
      <color theme="0" tint="-0.499984740745262"/>
      <name val="Calibri"/>
      <family val="2"/>
      <scheme val="minor"/>
    </font>
    <font>
      <sz val="16"/>
      <color theme="0"/>
      <name val="Calibri"/>
      <family val="2"/>
      <charset val="238"/>
      <scheme val="minor"/>
    </font>
    <font>
      <b/>
      <sz val="12"/>
      <color theme="1"/>
      <name val="Calibri"/>
      <family val="2"/>
      <scheme val="minor"/>
    </font>
    <font>
      <sz val="11"/>
      <color rgb="FFFF0000"/>
      <name val="Calibri"/>
      <family val="2"/>
      <scheme val="minor"/>
    </font>
    <font>
      <sz val="11"/>
      <color rgb="FFFF0000"/>
      <name val="Calibri"/>
      <family val="2"/>
      <charset val="238"/>
      <scheme val="minor"/>
    </font>
    <font>
      <b/>
      <sz val="11"/>
      <color rgb="FF00B0F0"/>
      <name val="Calibri"/>
      <family val="2"/>
      <scheme val="minor"/>
    </font>
    <font>
      <sz val="11"/>
      <color rgb="FF000000"/>
      <name val="Calibri"/>
      <family val="2"/>
      <charset val="238"/>
      <scheme val="minor"/>
    </font>
    <font>
      <b/>
      <sz val="9"/>
      <color rgb="FF000000"/>
      <name val="Tahoma"/>
      <family val="2"/>
    </font>
    <font>
      <sz val="9"/>
      <color rgb="FF000000"/>
      <name val="Tahoma"/>
      <family val="2"/>
    </font>
    <font>
      <sz val="11"/>
      <color rgb="FFFF0000"/>
      <name val="Calibri (Hoofdtekst)"/>
    </font>
    <font>
      <sz val="11"/>
      <color theme="1"/>
      <name val="Calibri (Hoofdtekst)"/>
    </font>
    <font>
      <sz val="11"/>
      <color theme="9" tint="-0.249977111117893"/>
      <name val="Calibri"/>
      <family val="2"/>
      <scheme val="minor"/>
    </font>
    <font>
      <sz val="11"/>
      <color theme="9" tint="-0.249977111117893"/>
      <name val="Calibri"/>
      <family val="2"/>
      <charset val="238"/>
      <scheme val="minor"/>
    </font>
    <font>
      <sz val="11"/>
      <color rgb="FF00B050"/>
      <name val="Calibri"/>
      <family val="2"/>
      <charset val="238"/>
      <scheme val="minor"/>
    </font>
    <font>
      <strike/>
      <sz val="11"/>
      <color theme="1"/>
      <name val="Calibri"/>
      <family val="2"/>
      <scheme val="minor"/>
    </font>
    <font>
      <sz val="11"/>
      <color rgb="FF00B050"/>
      <name val="Calibri"/>
      <family val="2"/>
      <scheme val="minor"/>
    </font>
    <font>
      <sz val="8"/>
      <name val="Calibri"/>
      <family val="2"/>
      <charset val="238"/>
      <scheme val="minor"/>
    </font>
  </fonts>
  <fills count="23">
    <fill>
      <patternFill patternType="none"/>
    </fill>
    <fill>
      <patternFill patternType="gray125"/>
    </fill>
    <fill>
      <patternFill patternType="solid">
        <fgColor theme="1" tint="4.9989318521683403E-2"/>
        <bgColor indexed="64"/>
      </patternFill>
    </fill>
    <fill>
      <patternFill patternType="solid">
        <fgColor theme="4" tint="0.59999389629810485"/>
        <bgColor indexed="64"/>
      </patternFill>
    </fill>
    <fill>
      <patternFill patternType="solid">
        <fgColor rgb="FF7030A0"/>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499984740745262"/>
        <bgColor rgb="FFC0C0C0"/>
      </patternFill>
    </fill>
    <fill>
      <patternFill patternType="solid">
        <fgColor theme="2" tint="-0.89999084444715716"/>
        <bgColor indexed="64"/>
      </patternFill>
    </fill>
    <fill>
      <patternFill patternType="solid">
        <fgColor theme="1"/>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theme="9" tint="0.79998168889431442"/>
        <bgColor indexed="64"/>
      </patternFill>
    </fill>
    <fill>
      <patternFill patternType="solid">
        <fgColor rgb="FFD9D9D9"/>
        <bgColor rgb="FF000000"/>
      </patternFill>
    </fill>
    <fill>
      <patternFill patternType="solid">
        <fgColor rgb="FFFF0000"/>
        <bgColor indexed="64"/>
      </patternFill>
    </fill>
    <fill>
      <patternFill patternType="solid">
        <fgColor theme="2" tint="-9.9978637043366805E-2"/>
        <bgColor indexed="64"/>
      </patternFill>
    </fill>
    <fill>
      <patternFill patternType="solid">
        <fgColor theme="5" tint="0.39997558519241921"/>
        <bgColor indexed="64"/>
      </patternFill>
    </fill>
  </fills>
  <borders count="18">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indexed="64"/>
      </top>
      <bottom style="thin">
        <color indexed="64"/>
      </bottom>
      <diagonal/>
    </border>
    <border>
      <left/>
      <right style="thin">
        <color indexed="64"/>
      </right>
      <top/>
      <bottom style="thin">
        <color indexed="64"/>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0">
    <xf numFmtId="0" fontId="0" fillId="0" borderId="0"/>
    <xf numFmtId="0" fontId="9" fillId="0" borderId="1" applyNumberFormat="0" applyFill="0" applyAlignment="0" applyProtection="0"/>
    <xf numFmtId="0" fontId="8" fillId="0" borderId="0"/>
    <xf numFmtId="0" fontId="12" fillId="0" borderId="1" applyNumberFormat="0" applyFill="0" applyAlignment="0" applyProtection="0"/>
    <xf numFmtId="0" fontId="13" fillId="0" borderId="0" applyNumberFormat="0" applyFill="0" applyBorder="0" applyAlignment="0" applyProtection="0"/>
    <xf numFmtId="0" fontId="14" fillId="0" borderId="0"/>
    <xf numFmtId="0" fontId="7" fillId="0" borderId="0"/>
    <xf numFmtId="0" fontId="37" fillId="0" borderId="0" applyNumberFormat="0" applyFill="0" applyBorder="0" applyAlignment="0" applyProtection="0"/>
    <xf numFmtId="0" fontId="7" fillId="0" borderId="0"/>
    <xf numFmtId="0" fontId="6" fillId="0" borderId="0"/>
  </cellStyleXfs>
  <cellXfs count="242">
    <xf numFmtId="0" fontId="0" fillId="0" borderId="0" xfId="0"/>
    <xf numFmtId="0" fontId="10" fillId="4" borderId="2" xfId="1" applyFont="1" applyFill="1" applyBorder="1" applyAlignment="1">
      <alignment vertical="top" wrapText="1"/>
    </xf>
    <xf numFmtId="0" fontId="0" fillId="3" borderId="0" xfId="0" applyFill="1"/>
    <xf numFmtId="0" fontId="0" fillId="5" borderId="0" xfId="0" applyFill="1"/>
    <xf numFmtId="0" fontId="0" fillId="5" borderId="0" xfId="0" applyFill="1" applyAlignment="1">
      <alignment horizontal="center"/>
    </xf>
    <xf numFmtId="0" fontId="17" fillId="5" borderId="0" xfId="0" applyFont="1" applyFill="1"/>
    <xf numFmtId="0" fontId="16" fillId="5" borderId="0" xfId="0" applyFont="1" applyFill="1"/>
    <xf numFmtId="0" fontId="0" fillId="6" borderId="2" xfId="0" applyFill="1" applyBorder="1"/>
    <xf numFmtId="0" fontId="17" fillId="5" borderId="0" xfId="0" applyFont="1" applyFill="1" applyAlignment="1">
      <alignment horizontal="center"/>
    </xf>
    <xf numFmtId="0" fontId="0" fillId="6" borderId="2" xfId="0" applyFill="1" applyBorder="1" applyAlignment="1">
      <alignment horizontal="center"/>
    </xf>
    <xf numFmtId="0" fontId="0" fillId="3" borderId="0" xfId="0" applyFill="1" applyAlignment="1">
      <alignment horizontal="center"/>
    </xf>
    <xf numFmtId="0" fontId="18" fillId="5" borderId="0" xfId="0" applyFont="1" applyFill="1"/>
    <xf numFmtId="0" fontId="19" fillId="5" borderId="0" xfId="0" applyFont="1" applyFill="1" applyAlignment="1">
      <alignment vertical="center"/>
    </xf>
    <xf numFmtId="0" fontId="10" fillId="5" borderId="2" xfId="1" applyFont="1" applyFill="1" applyBorder="1" applyAlignment="1">
      <alignment horizontal="center" vertical="top" wrapText="1"/>
    </xf>
    <xf numFmtId="0" fontId="17" fillId="5" borderId="0" xfId="0" applyFont="1" applyFill="1" applyAlignment="1">
      <alignment vertical="center"/>
    </xf>
    <xf numFmtId="0" fontId="0" fillId="3" borderId="0" xfId="0" applyFill="1" applyAlignment="1">
      <alignment vertical="center"/>
    </xf>
    <xf numFmtId="0" fontId="0" fillId="6" borderId="2" xfId="0" applyFill="1" applyBorder="1" applyAlignment="1">
      <alignment horizontal="center" vertical="top"/>
    </xf>
    <xf numFmtId="0" fontId="19" fillId="5" borderId="0" xfId="0" applyFont="1" applyFill="1" applyAlignment="1">
      <alignment horizontal="center" vertical="center"/>
    </xf>
    <xf numFmtId="0" fontId="18" fillId="5" borderId="0" xfId="0" applyFont="1" applyFill="1" applyAlignment="1">
      <alignment horizontal="center"/>
    </xf>
    <xf numFmtId="0" fontId="21" fillId="3" borderId="3" xfId="0" applyFont="1" applyFill="1" applyBorder="1"/>
    <xf numFmtId="0" fontId="10" fillId="4" borderId="4" xfId="1" applyFont="1" applyFill="1" applyBorder="1" applyAlignment="1">
      <alignment vertical="top" wrapText="1"/>
    </xf>
    <xf numFmtId="0" fontId="10" fillId="4" borderId="4" xfId="1" applyFont="1" applyFill="1" applyBorder="1" applyAlignment="1">
      <alignment horizontal="center" vertical="top" wrapText="1"/>
    </xf>
    <xf numFmtId="0" fontId="0" fillId="3" borderId="3" xfId="0" applyFill="1" applyBorder="1"/>
    <xf numFmtId="0" fontId="0" fillId="8" borderId="2" xfId="0" applyFill="1" applyBorder="1" applyAlignment="1">
      <alignment horizontal="center"/>
    </xf>
    <xf numFmtId="0" fontId="17" fillId="5" borderId="0" xfId="0" applyFont="1" applyFill="1" applyAlignment="1">
      <alignment horizontal="center" vertical="top"/>
    </xf>
    <xf numFmtId="0" fontId="0" fillId="3" borderId="0" xfId="0" applyFill="1" applyAlignment="1">
      <alignment horizontal="center" vertical="top"/>
    </xf>
    <xf numFmtId="0" fontId="0" fillId="8" borderId="2" xfId="0" applyFill="1" applyBorder="1" applyAlignment="1">
      <alignment horizontal="center" vertical="top"/>
    </xf>
    <xf numFmtId="0" fontId="10" fillId="4" borderId="2" xfId="1" applyFont="1" applyFill="1" applyBorder="1" applyAlignment="1">
      <alignment horizontal="center" vertical="top" wrapText="1"/>
    </xf>
    <xf numFmtId="0" fontId="24" fillId="3" borderId="0" xfId="0" applyFont="1" applyFill="1"/>
    <xf numFmtId="0" fontId="17" fillId="6" borderId="0" xfId="0" applyFont="1" applyFill="1" applyAlignment="1">
      <alignment horizontal="center"/>
    </xf>
    <xf numFmtId="0" fontId="25" fillId="9" borderId="2" xfId="6" applyFont="1" applyFill="1" applyBorder="1" applyAlignment="1">
      <alignment horizontal="center" vertical="center"/>
    </xf>
    <xf numFmtId="0" fontId="7" fillId="3" borderId="0" xfId="6" applyFill="1"/>
    <xf numFmtId="0" fontId="15" fillId="3" borderId="2" xfId="6" applyFont="1" applyFill="1" applyBorder="1" applyAlignment="1">
      <alignment vertical="center" wrapText="1"/>
    </xf>
    <xf numFmtId="0" fontId="26" fillId="5" borderId="0" xfId="0" applyFont="1" applyFill="1"/>
    <xf numFmtId="0" fontId="0" fillId="6" borderId="2" xfId="0" applyFill="1" applyBorder="1" applyAlignment="1">
      <alignment horizontal="left" vertical="top"/>
    </xf>
    <xf numFmtId="0" fontId="0" fillId="6" borderId="2" xfId="0" applyFill="1" applyBorder="1" applyAlignment="1">
      <alignment vertical="top" wrapText="1"/>
    </xf>
    <xf numFmtId="0" fontId="0" fillId="6" borderId="2" xfId="0" applyFill="1" applyBorder="1" applyAlignment="1">
      <alignment vertical="top"/>
    </xf>
    <xf numFmtId="0" fontId="0" fillId="6" borderId="0" xfId="0" applyFill="1"/>
    <xf numFmtId="0" fontId="28" fillId="3" borderId="0" xfId="0" applyFont="1" applyFill="1" applyAlignment="1">
      <alignment horizontal="right" vertical="top"/>
    </xf>
    <xf numFmtId="0" fontId="28" fillId="6" borderId="5" xfId="0" applyFont="1" applyFill="1" applyBorder="1" applyAlignment="1">
      <alignment horizontal="right"/>
    </xf>
    <xf numFmtId="0" fontId="10" fillId="11" borderId="2" xfId="1" applyFont="1" applyFill="1" applyBorder="1" applyAlignment="1">
      <alignment vertical="top" wrapText="1"/>
    </xf>
    <xf numFmtId="0" fontId="29" fillId="5" borderId="0" xfId="0" applyFont="1" applyFill="1"/>
    <xf numFmtId="0" fontId="11" fillId="6" borderId="2" xfId="0" applyFont="1" applyFill="1" applyBorder="1" applyAlignment="1">
      <alignment horizontal="center" vertical="top" wrapText="1"/>
    </xf>
    <xf numFmtId="0" fontId="0" fillId="8" borderId="2" xfId="0" applyFill="1" applyBorder="1" applyAlignment="1">
      <alignment vertical="top" wrapText="1"/>
    </xf>
    <xf numFmtId="0" fontId="0" fillId="8" borderId="2" xfId="0" applyFill="1" applyBorder="1" applyAlignment="1">
      <alignment vertical="top"/>
    </xf>
    <xf numFmtId="0" fontId="30" fillId="8" borderId="2" xfId="0" applyFont="1" applyFill="1" applyBorder="1" applyAlignment="1">
      <alignment vertical="top"/>
    </xf>
    <xf numFmtId="0" fontId="16" fillId="6" borderId="0" xfId="0" applyFont="1" applyFill="1"/>
    <xf numFmtId="0" fontId="11" fillId="3" borderId="0" xfId="0" applyFont="1" applyFill="1" applyAlignment="1">
      <alignment horizontal="right"/>
    </xf>
    <xf numFmtId="0" fontId="0" fillId="3" borderId="0" xfId="0" applyFill="1" applyAlignment="1">
      <alignment horizontal="center" vertical="center"/>
    </xf>
    <xf numFmtId="0" fontId="17" fillId="5" borderId="0" xfId="0" applyFont="1" applyFill="1" applyAlignment="1">
      <alignment horizontal="center" vertical="center"/>
    </xf>
    <xf numFmtId="0" fontId="0" fillId="12" borderId="2" xfId="0" applyFill="1" applyBorder="1" applyAlignment="1">
      <alignment horizontal="center"/>
    </xf>
    <xf numFmtId="0" fontId="10" fillId="12" borderId="2" xfId="1" applyFont="1" applyFill="1" applyBorder="1" applyAlignment="1">
      <alignment vertical="top" wrapText="1"/>
    </xf>
    <xf numFmtId="0" fontId="10" fillId="12" borderId="2" xfId="1" applyFont="1" applyFill="1" applyBorder="1" applyAlignment="1">
      <alignment horizontal="center" vertical="top" wrapText="1"/>
    </xf>
    <xf numFmtId="0" fontId="0" fillId="6" borderId="0" xfId="0" applyFill="1" applyAlignment="1">
      <alignment horizontal="center"/>
    </xf>
    <xf numFmtId="3" fontId="0" fillId="7" borderId="2" xfId="0" applyNumberFormat="1" applyFill="1" applyBorder="1" applyAlignment="1">
      <alignment horizontal="center" vertical="center"/>
    </xf>
    <xf numFmtId="0" fontId="0" fillId="12" borderId="2" xfId="0" applyFill="1" applyBorder="1" applyAlignment="1">
      <alignment horizontal="center" vertical="center"/>
    </xf>
    <xf numFmtId="0" fontId="33" fillId="5" borderId="0" xfId="0" applyFont="1" applyFill="1" applyAlignment="1">
      <alignment vertical="center"/>
    </xf>
    <xf numFmtId="0" fontId="32" fillId="5" borderId="0" xfId="0" applyFont="1" applyFill="1" applyAlignment="1">
      <alignment vertical="center"/>
    </xf>
    <xf numFmtId="14" fontId="0" fillId="6" borderId="2" xfId="0" applyNumberFormat="1" applyFill="1" applyBorder="1" applyAlignment="1">
      <alignment horizontal="center" vertical="top"/>
    </xf>
    <xf numFmtId="0" fontId="24" fillId="6" borderId="2" xfId="0" applyFont="1" applyFill="1" applyBorder="1" applyAlignment="1">
      <alignment horizontal="center" vertical="top"/>
    </xf>
    <xf numFmtId="14" fontId="0" fillId="6" borderId="2" xfId="0" applyNumberFormat="1" applyFill="1" applyBorder="1" applyAlignment="1">
      <alignment horizontal="left" vertical="top"/>
    </xf>
    <xf numFmtId="0" fontId="0" fillId="6" borderId="2" xfId="0" applyFill="1" applyBorder="1" applyAlignment="1">
      <alignment horizontal="left" vertical="top" wrapText="1"/>
    </xf>
    <xf numFmtId="14" fontId="0" fillId="6" borderId="2" xfId="0" applyNumberFormat="1" applyFill="1" applyBorder="1" applyAlignment="1">
      <alignment horizontal="left" vertical="top" wrapText="1"/>
    </xf>
    <xf numFmtId="0" fontId="24" fillId="6" borderId="2" xfId="0" applyFont="1" applyFill="1" applyBorder="1" applyAlignment="1">
      <alignment vertical="top" wrapText="1"/>
    </xf>
    <xf numFmtId="0" fontId="11" fillId="6" borderId="2" xfId="0" applyFont="1" applyFill="1" applyBorder="1" applyAlignment="1">
      <alignment horizontal="right"/>
    </xf>
    <xf numFmtId="0" fontId="36" fillId="5" borderId="0" xfId="0" applyFont="1" applyFill="1" applyAlignment="1">
      <alignment horizontal="center"/>
    </xf>
    <xf numFmtId="0" fontId="36" fillId="5" borderId="0" xfId="0" applyFont="1" applyFill="1"/>
    <xf numFmtId="0" fontId="36" fillId="5" borderId="0" xfId="0" applyFont="1" applyFill="1" applyAlignment="1">
      <alignment horizontal="left"/>
    </xf>
    <xf numFmtId="0" fontId="31" fillId="6" borderId="2" xfId="0" applyFont="1" applyFill="1" applyBorder="1" applyAlignment="1">
      <alignment vertical="top" wrapText="1"/>
    </xf>
    <xf numFmtId="0" fontId="11" fillId="6" borderId="2" xfId="0" applyFont="1" applyFill="1" applyBorder="1" applyAlignment="1">
      <alignment vertical="top" wrapText="1"/>
    </xf>
    <xf numFmtId="0" fontId="0" fillId="3" borderId="0" xfId="0" applyFill="1" applyAlignment="1">
      <alignment horizontal="left"/>
    </xf>
    <xf numFmtId="0" fontId="17" fillId="5" borderId="0" xfId="0" applyFont="1" applyFill="1" applyAlignment="1">
      <alignment horizontal="left"/>
    </xf>
    <xf numFmtId="0" fontId="0" fillId="6" borderId="2" xfId="0" applyFill="1" applyBorder="1" applyAlignment="1">
      <alignment horizontal="left"/>
    </xf>
    <xf numFmtId="0" fontId="10" fillId="2" borderId="5" xfId="1" applyFont="1" applyFill="1" applyBorder="1" applyAlignment="1">
      <alignment horizontal="center" vertical="top" wrapText="1"/>
    </xf>
    <xf numFmtId="0" fontId="10" fillId="10" borderId="8" xfId="1" applyFont="1" applyFill="1" applyBorder="1" applyAlignment="1">
      <alignment vertical="top" wrapText="1"/>
    </xf>
    <xf numFmtId="0" fontId="10" fillId="10" borderId="7" xfId="1" applyFont="1" applyFill="1" applyBorder="1" applyAlignment="1">
      <alignment horizontal="center" vertical="top" wrapText="1"/>
    </xf>
    <xf numFmtId="0" fontId="0" fillId="6" borderId="2" xfId="0" applyFill="1" applyBorder="1" applyAlignment="1">
      <alignment horizontal="center" vertical="top" wrapText="1"/>
    </xf>
    <xf numFmtId="0" fontId="21" fillId="3" borderId="0" xfId="0" applyFont="1" applyFill="1" applyAlignment="1">
      <alignment horizontal="center"/>
    </xf>
    <xf numFmtId="0" fontId="10" fillId="2" borderId="11" xfId="1" applyFont="1" applyFill="1" applyBorder="1" applyAlignment="1">
      <alignment vertical="top" wrapText="1"/>
    </xf>
    <xf numFmtId="0" fontId="10" fillId="2" borderId="7" xfId="1" applyFont="1" applyFill="1" applyBorder="1" applyAlignment="1">
      <alignment vertical="top" wrapText="1"/>
    </xf>
    <xf numFmtId="0" fontId="10" fillId="2" borderId="9" xfId="1" applyFont="1" applyFill="1" applyBorder="1" applyAlignment="1">
      <alignment vertical="top" wrapText="1"/>
    </xf>
    <xf numFmtId="0" fontId="10" fillId="10" borderId="5" xfId="1" applyFont="1" applyFill="1" applyBorder="1" applyAlignment="1">
      <alignment vertical="top" wrapText="1"/>
    </xf>
    <xf numFmtId="0" fontId="10" fillId="10" borderId="11" xfId="1" applyFont="1" applyFill="1" applyBorder="1" applyAlignment="1">
      <alignment vertical="top" wrapText="1"/>
    </xf>
    <xf numFmtId="0" fontId="10" fillId="10" borderId="12" xfId="1" applyFont="1" applyFill="1" applyBorder="1" applyAlignment="1">
      <alignment vertical="top" wrapText="1"/>
    </xf>
    <xf numFmtId="0" fontId="10" fillId="11" borderId="10" xfId="1" applyFont="1" applyFill="1" applyBorder="1" applyAlignment="1">
      <alignment vertical="top" wrapText="1"/>
    </xf>
    <xf numFmtId="0" fontId="10" fillId="11" borderId="3" xfId="1" applyFont="1" applyFill="1" applyBorder="1" applyAlignment="1">
      <alignment vertical="top" wrapText="1"/>
    </xf>
    <xf numFmtId="0" fontId="10" fillId="11" borderId="11" xfId="1" applyFont="1" applyFill="1" applyBorder="1" applyAlignment="1">
      <alignment vertical="top" wrapText="1"/>
    </xf>
    <xf numFmtId="0" fontId="10" fillId="2" borderId="8" xfId="1" applyFont="1" applyFill="1" applyBorder="1" applyAlignment="1">
      <alignment horizontal="center" vertical="top" wrapText="1"/>
    </xf>
    <xf numFmtId="0" fontId="10" fillId="2" borderId="6" xfId="1" applyFont="1" applyFill="1" applyBorder="1" applyAlignment="1">
      <alignment horizontal="center" vertical="top" wrapText="1"/>
    </xf>
    <xf numFmtId="0" fontId="10" fillId="2" borderId="11" xfId="1" applyFont="1" applyFill="1" applyBorder="1" applyAlignment="1">
      <alignment horizontal="center" vertical="top" wrapText="1"/>
    </xf>
    <xf numFmtId="0" fontId="10" fillId="2" borderId="6" xfId="1" applyFont="1" applyFill="1" applyBorder="1" applyAlignment="1">
      <alignment vertical="top" wrapText="1"/>
    </xf>
    <xf numFmtId="0" fontId="10" fillId="11" borderId="5" xfId="1" applyFont="1" applyFill="1" applyBorder="1" applyAlignment="1">
      <alignment vertical="top" wrapText="1"/>
    </xf>
    <xf numFmtId="0" fontId="10" fillId="2" borderId="12" xfId="1" applyFont="1" applyFill="1" applyBorder="1" applyAlignment="1">
      <alignment horizontal="center" vertical="top" wrapText="1"/>
    </xf>
    <xf numFmtId="0" fontId="10" fillId="2" borderId="12" xfId="1" applyFont="1" applyFill="1" applyBorder="1" applyAlignment="1">
      <alignment vertical="top" wrapText="1"/>
    </xf>
    <xf numFmtId="0" fontId="38" fillId="5" borderId="2" xfId="1" applyFont="1" applyFill="1" applyBorder="1" applyAlignment="1">
      <alignment horizontal="center" vertical="top" wrapText="1"/>
    </xf>
    <xf numFmtId="0" fontId="31" fillId="6" borderId="2" xfId="0" applyFont="1" applyFill="1" applyBorder="1" applyAlignment="1">
      <alignment vertical="center"/>
    </xf>
    <xf numFmtId="0" fontId="19" fillId="5" borderId="0" xfId="0" applyFont="1" applyFill="1" applyAlignment="1">
      <alignment horizontal="left" vertical="center"/>
    </xf>
    <xf numFmtId="0" fontId="18" fillId="5" borderId="0" xfId="0" applyFont="1" applyFill="1" applyAlignment="1">
      <alignment horizontal="left"/>
    </xf>
    <xf numFmtId="0" fontId="10" fillId="2" borderId="7" xfId="1" applyFont="1" applyFill="1" applyBorder="1" applyAlignment="1">
      <alignment horizontal="center" vertical="top" wrapText="1"/>
    </xf>
    <xf numFmtId="0" fontId="39" fillId="6" borderId="2" xfId="0" applyFont="1" applyFill="1" applyBorder="1" applyAlignment="1">
      <alignment vertical="top"/>
    </xf>
    <xf numFmtId="0" fontId="0" fillId="16" borderId="2" xfId="0" applyFill="1" applyBorder="1" applyAlignment="1">
      <alignment horizontal="center"/>
    </xf>
    <xf numFmtId="49" fontId="10" fillId="5" borderId="2" xfId="1" applyNumberFormat="1" applyFont="1" applyFill="1" applyBorder="1" applyAlignment="1">
      <alignment horizontal="center" vertical="top" wrapText="1"/>
    </xf>
    <xf numFmtId="49" fontId="0" fillId="8" borderId="2" xfId="0" applyNumberFormat="1" applyFill="1" applyBorder="1" applyAlignment="1">
      <alignment horizontal="center"/>
    </xf>
    <xf numFmtId="49" fontId="0" fillId="8" borderId="2" xfId="0" quotePrefix="1" applyNumberFormat="1" applyFill="1" applyBorder="1" applyAlignment="1">
      <alignment horizontal="center"/>
    </xf>
    <xf numFmtId="0" fontId="0" fillId="6" borderId="2" xfId="0" quotePrefix="1" applyFill="1" applyBorder="1" applyAlignment="1">
      <alignment horizontal="left" vertical="top" wrapText="1"/>
    </xf>
    <xf numFmtId="0" fontId="41" fillId="6" borderId="2" xfId="0" applyFont="1" applyFill="1" applyBorder="1"/>
    <xf numFmtId="0" fontId="0" fillId="15" borderId="5" xfId="0" applyFill="1" applyBorder="1"/>
    <xf numFmtId="0" fontId="11" fillId="15" borderId="7" xfId="0" applyFont="1" applyFill="1" applyBorder="1" applyAlignment="1">
      <alignment horizontal="right"/>
    </xf>
    <xf numFmtId="3" fontId="0" fillId="8" borderId="2" xfId="0" applyNumberFormat="1" applyFill="1" applyBorder="1" applyAlignment="1">
      <alignment horizontal="center"/>
    </xf>
    <xf numFmtId="0" fontId="0" fillId="3" borderId="0" xfId="0" quotePrefix="1" applyFill="1"/>
    <xf numFmtId="0" fontId="11" fillId="8" borderId="2" xfId="0" applyFont="1" applyFill="1" applyBorder="1" applyAlignment="1">
      <alignment horizontal="center"/>
    </xf>
    <xf numFmtId="0" fontId="0" fillId="14" borderId="2" xfId="0" applyFill="1" applyBorder="1"/>
    <xf numFmtId="0" fontId="28" fillId="13" borderId="0" xfId="0" applyFont="1" applyFill="1" applyAlignment="1">
      <alignment horizontal="center" vertical="center"/>
    </xf>
    <xf numFmtId="0" fontId="17" fillId="17" borderId="2" xfId="0" applyFont="1" applyFill="1" applyBorder="1"/>
    <xf numFmtId="0" fontId="42" fillId="5" borderId="0" xfId="0" applyFont="1" applyFill="1" applyAlignment="1">
      <alignment vertical="top" wrapText="1"/>
    </xf>
    <xf numFmtId="0" fontId="17" fillId="5" borderId="0" xfId="0" applyFont="1" applyFill="1" applyAlignment="1">
      <alignment horizontal="right"/>
    </xf>
    <xf numFmtId="49" fontId="0" fillId="8" borderId="2" xfId="0" quotePrefix="1" applyNumberFormat="1" applyFill="1" applyBorder="1" applyAlignment="1">
      <alignment horizontal="center" wrapText="1"/>
    </xf>
    <xf numFmtId="14" fontId="0" fillId="16" borderId="2" xfId="0" applyNumberFormat="1" applyFill="1" applyBorder="1" applyAlignment="1">
      <alignment horizontal="center" vertical="top"/>
    </xf>
    <xf numFmtId="0" fontId="0" fillId="16" borderId="2" xfId="0" applyFill="1" applyBorder="1" applyAlignment="1">
      <alignment horizontal="left" vertical="top"/>
    </xf>
    <xf numFmtId="0" fontId="34" fillId="5" borderId="0" xfId="0" applyFont="1" applyFill="1"/>
    <xf numFmtId="0" fontId="11" fillId="15" borderId="2" xfId="0" applyFont="1" applyFill="1" applyBorder="1"/>
    <xf numFmtId="0" fontId="28" fillId="14" borderId="2" xfId="0" applyFont="1" applyFill="1" applyBorder="1"/>
    <xf numFmtId="0" fontId="43" fillId="12" borderId="2" xfId="0" applyFont="1" applyFill="1" applyBorder="1"/>
    <xf numFmtId="3" fontId="0" fillId="7" borderId="2" xfId="0" applyNumberFormat="1" applyFill="1" applyBorder="1" applyAlignment="1">
      <alignment horizontal="center" wrapText="1"/>
    </xf>
    <xf numFmtId="3" fontId="0" fillId="7" borderId="2" xfId="0" applyNumberFormat="1" applyFill="1" applyBorder="1" applyAlignment="1">
      <alignment horizontal="center" vertical="center" wrapText="1"/>
    </xf>
    <xf numFmtId="0" fontId="37" fillId="18" borderId="0" xfId="7" applyFill="1" applyAlignment="1">
      <alignment wrapText="1"/>
    </xf>
    <xf numFmtId="0" fontId="0" fillId="18" borderId="0" xfId="0" applyFill="1" applyAlignment="1">
      <alignment wrapText="1"/>
    </xf>
    <xf numFmtId="0" fontId="0" fillId="13" borderId="0" xfId="0" applyFill="1" applyAlignment="1">
      <alignment horizontal="left" wrapText="1"/>
    </xf>
    <xf numFmtId="0" fontId="0" fillId="14" borderId="0" xfId="0" applyFill="1" applyAlignment="1">
      <alignment horizontal="left" wrapText="1"/>
    </xf>
    <xf numFmtId="14" fontId="45" fillId="6" borderId="2" xfId="0" applyNumberFormat="1" applyFont="1" applyFill="1" applyBorder="1" applyAlignment="1">
      <alignment horizontal="center"/>
    </xf>
    <xf numFmtId="0" fontId="45" fillId="6" borderId="2" xfId="0" applyFont="1" applyFill="1" applyBorder="1" applyAlignment="1">
      <alignment wrapText="1"/>
    </xf>
    <xf numFmtId="0" fontId="39" fillId="6" borderId="2" xfId="0" applyFont="1" applyFill="1" applyBorder="1" applyAlignment="1">
      <alignment horizontal="left" vertical="top" wrapText="1"/>
    </xf>
    <xf numFmtId="0" fontId="44" fillId="6" borderId="2" xfId="0" applyFont="1" applyFill="1" applyBorder="1" applyAlignment="1">
      <alignment horizontal="left" vertical="top" wrapText="1"/>
    </xf>
    <xf numFmtId="0" fontId="30" fillId="6" borderId="2" xfId="0" applyFont="1" applyFill="1" applyBorder="1" applyAlignment="1">
      <alignment horizontal="left" vertical="top" wrapText="1"/>
    </xf>
    <xf numFmtId="3" fontId="30" fillId="7" borderId="2" xfId="0" applyNumberFormat="1" applyFont="1" applyFill="1" applyBorder="1" applyAlignment="1">
      <alignment horizontal="center" wrapText="1"/>
    </xf>
    <xf numFmtId="0" fontId="30" fillId="6" borderId="2" xfId="0" applyFont="1" applyFill="1" applyBorder="1" applyAlignment="1">
      <alignment horizontal="center" vertical="top" wrapText="1"/>
    </xf>
    <xf numFmtId="0" fontId="30" fillId="3" borderId="0" xfId="0" applyFont="1" applyFill="1"/>
    <xf numFmtId="14" fontId="39" fillId="6" borderId="2" xfId="0" applyNumberFormat="1" applyFont="1" applyFill="1" applyBorder="1" applyAlignment="1">
      <alignment horizontal="center"/>
    </xf>
    <xf numFmtId="0" fontId="39" fillId="6" borderId="2" xfId="0" applyFont="1" applyFill="1" applyBorder="1" applyAlignment="1">
      <alignment wrapText="1"/>
    </xf>
    <xf numFmtId="0" fontId="30" fillId="15" borderId="2" xfId="0" applyFont="1" applyFill="1" applyBorder="1" applyAlignment="1">
      <alignment horizontal="left" vertical="top" wrapText="1"/>
    </xf>
    <xf numFmtId="0" fontId="30" fillId="15" borderId="2" xfId="0" applyFont="1" applyFill="1" applyBorder="1" applyAlignment="1">
      <alignment horizontal="center" vertical="top" wrapText="1"/>
    </xf>
    <xf numFmtId="0" fontId="5" fillId="3" borderId="0" xfId="0" applyFont="1" applyFill="1"/>
    <xf numFmtId="0" fontId="5" fillId="3" borderId="0" xfId="0" applyFont="1" applyFill="1" applyAlignment="1">
      <alignment horizontal="center"/>
    </xf>
    <xf numFmtId="0" fontId="5" fillId="3" borderId="0" xfId="0" applyFont="1" applyFill="1" applyAlignment="1">
      <alignment horizontal="left"/>
    </xf>
    <xf numFmtId="0" fontId="5" fillId="3" borderId="0" xfId="0" applyFont="1" applyFill="1" applyAlignment="1">
      <alignment horizontal="center" vertical="center"/>
    </xf>
    <xf numFmtId="0" fontId="46" fillId="5" borderId="0" xfId="0" applyFont="1" applyFill="1" applyAlignment="1">
      <alignment vertical="center"/>
    </xf>
    <xf numFmtId="0" fontId="17" fillId="2" borderId="8" xfId="1" applyFont="1" applyFill="1" applyBorder="1" applyAlignment="1">
      <alignment horizontal="center" vertical="top" wrapText="1"/>
    </xf>
    <xf numFmtId="0" fontId="17" fillId="2" borderId="7" xfId="1" applyFont="1" applyFill="1" applyBorder="1" applyAlignment="1">
      <alignment horizontal="center" vertical="top" wrapText="1"/>
    </xf>
    <xf numFmtId="0" fontId="17" fillId="4" borderId="2" xfId="1" applyFont="1" applyFill="1" applyBorder="1" applyAlignment="1">
      <alignment vertical="top" wrapText="1"/>
    </xf>
    <xf numFmtId="0" fontId="17" fillId="4" borderId="2" xfId="1" applyFont="1" applyFill="1" applyBorder="1" applyAlignment="1">
      <alignment horizontal="center" vertical="top" wrapText="1"/>
    </xf>
    <xf numFmtId="0" fontId="17" fillId="10" borderId="8" xfId="1" applyFont="1" applyFill="1" applyBorder="1" applyAlignment="1">
      <alignment vertical="top" wrapText="1"/>
    </xf>
    <xf numFmtId="0" fontId="17" fillId="10" borderId="7" xfId="1" applyFont="1" applyFill="1" applyBorder="1" applyAlignment="1">
      <alignment horizontal="center" vertical="top" wrapText="1"/>
    </xf>
    <xf numFmtId="0" fontId="17" fillId="10" borderId="9" xfId="1" applyFont="1" applyFill="1" applyBorder="1" applyAlignment="1">
      <alignment vertical="top" wrapText="1"/>
    </xf>
    <xf numFmtId="0" fontId="17" fillId="10" borderId="10" xfId="1" applyFont="1" applyFill="1" applyBorder="1" applyAlignment="1">
      <alignment vertical="top" wrapText="1"/>
    </xf>
    <xf numFmtId="0" fontId="17" fillId="4" borderId="4" xfId="1" applyFont="1" applyFill="1" applyBorder="1" applyAlignment="1">
      <alignment horizontal="center" vertical="top" wrapText="1"/>
    </xf>
    <xf numFmtId="0" fontId="17" fillId="2" borderId="5" xfId="1" applyFont="1" applyFill="1" applyBorder="1" applyAlignment="1">
      <alignment horizontal="center" vertical="top" wrapText="1"/>
    </xf>
    <xf numFmtId="0" fontId="17" fillId="2" borderId="11" xfId="1" applyFont="1" applyFill="1" applyBorder="1" applyAlignment="1">
      <alignment vertical="top" wrapText="1"/>
    </xf>
    <xf numFmtId="0" fontId="17" fillId="2" borderId="9" xfId="1" applyFont="1" applyFill="1" applyBorder="1" applyAlignment="1">
      <alignment vertical="top" wrapText="1"/>
    </xf>
    <xf numFmtId="0" fontId="17" fillId="2" borderId="7" xfId="1" applyFont="1" applyFill="1" applyBorder="1" applyAlignment="1">
      <alignment vertical="top" wrapText="1"/>
    </xf>
    <xf numFmtId="0" fontId="4" fillId="3" borderId="0" xfId="0" applyFont="1" applyFill="1"/>
    <xf numFmtId="0" fontId="4" fillId="3" borderId="0" xfId="0" applyFont="1" applyFill="1" applyAlignment="1">
      <alignment horizontal="center"/>
    </xf>
    <xf numFmtId="0" fontId="4" fillId="3" borderId="0" xfId="0" applyFont="1" applyFill="1" applyAlignment="1">
      <alignment horizontal="center" vertical="center"/>
    </xf>
    <xf numFmtId="0" fontId="21" fillId="5" borderId="0" xfId="0" applyFont="1" applyFill="1" applyAlignment="1">
      <alignment vertical="center"/>
    </xf>
    <xf numFmtId="0" fontId="17" fillId="10" borderId="5" xfId="1" applyFont="1" applyFill="1" applyBorder="1" applyAlignment="1">
      <alignment vertical="top" wrapText="1"/>
    </xf>
    <xf numFmtId="0" fontId="17" fillId="10" borderId="12" xfId="1" applyFont="1" applyFill="1" applyBorder="1" applyAlignment="1">
      <alignment vertical="top" wrapText="1"/>
    </xf>
    <xf numFmtId="0" fontId="17" fillId="10" borderId="11" xfId="1" applyFont="1" applyFill="1" applyBorder="1" applyAlignment="1">
      <alignment vertical="top" wrapText="1"/>
    </xf>
    <xf numFmtId="0" fontId="0" fillId="15" borderId="2" xfId="0" applyFill="1" applyBorder="1" applyAlignment="1">
      <alignment horizontal="left" vertical="top" wrapText="1"/>
    </xf>
    <xf numFmtId="0" fontId="8" fillId="0" borderId="0" xfId="2"/>
    <xf numFmtId="0" fontId="14" fillId="0" borderId="0" xfId="5"/>
    <xf numFmtId="0" fontId="30" fillId="6" borderId="2" xfId="0" quotePrefix="1" applyFont="1" applyFill="1" applyBorder="1" applyAlignment="1">
      <alignment horizontal="left" vertical="top" wrapText="1"/>
    </xf>
    <xf numFmtId="0" fontId="47" fillId="19" borderId="2" xfId="0" applyFont="1" applyFill="1" applyBorder="1" applyAlignment="1">
      <alignment horizontal="left" vertical="top" wrapText="1"/>
    </xf>
    <xf numFmtId="0" fontId="47" fillId="19" borderId="7" xfId="0" quotePrefix="1" applyFont="1" applyFill="1" applyBorder="1" applyAlignment="1">
      <alignment horizontal="left" vertical="top" wrapText="1"/>
    </xf>
    <xf numFmtId="0" fontId="44" fillId="15" borderId="2" xfId="0" applyFont="1" applyFill="1" applyBorder="1" applyAlignment="1">
      <alignment horizontal="left" vertical="top" wrapText="1"/>
    </xf>
    <xf numFmtId="0" fontId="0" fillId="20" borderId="2" xfId="0" applyFill="1" applyBorder="1" applyAlignment="1">
      <alignment horizontal="left" vertical="top" wrapText="1"/>
    </xf>
    <xf numFmtId="3" fontId="0" fillId="6" borderId="2" xfId="0" applyNumberFormat="1" applyFill="1" applyBorder="1" applyAlignment="1">
      <alignment horizontal="left" vertical="top" wrapText="1"/>
    </xf>
    <xf numFmtId="0" fontId="45" fillId="6" borderId="2" xfId="0" applyFont="1" applyFill="1" applyBorder="1" applyAlignment="1">
      <alignment horizontal="left" vertical="top" wrapText="1"/>
    </xf>
    <xf numFmtId="0" fontId="51" fillId="6" borderId="2" xfId="0" applyFont="1" applyFill="1" applyBorder="1" applyAlignment="1">
      <alignment horizontal="left" vertical="top" wrapText="1"/>
    </xf>
    <xf numFmtId="3" fontId="0" fillId="6" borderId="2" xfId="0" quotePrefix="1" applyNumberFormat="1" applyFill="1" applyBorder="1" applyAlignment="1">
      <alignment horizontal="left" vertical="top" wrapText="1"/>
    </xf>
    <xf numFmtId="0" fontId="53" fillId="6" borderId="2" xfId="0" applyFont="1" applyFill="1" applyBorder="1" applyAlignment="1">
      <alignment horizontal="left" vertical="top" wrapText="1"/>
    </xf>
    <xf numFmtId="0" fontId="54" fillId="6" borderId="2" xfId="0" applyFont="1" applyFill="1" applyBorder="1" applyAlignment="1">
      <alignment horizontal="lef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30" fillId="21" borderId="2" xfId="0" applyFont="1" applyFill="1" applyBorder="1" applyAlignment="1">
      <alignment horizontal="left" vertical="top" wrapText="1"/>
    </xf>
    <xf numFmtId="0" fontId="0" fillId="21" borderId="2" xfId="0" quotePrefix="1" applyFill="1" applyBorder="1" applyAlignment="1">
      <alignment horizontal="left" vertical="top" wrapText="1"/>
    </xf>
    <xf numFmtId="0" fontId="0" fillId="21" borderId="0" xfId="0" applyFill="1"/>
    <xf numFmtId="0" fontId="0" fillId="22" borderId="2" xfId="0" applyFill="1" applyBorder="1" applyAlignment="1">
      <alignment horizontal="left" vertical="top" wrapText="1"/>
    </xf>
    <xf numFmtId="3" fontId="0" fillId="22" borderId="2" xfId="0" applyNumberFormat="1" applyFill="1" applyBorder="1" applyAlignment="1">
      <alignment horizontal="center" vertical="center" wrapText="1"/>
    </xf>
    <xf numFmtId="0" fontId="0" fillId="22" borderId="2" xfId="0" applyFill="1" applyBorder="1" applyAlignment="1">
      <alignment horizontal="center" vertical="top" wrapText="1"/>
    </xf>
    <xf numFmtId="0" fontId="30" fillId="22" borderId="2" xfId="0" applyFont="1" applyFill="1" applyBorder="1" applyAlignment="1">
      <alignment horizontal="left" vertical="top" wrapText="1"/>
    </xf>
    <xf numFmtId="0" fontId="0" fillId="22" borderId="2" xfId="0" quotePrefix="1" applyFill="1" applyBorder="1" applyAlignment="1">
      <alignment horizontal="left" vertical="top" wrapText="1"/>
    </xf>
    <xf numFmtId="0" fontId="0" fillId="22" borderId="0" xfId="0" applyFill="1"/>
    <xf numFmtId="0" fontId="3" fillId="6" borderId="2" xfId="0" applyFont="1" applyFill="1" applyBorder="1" applyAlignment="1">
      <alignment vertical="top" wrapText="1"/>
    </xf>
    <xf numFmtId="0" fontId="3" fillId="16" borderId="2" xfId="0" applyFont="1" applyFill="1" applyBorder="1" applyAlignment="1">
      <alignment horizontal="left" vertical="top"/>
    </xf>
    <xf numFmtId="0" fontId="3" fillId="3" borderId="0" xfId="0" applyFont="1" applyFill="1"/>
    <xf numFmtId="0" fontId="3" fillId="3" borderId="0" xfId="0" applyFont="1" applyFill="1" applyAlignment="1">
      <alignment horizontal="center"/>
    </xf>
    <xf numFmtId="0" fontId="3" fillId="3" borderId="0" xfId="0" applyFont="1" applyFill="1" applyAlignment="1">
      <alignment horizontal="center" vertical="center"/>
    </xf>
    <xf numFmtId="0" fontId="3" fillId="3" borderId="3" xfId="0" applyFont="1" applyFill="1" applyBorder="1"/>
    <xf numFmtId="0" fontId="3" fillId="6" borderId="2" xfId="0" applyFont="1" applyFill="1" applyBorder="1" applyAlignment="1">
      <alignment horizontal="left" vertical="top" wrapText="1"/>
    </xf>
    <xf numFmtId="3" fontId="3" fillId="7" borderId="2" xfId="0" applyNumberFormat="1" applyFont="1" applyFill="1" applyBorder="1" applyAlignment="1">
      <alignment horizontal="center" wrapText="1"/>
    </xf>
    <xf numFmtId="0" fontId="3" fillId="6" borderId="2" xfId="0" applyFont="1" applyFill="1" applyBorder="1" applyAlignment="1">
      <alignment horizontal="center" vertical="top" wrapText="1"/>
    </xf>
    <xf numFmtId="0" fontId="3" fillId="12" borderId="2" xfId="0" applyFont="1" applyFill="1" applyBorder="1" applyAlignment="1">
      <alignment horizontal="center"/>
    </xf>
    <xf numFmtId="0" fontId="3" fillId="3" borderId="0" xfId="0" applyFont="1" applyFill="1" applyAlignment="1">
      <alignment horizontal="left"/>
    </xf>
    <xf numFmtId="0" fontId="3" fillId="21" borderId="2" xfId="0" applyFont="1" applyFill="1" applyBorder="1" applyAlignment="1">
      <alignment horizontal="left" vertical="top" wrapText="1"/>
    </xf>
    <xf numFmtId="0" fontId="3" fillId="15" borderId="2" xfId="0" applyFont="1" applyFill="1" applyBorder="1" applyAlignment="1">
      <alignment horizontal="left" vertical="top" wrapText="1"/>
    </xf>
    <xf numFmtId="0" fontId="3" fillId="8" borderId="2" xfId="0" applyFont="1" applyFill="1" applyBorder="1" applyAlignment="1">
      <alignment horizontal="left"/>
    </xf>
    <xf numFmtId="0" fontId="3" fillId="6" borderId="2" xfId="0" applyFont="1" applyFill="1" applyBorder="1" applyAlignment="1">
      <alignment horizontal="left"/>
    </xf>
    <xf numFmtId="0" fontId="0" fillId="6" borderId="0" xfId="0" applyFill="1" applyAlignment="1">
      <alignment vertical="top"/>
    </xf>
    <xf numFmtId="0" fontId="2" fillId="6" borderId="2" xfId="0" applyFont="1" applyFill="1" applyBorder="1" applyAlignment="1">
      <alignment horizontal="left" vertical="top" wrapText="1"/>
    </xf>
    <xf numFmtId="3" fontId="11" fillId="6" borderId="2" xfId="0" quotePrefix="1" applyNumberFormat="1" applyFont="1" applyFill="1" applyBorder="1" applyAlignment="1">
      <alignment horizontal="left" vertical="top" wrapText="1"/>
    </xf>
    <xf numFmtId="3" fontId="55" fillId="7" borderId="2" xfId="0" applyNumberFormat="1" applyFont="1" applyFill="1" applyBorder="1" applyAlignment="1">
      <alignment horizontal="center" vertical="center"/>
    </xf>
    <xf numFmtId="0" fontId="55" fillId="6" borderId="2" xfId="0" applyFont="1" applyFill="1" applyBorder="1" applyAlignment="1">
      <alignment horizontal="center" vertical="top" wrapText="1"/>
    </xf>
    <xf numFmtId="0" fontId="55" fillId="6" borderId="2" xfId="0" applyFont="1" applyFill="1" applyBorder="1" applyAlignment="1">
      <alignment horizontal="left" vertical="top" wrapText="1"/>
    </xf>
    <xf numFmtId="3" fontId="55" fillId="6" borderId="2" xfId="0" quotePrefix="1" applyNumberFormat="1" applyFont="1" applyFill="1" applyBorder="1" applyAlignment="1">
      <alignment horizontal="left" vertical="top" wrapText="1"/>
    </xf>
    <xf numFmtId="0" fontId="55" fillId="6" borderId="2" xfId="0" quotePrefix="1" applyFont="1" applyFill="1" applyBorder="1" applyAlignment="1">
      <alignment horizontal="left" vertical="top" wrapText="1"/>
    </xf>
    <xf numFmtId="0" fontId="47" fillId="19" borderId="7" xfId="0" applyFont="1" applyFill="1" applyBorder="1" applyAlignment="1">
      <alignment horizontal="left" vertical="top" wrapText="1"/>
    </xf>
    <xf numFmtId="0" fontId="11" fillId="14" borderId="6" xfId="0" applyFont="1" applyFill="1" applyBorder="1" applyAlignment="1">
      <alignment horizontal="left"/>
    </xf>
    <xf numFmtId="0" fontId="11" fillId="14" borderId="7" xfId="0" applyFont="1" applyFill="1" applyBorder="1" applyAlignment="1">
      <alignment horizontal="left"/>
    </xf>
    <xf numFmtId="0" fontId="0" fillId="6" borderId="15" xfId="0" applyFill="1" applyBorder="1" applyAlignment="1">
      <alignment horizontal="left" vertical="top" wrapText="1"/>
    </xf>
    <xf numFmtId="0" fontId="0" fillId="6" borderId="16" xfId="0" applyFill="1" applyBorder="1" applyAlignment="1">
      <alignment horizontal="left" vertical="top"/>
    </xf>
    <xf numFmtId="0" fontId="0" fillId="6" borderId="17" xfId="0" applyFill="1" applyBorder="1" applyAlignment="1">
      <alignment horizontal="left" vertical="top"/>
    </xf>
    <xf numFmtId="0" fontId="3" fillId="6" borderId="5" xfId="0" applyFont="1" applyFill="1" applyBorder="1" applyAlignment="1">
      <alignment horizontal="left" vertical="top" wrapText="1"/>
    </xf>
    <xf numFmtId="0" fontId="3" fillId="6" borderId="6" xfId="0" applyFont="1" applyFill="1" applyBorder="1" applyAlignment="1">
      <alignment horizontal="left" vertical="top" wrapText="1"/>
    </xf>
    <xf numFmtId="0" fontId="3" fillId="6" borderId="7" xfId="0" applyFont="1" applyFill="1" applyBorder="1" applyAlignment="1">
      <alignment horizontal="left" vertical="top" wrapText="1"/>
    </xf>
    <xf numFmtId="0" fontId="0" fillId="6" borderId="5" xfId="0" applyFill="1" applyBorder="1" applyAlignment="1">
      <alignment horizontal="center" vertical="top" wrapText="1"/>
    </xf>
    <xf numFmtId="0" fontId="0" fillId="6" borderId="7" xfId="0" applyFill="1" applyBorder="1" applyAlignment="1">
      <alignment horizontal="center" vertical="top" wrapText="1"/>
    </xf>
    <xf numFmtId="0" fontId="16" fillId="5" borderId="0" xfId="0" applyFont="1" applyFill="1" applyAlignment="1">
      <alignment horizontal="center"/>
    </xf>
    <xf numFmtId="0" fontId="0" fillId="6" borderId="5" xfId="0" applyFill="1" applyBorder="1" applyAlignment="1">
      <alignment horizontal="left" vertical="top" wrapText="1"/>
    </xf>
    <xf numFmtId="0" fontId="0" fillId="6" borderId="7" xfId="0" applyFill="1" applyBorder="1" applyAlignment="1">
      <alignment horizontal="left" vertical="top" wrapText="1"/>
    </xf>
    <xf numFmtId="0" fontId="36" fillId="5" borderId="0" xfId="0" applyFont="1" applyFill="1" applyAlignment="1">
      <alignment horizontal="left"/>
    </xf>
    <xf numFmtId="49" fontId="0" fillId="6" borderId="5" xfId="0" applyNumberFormat="1" applyFill="1" applyBorder="1" applyAlignment="1">
      <alignment horizontal="left" vertical="top" wrapText="1"/>
    </xf>
    <xf numFmtId="49" fontId="0" fillId="6" borderId="7" xfId="0" applyNumberFormat="1" applyFill="1" applyBorder="1" applyAlignment="1">
      <alignment horizontal="left" vertical="top" wrapText="1"/>
    </xf>
    <xf numFmtId="0" fontId="20" fillId="6" borderId="0" xfId="0" applyFont="1" applyFill="1" applyAlignment="1">
      <alignment horizontal="center" vertical="center"/>
    </xf>
    <xf numFmtId="0" fontId="17" fillId="6" borderId="0" xfId="0" applyFont="1" applyFill="1" applyAlignment="1">
      <alignment horizontal="center" vertical="center"/>
    </xf>
    <xf numFmtId="0" fontId="21" fillId="5" borderId="0" xfId="0" applyFont="1" applyFill="1" applyAlignment="1">
      <alignment horizontal="center" vertical="center" wrapText="1"/>
    </xf>
    <xf numFmtId="0" fontId="0" fillId="6" borderId="13" xfId="0" applyFill="1" applyBorder="1" applyAlignment="1">
      <alignment horizontal="left" vertical="top" wrapText="1"/>
    </xf>
    <xf numFmtId="0" fontId="0" fillId="6" borderId="14" xfId="0" applyFill="1" applyBorder="1" applyAlignment="1">
      <alignment horizontal="left" vertical="top" wrapText="1"/>
    </xf>
    <xf numFmtId="0" fontId="0" fillId="6" borderId="4" xfId="0" applyFill="1" applyBorder="1" applyAlignment="1">
      <alignment horizontal="left" vertical="top" wrapText="1"/>
    </xf>
    <xf numFmtId="0" fontId="31" fillId="6" borderId="0" xfId="0" applyFont="1" applyFill="1" applyAlignment="1">
      <alignment horizontal="center" vertical="center"/>
    </xf>
    <xf numFmtId="0" fontId="21" fillId="3" borderId="3" xfId="0" applyFont="1" applyFill="1" applyBorder="1" applyAlignment="1">
      <alignment horizontal="center"/>
    </xf>
    <xf numFmtId="0" fontId="0" fillId="6" borderId="6" xfId="0" applyFill="1" applyBorder="1" applyAlignment="1">
      <alignment horizontal="left" vertical="top"/>
    </xf>
    <xf numFmtId="0" fontId="0" fillId="6" borderId="7" xfId="0" applyFill="1" applyBorder="1" applyAlignment="1">
      <alignment horizontal="left" vertical="top"/>
    </xf>
    <xf numFmtId="0" fontId="34" fillId="5" borderId="0" xfId="0" applyFont="1" applyFill="1" applyAlignment="1">
      <alignment horizontal="center"/>
    </xf>
  </cellXfs>
  <cellStyles count="10">
    <cellStyle name="Heading 2 2" xfId="3" xr:uid="{00000000-0005-0000-0000-000000000000}"/>
    <cellStyle name="Hyperlink" xfId="7" builtinId="8"/>
    <cellStyle name="Hyperlink 2" xfId="4" xr:uid="{00000000-0005-0000-0000-000002000000}"/>
    <cellStyle name="Kop 2" xfId="1" builtinId="17"/>
    <cellStyle name="Normal 10" xfId="6" xr:uid="{00000000-0005-0000-0000-000004000000}"/>
    <cellStyle name="Normal 2" xfId="2" xr:uid="{00000000-0005-0000-0000-000005000000}"/>
    <cellStyle name="Normal 2 2" xfId="8" xr:uid="{00000000-0005-0000-0000-000006000000}"/>
    <cellStyle name="Normal 3" xfId="5" xr:uid="{00000000-0005-0000-0000-000007000000}"/>
    <cellStyle name="Normal 3 2" xfId="9" xr:uid="{00000000-0005-0000-0000-000008000000}"/>
    <cellStyle name="Standaard" xfId="0" builtinId="0"/>
  </cellStyles>
  <dxfs count="14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B077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drawing12.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2.emf"/></Relationships>
</file>

<file path=xl/drawings/_rels/drawing13.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2.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9.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9.jpg"/></Relationships>
</file>

<file path=xl/drawings/drawing1.xml><?xml version="1.0" encoding="utf-8"?>
<xdr:wsDr xmlns:xdr="http://schemas.openxmlformats.org/drawingml/2006/spreadsheetDrawing" xmlns:a="http://schemas.openxmlformats.org/drawingml/2006/main">
  <xdr:twoCellAnchor editAs="oneCell">
    <xdr:from>
      <xdr:col>7</xdr:col>
      <xdr:colOff>4724400</xdr:colOff>
      <xdr:row>1</xdr:row>
      <xdr:rowOff>104775</xdr:rowOff>
    </xdr:from>
    <xdr:to>
      <xdr:col>7</xdr:col>
      <xdr:colOff>5899561</xdr:colOff>
      <xdr:row>3</xdr:row>
      <xdr:rowOff>85725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96550" y="295275"/>
          <a:ext cx="1175161" cy="438150"/>
        </a:xfrm>
        <a:prstGeom prst="rect">
          <a:avLst/>
        </a:prstGeom>
      </xdr:spPr>
    </xdr:pic>
    <xdr:clientData/>
  </xdr:twoCellAnchor>
  <xdr:twoCellAnchor editAs="oneCell">
    <xdr:from>
      <xdr:col>5</xdr:col>
      <xdr:colOff>257175</xdr:colOff>
      <xdr:row>1</xdr:row>
      <xdr:rowOff>85725</xdr:rowOff>
    </xdr:from>
    <xdr:to>
      <xdr:col>5</xdr:col>
      <xdr:colOff>2038350</xdr:colOff>
      <xdr:row>3</xdr:row>
      <xdr:rowOff>114300</xdr:rowOff>
    </xdr:to>
    <xdr:pic>
      <xdr:nvPicPr>
        <xdr:cNvPr id="3" name="Picture 1">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05175" y="276225"/>
          <a:ext cx="1781175" cy="485775"/>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3009900</xdr:colOff>
      <xdr:row>1</xdr:row>
      <xdr:rowOff>76200</xdr:rowOff>
    </xdr:from>
    <xdr:to>
      <xdr:col>6</xdr:col>
      <xdr:colOff>4185061</xdr:colOff>
      <xdr:row>3</xdr:row>
      <xdr:rowOff>66675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77425" y="266700"/>
          <a:ext cx="1175161" cy="514350"/>
        </a:xfrm>
        <a:prstGeom prst="rect">
          <a:avLst/>
        </a:prstGeom>
      </xdr:spPr>
    </xdr:pic>
    <xdr:clientData/>
  </xdr:twoCellAnchor>
  <xdr:twoCellAnchor editAs="oneCell">
    <xdr:from>
      <xdr:col>4</xdr:col>
      <xdr:colOff>257175</xdr:colOff>
      <xdr:row>1</xdr:row>
      <xdr:rowOff>85725</xdr:rowOff>
    </xdr:from>
    <xdr:to>
      <xdr:col>4</xdr:col>
      <xdr:colOff>2038350</xdr:colOff>
      <xdr:row>3</xdr:row>
      <xdr:rowOff>123825</xdr:rowOff>
    </xdr:to>
    <xdr:pic>
      <xdr:nvPicPr>
        <xdr:cNvPr id="3" name="Picture 1">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76525" y="276225"/>
          <a:ext cx="1781175" cy="485775"/>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137834</xdr:colOff>
      <xdr:row>0</xdr:row>
      <xdr:rowOff>190499</xdr:rowOff>
    </xdr:from>
    <xdr:to>
      <xdr:col>3</xdr:col>
      <xdr:colOff>393503</xdr:colOff>
      <xdr:row>3</xdr:row>
      <xdr:rowOff>180974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834" y="190499"/>
          <a:ext cx="1617744" cy="676275"/>
        </a:xfrm>
        <a:prstGeom prst="rect">
          <a:avLst/>
        </a:prstGeom>
      </xdr:spPr>
    </xdr:pic>
    <xdr:clientData/>
  </xdr:twoCellAnchor>
  <xdr:twoCellAnchor editAs="oneCell">
    <xdr:from>
      <xdr:col>5</xdr:col>
      <xdr:colOff>161925</xdr:colOff>
      <xdr:row>1</xdr:row>
      <xdr:rowOff>95250</xdr:rowOff>
    </xdr:from>
    <xdr:to>
      <xdr:col>5</xdr:col>
      <xdr:colOff>1943100</xdr:colOff>
      <xdr:row>3</xdr:row>
      <xdr:rowOff>85725</xdr:rowOff>
    </xdr:to>
    <xdr:pic>
      <xdr:nvPicPr>
        <xdr:cNvPr id="3" name="Picture 1">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38400" y="285750"/>
          <a:ext cx="1781175" cy="485775"/>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1676400</xdr:colOff>
      <xdr:row>20</xdr:row>
      <xdr:rowOff>88900</xdr:rowOff>
    </xdr:from>
    <xdr:to>
      <xdr:col>3</xdr:col>
      <xdr:colOff>3886200</xdr:colOff>
      <xdr:row>23</xdr:row>
      <xdr:rowOff>152400</xdr:rowOff>
    </xdr:to>
    <xdr:sp macro="" textlink="">
      <xdr:nvSpPr>
        <xdr:cNvPr id="21505" name="CommandButton1" hidden="1">
          <a:extLst>
            <a:ext uri="{63B3BB69-23CF-44E3-9099-C40C66FF867C}">
              <a14:compatExt xmlns:a14="http://schemas.microsoft.com/office/drawing/2010/main"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1676400</xdr:colOff>
      <xdr:row>20</xdr:row>
      <xdr:rowOff>88900</xdr:rowOff>
    </xdr:from>
    <xdr:to>
      <xdr:col>3</xdr:col>
      <xdr:colOff>3886200</xdr:colOff>
      <xdr:row>23</xdr:row>
      <xdr:rowOff>152400</xdr:rowOff>
    </xdr:to>
    <xdr:pic>
      <xdr:nvPicPr>
        <xdr:cNvPr id="2" name="CommandButton1">
          <a:extLst>
            <a:ext uri="{FF2B5EF4-FFF2-40B4-BE49-F238E27FC236}">
              <a16:creationId xmlns:a16="http://schemas.microsoft.com/office/drawing/2014/main" id="{28C22CE1-D964-47AC-2A42-F02A66AF632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75200" y="4267200"/>
          <a:ext cx="2209800" cy="635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177800</xdr:colOff>
      <xdr:row>63</xdr:row>
      <xdr:rowOff>82550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808200" cy="1168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171450</xdr:colOff>
      <xdr:row>5</xdr:row>
      <xdr:rowOff>6351</xdr:rowOff>
    </xdr:from>
    <xdr:to>
      <xdr:col>0</xdr:col>
      <xdr:colOff>1048569</xdr:colOff>
      <xdr:row>5</xdr:row>
      <xdr:rowOff>387351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6351"/>
          <a:ext cx="864996" cy="381000"/>
        </a:xfrm>
        <a:prstGeom prst="rect">
          <a:avLst/>
        </a:prstGeom>
      </xdr:spPr>
    </xdr:pic>
    <xdr:clientData/>
  </xdr:twoCellAnchor>
  <xdr:twoCellAnchor editAs="oneCell">
    <xdr:from>
      <xdr:col>3</xdr:col>
      <xdr:colOff>2006600</xdr:colOff>
      <xdr:row>5</xdr:row>
      <xdr:rowOff>0</xdr:rowOff>
    </xdr:from>
    <xdr:to>
      <xdr:col>4</xdr:col>
      <xdr:colOff>1206500</xdr:colOff>
      <xdr:row>5</xdr:row>
      <xdr:rowOff>317500</xdr:rowOff>
    </xdr:to>
    <xdr:sp macro="" textlink="">
      <xdr:nvSpPr>
        <xdr:cNvPr id="32769" name="CommandButton1" hidden="1">
          <a:extLst>
            <a:ext uri="{63B3BB69-23CF-44E3-9099-C40C66FF867C}">
              <a14:compatExt xmlns:a14="http://schemas.microsoft.com/office/drawing/2010/main"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2006600</xdr:colOff>
      <xdr:row>5</xdr:row>
      <xdr:rowOff>0</xdr:rowOff>
    </xdr:from>
    <xdr:to>
      <xdr:col>4</xdr:col>
      <xdr:colOff>1206500</xdr:colOff>
      <xdr:row>5</xdr:row>
      <xdr:rowOff>317500</xdr:rowOff>
    </xdr:to>
    <xdr:pic>
      <xdr:nvPicPr>
        <xdr:cNvPr id="3" name="CommandButton1">
          <a:extLst>
            <a:ext uri="{FF2B5EF4-FFF2-40B4-BE49-F238E27FC236}">
              <a16:creationId xmlns:a16="http://schemas.microsoft.com/office/drawing/2014/main" id="{5BAA6B4A-B48C-605C-2701-068D7AD21AE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13200" y="0"/>
          <a:ext cx="1663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171450</xdr:colOff>
      <xdr:row>5</xdr:row>
      <xdr:rowOff>6351</xdr:rowOff>
    </xdr:from>
    <xdr:to>
      <xdr:col>1</xdr:col>
      <xdr:colOff>58258</xdr:colOff>
      <xdr:row>5</xdr:row>
      <xdr:rowOff>390526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6351"/>
          <a:ext cx="864996" cy="381000"/>
        </a:xfrm>
        <a:prstGeom prst="rect">
          <a:avLst/>
        </a:prstGeom>
      </xdr:spPr>
    </xdr:pic>
    <xdr:clientData/>
  </xdr:twoCellAnchor>
  <xdr:twoCellAnchor editAs="oneCell">
    <xdr:from>
      <xdr:col>3</xdr:col>
      <xdr:colOff>2006600</xdr:colOff>
      <xdr:row>5</xdr:row>
      <xdr:rowOff>0</xdr:rowOff>
    </xdr:from>
    <xdr:to>
      <xdr:col>4</xdr:col>
      <xdr:colOff>1206500</xdr:colOff>
      <xdr:row>5</xdr:row>
      <xdr:rowOff>317500</xdr:rowOff>
    </xdr:to>
    <xdr:sp macro="" textlink="">
      <xdr:nvSpPr>
        <xdr:cNvPr id="31745" name="CommandButton1" hidden="1">
          <a:extLst>
            <a:ext uri="{63B3BB69-23CF-44E3-9099-C40C66FF867C}">
              <a14:compatExt xmlns:a14="http://schemas.microsoft.com/office/drawing/2010/main"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2006600</xdr:colOff>
      <xdr:row>5</xdr:row>
      <xdr:rowOff>0</xdr:rowOff>
    </xdr:from>
    <xdr:to>
      <xdr:col>4</xdr:col>
      <xdr:colOff>1206500</xdr:colOff>
      <xdr:row>5</xdr:row>
      <xdr:rowOff>317500</xdr:rowOff>
    </xdr:to>
    <xdr:pic>
      <xdr:nvPicPr>
        <xdr:cNvPr id="3" name="CommandButton1">
          <a:extLst>
            <a:ext uri="{FF2B5EF4-FFF2-40B4-BE49-F238E27FC236}">
              <a16:creationId xmlns:a16="http://schemas.microsoft.com/office/drawing/2014/main" id="{1A5B0C7D-3517-E461-A9C3-8B7BFC9187F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86200" y="0"/>
          <a:ext cx="1663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57150</xdr:colOff>
      <xdr:row>1</xdr:row>
      <xdr:rowOff>56030</xdr:rowOff>
    </xdr:from>
    <xdr:to>
      <xdr:col>3</xdr:col>
      <xdr:colOff>1056892</xdr:colOff>
      <xdr:row>5</xdr:row>
      <xdr:rowOff>715307</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532" y="246530"/>
          <a:ext cx="1612464" cy="717175"/>
        </a:xfrm>
        <a:prstGeom prst="rect">
          <a:avLst/>
        </a:prstGeom>
      </xdr:spPr>
    </xdr:pic>
    <xdr:clientData/>
  </xdr:twoCellAnchor>
  <xdr:twoCellAnchor editAs="oneCell">
    <xdr:from>
      <xdr:col>3</xdr:col>
      <xdr:colOff>1968500</xdr:colOff>
      <xdr:row>5</xdr:row>
      <xdr:rowOff>0</xdr:rowOff>
    </xdr:from>
    <xdr:to>
      <xdr:col>4</xdr:col>
      <xdr:colOff>596900</xdr:colOff>
      <xdr:row>5</xdr:row>
      <xdr:rowOff>304800</xdr:rowOff>
    </xdr:to>
    <xdr:sp macro="" textlink="">
      <xdr:nvSpPr>
        <xdr:cNvPr id="4106" name="CommandButton1" hidden="1">
          <a:extLst>
            <a:ext uri="{63B3BB69-23CF-44E3-9099-C40C66FF867C}">
              <a14:compatExt xmlns:a14="http://schemas.microsoft.com/office/drawing/2010/main"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1968500</xdr:colOff>
      <xdr:row>5</xdr:row>
      <xdr:rowOff>0</xdr:rowOff>
    </xdr:from>
    <xdr:to>
      <xdr:col>4</xdr:col>
      <xdr:colOff>596900</xdr:colOff>
      <xdr:row>5</xdr:row>
      <xdr:rowOff>304800</xdr:rowOff>
    </xdr:to>
    <xdr:pic>
      <xdr:nvPicPr>
        <xdr:cNvPr id="3" name="CommandButton1">
          <a:extLst>
            <a:ext uri="{FF2B5EF4-FFF2-40B4-BE49-F238E27FC236}">
              <a16:creationId xmlns:a16="http://schemas.microsoft.com/office/drawing/2014/main" id="{63B1FF17-EB14-A70A-E166-3836A6BB342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86200" y="0"/>
          <a:ext cx="17653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171450</xdr:colOff>
      <xdr:row>5</xdr:row>
      <xdr:rowOff>6351</xdr:rowOff>
    </xdr:from>
    <xdr:to>
      <xdr:col>0</xdr:col>
      <xdr:colOff>1000463</xdr:colOff>
      <xdr:row>5</xdr:row>
      <xdr:rowOff>387351</xdr:rowOff>
    </xdr:to>
    <xdr:pic>
      <xdr:nvPicPr>
        <xdr:cNvPr id="3" name="Picture 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6351"/>
          <a:ext cx="864089" cy="381000"/>
        </a:xfrm>
        <a:prstGeom prst="rect">
          <a:avLst/>
        </a:prstGeom>
      </xdr:spPr>
    </xdr:pic>
    <xdr:clientData/>
  </xdr:twoCellAnchor>
  <xdr:twoCellAnchor editAs="oneCell">
    <xdr:from>
      <xdr:col>3</xdr:col>
      <xdr:colOff>2006600</xdr:colOff>
      <xdr:row>5</xdr:row>
      <xdr:rowOff>0</xdr:rowOff>
    </xdr:from>
    <xdr:to>
      <xdr:col>4</xdr:col>
      <xdr:colOff>1206500</xdr:colOff>
      <xdr:row>5</xdr:row>
      <xdr:rowOff>317500</xdr:rowOff>
    </xdr:to>
    <xdr:sp macro="" textlink="">
      <xdr:nvSpPr>
        <xdr:cNvPr id="14345" name="CommandButton1" hidden="1">
          <a:extLst>
            <a:ext uri="{63B3BB69-23CF-44E3-9099-C40C66FF867C}">
              <a14:compatExt xmlns:a14="http://schemas.microsoft.com/office/drawing/2010/main" spid="_x0000_s14345"/>
            </a:ext>
            <a:ext uri="{FF2B5EF4-FFF2-40B4-BE49-F238E27FC236}">
              <a16:creationId xmlns:a16="http://schemas.microsoft.com/office/drawing/2014/main" id="{00000000-0008-0000-0900-000009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2006600</xdr:colOff>
      <xdr:row>5</xdr:row>
      <xdr:rowOff>0</xdr:rowOff>
    </xdr:from>
    <xdr:to>
      <xdr:col>4</xdr:col>
      <xdr:colOff>1206500</xdr:colOff>
      <xdr:row>5</xdr:row>
      <xdr:rowOff>317500</xdr:rowOff>
    </xdr:to>
    <xdr:pic>
      <xdr:nvPicPr>
        <xdr:cNvPr id="2" name="CommandButton1">
          <a:extLst>
            <a:ext uri="{FF2B5EF4-FFF2-40B4-BE49-F238E27FC236}">
              <a16:creationId xmlns:a16="http://schemas.microsoft.com/office/drawing/2014/main" id="{ABDE0448-3FF3-9D60-CD7B-BD600434794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52900" y="1244600"/>
          <a:ext cx="1663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762000</xdr:colOff>
      <xdr:row>1</xdr:row>
      <xdr:rowOff>201706</xdr:rowOff>
    </xdr:from>
    <xdr:to>
      <xdr:col>4</xdr:col>
      <xdr:colOff>138</xdr:colOff>
      <xdr:row>5</xdr:row>
      <xdr:rowOff>21777</xdr:rowOff>
    </xdr:to>
    <xdr:pic>
      <xdr:nvPicPr>
        <xdr:cNvPr id="2" name="Picture 1">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379506"/>
          <a:ext cx="2084033" cy="566196"/>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762000</xdr:colOff>
      <xdr:row>1</xdr:row>
      <xdr:rowOff>201706</xdr:rowOff>
    </xdr:from>
    <xdr:to>
      <xdr:col>4</xdr:col>
      <xdr:colOff>1233</xdr:colOff>
      <xdr:row>5</xdr:row>
      <xdr:rowOff>21777</xdr:rowOff>
    </xdr:to>
    <xdr:pic>
      <xdr:nvPicPr>
        <xdr:cNvPr id="2" name="Picture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379506"/>
          <a:ext cx="2084033" cy="566196"/>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762000</xdr:colOff>
      <xdr:row>1</xdr:row>
      <xdr:rowOff>201706</xdr:rowOff>
    </xdr:from>
    <xdr:to>
      <xdr:col>3</xdr:col>
      <xdr:colOff>2087208</xdr:colOff>
      <xdr:row>3</xdr:row>
      <xdr:rowOff>155127</xdr:rowOff>
    </xdr:to>
    <xdr:pic>
      <xdr:nvPicPr>
        <xdr:cNvPr id="3" name="Picture 1">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5706" y="392206"/>
          <a:ext cx="2086461" cy="558539"/>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twoCellAnchor editAs="oneCell">
    <xdr:from>
      <xdr:col>13</xdr:col>
      <xdr:colOff>304800</xdr:colOff>
      <xdr:row>1</xdr:row>
      <xdr:rowOff>292100</xdr:rowOff>
    </xdr:from>
    <xdr:to>
      <xdr:col>13</xdr:col>
      <xdr:colOff>1333500</xdr:colOff>
      <xdr:row>3</xdr:row>
      <xdr:rowOff>28575</xdr:rowOff>
    </xdr:to>
    <xdr:sp macro="" textlink="">
      <xdr:nvSpPr>
        <xdr:cNvPr id="16393" name="CommandButton1" hidden="1">
          <a:extLst>
            <a:ext uri="{63B3BB69-23CF-44E3-9099-C40C66FF867C}">
              <a14:compatExt xmlns:a14="http://schemas.microsoft.com/office/drawing/2010/main" spid="_x0000_s16393"/>
            </a:ext>
            <a:ext uri="{FF2B5EF4-FFF2-40B4-BE49-F238E27FC236}">
              <a16:creationId xmlns:a16="http://schemas.microsoft.com/office/drawing/2014/main" id="{00000000-0008-0000-0800-000009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774700</xdr:colOff>
      <xdr:row>1</xdr:row>
      <xdr:rowOff>76200</xdr:rowOff>
    </xdr:from>
    <xdr:to>
      <xdr:col>6</xdr:col>
      <xdr:colOff>266700</xdr:colOff>
      <xdr:row>2</xdr:row>
      <xdr:rowOff>76200</xdr:rowOff>
    </xdr:to>
    <xdr:sp macro="" textlink="">
      <xdr:nvSpPr>
        <xdr:cNvPr id="16394" name="CommandButton2" hidden="1">
          <a:extLst>
            <a:ext uri="{63B3BB69-23CF-44E3-9099-C40C66FF867C}">
              <a14:compatExt xmlns:a14="http://schemas.microsoft.com/office/drawing/2010/main" spid="_x0000_s16394"/>
            </a:ext>
            <a:ext uri="{FF2B5EF4-FFF2-40B4-BE49-F238E27FC236}">
              <a16:creationId xmlns:a16="http://schemas.microsoft.com/office/drawing/2014/main" id="{00000000-0008-0000-0800-00000A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304800</xdr:colOff>
      <xdr:row>1</xdr:row>
      <xdr:rowOff>292100</xdr:rowOff>
    </xdr:from>
    <xdr:to>
      <xdr:col>13</xdr:col>
      <xdr:colOff>1333500</xdr:colOff>
      <xdr:row>3</xdr:row>
      <xdr:rowOff>28575</xdr:rowOff>
    </xdr:to>
    <xdr:pic>
      <xdr:nvPicPr>
        <xdr:cNvPr id="2" name="CommandButton1">
          <a:extLst>
            <a:ext uri="{FF2B5EF4-FFF2-40B4-BE49-F238E27FC236}">
              <a16:creationId xmlns:a16="http://schemas.microsoft.com/office/drawing/2014/main" id="{CA3874CD-BA72-5500-6C7D-38EF7BB5AB4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189700" y="482600"/>
          <a:ext cx="10287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774700</xdr:colOff>
      <xdr:row>1</xdr:row>
      <xdr:rowOff>76200</xdr:rowOff>
    </xdr:from>
    <xdr:to>
      <xdr:col>6</xdr:col>
      <xdr:colOff>266700</xdr:colOff>
      <xdr:row>2</xdr:row>
      <xdr:rowOff>76200</xdr:rowOff>
    </xdr:to>
    <xdr:pic>
      <xdr:nvPicPr>
        <xdr:cNvPr id="4" name="CommandButton2">
          <a:extLst>
            <a:ext uri="{FF2B5EF4-FFF2-40B4-BE49-F238E27FC236}">
              <a16:creationId xmlns:a16="http://schemas.microsoft.com/office/drawing/2014/main" id="{09946F87-0BEE-31FC-DBEB-C0C4D1C8DFC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62600" y="266700"/>
          <a:ext cx="19685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762000</xdr:colOff>
      <xdr:row>1</xdr:row>
      <xdr:rowOff>201706</xdr:rowOff>
    </xdr:from>
    <xdr:to>
      <xdr:col>3</xdr:col>
      <xdr:colOff>2087021</xdr:colOff>
      <xdr:row>3</xdr:row>
      <xdr:rowOff>155127</xdr:rowOff>
    </xdr:to>
    <xdr:pic>
      <xdr:nvPicPr>
        <xdr:cNvPr id="3" name="Picture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4025" y="392206"/>
          <a:ext cx="2083099" cy="563021"/>
        </a:xfrm>
        <a:prstGeom prst="rect">
          <a:avLst/>
        </a:prstGeom>
        <a:noFill/>
        <a:ln>
          <a:noFill/>
        </a:ln>
        <a:extLst>
          <a:ext uri="{FAA26D3D-D897-4be2-8F04-BA451C77F1D7}">
            <ma14:placeholderFlag xmlns:lc="http://schemas.openxmlformats.org/drawingml/2006/lockedCanvas"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pic="http://schemas.openxmlformats.org/drawingml/2006/picture"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pic>
    <xdr:clientData/>
  </xdr:twoCellAnchor>
  <xdr:twoCellAnchor editAs="oneCell">
    <xdr:from>
      <xdr:col>13</xdr:col>
      <xdr:colOff>355600</xdr:colOff>
      <xdr:row>1</xdr:row>
      <xdr:rowOff>292100</xdr:rowOff>
    </xdr:from>
    <xdr:to>
      <xdr:col>13</xdr:col>
      <xdr:colOff>1447800</xdr:colOff>
      <xdr:row>3</xdr:row>
      <xdr:rowOff>47625</xdr:rowOff>
    </xdr:to>
    <xdr:sp macro="" textlink="">
      <xdr:nvSpPr>
        <xdr:cNvPr id="17415" name="CommandButton1" hidden="1">
          <a:extLst>
            <a:ext uri="{63B3BB69-23CF-44E3-9099-C40C66FF867C}">
              <a14:compatExt xmlns:a14="http://schemas.microsoft.com/office/drawing/2010/main" spid="_x0000_s17415"/>
            </a:ext>
            <a:ext uri="{FF2B5EF4-FFF2-40B4-BE49-F238E27FC236}">
              <a16:creationId xmlns:a16="http://schemas.microsoft.com/office/drawing/2014/main" id="{00000000-0008-0000-0A00-000007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647700</xdr:colOff>
      <xdr:row>1</xdr:row>
      <xdr:rowOff>76200</xdr:rowOff>
    </xdr:from>
    <xdr:to>
      <xdr:col>6</xdr:col>
      <xdr:colOff>333375</xdr:colOff>
      <xdr:row>2</xdr:row>
      <xdr:rowOff>76200</xdr:rowOff>
    </xdr:to>
    <xdr:sp macro="" textlink="">
      <xdr:nvSpPr>
        <xdr:cNvPr id="17417" name="CommandButton2" hidden="1">
          <a:extLst>
            <a:ext uri="{63B3BB69-23CF-44E3-9099-C40C66FF867C}">
              <a14:compatExt xmlns:a14="http://schemas.microsoft.com/office/drawing/2010/main" spid="_x0000_s17417"/>
            </a:ext>
            <a:ext uri="{FF2B5EF4-FFF2-40B4-BE49-F238E27FC236}">
              <a16:creationId xmlns:a16="http://schemas.microsoft.com/office/drawing/2014/main" id="{00000000-0008-0000-0A00-000009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355600</xdr:colOff>
      <xdr:row>1</xdr:row>
      <xdr:rowOff>292100</xdr:rowOff>
    </xdr:from>
    <xdr:to>
      <xdr:col>13</xdr:col>
      <xdr:colOff>1447800</xdr:colOff>
      <xdr:row>3</xdr:row>
      <xdr:rowOff>47625</xdr:rowOff>
    </xdr:to>
    <xdr:pic>
      <xdr:nvPicPr>
        <xdr:cNvPr id="2" name="CommandButton1">
          <a:extLst>
            <a:ext uri="{FF2B5EF4-FFF2-40B4-BE49-F238E27FC236}">
              <a16:creationId xmlns:a16="http://schemas.microsoft.com/office/drawing/2014/main" id="{248883C4-E42B-66CA-D3C4-E86EC91339A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405600" y="482600"/>
          <a:ext cx="1092200" cy="368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647700</xdr:colOff>
      <xdr:row>1</xdr:row>
      <xdr:rowOff>76200</xdr:rowOff>
    </xdr:from>
    <xdr:to>
      <xdr:col>6</xdr:col>
      <xdr:colOff>333375</xdr:colOff>
      <xdr:row>2</xdr:row>
      <xdr:rowOff>76200</xdr:rowOff>
    </xdr:to>
    <xdr:pic>
      <xdr:nvPicPr>
        <xdr:cNvPr id="4" name="CommandButton2">
          <a:extLst>
            <a:ext uri="{FF2B5EF4-FFF2-40B4-BE49-F238E27FC236}">
              <a16:creationId xmlns:a16="http://schemas.microsoft.com/office/drawing/2014/main" id="{06CE9E28-BFC6-9F16-E09C-76B37170ABD9}"/>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67400" y="266700"/>
          <a:ext cx="2006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47625</xdr:colOff>
      <xdr:row>1</xdr:row>
      <xdr:rowOff>47626</xdr:rowOff>
    </xdr:from>
    <xdr:to>
      <xdr:col>2</xdr:col>
      <xdr:colOff>666750</xdr:colOff>
      <xdr:row>3</xdr:row>
      <xdr:rowOff>239706</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5" y="238126"/>
          <a:ext cx="1514475" cy="76358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76200</xdr:colOff>
      <xdr:row>1</xdr:row>
      <xdr:rowOff>47625</xdr:rowOff>
    </xdr:from>
    <xdr:to>
      <xdr:col>2</xdr:col>
      <xdr:colOff>1123950</xdr:colOff>
      <xdr:row>3</xdr:row>
      <xdr:rowOff>200025</xdr:rowOff>
    </xdr:to>
    <xdr:pic>
      <xdr:nvPicPr>
        <xdr:cNvPr id="3" name="Afbeelding 2">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 y="238125"/>
          <a:ext cx="2676525"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38100</xdr:colOff>
      <xdr:row>1</xdr:row>
      <xdr:rowOff>38100</xdr:rowOff>
    </xdr:from>
    <xdr:to>
      <xdr:col>1</xdr:col>
      <xdr:colOff>528009</xdr:colOff>
      <xdr:row>3</xdr:row>
      <xdr:rowOff>76200</xdr:rowOff>
    </xdr:to>
    <xdr:pic>
      <xdr:nvPicPr>
        <xdr:cNvPr id="3" name="Afbeelding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14625" y="228600"/>
          <a:ext cx="489909" cy="495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38100</xdr:colOff>
      <xdr:row>1</xdr:row>
      <xdr:rowOff>38100</xdr:rowOff>
    </xdr:from>
    <xdr:to>
      <xdr:col>1</xdr:col>
      <xdr:colOff>564875</xdr:colOff>
      <xdr:row>3</xdr:row>
      <xdr:rowOff>75372</xdr:rowOff>
    </xdr:to>
    <xdr:pic>
      <xdr:nvPicPr>
        <xdr:cNvPr id="2" name="Afbeelding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1500" y="228600"/>
          <a:ext cx="526775" cy="4944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wv.wpol.nl/UWV-home$/dha067/My%20Documents/UWV/Connectie%20Informatie%20Voorbereiding/Firewall%20HowTo%20&amp;%20Info/UWV%20Firewall%20Change%20Formulier%20DXC%20DWH%20POLIS%20W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 formulier"/>
      <sheetName val="Pull-Down menu"/>
      <sheetName val="Versiebeheer"/>
    </sheetNames>
    <sheetDataSet>
      <sheetData sheetId="0"/>
      <sheetData sheetId="1">
        <row r="1">
          <cell r="G1" t="str">
            <v>Logo</v>
          </cell>
        </row>
        <row r="2">
          <cell r="F2" t="str">
            <v>IBM</v>
          </cell>
        </row>
        <row r="3">
          <cell r="F3" t="str">
            <v>DXC</v>
          </cell>
        </row>
        <row r="10">
          <cell r="C10" t="str">
            <v>DXC</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499984740745262"/>
  </sheetPr>
  <dimension ref="B2:L86"/>
  <sheetViews>
    <sheetView topLeftCell="F2" workbookViewId="0">
      <selection activeCell="H15" sqref="H15"/>
    </sheetView>
  </sheetViews>
  <sheetFormatPr baseColWidth="10" defaultColWidth="9.1640625" defaultRowHeight="15" x14ac:dyDescent="0.2"/>
  <cols>
    <col min="1" max="2" width="2.5" style="2" customWidth="1"/>
    <col min="3" max="4" width="9.1640625" style="2"/>
    <col min="5" max="5" width="12.83203125" style="2" customWidth="1"/>
    <col min="6" max="6" width="32.33203125" style="2" customWidth="1"/>
    <col min="7" max="7" width="34.5" style="10" customWidth="1"/>
    <col min="8" max="8" width="93.6640625" style="2" customWidth="1"/>
    <col min="9" max="9" width="9.1640625" style="2"/>
    <col min="10" max="10" width="5.83203125" style="10" customWidth="1"/>
    <col min="11" max="11" width="98.33203125" style="2" customWidth="1"/>
    <col min="12" max="12" width="11.6640625" style="2" customWidth="1"/>
    <col min="13" max="16384" width="9.1640625" style="2"/>
  </cols>
  <sheetData>
    <row r="2" spans="2:8" x14ac:dyDescent="0.2">
      <c r="E2" s="3"/>
      <c r="F2" s="3"/>
      <c r="G2" s="4"/>
      <c r="H2" s="3"/>
    </row>
    <row r="3" spans="2:8" ht="21" x14ac:dyDescent="0.25">
      <c r="E3" s="3"/>
      <c r="F3" s="46"/>
      <c r="G3" s="6"/>
      <c r="H3" s="6" t="s">
        <v>0</v>
      </c>
    </row>
    <row r="4" spans="2:8" x14ac:dyDescent="0.2">
      <c r="E4" s="3"/>
      <c r="F4" s="3"/>
      <c r="G4" s="4"/>
      <c r="H4" s="3"/>
    </row>
    <row r="5" spans="2:8" x14ac:dyDescent="0.2">
      <c r="E5" s="3"/>
    </row>
    <row r="6" spans="2:8" ht="19" x14ac:dyDescent="0.25">
      <c r="C6" s="106" t="s">
        <v>1</v>
      </c>
      <c r="D6" s="107"/>
      <c r="E6" s="3"/>
      <c r="F6" s="39" t="s">
        <v>2</v>
      </c>
      <c r="G6" s="215" t="s">
        <v>3</v>
      </c>
      <c r="H6" s="216"/>
    </row>
    <row r="7" spans="2:8" x14ac:dyDescent="0.2">
      <c r="E7" s="3"/>
    </row>
    <row r="8" spans="2:8" x14ac:dyDescent="0.2">
      <c r="B8" s="28"/>
      <c r="E8" s="3"/>
      <c r="F8" s="5" t="s">
        <v>4</v>
      </c>
      <c r="G8" s="8" t="s">
        <v>5</v>
      </c>
      <c r="H8" s="5" t="s">
        <v>6</v>
      </c>
    </row>
    <row r="9" spans="2:8" x14ac:dyDescent="0.2">
      <c r="E9" s="3"/>
      <c r="F9" s="7" t="s">
        <v>7</v>
      </c>
      <c r="G9" s="9" t="s">
        <v>8</v>
      </c>
      <c r="H9" s="7" t="s">
        <v>9</v>
      </c>
    </row>
    <row r="10" spans="2:8" x14ac:dyDescent="0.2">
      <c r="E10" s="3"/>
      <c r="F10" s="7" t="s">
        <v>10</v>
      </c>
      <c r="G10" s="9" t="s">
        <v>8</v>
      </c>
      <c r="H10" s="7" t="s">
        <v>9</v>
      </c>
    </row>
    <row r="11" spans="2:8" x14ac:dyDescent="0.2">
      <c r="E11" s="3"/>
      <c r="F11" s="7"/>
      <c r="G11" s="9" t="s">
        <v>8</v>
      </c>
      <c r="H11" s="7" t="s">
        <v>11</v>
      </c>
    </row>
    <row r="12" spans="2:8" x14ac:dyDescent="0.2">
      <c r="E12" s="3"/>
      <c r="F12" s="7"/>
      <c r="G12" s="9" t="s">
        <v>8</v>
      </c>
      <c r="H12" s="7" t="s">
        <v>12</v>
      </c>
    </row>
    <row r="13" spans="2:8" x14ac:dyDescent="0.2">
      <c r="E13" s="3"/>
      <c r="F13" s="7"/>
      <c r="G13" s="9" t="s">
        <v>8</v>
      </c>
      <c r="H13" s="7" t="s">
        <v>13</v>
      </c>
    </row>
    <row r="14" spans="2:8" ht="32" x14ac:dyDescent="0.2">
      <c r="E14" s="3"/>
      <c r="F14" s="7" t="s">
        <v>14</v>
      </c>
      <c r="G14" s="137">
        <v>44624</v>
      </c>
      <c r="H14" s="138" t="s">
        <v>15</v>
      </c>
    </row>
    <row r="15" spans="2:8" ht="80" x14ac:dyDescent="0.2">
      <c r="E15" s="3"/>
      <c r="F15" s="7" t="s">
        <v>16</v>
      </c>
      <c r="G15" s="129">
        <v>44637</v>
      </c>
      <c r="H15" s="130" t="s">
        <v>17</v>
      </c>
    </row>
    <row r="16" spans="2:8" x14ac:dyDescent="0.2">
      <c r="E16" s="3"/>
      <c r="F16" s="7" t="s">
        <v>18</v>
      </c>
      <c r="G16" s="9" t="s">
        <v>8</v>
      </c>
      <c r="H16" s="7" t="s">
        <v>19</v>
      </c>
    </row>
    <row r="17" spans="3:12" x14ac:dyDescent="0.2">
      <c r="E17" s="3"/>
      <c r="F17" s="7" t="s">
        <v>20</v>
      </c>
      <c r="G17" s="9" t="s">
        <v>8</v>
      </c>
      <c r="H17" s="7" t="s">
        <v>21</v>
      </c>
    </row>
    <row r="18" spans="3:12" x14ac:dyDescent="0.2">
      <c r="E18" s="3"/>
      <c r="F18" s="7" t="s">
        <v>22</v>
      </c>
      <c r="G18" s="9" t="s">
        <v>8</v>
      </c>
      <c r="H18" s="7" t="s">
        <v>23</v>
      </c>
    </row>
    <row r="19" spans="3:12" x14ac:dyDescent="0.2">
      <c r="E19" s="3"/>
      <c r="F19" s="7" t="s">
        <v>24</v>
      </c>
      <c r="G19" s="9" t="s">
        <v>8</v>
      </c>
      <c r="H19" s="7" t="s">
        <v>25</v>
      </c>
    </row>
    <row r="20" spans="3:12" x14ac:dyDescent="0.2">
      <c r="E20" s="3"/>
      <c r="F20" s="7"/>
      <c r="G20" s="9"/>
      <c r="H20" s="7"/>
    </row>
    <row r="21" spans="3:12" x14ac:dyDescent="0.2">
      <c r="E21" s="3"/>
      <c r="F21" s="7"/>
      <c r="G21" s="9"/>
      <c r="H21" s="7"/>
    </row>
    <row r="22" spans="3:12" x14ac:dyDescent="0.2">
      <c r="E22" s="3"/>
      <c r="F22" s="7"/>
      <c r="G22" s="9"/>
      <c r="H22" s="7"/>
    </row>
    <row r="23" spans="3:12" x14ac:dyDescent="0.2">
      <c r="E23" s="3"/>
      <c r="F23" s="105" t="s">
        <v>26</v>
      </c>
      <c r="G23" s="9"/>
      <c r="H23" s="7"/>
    </row>
    <row r="24" spans="3:12" ht="14.25" customHeight="1" x14ac:dyDescent="0.2"/>
    <row r="25" spans="3:12" ht="8.25" customHeight="1" x14ac:dyDescent="0.2">
      <c r="E25" s="3"/>
      <c r="F25" s="3"/>
      <c r="G25" s="4"/>
      <c r="H25" s="3"/>
    </row>
    <row r="26" spans="3:12" ht="21" x14ac:dyDescent="0.25">
      <c r="E26" s="3"/>
      <c r="F26" s="3"/>
      <c r="G26" s="4"/>
      <c r="H26" s="6" t="s">
        <v>27</v>
      </c>
    </row>
    <row r="27" spans="3:12" ht="6.75" customHeight="1" x14ac:dyDescent="0.2">
      <c r="E27" s="3"/>
      <c r="F27" s="3"/>
      <c r="G27" s="4"/>
      <c r="H27" s="3"/>
    </row>
    <row r="28" spans="3:12" x14ac:dyDescent="0.2">
      <c r="D28" s="47"/>
      <c r="E28" s="64" t="s">
        <v>28</v>
      </c>
      <c r="F28" s="7" t="s">
        <v>29</v>
      </c>
    </row>
    <row r="29" spans="3:12" ht="19" x14ac:dyDescent="0.25">
      <c r="C29" s="106" t="s">
        <v>1</v>
      </c>
      <c r="D29" s="107"/>
      <c r="E29" s="64" t="s">
        <v>30</v>
      </c>
      <c r="F29" s="111" t="s">
        <v>31</v>
      </c>
      <c r="G29" s="64" t="s">
        <v>32</v>
      </c>
      <c r="H29" s="121" t="s">
        <v>33</v>
      </c>
      <c r="I29" s="10"/>
      <c r="K29" s="122" t="s">
        <v>34</v>
      </c>
    </row>
    <row r="30" spans="3:12" x14ac:dyDescent="0.2">
      <c r="E30" s="3"/>
      <c r="F30" s="5" t="s">
        <v>35</v>
      </c>
      <c r="G30" s="8" t="s">
        <v>5</v>
      </c>
      <c r="H30" s="5" t="s">
        <v>36</v>
      </c>
      <c r="J30" s="8" t="s">
        <v>37</v>
      </c>
      <c r="K30" s="8" t="s">
        <v>38</v>
      </c>
      <c r="L30" s="5"/>
    </row>
    <row r="31" spans="3:12" ht="155.25" customHeight="1" x14ac:dyDescent="0.2">
      <c r="E31" s="3"/>
      <c r="F31" s="63" t="s">
        <v>39</v>
      </c>
      <c r="G31" s="58">
        <v>44291</v>
      </c>
      <c r="H31" s="35" t="s">
        <v>40</v>
      </c>
      <c r="J31" s="59">
        <v>1</v>
      </c>
      <c r="K31" s="62" t="s">
        <v>41</v>
      </c>
      <c r="L31" s="61"/>
    </row>
    <row r="32" spans="3:12" ht="32" x14ac:dyDescent="0.2">
      <c r="E32" s="3"/>
      <c r="F32" s="36" t="s">
        <v>42</v>
      </c>
      <c r="G32" s="58">
        <v>44348</v>
      </c>
      <c r="H32" s="36" t="s">
        <v>43</v>
      </c>
      <c r="J32" s="59">
        <v>2</v>
      </c>
      <c r="K32" s="62" t="s">
        <v>44</v>
      </c>
      <c r="L32" s="34"/>
    </row>
    <row r="33" spans="5:12" x14ac:dyDescent="0.2">
      <c r="E33" s="3"/>
      <c r="F33" s="36" t="s">
        <v>45</v>
      </c>
      <c r="G33" s="58">
        <v>44375</v>
      </c>
      <c r="H33" s="36" t="s">
        <v>46</v>
      </c>
      <c r="J33" s="59">
        <v>3</v>
      </c>
      <c r="K33" s="60" t="s">
        <v>47</v>
      </c>
      <c r="L33" s="34"/>
    </row>
    <row r="34" spans="5:12" ht="16" x14ac:dyDescent="0.2">
      <c r="E34" s="3"/>
      <c r="F34" s="36" t="s">
        <v>45</v>
      </c>
      <c r="G34" s="58">
        <v>44376</v>
      </c>
      <c r="H34" s="35" t="s">
        <v>48</v>
      </c>
      <c r="J34" s="59">
        <v>4</v>
      </c>
      <c r="K34" s="60" t="s">
        <v>49</v>
      </c>
      <c r="L34" s="34"/>
    </row>
    <row r="35" spans="5:12" x14ac:dyDescent="0.2">
      <c r="E35" s="3"/>
      <c r="F35" s="36" t="s">
        <v>42</v>
      </c>
      <c r="G35" s="58">
        <v>44459</v>
      </c>
      <c r="H35" s="36" t="s">
        <v>50</v>
      </c>
      <c r="J35" s="59">
        <v>5</v>
      </c>
      <c r="K35" s="60" t="s">
        <v>51</v>
      </c>
      <c r="L35" s="34"/>
    </row>
    <row r="36" spans="5:12" x14ac:dyDescent="0.2">
      <c r="E36" s="3"/>
      <c r="F36" s="36" t="s">
        <v>42</v>
      </c>
      <c r="G36" s="58">
        <v>44459</v>
      </c>
      <c r="H36" s="99" t="s">
        <v>52</v>
      </c>
      <c r="J36" s="59">
        <v>6</v>
      </c>
      <c r="K36" s="60" t="s">
        <v>53</v>
      </c>
      <c r="L36" s="34"/>
    </row>
    <row r="37" spans="5:12" x14ac:dyDescent="0.2">
      <c r="E37" s="3"/>
      <c r="F37" s="36" t="s">
        <v>42</v>
      </c>
      <c r="G37" s="58">
        <v>44459</v>
      </c>
      <c r="H37" s="36" t="s">
        <v>54</v>
      </c>
      <c r="J37" s="59">
        <v>7</v>
      </c>
      <c r="K37" s="60" t="s">
        <v>55</v>
      </c>
      <c r="L37" s="34"/>
    </row>
    <row r="38" spans="5:12" x14ac:dyDescent="0.2">
      <c r="E38" s="3"/>
      <c r="F38" s="36" t="s">
        <v>45</v>
      </c>
      <c r="G38" s="58">
        <v>44466</v>
      </c>
      <c r="H38" s="36" t="s">
        <v>56</v>
      </c>
      <c r="J38" s="59">
        <v>8</v>
      </c>
      <c r="K38" s="60" t="s">
        <v>57</v>
      </c>
      <c r="L38" s="34"/>
    </row>
    <row r="39" spans="5:12" x14ac:dyDescent="0.2">
      <c r="E39" s="3"/>
      <c r="F39" s="36" t="s">
        <v>45</v>
      </c>
      <c r="G39" s="58">
        <v>44466</v>
      </c>
      <c r="H39" s="36" t="s">
        <v>58</v>
      </c>
      <c r="J39" s="59">
        <v>9</v>
      </c>
      <c r="K39" s="60" t="s">
        <v>59</v>
      </c>
      <c r="L39" s="34"/>
    </row>
    <row r="40" spans="5:12" x14ac:dyDescent="0.2">
      <c r="E40" s="3"/>
      <c r="F40" s="36" t="s">
        <v>45</v>
      </c>
      <c r="G40" s="58">
        <v>44466</v>
      </c>
      <c r="H40" s="36" t="s">
        <v>60</v>
      </c>
      <c r="J40" s="59">
        <v>10</v>
      </c>
      <c r="K40" s="60" t="s">
        <v>61</v>
      </c>
      <c r="L40" s="34"/>
    </row>
    <row r="41" spans="5:12" x14ac:dyDescent="0.2">
      <c r="E41" s="3"/>
      <c r="F41" s="36" t="s">
        <v>42</v>
      </c>
      <c r="G41" s="58">
        <v>44466</v>
      </c>
      <c r="H41" s="36" t="s">
        <v>62</v>
      </c>
      <c r="J41" s="59">
        <v>11</v>
      </c>
      <c r="K41" s="60" t="s">
        <v>63</v>
      </c>
      <c r="L41" s="34"/>
    </row>
    <row r="42" spans="5:12" x14ac:dyDescent="0.2">
      <c r="E42" s="3"/>
      <c r="F42" s="36" t="s">
        <v>45</v>
      </c>
      <c r="G42" s="58">
        <v>44474</v>
      </c>
      <c r="H42" s="36" t="s">
        <v>64</v>
      </c>
      <c r="J42" s="59">
        <v>12</v>
      </c>
      <c r="K42" s="60" t="s">
        <v>65</v>
      </c>
      <c r="L42" s="34"/>
    </row>
    <row r="43" spans="5:12" x14ac:dyDescent="0.2">
      <c r="E43" s="3"/>
      <c r="F43" s="36" t="s">
        <v>45</v>
      </c>
      <c r="G43" s="58">
        <v>44474</v>
      </c>
      <c r="H43" s="36" t="s">
        <v>66</v>
      </c>
      <c r="J43" s="59">
        <v>13</v>
      </c>
      <c r="K43" s="60" t="s">
        <v>67</v>
      </c>
      <c r="L43" s="34"/>
    </row>
    <row r="44" spans="5:12" x14ac:dyDescent="0.2">
      <c r="E44" s="3"/>
      <c r="F44" s="36" t="s">
        <v>45</v>
      </c>
      <c r="G44" s="58">
        <v>44474</v>
      </c>
      <c r="H44" s="36" t="s">
        <v>68</v>
      </c>
      <c r="J44" s="59">
        <v>14</v>
      </c>
      <c r="K44" s="60" t="s">
        <v>69</v>
      </c>
      <c r="L44" s="34"/>
    </row>
    <row r="45" spans="5:12" x14ac:dyDescent="0.2">
      <c r="E45" s="3"/>
      <c r="F45" s="36" t="s">
        <v>45</v>
      </c>
      <c r="G45" s="58">
        <v>44474</v>
      </c>
      <c r="H45" s="36" t="s">
        <v>70</v>
      </c>
      <c r="J45" s="59">
        <v>15</v>
      </c>
      <c r="K45" s="60" t="s">
        <v>71</v>
      </c>
      <c r="L45" s="34"/>
    </row>
    <row r="46" spans="5:12" x14ac:dyDescent="0.2">
      <c r="E46" s="3"/>
      <c r="F46" s="36" t="s">
        <v>72</v>
      </c>
      <c r="G46" s="58">
        <v>44503</v>
      </c>
      <c r="H46" s="36" t="s">
        <v>73</v>
      </c>
      <c r="J46" s="59">
        <v>16</v>
      </c>
      <c r="K46" s="60" t="s">
        <v>74</v>
      </c>
      <c r="L46" s="34"/>
    </row>
    <row r="47" spans="5:12" x14ac:dyDescent="0.2">
      <c r="E47" s="3"/>
      <c r="F47" s="36" t="s">
        <v>72</v>
      </c>
      <c r="G47" s="58">
        <v>44503</v>
      </c>
      <c r="H47" s="36" t="s">
        <v>75</v>
      </c>
      <c r="J47" s="59">
        <v>17</v>
      </c>
      <c r="K47" s="60"/>
      <c r="L47" s="34"/>
    </row>
    <row r="48" spans="5:12" x14ac:dyDescent="0.2">
      <c r="E48" s="3"/>
      <c r="F48" s="36" t="s">
        <v>72</v>
      </c>
      <c r="G48" s="58">
        <v>44503</v>
      </c>
      <c r="H48" s="36" t="s">
        <v>76</v>
      </c>
      <c r="J48" s="59">
        <v>18</v>
      </c>
      <c r="K48" s="60"/>
      <c r="L48" s="34"/>
    </row>
    <row r="49" spans="5:12" x14ac:dyDescent="0.2">
      <c r="E49" s="3"/>
      <c r="F49" s="36" t="s">
        <v>72</v>
      </c>
      <c r="G49" s="58">
        <v>44503</v>
      </c>
      <c r="H49" s="36" t="s">
        <v>77</v>
      </c>
      <c r="J49" s="59">
        <v>19</v>
      </c>
      <c r="K49" s="60"/>
      <c r="L49" s="34"/>
    </row>
    <row r="50" spans="5:12" x14ac:dyDescent="0.2">
      <c r="E50" s="3"/>
      <c r="F50" s="36" t="s">
        <v>72</v>
      </c>
      <c r="G50" s="58">
        <v>44503</v>
      </c>
      <c r="H50" s="36" t="s">
        <v>78</v>
      </c>
      <c r="J50" s="59">
        <v>20</v>
      </c>
      <c r="K50" s="60"/>
      <c r="L50" s="34"/>
    </row>
    <row r="51" spans="5:12" x14ac:dyDescent="0.2">
      <c r="E51" s="3"/>
      <c r="F51" s="36" t="s">
        <v>72</v>
      </c>
      <c r="G51" s="58">
        <v>44503</v>
      </c>
      <c r="H51" s="36" t="s">
        <v>79</v>
      </c>
      <c r="J51" s="59">
        <v>21</v>
      </c>
      <c r="K51" s="60"/>
      <c r="L51" s="34"/>
    </row>
    <row r="52" spans="5:12" x14ac:dyDescent="0.2">
      <c r="E52" s="3"/>
      <c r="F52" s="36" t="s">
        <v>72</v>
      </c>
      <c r="G52" s="58">
        <v>44505</v>
      </c>
      <c r="H52" s="36" t="s">
        <v>80</v>
      </c>
      <c r="J52" s="59">
        <v>22</v>
      </c>
      <c r="K52" s="60"/>
      <c r="L52" s="34"/>
    </row>
    <row r="53" spans="5:12" x14ac:dyDescent="0.2">
      <c r="E53" s="3"/>
      <c r="F53" s="36" t="s">
        <v>72</v>
      </c>
      <c r="G53" s="58">
        <v>44509</v>
      </c>
      <c r="H53" s="36" t="s">
        <v>81</v>
      </c>
      <c r="J53" s="59">
        <v>22</v>
      </c>
      <c r="K53" s="60"/>
      <c r="L53" s="34"/>
    </row>
    <row r="54" spans="5:12" ht="16" x14ac:dyDescent="0.2">
      <c r="E54" s="3"/>
      <c r="F54" s="36" t="s">
        <v>72</v>
      </c>
      <c r="G54" s="58">
        <v>44509</v>
      </c>
      <c r="H54" s="61" t="s">
        <v>82</v>
      </c>
    </row>
    <row r="55" spans="5:12" ht="16" x14ac:dyDescent="0.2">
      <c r="E55" s="3"/>
      <c r="F55" s="36" t="s">
        <v>72</v>
      </c>
      <c r="G55" s="58">
        <v>44509</v>
      </c>
      <c r="H55" s="61" t="s">
        <v>83</v>
      </c>
    </row>
    <row r="56" spans="5:12" ht="16" x14ac:dyDescent="0.2">
      <c r="E56" s="3"/>
      <c r="F56" s="36" t="s">
        <v>72</v>
      </c>
      <c r="G56" s="58">
        <v>44509</v>
      </c>
      <c r="H56" s="61" t="s">
        <v>84</v>
      </c>
    </row>
    <row r="57" spans="5:12" x14ac:dyDescent="0.2">
      <c r="E57" s="3"/>
      <c r="F57" s="36" t="s">
        <v>72</v>
      </c>
      <c r="G57" s="58">
        <v>44509</v>
      </c>
      <c r="H57" s="34" t="s">
        <v>85</v>
      </c>
    </row>
    <row r="58" spans="5:12" ht="16" x14ac:dyDescent="0.2">
      <c r="E58" s="3"/>
      <c r="F58" s="191" t="s">
        <v>72</v>
      </c>
      <c r="G58" s="58">
        <v>44511</v>
      </c>
      <c r="H58" s="36" t="s">
        <v>86</v>
      </c>
    </row>
    <row r="59" spans="5:12" x14ac:dyDescent="0.2">
      <c r="E59" s="3"/>
      <c r="F59" s="192" t="s">
        <v>87</v>
      </c>
      <c r="G59" s="117">
        <v>44511</v>
      </c>
      <c r="H59" s="118" t="s">
        <v>88</v>
      </c>
    </row>
    <row r="60" spans="5:12" ht="16" x14ac:dyDescent="0.2">
      <c r="E60" s="3"/>
      <c r="F60" s="191" t="s">
        <v>89</v>
      </c>
      <c r="G60" s="58">
        <v>44515</v>
      </c>
      <c r="H60" s="34" t="s">
        <v>90</v>
      </c>
    </row>
    <row r="61" spans="5:12" x14ac:dyDescent="0.2">
      <c r="E61" s="3"/>
      <c r="F61" s="36" t="s">
        <v>89</v>
      </c>
      <c r="G61" s="58">
        <v>44522</v>
      </c>
      <c r="H61" s="34" t="s">
        <v>91</v>
      </c>
    </row>
    <row r="62" spans="5:12" x14ac:dyDescent="0.2">
      <c r="E62" s="3"/>
      <c r="F62" s="36" t="s">
        <v>72</v>
      </c>
      <c r="G62" s="58" t="s">
        <v>92</v>
      </c>
      <c r="H62" s="34" t="s">
        <v>93</v>
      </c>
    </row>
    <row r="63" spans="5:12" x14ac:dyDescent="0.2">
      <c r="E63" s="3"/>
      <c r="F63" s="59"/>
      <c r="G63" s="58"/>
      <c r="H63" s="34"/>
    </row>
    <row r="64" spans="5:12" x14ac:dyDescent="0.2">
      <c r="E64" s="3"/>
      <c r="F64" s="59"/>
      <c r="G64" s="58"/>
      <c r="H64" s="34"/>
    </row>
    <row r="65" spans="5:11" x14ac:dyDescent="0.2">
      <c r="E65" s="3"/>
      <c r="F65" s="59"/>
      <c r="G65" s="58"/>
      <c r="H65" s="34"/>
    </row>
    <row r="66" spans="5:11" x14ac:dyDescent="0.2">
      <c r="E66" s="3"/>
      <c r="F66" s="59"/>
      <c r="G66" s="58"/>
      <c r="H66" s="34"/>
    </row>
    <row r="67" spans="5:11" x14ac:dyDescent="0.2">
      <c r="E67" s="3"/>
      <c r="F67" s="59"/>
      <c r="G67" s="58"/>
      <c r="H67" s="34"/>
    </row>
    <row r="68" spans="5:11" x14ac:dyDescent="0.2">
      <c r="E68" s="3"/>
      <c r="F68" s="191"/>
      <c r="G68" s="58"/>
      <c r="H68" s="36"/>
    </row>
    <row r="71" spans="5:11" x14ac:dyDescent="0.2">
      <c r="F71" s="120" t="s">
        <v>94</v>
      </c>
      <c r="G71" s="2"/>
    </row>
    <row r="72" spans="5:11" x14ac:dyDescent="0.2">
      <c r="E72" s="3"/>
      <c r="F72" s="8" t="s">
        <v>95</v>
      </c>
      <c r="G72" s="8" t="s">
        <v>96</v>
      </c>
      <c r="H72" s="5" t="s">
        <v>97</v>
      </c>
      <c r="I72" s="3"/>
      <c r="J72" s="3"/>
      <c r="K72" s="5" t="s">
        <v>98</v>
      </c>
    </row>
    <row r="73" spans="5:11" ht="32" x14ac:dyDescent="0.2">
      <c r="E73" s="3"/>
      <c r="F73" s="59" t="s">
        <v>99</v>
      </c>
      <c r="G73" s="62" t="s">
        <v>100</v>
      </c>
      <c r="H73" s="61" t="s">
        <v>101</v>
      </c>
      <c r="I73" s="3"/>
      <c r="J73" s="3"/>
      <c r="K73" s="61" t="s">
        <v>102</v>
      </c>
    </row>
    <row r="74" spans="5:11" ht="16" x14ac:dyDescent="0.2">
      <c r="E74" s="3"/>
      <c r="F74" s="59" t="s">
        <v>103</v>
      </c>
      <c r="G74" s="62" t="s">
        <v>100</v>
      </c>
      <c r="H74" s="34" t="s">
        <v>101</v>
      </c>
      <c r="I74" s="3"/>
      <c r="J74" s="3"/>
      <c r="K74" s="34" t="s">
        <v>104</v>
      </c>
    </row>
    <row r="75" spans="5:11" x14ac:dyDescent="0.2">
      <c r="E75" s="3"/>
      <c r="F75" s="59" t="s">
        <v>105</v>
      </c>
      <c r="G75" s="60" t="s">
        <v>106</v>
      </c>
      <c r="H75" s="34" t="s">
        <v>107</v>
      </c>
      <c r="I75" s="3"/>
      <c r="J75" s="3"/>
      <c r="K75" s="34" t="s">
        <v>108</v>
      </c>
    </row>
    <row r="76" spans="5:11" x14ac:dyDescent="0.2">
      <c r="E76" s="3"/>
      <c r="F76" s="59" t="s">
        <v>109</v>
      </c>
      <c r="G76" s="60" t="s">
        <v>110</v>
      </c>
      <c r="H76" s="34" t="s">
        <v>111</v>
      </c>
      <c r="I76" s="3"/>
      <c r="J76" s="3"/>
      <c r="K76" s="34" t="s">
        <v>112</v>
      </c>
    </row>
    <row r="77" spans="5:11" x14ac:dyDescent="0.2">
      <c r="E77" s="3"/>
      <c r="F77" s="59" t="s">
        <v>113</v>
      </c>
      <c r="G77" s="60" t="s">
        <v>114</v>
      </c>
      <c r="H77" s="34" t="s">
        <v>111</v>
      </c>
      <c r="I77" s="3"/>
      <c r="J77" s="3"/>
      <c r="K77" s="34" t="s">
        <v>112</v>
      </c>
    </row>
    <row r="78" spans="5:11" ht="64" x14ac:dyDescent="0.2">
      <c r="E78" s="3"/>
      <c r="F78" s="59" t="s">
        <v>115</v>
      </c>
      <c r="G78" s="62" t="s">
        <v>116</v>
      </c>
      <c r="H78" s="61" t="s">
        <v>117</v>
      </c>
      <c r="I78" s="3"/>
      <c r="J78" s="3"/>
      <c r="K78" s="61" t="s">
        <v>118</v>
      </c>
    </row>
    <row r="79" spans="5:11" ht="64" x14ac:dyDescent="0.2">
      <c r="E79" s="3"/>
      <c r="F79" s="59" t="s">
        <v>119</v>
      </c>
      <c r="G79" s="62" t="s">
        <v>120</v>
      </c>
      <c r="H79" s="61" t="s">
        <v>117</v>
      </c>
      <c r="I79" s="3"/>
      <c r="J79" s="3"/>
      <c r="K79" s="61" t="s">
        <v>118</v>
      </c>
    </row>
    <row r="80" spans="5:11" ht="16" x14ac:dyDescent="0.2">
      <c r="E80" s="3"/>
      <c r="F80" s="59" t="s">
        <v>121</v>
      </c>
      <c r="G80" s="62" t="s">
        <v>100</v>
      </c>
      <c r="H80" s="34" t="s">
        <v>101</v>
      </c>
      <c r="I80" s="3"/>
      <c r="J80" s="3"/>
      <c r="K80" s="34" t="s">
        <v>104</v>
      </c>
    </row>
    <row r="81" spans="5:11" ht="16" x14ac:dyDescent="0.2">
      <c r="E81" s="3"/>
      <c r="F81" s="59" t="s">
        <v>122</v>
      </c>
      <c r="G81" s="62" t="s">
        <v>100</v>
      </c>
      <c r="H81" s="34" t="s">
        <v>101</v>
      </c>
      <c r="I81" s="3"/>
      <c r="J81" s="3"/>
      <c r="K81" s="34" t="s">
        <v>104</v>
      </c>
    </row>
    <row r="82" spans="5:11" ht="16" x14ac:dyDescent="0.2">
      <c r="E82" s="3"/>
      <c r="F82" s="59" t="s">
        <v>123</v>
      </c>
      <c r="G82" s="62" t="s">
        <v>100</v>
      </c>
      <c r="H82" s="34" t="s">
        <v>101</v>
      </c>
      <c r="I82" s="3"/>
      <c r="J82" s="3"/>
      <c r="K82" s="34" t="s">
        <v>104</v>
      </c>
    </row>
    <row r="83" spans="5:11" ht="16" x14ac:dyDescent="0.2">
      <c r="E83" s="3"/>
      <c r="F83" s="59" t="s">
        <v>124</v>
      </c>
      <c r="G83" s="62" t="s">
        <v>100</v>
      </c>
      <c r="H83" s="34" t="s">
        <v>101</v>
      </c>
      <c r="I83" s="3"/>
      <c r="J83" s="3"/>
      <c r="K83" s="34" t="s">
        <v>104</v>
      </c>
    </row>
    <row r="84" spans="5:11" x14ac:dyDescent="0.2">
      <c r="E84" s="3"/>
      <c r="F84" s="59"/>
      <c r="G84" s="60" t="s">
        <v>125</v>
      </c>
      <c r="H84" s="34" t="s">
        <v>126</v>
      </c>
      <c r="I84" s="3"/>
      <c r="J84" s="3"/>
      <c r="K84" s="34" t="s">
        <v>104</v>
      </c>
    </row>
    <row r="85" spans="5:11" x14ac:dyDescent="0.2">
      <c r="E85" s="3"/>
      <c r="F85" s="59"/>
      <c r="G85" s="60"/>
      <c r="H85" s="34"/>
      <c r="I85" s="3"/>
      <c r="J85" s="3"/>
      <c r="K85" s="34"/>
    </row>
    <row r="86" spans="5:11" x14ac:dyDescent="0.2">
      <c r="E86" s="3"/>
      <c r="F86" s="59"/>
      <c r="G86" s="60"/>
      <c r="H86" s="34"/>
      <c r="I86" s="3"/>
      <c r="J86" s="3"/>
      <c r="K86" s="34"/>
    </row>
  </sheetData>
  <mergeCells count="1">
    <mergeCell ref="G6:H6"/>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Tables!$X$7:$X$14</xm:f>
          </x14:formula1>
          <xm:sqref>H29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1">
    <tabColor theme="9" tint="-0.499984740745262"/>
  </sheetPr>
  <dimension ref="B1:G11"/>
  <sheetViews>
    <sheetView workbookViewId="0"/>
  </sheetViews>
  <sheetFormatPr baseColWidth="10" defaultColWidth="9.1640625" defaultRowHeight="15" x14ac:dyDescent="0.2"/>
  <cols>
    <col min="1" max="2" width="2.5" style="2" customWidth="1"/>
    <col min="3" max="3" width="9.1640625" style="2"/>
    <col min="4" max="4" width="12.83203125" style="2" customWidth="1"/>
    <col min="5" max="5" width="32.33203125" style="2" customWidth="1"/>
    <col min="6" max="6" width="8.83203125" style="10" customWidth="1"/>
    <col min="7" max="7" width="71.1640625" style="2" customWidth="1"/>
    <col min="8" max="16384" width="9.1640625" style="2"/>
  </cols>
  <sheetData>
    <row r="1" spans="2:7" ht="27" customHeight="1" x14ac:dyDescent="0.2"/>
    <row r="2" spans="2:7" x14ac:dyDescent="0.2">
      <c r="D2" s="3"/>
      <c r="E2" s="3"/>
      <c r="F2" s="4"/>
      <c r="G2" s="3"/>
    </row>
    <row r="3" spans="2:7" ht="26.25" customHeight="1" x14ac:dyDescent="0.3">
      <c r="D3" s="3"/>
      <c r="E3" s="46"/>
      <c r="F3" s="6"/>
      <c r="G3" s="119" t="s">
        <v>127</v>
      </c>
    </row>
    <row r="4" spans="2:7" x14ac:dyDescent="0.2">
      <c r="D4" s="3"/>
      <c r="E4" s="3"/>
      <c r="F4" s="4"/>
      <c r="G4" s="3"/>
    </row>
    <row r="5" spans="2:7" x14ac:dyDescent="0.2">
      <c r="D5" s="3"/>
    </row>
    <row r="6" spans="2:7" x14ac:dyDescent="0.2">
      <c r="D6" s="3"/>
    </row>
    <row r="7" spans="2:7" ht="19.5" customHeight="1" x14ac:dyDescent="0.3">
      <c r="B7" s="28"/>
      <c r="D7" s="3"/>
      <c r="E7" s="11" t="s">
        <v>128</v>
      </c>
      <c r="F7" s="8"/>
      <c r="G7" s="5"/>
    </row>
    <row r="8" spans="2:7" ht="147.75" customHeight="1" x14ac:dyDescent="0.2">
      <c r="D8" s="3"/>
      <c r="E8" s="217" t="s">
        <v>129</v>
      </c>
      <c r="F8" s="218"/>
      <c r="G8" s="219"/>
    </row>
    <row r="9" spans="2:7" ht="24" x14ac:dyDescent="0.3">
      <c r="D9" s="3"/>
      <c r="E9" s="11" t="s">
        <v>130</v>
      </c>
      <c r="F9" s="4"/>
      <c r="G9" s="6"/>
    </row>
    <row r="10" spans="2:7" ht="63.75" customHeight="1" x14ac:dyDescent="0.2">
      <c r="D10" s="3"/>
      <c r="E10" s="220" t="s">
        <v>131</v>
      </c>
      <c r="F10" s="221"/>
      <c r="G10" s="222"/>
    </row>
    <row r="11" spans="2:7" ht="24" x14ac:dyDescent="0.3">
      <c r="D11" s="3"/>
      <c r="E11" s="11"/>
      <c r="F11" s="8"/>
      <c r="G11" s="5"/>
    </row>
  </sheetData>
  <mergeCells count="2">
    <mergeCell ref="E8:G8"/>
    <mergeCell ref="E10:G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theme="9" tint="-0.499984740745262"/>
  </sheetPr>
  <dimension ref="E2:I67"/>
  <sheetViews>
    <sheetView zoomScaleNormal="100" workbookViewId="0">
      <pane ySplit="1" topLeftCell="A2" activePane="bottomLeft" state="frozen"/>
      <selection activeCell="D1" sqref="D1"/>
      <selection pane="bottomLeft" activeCell="F16" sqref="F16"/>
    </sheetView>
  </sheetViews>
  <sheetFormatPr baseColWidth="10" defaultColWidth="9.1640625" defaultRowHeight="15" x14ac:dyDescent="0.2"/>
  <cols>
    <col min="1" max="1" width="2.1640625" style="2" customWidth="1"/>
    <col min="2" max="3" width="9.1640625" style="2"/>
    <col min="4" max="4" width="8.83203125" style="2" customWidth="1"/>
    <col min="5" max="5" width="7.5" style="10" customWidth="1"/>
    <col min="6" max="6" width="39.6640625" style="2" customWidth="1"/>
    <col min="7" max="7" width="48.5" style="2" customWidth="1"/>
    <col min="8" max="8" width="114.5" style="10" customWidth="1"/>
    <col min="9" max="9" width="45.5" style="2" customWidth="1"/>
    <col min="10" max="16384" width="9.1640625" style="2"/>
  </cols>
  <sheetData>
    <row r="2" spans="5:9" x14ac:dyDescent="0.2">
      <c r="E2" s="4"/>
      <c r="F2" s="3"/>
      <c r="G2" s="3"/>
      <c r="H2" s="4"/>
      <c r="I2" s="3"/>
    </row>
    <row r="3" spans="5:9" ht="24" customHeight="1" x14ac:dyDescent="0.25">
      <c r="E3" s="4"/>
      <c r="F3" s="37"/>
      <c r="G3" s="225" t="s">
        <v>132</v>
      </c>
      <c r="H3" s="225"/>
      <c r="I3" s="6"/>
    </row>
    <row r="4" spans="5:9" x14ac:dyDescent="0.2">
      <c r="E4" s="4"/>
      <c r="F4" s="3"/>
      <c r="G4" s="3"/>
      <c r="H4" s="4"/>
      <c r="I4" s="3"/>
    </row>
    <row r="6" spans="5:9" ht="75" customHeight="1" x14ac:dyDescent="0.2">
      <c r="F6" s="38" t="s">
        <v>133</v>
      </c>
      <c r="G6" s="226" t="s">
        <v>134</v>
      </c>
      <c r="H6" s="227"/>
    </row>
    <row r="8" spans="5:9" ht="19" x14ac:dyDescent="0.25">
      <c r="E8" s="65" t="s">
        <v>135</v>
      </c>
      <c r="F8" s="66" t="s">
        <v>136</v>
      </c>
      <c r="G8" s="66" t="s">
        <v>137</v>
      </c>
      <c r="H8" s="67" t="s">
        <v>138</v>
      </c>
      <c r="I8" s="66" t="s">
        <v>139</v>
      </c>
    </row>
    <row r="9" spans="5:9" ht="16.5" customHeight="1" x14ac:dyDescent="0.2">
      <c r="E9" s="42" t="s">
        <v>140</v>
      </c>
      <c r="F9" s="43" t="s">
        <v>141</v>
      </c>
      <c r="G9" s="35" t="s">
        <v>142</v>
      </c>
      <c r="H9" s="35" t="s">
        <v>143</v>
      </c>
      <c r="I9" s="35" t="s">
        <v>144</v>
      </c>
    </row>
    <row r="10" spans="5:9" ht="16" x14ac:dyDescent="0.2">
      <c r="E10" s="42" t="s">
        <v>140</v>
      </c>
      <c r="F10" s="43" t="s">
        <v>145</v>
      </c>
      <c r="G10" s="35" t="s">
        <v>146</v>
      </c>
      <c r="H10" s="35" t="s">
        <v>147</v>
      </c>
      <c r="I10" s="35"/>
    </row>
    <row r="11" spans="5:9" ht="16" x14ac:dyDescent="0.2">
      <c r="E11" s="42" t="s">
        <v>140</v>
      </c>
      <c r="F11" s="44" t="s">
        <v>148</v>
      </c>
      <c r="G11" s="35" t="s">
        <v>149</v>
      </c>
      <c r="H11" s="35" t="s">
        <v>150</v>
      </c>
      <c r="I11" s="35" t="s">
        <v>151</v>
      </c>
    </row>
    <row r="12" spans="5:9" ht="16" x14ac:dyDescent="0.2">
      <c r="E12" s="42" t="s">
        <v>140</v>
      </c>
      <c r="F12" s="44" t="s">
        <v>152</v>
      </c>
      <c r="G12" s="35" t="s">
        <v>153</v>
      </c>
      <c r="H12" s="35" t="s">
        <v>154</v>
      </c>
      <c r="I12" s="35"/>
    </row>
    <row r="13" spans="5:9" ht="15.75" customHeight="1" x14ac:dyDescent="0.2">
      <c r="E13" s="42" t="s">
        <v>140</v>
      </c>
      <c r="F13" s="45" t="s">
        <v>155</v>
      </c>
      <c r="G13" s="35" t="s">
        <v>156</v>
      </c>
      <c r="H13" s="35" t="s">
        <v>157</v>
      </c>
      <c r="I13" s="35"/>
    </row>
    <row r="14" spans="5:9" ht="15.75" customHeight="1" x14ac:dyDescent="0.2">
      <c r="E14" s="42" t="s">
        <v>140</v>
      </c>
      <c r="F14" s="45" t="s">
        <v>158</v>
      </c>
      <c r="G14" s="35" t="s">
        <v>159</v>
      </c>
      <c r="H14" s="35" t="s">
        <v>160</v>
      </c>
      <c r="I14" s="35"/>
    </row>
    <row r="15" spans="5:9" ht="16" x14ac:dyDescent="0.2">
      <c r="E15" s="42" t="s">
        <v>140</v>
      </c>
      <c r="F15" s="44" t="s">
        <v>161</v>
      </c>
      <c r="G15" s="35" t="s">
        <v>162</v>
      </c>
      <c r="H15" s="35" t="s">
        <v>163</v>
      </c>
      <c r="I15" s="35"/>
    </row>
    <row r="16" spans="5:9" ht="16" x14ac:dyDescent="0.2">
      <c r="E16" s="42" t="s">
        <v>140</v>
      </c>
      <c r="F16" s="45" t="s">
        <v>158</v>
      </c>
      <c r="G16" s="35" t="s">
        <v>159</v>
      </c>
      <c r="H16" s="35" t="s">
        <v>160</v>
      </c>
      <c r="I16" s="35"/>
    </row>
    <row r="17" spans="5:9" ht="16" x14ac:dyDescent="0.2">
      <c r="E17" s="42" t="s">
        <v>140</v>
      </c>
      <c r="F17" s="44" t="s">
        <v>164</v>
      </c>
      <c r="G17" s="35" t="s">
        <v>165</v>
      </c>
      <c r="H17" s="35" t="s">
        <v>166</v>
      </c>
      <c r="I17" s="35" t="s">
        <v>167</v>
      </c>
    </row>
    <row r="18" spans="5:9" ht="16" x14ac:dyDescent="0.2">
      <c r="E18" s="42" t="s">
        <v>140</v>
      </c>
      <c r="F18" s="44" t="s">
        <v>168</v>
      </c>
      <c r="G18" s="35" t="s">
        <v>169</v>
      </c>
      <c r="H18" s="35" t="s">
        <v>170</v>
      </c>
      <c r="I18" s="35" t="s">
        <v>165</v>
      </c>
    </row>
    <row r="19" spans="5:9" ht="16" x14ac:dyDescent="0.2">
      <c r="E19" s="42" t="s">
        <v>140</v>
      </c>
      <c r="F19" s="44" t="s">
        <v>171</v>
      </c>
      <c r="G19" s="35" t="s">
        <v>172</v>
      </c>
      <c r="H19" s="35" t="s">
        <v>173</v>
      </c>
      <c r="I19" s="35" t="s">
        <v>169</v>
      </c>
    </row>
    <row r="20" spans="5:9" ht="16" x14ac:dyDescent="0.2">
      <c r="E20" s="42" t="s">
        <v>140</v>
      </c>
      <c r="F20" s="44" t="s">
        <v>174</v>
      </c>
      <c r="G20" s="35" t="s">
        <v>165</v>
      </c>
      <c r="H20" s="35" t="s">
        <v>175</v>
      </c>
      <c r="I20" s="35" t="s">
        <v>165</v>
      </c>
    </row>
    <row r="21" spans="5:9" ht="16" x14ac:dyDescent="0.2">
      <c r="E21" s="42" t="s">
        <v>140</v>
      </c>
      <c r="F21" s="44" t="s">
        <v>176</v>
      </c>
      <c r="G21" s="35" t="s">
        <v>169</v>
      </c>
      <c r="H21" s="35" t="s">
        <v>170</v>
      </c>
      <c r="I21" s="35" t="s">
        <v>169</v>
      </c>
    </row>
    <row r="22" spans="5:9" ht="16" x14ac:dyDescent="0.2">
      <c r="E22" s="42" t="s">
        <v>140</v>
      </c>
      <c r="F22" s="44" t="s">
        <v>177</v>
      </c>
      <c r="G22" s="35" t="s">
        <v>178</v>
      </c>
      <c r="H22" s="35" t="s">
        <v>179</v>
      </c>
      <c r="I22" s="35"/>
    </row>
    <row r="23" spans="5:9" ht="15" customHeight="1" x14ac:dyDescent="0.2">
      <c r="E23" s="42" t="s">
        <v>140</v>
      </c>
      <c r="F23" s="44" t="s">
        <v>180</v>
      </c>
      <c r="G23" s="35" t="s">
        <v>181</v>
      </c>
      <c r="H23" s="35" t="s">
        <v>182</v>
      </c>
      <c r="I23" s="35" t="s">
        <v>183</v>
      </c>
    </row>
    <row r="24" spans="5:9" ht="16" x14ac:dyDescent="0.2">
      <c r="E24" s="42" t="s">
        <v>140</v>
      </c>
      <c r="F24" s="44" t="s">
        <v>184</v>
      </c>
      <c r="G24" s="35" t="s">
        <v>185</v>
      </c>
      <c r="H24" s="35" t="s">
        <v>185</v>
      </c>
      <c r="I24" s="35"/>
    </row>
    <row r="25" spans="5:9" ht="16" x14ac:dyDescent="0.2">
      <c r="E25" s="42" t="s">
        <v>140</v>
      </c>
      <c r="F25" s="44" t="s">
        <v>186</v>
      </c>
      <c r="G25" s="35" t="s">
        <v>187</v>
      </c>
      <c r="H25" s="35" t="s">
        <v>188</v>
      </c>
      <c r="I25" s="35"/>
    </row>
    <row r="26" spans="5:9" ht="16" x14ac:dyDescent="0.2">
      <c r="E26" s="42" t="s">
        <v>140</v>
      </c>
      <c r="F26" s="44" t="s">
        <v>189</v>
      </c>
      <c r="G26" s="35" t="s">
        <v>190</v>
      </c>
      <c r="H26" s="68" t="s">
        <v>191</v>
      </c>
      <c r="I26" s="35"/>
    </row>
    <row r="27" spans="5:9" ht="16" x14ac:dyDescent="0.2">
      <c r="E27" s="42" t="s">
        <v>140</v>
      </c>
      <c r="F27" s="44" t="s">
        <v>192</v>
      </c>
      <c r="G27" s="35" t="s">
        <v>193</v>
      </c>
      <c r="H27" s="35"/>
      <c r="I27" s="35"/>
    </row>
    <row r="28" spans="5:9" ht="16" x14ac:dyDescent="0.2">
      <c r="E28" s="42" t="s">
        <v>140</v>
      </c>
      <c r="F28" s="44" t="s">
        <v>194</v>
      </c>
      <c r="G28" s="35" t="s">
        <v>195</v>
      </c>
      <c r="H28" s="35"/>
      <c r="I28" s="35"/>
    </row>
    <row r="29" spans="5:9" ht="16" x14ac:dyDescent="0.2">
      <c r="E29" s="42" t="s">
        <v>140</v>
      </c>
      <c r="F29" s="44" t="s">
        <v>196</v>
      </c>
      <c r="G29" s="35" t="s">
        <v>197</v>
      </c>
      <c r="H29" s="35"/>
      <c r="I29" s="35"/>
    </row>
    <row r="30" spans="5:9" ht="16.5" customHeight="1" x14ac:dyDescent="0.2">
      <c r="E30" s="42" t="s">
        <v>140</v>
      </c>
      <c r="F30" s="44" t="s">
        <v>198</v>
      </c>
      <c r="G30" s="35" t="s">
        <v>199</v>
      </c>
      <c r="H30" s="35" t="s">
        <v>200</v>
      </c>
      <c r="I30" s="35" t="s">
        <v>201</v>
      </c>
    </row>
    <row r="31" spans="5:9" ht="16" x14ac:dyDescent="0.2">
      <c r="E31" s="42" t="s">
        <v>140</v>
      </c>
      <c r="F31" s="44" t="s">
        <v>202</v>
      </c>
      <c r="G31" s="35" t="s">
        <v>203</v>
      </c>
      <c r="H31" s="35" t="s">
        <v>204</v>
      </c>
      <c r="I31" s="35"/>
    </row>
    <row r="32" spans="5:9" x14ac:dyDescent="0.2">
      <c r="E32" s="16"/>
      <c r="F32" s="44"/>
      <c r="G32" s="36"/>
      <c r="H32" s="16"/>
      <c r="I32" s="36"/>
    </row>
    <row r="33" spans="5:9" ht="19" x14ac:dyDescent="0.25">
      <c r="E33" s="65" t="s">
        <v>135</v>
      </c>
      <c r="F33" s="66" t="s">
        <v>136</v>
      </c>
      <c r="G33" s="66" t="s">
        <v>137</v>
      </c>
      <c r="H33" s="67" t="s">
        <v>138</v>
      </c>
      <c r="I33" s="66" t="s">
        <v>139</v>
      </c>
    </row>
    <row r="34" spans="5:9" ht="16.5" customHeight="1" x14ac:dyDescent="0.2">
      <c r="E34" s="42" t="s">
        <v>205</v>
      </c>
      <c r="F34" s="43" t="s">
        <v>141</v>
      </c>
      <c r="G34" s="35" t="s">
        <v>142</v>
      </c>
      <c r="H34" s="35" t="s">
        <v>143</v>
      </c>
      <c r="I34" s="35" t="s">
        <v>144</v>
      </c>
    </row>
    <row r="35" spans="5:9" ht="16.5" customHeight="1" x14ac:dyDescent="0.2">
      <c r="E35" s="42" t="s">
        <v>205</v>
      </c>
      <c r="F35" s="43" t="s">
        <v>145</v>
      </c>
      <c r="G35" s="35" t="s">
        <v>146</v>
      </c>
      <c r="H35" s="35" t="s">
        <v>147</v>
      </c>
      <c r="I35" s="35"/>
    </row>
    <row r="36" spans="5:9" ht="16" x14ac:dyDescent="0.2">
      <c r="E36" s="42" t="s">
        <v>205</v>
      </c>
      <c r="F36" s="44" t="s">
        <v>206</v>
      </c>
      <c r="G36" s="36" t="s">
        <v>207</v>
      </c>
      <c r="H36" s="34" t="s">
        <v>208</v>
      </c>
      <c r="I36" s="36"/>
    </row>
    <row r="37" spans="5:9" ht="16" x14ac:dyDescent="0.2">
      <c r="E37" s="42" t="s">
        <v>205</v>
      </c>
      <c r="F37" s="44" t="s">
        <v>152</v>
      </c>
      <c r="G37" s="35" t="s">
        <v>209</v>
      </c>
      <c r="H37" s="35" t="s">
        <v>154</v>
      </c>
      <c r="I37" s="36"/>
    </row>
    <row r="38" spans="5:9" ht="16" x14ac:dyDescent="0.2">
      <c r="E38" s="42" t="s">
        <v>205</v>
      </c>
      <c r="F38" s="44" t="s">
        <v>210</v>
      </c>
      <c r="G38" s="35" t="s">
        <v>211</v>
      </c>
      <c r="H38" s="35" t="s">
        <v>212</v>
      </c>
      <c r="I38" s="36"/>
    </row>
    <row r="39" spans="5:9" ht="15.75" customHeight="1" x14ac:dyDescent="0.2">
      <c r="E39" s="42" t="s">
        <v>205</v>
      </c>
      <c r="F39" s="44" t="s">
        <v>213</v>
      </c>
      <c r="G39" s="35" t="s">
        <v>156</v>
      </c>
      <c r="H39" s="35" t="s">
        <v>214</v>
      </c>
      <c r="I39" s="36"/>
    </row>
    <row r="40" spans="5:9" ht="16" x14ac:dyDescent="0.2">
      <c r="E40" s="42" t="s">
        <v>205</v>
      </c>
      <c r="F40" s="44" t="s">
        <v>161</v>
      </c>
      <c r="G40" s="35" t="s">
        <v>162</v>
      </c>
      <c r="H40" s="35" t="s">
        <v>163</v>
      </c>
      <c r="I40" s="36"/>
    </row>
    <row r="41" spans="5:9" ht="16" x14ac:dyDescent="0.2">
      <c r="E41" s="42" t="s">
        <v>205</v>
      </c>
      <c r="F41" s="44" t="s">
        <v>215</v>
      </c>
      <c r="G41" s="35" t="s">
        <v>165</v>
      </c>
      <c r="H41" s="35" t="s">
        <v>166</v>
      </c>
      <c r="I41" s="36"/>
    </row>
    <row r="42" spans="5:9" ht="15" customHeight="1" x14ac:dyDescent="0.2">
      <c r="E42" s="42" t="s">
        <v>205</v>
      </c>
      <c r="F42" s="44" t="s">
        <v>216</v>
      </c>
      <c r="G42" s="35" t="s">
        <v>217</v>
      </c>
      <c r="H42" s="35" t="s">
        <v>218</v>
      </c>
      <c r="I42" s="36"/>
    </row>
    <row r="43" spans="5:9" ht="16" x14ac:dyDescent="0.2">
      <c r="E43" s="42" t="s">
        <v>205</v>
      </c>
      <c r="F43" s="44" t="s">
        <v>219</v>
      </c>
      <c r="G43" s="35" t="s">
        <v>178</v>
      </c>
      <c r="H43" s="35" t="s">
        <v>220</v>
      </c>
      <c r="I43" s="36"/>
    </row>
    <row r="44" spans="5:9" ht="16" x14ac:dyDescent="0.2">
      <c r="E44" s="42" t="s">
        <v>205</v>
      </c>
      <c r="F44" s="44" t="s">
        <v>221</v>
      </c>
      <c r="G44" s="35" t="s">
        <v>165</v>
      </c>
      <c r="H44" s="35" t="s">
        <v>175</v>
      </c>
      <c r="I44" s="36"/>
    </row>
    <row r="45" spans="5:9" ht="16" x14ac:dyDescent="0.2">
      <c r="E45" s="42" t="s">
        <v>205</v>
      </c>
      <c r="F45" s="44" t="s">
        <v>222</v>
      </c>
      <c r="G45" s="35" t="s">
        <v>169</v>
      </c>
      <c r="H45" s="35" t="s">
        <v>218</v>
      </c>
      <c r="I45" s="36"/>
    </row>
    <row r="46" spans="5:9" ht="16" x14ac:dyDescent="0.2">
      <c r="E46" s="42" t="s">
        <v>205</v>
      </c>
      <c r="F46" s="44" t="s">
        <v>223</v>
      </c>
      <c r="G46" s="35" t="s">
        <v>178</v>
      </c>
      <c r="H46" s="35" t="s">
        <v>224</v>
      </c>
      <c r="I46" s="36"/>
    </row>
    <row r="47" spans="5:9" ht="16" x14ac:dyDescent="0.2">
      <c r="E47" s="42" t="s">
        <v>205</v>
      </c>
      <c r="F47" s="44" t="s">
        <v>225</v>
      </c>
      <c r="G47" s="36" t="s">
        <v>226</v>
      </c>
      <c r="H47" s="34" t="s">
        <v>227</v>
      </c>
      <c r="I47" s="36"/>
    </row>
    <row r="48" spans="5:9" ht="16" x14ac:dyDescent="0.2">
      <c r="E48" s="42" t="s">
        <v>205</v>
      </c>
      <c r="F48" s="44" t="s">
        <v>228</v>
      </c>
      <c r="G48" s="36" t="s">
        <v>229</v>
      </c>
      <c r="H48" s="34" t="s">
        <v>227</v>
      </c>
      <c r="I48" s="36"/>
    </row>
    <row r="49" spans="5:9" ht="16" x14ac:dyDescent="0.2">
      <c r="E49" s="42" t="s">
        <v>205</v>
      </c>
      <c r="F49" s="44" t="s">
        <v>180</v>
      </c>
      <c r="G49" s="35" t="s">
        <v>181</v>
      </c>
      <c r="H49" s="35" t="s">
        <v>182</v>
      </c>
      <c r="I49" s="35" t="s">
        <v>183</v>
      </c>
    </row>
    <row r="50" spans="5:9" ht="16" x14ac:dyDescent="0.2">
      <c r="E50" s="42" t="s">
        <v>205</v>
      </c>
      <c r="F50" s="44" t="s">
        <v>184</v>
      </c>
      <c r="G50" s="35" t="s">
        <v>185</v>
      </c>
      <c r="H50" s="35" t="s">
        <v>185</v>
      </c>
      <c r="I50" s="36"/>
    </row>
    <row r="51" spans="5:9" ht="16" x14ac:dyDescent="0.2">
      <c r="E51" s="42" t="s">
        <v>205</v>
      </c>
      <c r="F51" s="44" t="s">
        <v>186</v>
      </c>
      <c r="G51" s="35" t="s">
        <v>187</v>
      </c>
      <c r="H51" s="35" t="s">
        <v>188</v>
      </c>
      <c r="I51" s="36"/>
    </row>
    <row r="52" spans="5:9" ht="16" x14ac:dyDescent="0.2">
      <c r="E52" s="42" t="s">
        <v>205</v>
      </c>
      <c r="F52" s="44" t="s">
        <v>230</v>
      </c>
      <c r="G52" s="35" t="s">
        <v>190</v>
      </c>
      <c r="H52" s="69" t="s">
        <v>191</v>
      </c>
      <c r="I52" s="36"/>
    </row>
    <row r="53" spans="5:9" ht="15" customHeight="1" x14ac:dyDescent="0.2">
      <c r="E53" s="42" t="s">
        <v>205</v>
      </c>
      <c r="F53" s="43" t="s">
        <v>231</v>
      </c>
      <c r="G53" s="35" t="s">
        <v>232</v>
      </c>
      <c r="H53" s="35" t="s">
        <v>233</v>
      </c>
      <c r="I53" s="36"/>
    </row>
    <row r="54" spans="5:9" ht="16" x14ac:dyDescent="0.2">
      <c r="E54" s="42" t="s">
        <v>205</v>
      </c>
      <c r="F54" s="44" t="s">
        <v>234</v>
      </c>
      <c r="G54" s="36" t="s">
        <v>235</v>
      </c>
      <c r="H54" s="34" t="s">
        <v>236</v>
      </c>
      <c r="I54" s="36"/>
    </row>
    <row r="55" spans="5:9" ht="16" x14ac:dyDescent="0.2">
      <c r="E55" s="42" t="s">
        <v>205</v>
      </c>
      <c r="F55" s="44" t="s">
        <v>192</v>
      </c>
      <c r="G55" s="35" t="s">
        <v>193</v>
      </c>
      <c r="H55" s="35"/>
      <c r="I55" s="35"/>
    </row>
    <row r="56" spans="5:9" ht="16" x14ac:dyDescent="0.2">
      <c r="E56" s="42" t="s">
        <v>205</v>
      </c>
      <c r="F56" s="44" t="s">
        <v>194</v>
      </c>
      <c r="G56" s="35" t="s">
        <v>195</v>
      </c>
      <c r="H56" s="35"/>
      <c r="I56" s="35"/>
    </row>
    <row r="57" spans="5:9" ht="16.5" customHeight="1" x14ac:dyDescent="0.2">
      <c r="E57" s="42" t="s">
        <v>205</v>
      </c>
      <c r="F57" s="44" t="s">
        <v>196</v>
      </c>
      <c r="G57" s="35" t="s">
        <v>197</v>
      </c>
      <c r="H57" s="35"/>
      <c r="I57" s="35"/>
    </row>
    <row r="58" spans="5:9" ht="16" x14ac:dyDescent="0.2">
      <c r="E58" s="42" t="s">
        <v>205</v>
      </c>
      <c r="F58" s="44" t="s">
        <v>198</v>
      </c>
      <c r="G58" s="35" t="s">
        <v>199</v>
      </c>
      <c r="H58" s="35" t="s">
        <v>200</v>
      </c>
      <c r="I58" s="35" t="s">
        <v>201</v>
      </c>
    </row>
    <row r="59" spans="5:9" ht="16" x14ac:dyDescent="0.2">
      <c r="E59" s="42" t="s">
        <v>205</v>
      </c>
      <c r="F59" s="44" t="s">
        <v>202</v>
      </c>
      <c r="G59" s="35" t="s">
        <v>203</v>
      </c>
      <c r="H59" s="35" t="s">
        <v>204</v>
      </c>
      <c r="I59" s="36"/>
    </row>
    <row r="60" spans="5:9" ht="16" x14ac:dyDescent="0.2">
      <c r="E60" s="42" t="s">
        <v>205</v>
      </c>
      <c r="F60" s="44" t="s">
        <v>237</v>
      </c>
      <c r="G60" s="36" t="s">
        <v>238</v>
      </c>
      <c r="H60" s="34" t="s">
        <v>239</v>
      </c>
      <c r="I60" s="36"/>
    </row>
    <row r="61" spans="5:9" x14ac:dyDescent="0.2">
      <c r="E61" s="42"/>
      <c r="F61" s="44"/>
      <c r="G61" s="36"/>
      <c r="H61" s="34"/>
      <c r="I61" s="36"/>
    </row>
    <row r="63" spans="5:9" ht="19" x14ac:dyDescent="0.25">
      <c r="E63" s="65" t="s">
        <v>37</v>
      </c>
      <c r="F63" s="66" t="s">
        <v>136</v>
      </c>
      <c r="G63" s="228" t="s">
        <v>240</v>
      </c>
      <c r="H63" s="228"/>
    </row>
    <row r="64" spans="5:9" ht="249.75" customHeight="1" x14ac:dyDescent="0.2">
      <c r="E64" s="42">
        <v>1</v>
      </c>
      <c r="F64" s="44" t="s">
        <v>230</v>
      </c>
      <c r="G64" s="229" t="s">
        <v>241</v>
      </c>
      <c r="H64" s="230"/>
    </row>
    <row r="65" spans="5:8" x14ac:dyDescent="0.2">
      <c r="E65" s="42"/>
      <c r="F65" s="44"/>
      <c r="G65" s="223"/>
      <c r="H65" s="224"/>
    </row>
    <row r="66" spans="5:8" x14ac:dyDescent="0.2">
      <c r="E66" s="42"/>
      <c r="F66" s="44"/>
      <c r="G66" s="223"/>
      <c r="H66" s="224"/>
    </row>
    <row r="67" spans="5:8" x14ac:dyDescent="0.2">
      <c r="E67" s="42"/>
      <c r="F67" s="44"/>
      <c r="G67" s="223"/>
      <c r="H67" s="224"/>
    </row>
  </sheetData>
  <mergeCells count="7">
    <mergeCell ref="G66:H66"/>
    <mergeCell ref="G67:H67"/>
    <mergeCell ref="G3:H3"/>
    <mergeCell ref="G6:H6"/>
    <mergeCell ref="G63:H63"/>
    <mergeCell ref="G64:H64"/>
    <mergeCell ref="G65:H65"/>
  </mergeCell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9">
    <tabColor theme="9" tint="-0.499984740745262"/>
  </sheetPr>
  <dimension ref="B2:L34"/>
  <sheetViews>
    <sheetView workbookViewId="0">
      <selection activeCell="D16" sqref="D16"/>
    </sheetView>
  </sheetViews>
  <sheetFormatPr baseColWidth="10" defaultColWidth="9.1640625" defaultRowHeight="15" x14ac:dyDescent="0.2"/>
  <cols>
    <col min="1" max="1" width="9.1640625" style="2"/>
    <col min="2" max="2" width="10.83203125" style="2" customWidth="1"/>
    <col min="3" max="3" width="20.6640625" style="2" customWidth="1"/>
    <col min="4" max="4" width="90.5" style="2" customWidth="1"/>
    <col min="5" max="5" width="4.5" style="2" customWidth="1"/>
    <col min="6" max="6" width="87.1640625" style="2" customWidth="1"/>
    <col min="7" max="7" width="9.1640625" style="2"/>
    <col min="8" max="8" width="3.33203125" style="2" customWidth="1"/>
    <col min="9" max="16384" width="9.1640625" style="2"/>
  </cols>
  <sheetData>
    <row r="2" spans="2:12" x14ac:dyDescent="0.2">
      <c r="B2" s="3"/>
      <c r="C2" s="233" t="s">
        <v>242</v>
      </c>
      <c r="D2" s="3"/>
      <c r="E2" s="3"/>
      <c r="F2" s="3"/>
      <c r="G2" s="3"/>
      <c r="H2" s="3"/>
      <c r="I2" s="3"/>
      <c r="J2" s="3"/>
      <c r="K2" s="3"/>
      <c r="L2" s="3"/>
    </row>
    <row r="3" spans="2:12" ht="42.75" customHeight="1" x14ac:dyDescent="0.2">
      <c r="B3" s="114" t="s">
        <v>243</v>
      </c>
      <c r="C3" s="233"/>
      <c r="D3" s="112" t="s">
        <v>244</v>
      </c>
      <c r="E3" s="3"/>
      <c r="F3" s="231" t="str">
        <f>Versioning!G6</f>
        <v>DIM-Infosphere</v>
      </c>
      <c r="G3" s="232"/>
      <c r="H3" s="3"/>
      <c r="I3" s="3"/>
      <c r="J3" s="3"/>
      <c r="K3" s="3"/>
      <c r="L3" s="3"/>
    </row>
    <row r="4" spans="2:12" x14ac:dyDescent="0.2">
      <c r="B4" s="3"/>
      <c r="C4" s="233"/>
      <c r="D4" s="3"/>
      <c r="E4" s="3"/>
      <c r="F4" s="3"/>
      <c r="G4" s="3"/>
      <c r="H4" s="3"/>
      <c r="I4" s="3"/>
      <c r="J4" s="3"/>
      <c r="K4" s="3"/>
      <c r="L4" s="3"/>
    </row>
    <row r="6" spans="2:12" x14ac:dyDescent="0.2">
      <c r="B6" s="2" t="s">
        <v>245</v>
      </c>
      <c r="C6" s="2" t="s">
        <v>246</v>
      </c>
      <c r="D6" s="125"/>
      <c r="F6" s="2" t="s">
        <v>247</v>
      </c>
    </row>
    <row r="8" spans="2:12" x14ac:dyDescent="0.2">
      <c r="B8" s="2" t="s">
        <v>245</v>
      </c>
      <c r="C8" s="2" t="s">
        <v>248</v>
      </c>
      <c r="D8" s="126"/>
      <c r="F8" s="2" t="s">
        <v>249</v>
      </c>
    </row>
    <row r="10" spans="2:12" ht="16" x14ac:dyDescent="0.2">
      <c r="B10" s="2" t="s">
        <v>245</v>
      </c>
      <c r="C10" s="2" t="s">
        <v>250</v>
      </c>
      <c r="D10" s="126" t="s">
        <v>109</v>
      </c>
      <c r="F10" s="2" t="s">
        <v>251</v>
      </c>
    </row>
    <row r="11" spans="2:12" x14ac:dyDescent="0.2">
      <c r="F11" s="28" t="s">
        <v>252</v>
      </c>
    </row>
    <row r="12" spans="2:12" x14ac:dyDescent="0.2">
      <c r="C12" s="2" t="s">
        <v>253</v>
      </c>
      <c r="D12" s="127">
        <v>5</v>
      </c>
      <c r="F12" s="2" t="s">
        <v>254</v>
      </c>
    </row>
    <row r="14" spans="2:12" x14ac:dyDescent="0.2">
      <c r="C14" s="2" t="s">
        <v>255</v>
      </c>
      <c r="D14" s="127">
        <v>0</v>
      </c>
      <c r="F14" s="2" t="s">
        <v>256</v>
      </c>
    </row>
    <row r="18" spans="2:6" ht="16" x14ac:dyDescent="0.2">
      <c r="B18" s="2" t="s">
        <v>245</v>
      </c>
      <c r="C18" s="2" t="s">
        <v>257</v>
      </c>
      <c r="D18" s="126" t="s">
        <v>109</v>
      </c>
      <c r="F18" s="2" t="s">
        <v>258</v>
      </c>
    </row>
    <row r="20" spans="2:6" x14ac:dyDescent="0.2">
      <c r="F20" s="113" t="s">
        <v>259</v>
      </c>
    </row>
    <row r="21" spans="2:6" x14ac:dyDescent="0.2">
      <c r="F21" s="234" t="s">
        <v>260</v>
      </c>
    </row>
    <row r="22" spans="2:6" x14ac:dyDescent="0.2">
      <c r="F22" s="235"/>
    </row>
    <row r="23" spans="2:6" x14ac:dyDescent="0.2">
      <c r="F23" s="235"/>
    </row>
    <row r="24" spans="2:6" x14ac:dyDescent="0.2">
      <c r="F24" s="235"/>
    </row>
    <row r="25" spans="2:6" x14ac:dyDescent="0.2">
      <c r="F25" s="235"/>
    </row>
    <row r="26" spans="2:6" x14ac:dyDescent="0.2">
      <c r="F26" s="235"/>
    </row>
    <row r="27" spans="2:6" x14ac:dyDescent="0.2">
      <c r="C27" s="2" t="s">
        <v>261</v>
      </c>
      <c r="D27" s="128">
        <v>24</v>
      </c>
      <c r="F27" s="235"/>
    </row>
    <row r="28" spans="2:6" x14ac:dyDescent="0.2">
      <c r="D28" s="70"/>
      <c r="F28" s="235"/>
    </row>
    <row r="29" spans="2:6" x14ac:dyDescent="0.2">
      <c r="C29" s="2" t="s">
        <v>262</v>
      </c>
      <c r="D29" s="128">
        <v>24</v>
      </c>
      <c r="F29" s="235"/>
    </row>
    <row r="30" spans="2:6" x14ac:dyDescent="0.2">
      <c r="F30" s="235"/>
    </row>
    <row r="31" spans="2:6" x14ac:dyDescent="0.2">
      <c r="F31" s="235"/>
    </row>
    <row r="32" spans="2:6" x14ac:dyDescent="0.2">
      <c r="F32" s="235"/>
    </row>
    <row r="33" spans="6:6" x14ac:dyDescent="0.2">
      <c r="F33" s="235"/>
    </row>
    <row r="34" spans="6:6" x14ac:dyDescent="0.2">
      <c r="F34" s="236"/>
    </row>
  </sheetData>
  <mergeCells count="3">
    <mergeCell ref="F3:G3"/>
    <mergeCell ref="C2:C4"/>
    <mergeCell ref="F21:F34"/>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Tables!$I$7:$I$19</xm:f>
          </x14:formula1>
          <xm:sqref>D10 D18</xm:sqref>
        </x14:dataValidation>
        <x14:dataValidation type="list" allowBlank="1" showInputMessage="1" showErrorMessage="1" xr:uid="{00000000-0002-0000-0300-000001000000}">
          <x14:formula1>
            <xm:f>Tables!$W$7:$W$12</xm:f>
          </x14:formula1>
          <xm:sqref>D3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F75DB-C93D-479E-9E01-EA07BA41829D}">
  <sheetPr codeName="Blad15"/>
  <dimension ref="A1"/>
  <sheetViews>
    <sheetView zoomScale="40" zoomScaleNormal="40" workbookViewId="0">
      <selection activeCell="AD19" sqref="AD19"/>
    </sheetView>
  </sheetViews>
  <sheetFormatPr baseColWidth="10" defaultColWidth="8.83203125" defaultRowHeight="15" x14ac:dyDescent="0.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47D98-E9D8-4016-9338-BA09AE37481A}">
  <sheetPr codeName="Blad14">
    <tabColor rgb="FF7030A0"/>
  </sheetPr>
  <dimension ref="A1:Y116"/>
  <sheetViews>
    <sheetView zoomScale="70" zoomScaleNormal="70" workbookViewId="0">
      <pane ySplit="6" topLeftCell="A23" activePane="bottomLeft" state="frozen"/>
      <selection pane="bottomLeft" activeCell="I36" sqref="I36"/>
    </sheetView>
  </sheetViews>
  <sheetFormatPr baseColWidth="10" defaultColWidth="9.1640625" defaultRowHeight="15" outlineLevelRow="1" outlineLevelCol="1" x14ac:dyDescent="0.2"/>
  <cols>
    <col min="1" max="1" width="15.83203125" style="159" customWidth="1"/>
    <col min="2" max="2" width="4.6640625" style="160" customWidth="1"/>
    <col min="3" max="3" width="5.83203125" style="159" customWidth="1"/>
    <col min="4" max="4" width="32.33203125" style="160" customWidth="1"/>
    <col min="5" max="5" width="19.5" style="159" customWidth="1"/>
    <col min="6" max="6" width="6.5" style="159" customWidth="1"/>
    <col min="7" max="7" width="16.5" style="159" customWidth="1"/>
    <col min="8" max="8" width="6.33203125" style="159" customWidth="1"/>
    <col min="9" max="9" width="18.5" style="159" customWidth="1"/>
    <col min="10" max="10" width="16" style="159" customWidth="1"/>
    <col min="11" max="11" width="20.33203125" style="159" customWidth="1"/>
    <col min="12" max="12" width="17.5" style="159" customWidth="1"/>
    <col min="13" max="13" width="18.5" style="159" customWidth="1"/>
    <col min="14" max="14" width="13.6640625" style="159" customWidth="1"/>
    <col min="15" max="15" width="20" style="160" customWidth="1"/>
    <col min="16" max="16" width="13.1640625" style="160" customWidth="1"/>
    <col min="17" max="17" width="13.5" style="161" customWidth="1"/>
    <col min="18" max="18" width="19.1640625" style="159" customWidth="1"/>
    <col min="19" max="19" width="16.83203125" style="159" hidden="1" customWidth="1" outlineLevel="1"/>
    <col min="20" max="20" width="16.5" style="159" hidden="1" customWidth="1" outlineLevel="1"/>
    <col min="21" max="21" width="15" style="160" hidden="1" customWidth="1" outlineLevel="1"/>
    <col min="22" max="22" width="22" style="160" customWidth="1" collapsed="1"/>
    <col min="23" max="23" width="35.5" style="159" customWidth="1"/>
    <col min="24" max="24" width="46.6640625" style="159" bestFit="1" customWidth="1"/>
    <col min="25" max="25" width="27.6640625" style="159" bestFit="1" customWidth="1"/>
    <col min="26" max="26" width="12.33203125" style="159" customWidth="1"/>
    <col min="27" max="16384" width="9.1640625" style="159"/>
  </cols>
  <sheetData>
    <row r="1" spans="1:25" hidden="1" outlineLevel="1" x14ac:dyDescent="0.2">
      <c r="A1" s="193"/>
      <c r="B1" s="194"/>
      <c r="C1" s="193"/>
      <c r="D1" s="194"/>
      <c r="E1" s="193"/>
      <c r="F1" s="193"/>
      <c r="G1" s="193"/>
      <c r="H1" s="193"/>
      <c r="I1" s="193"/>
      <c r="J1" s="193"/>
      <c r="K1" s="193"/>
      <c r="L1" s="193"/>
      <c r="M1" s="193"/>
      <c r="N1" s="193"/>
      <c r="O1" s="194"/>
      <c r="P1" s="194"/>
      <c r="Q1" s="195"/>
      <c r="R1" s="193"/>
      <c r="S1" s="193"/>
      <c r="T1" s="193"/>
      <c r="U1" s="194"/>
      <c r="V1" s="194"/>
      <c r="W1" s="193"/>
      <c r="X1" s="193"/>
      <c r="Y1" s="193"/>
    </row>
    <row r="2" spans="1:25" ht="24.75" hidden="1" customHeight="1" outlineLevel="1" x14ac:dyDescent="0.2">
      <c r="A2" s="193"/>
      <c r="B2" s="8"/>
      <c r="C2" s="5"/>
      <c r="D2" s="8"/>
      <c r="E2" s="5"/>
      <c r="F2" s="5"/>
      <c r="G2" s="5"/>
      <c r="H2" s="5"/>
      <c r="I2" s="162" t="s">
        <v>263</v>
      </c>
      <c r="J2" s="5"/>
      <c r="K2" s="5"/>
      <c r="L2" s="5"/>
      <c r="M2" s="5"/>
      <c r="N2" s="5"/>
      <c r="O2" s="8"/>
      <c r="P2" s="8"/>
      <c r="Q2" s="49"/>
      <c r="R2" s="5"/>
      <c r="S2" s="5"/>
      <c r="T2" s="5"/>
      <c r="U2" s="8"/>
      <c r="V2" s="8"/>
      <c r="W2" s="5"/>
      <c r="X2" s="5"/>
      <c r="Y2" s="5"/>
    </row>
    <row r="3" spans="1:25" hidden="1" outlineLevel="1" x14ac:dyDescent="0.2">
      <c r="A3" s="193"/>
      <c r="B3" s="8"/>
      <c r="C3" s="5"/>
      <c r="D3" s="8"/>
      <c r="E3" s="115" t="s">
        <v>264</v>
      </c>
      <c r="F3" s="5" t="str">
        <f>Versioning!F29</f>
        <v>2.01</v>
      </c>
      <c r="G3" s="5"/>
      <c r="H3" s="5"/>
      <c r="I3" s="5" t="s">
        <v>265</v>
      </c>
      <c r="J3" s="5"/>
      <c r="K3" s="5"/>
      <c r="L3" s="237" t="str">
        <f>Versioning!G6</f>
        <v>DIM-Infosphere</v>
      </c>
      <c r="M3" s="232"/>
      <c r="N3" s="5"/>
      <c r="O3" s="8"/>
      <c r="P3" s="8"/>
      <c r="Q3" s="49"/>
      <c r="R3" s="5"/>
      <c r="S3" s="5"/>
      <c r="T3" s="5"/>
      <c r="U3" s="8"/>
      <c r="V3" s="8"/>
      <c r="W3" s="5"/>
      <c r="X3" s="5"/>
      <c r="Y3" s="5"/>
    </row>
    <row r="4" spans="1:25" ht="18" hidden="1" customHeight="1" outlineLevel="1" x14ac:dyDescent="0.2">
      <c r="A4" s="193"/>
      <c r="B4" s="8"/>
      <c r="C4" s="5"/>
      <c r="D4" s="8"/>
      <c r="E4" s="5"/>
      <c r="F4" s="5"/>
      <c r="G4" s="5"/>
      <c r="H4" s="5"/>
      <c r="I4" s="33" t="s">
        <v>266</v>
      </c>
      <c r="J4" s="5"/>
      <c r="K4" s="5"/>
      <c r="L4" s="41" t="s">
        <v>267</v>
      </c>
      <c r="M4" s="5"/>
      <c r="N4" s="5"/>
      <c r="O4" s="8"/>
      <c r="P4" s="8"/>
      <c r="Q4" s="49"/>
      <c r="R4" s="5"/>
      <c r="S4" s="5"/>
      <c r="T4" s="5"/>
      <c r="U4" s="8"/>
      <c r="V4" s="8"/>
      <c r="W4" s="5"/>
      <c r="X4" s="5"/>
      <c r="Y4" s="5"/>
    </row>
    <row r="5" spans="1:25" hidden="1" outlineLevel="1" x14ac:dyDescent="0.2">
      <c r="A5" s="193"/>
      <c r="B5" s="238"/>
      <c r="C5" s="238"/>
      <c r="D5" s="238"/>
      <c r="E5" s="238"/>
      <c r="F5" s="77"/>
      <c r="G5" s="193"/>
      <c r="H5" s="193"/>
      <c r="I5" s="193"/>
      <c r="J5" s="193"/>
      <c r="K5" s="19"/>
      <c r="L5" s="19"/>
      <c r="M5" s="19"/>
      <c r="N5" s="196"/>
      <c r="O5" s="196"/>
      <c r="P5" s="193"/>
      <c r="Q5" s="195"/>
      <c r="R5" s="193"/>
      <c r="S5" s="193"/>
      <c r="T5" s="193"/>
      <c r="U5" s="194"/>
      <c r="V5" s="194"/>
      <c r="W5" s="193"/>
      <c r="X5" s="193"/>
      <c r="Y5" s="193"/>
    </row>
    <row r="6" spans="1:25" ht="70.5" customHeight="1" collapsed="1" x14ac:dyDescent="0.2">
      <c r="A6" s="146" t="s">
        <v>268</v>
      </c>
      <c r="B6" s="147" t="s">
        <v>145</v>
      </c>
      <c r="C6" s="148" t="s">
        <v>269</v>
      </c>
      <c r="D6" s="149" t="s">
        <v>270</v>
      </c>
      <c r="E6" s="148" t="s">
        <v>271</v>
      </c>
      <c r="F6" s="149" t="s">
        <v>272</v>
      </c>
      <c r="G6" s="150" t="s">
        <v>273</v>
      </c>
      <c r="H6" s="151" t="s">
        <v>272</v>
      </c>
      <c r="I6" s="148" t="s">
        <v>274</v>
      </c>
      <c r="J6" s="148" t="s">
        <v>275</v>
      </c>
      <c r="K6" s="148" t="s">
        <v>276</v>
      </c>
      <c r="L6" s="163" t="s">
        <v>277</v>
      </c>
      <c r="M6" s="164" t="s">
        <v>278</v>
      </c>
      <c r="N6" s="165" t="s">
        <v>279</v>
      </c>
      <c r="O6" s="154" t="s">
        <v>280</v>
      </c>
      <c r="P6" s="154" t="s">
        <v>281</v>
      </c>
      <c r="Q6" s="155" t="s">
        <v>282</v>
      </c>
      <c r="R6" s="156" t="s">
        <v>283</v>
      </c>
      <c r="S6" s="148" t="s">
        <v>284</v>
      </c>
      <c r="T6" s="148" t="s">
        <v>285</v>
      </c>
      <c r="U6" s="149" t="s">
        <v>286</v>
      </c>
      <c r="V6" s="155" t="s">
        <v>287</v>
      </c>
      <c r="W6" s="157" t="s">
        <v>202</v>
      </c>
      <c r="X6" s="157" t="s">
        <v>288</v>
      </c>
      <c r="Y6" s="158" t="s">
        <v>289</v>
      </c>
    </row>
    <row r="7" spans="1:25" s="136" customFormat="1" ht="16" x14ac:dyDescent="0.2">
      <c r="A7" s="133" t="s">
        <v>290</v>
      </c>
      <c r="B7" s="134">
        <f t="shared" ref="B7:B37" si="0" xml:space="preserve"> ROW(B7) - 6</f>
        <v>1</v>
      </c>
      <c r="C7" s="133">
        <v>1</v>
      </c>
      <c r="D7" s="133" t="s">
        <v>291</v>
      </c>
      <c r="E7" s="133" t="s">
        <v>292</v>
      </c>
      <c r="F7" s="135" t="s">
        <v>293</v>
      </c>
      <c r="G7" s="133" t="s">
        <v>294</v>
      </c>
      <c r="H7" s="135" t="s">
        <v>293</v>
      </c>
      <c r="I7" s="133" t="s">
        <v>295</v>
      </c>
      <c r="J7" s="133" t="s">
        <v>296</v>
      </c>
      <c r="K7" s="133"/>
      <c r="L7" s="133" t="s">
        <v>297</v>
      </c>
      <c r="M7" s="133" t="s">
        <v>298</v>
      </c>
      <c r="N7" s="133" t="s">
        <v>299</v>
      </c>
      <c r="O7" s="135" t="s">
        <v>300</v>
      </c>
      <c r="P7" s="133"/>
      <c r="Q7" s="135" t="s">
        <v>293</v>
      </c>
      <c r="R7" s="135" t="s">
        <v>301</v>
      </c>
      <c r="S7" s="133"/>
      <c r="T7" s="133"/>
      <c r="U7" s="135" t="s">
        <v>302</v>
      </c>
      <c r="V7" s="135" t="s">
        <v>303</v>
      </c>
      <c r="W7" s="133"/>
      <c r="X7" s="133"/>
      <c r="Y7" s="133"/>
    </row>
    <row r="8" spans="1:25" s="136" customFormat="1" ht="32" x14ac:dyDescent="0.2">
      <c r="A8" s="133" t="s">
        <v>304</v>
      </c>
      <c r="B8" s="134">
        <f t="shared" si="0"/>
        <v>2</v>
      </c>
      <c r="C8" s="133">
        <v>2</v>
      </c>
      <c r="D8" s="133" t="s">
        <v>305</v>
      </c>
      <c r="E8" s="133" t="s">
        <v>292</v>
      </c>
      <c r="F8" s="135" t="s">
        <v>293</v>
      </c>
      <c r="G8" s="133" t="s">
        <v>306</v>
      </c>
      <c r="H8" s="135" t="s">
        <v>293</v>
      </c>
      <c r="I8" s="133" t="s">
        <v>295</v>
      </c>
      <c r="J8" s="133" t="s">
        <v>296</v>
      </c>
      <c r="K8" s="133"/>
      <c r="L8" s="133" t="s">
        <v>307</v>
      </c>
      <c r="M8" s="133" t="s">
        <v>308</v>
      </c>
      <c r="N8" s="133" t="s">
        <v>309</v>
      </c>
      <c r="O8" s="135" t="s">
        <v>300</v>
      </c>
      <c r="P8" s="133"/>
      <c r="Q8" s="135" t="s">
        <v>293</v>
      </c>
      <c r="R8" s="135" t="s">
        <v>310</v>
      </c>
      <c r="S8" s="133"/>
      <c r="T8" s="133"/>
      <c r="U8" s="135" t="s">
        <v>302</v>
      </c>
      <c r="V8" s="135" t="s">
        <v>303</v>
      </c>
      <c r="W8" s="133"/>
      <c r="X8" s="133"/>
      <c r="Y8" s="133"/>
    </row>
    <row r="9" spans="1:25" s="136" customFormat="1" ht="32" x14ac:dyDescent="0.2">
      <c r="A9" s="133" t="s">
        <v>311</v>
      </c>
      <c r="B9" s="134">
        <f t="shared" si="0"/>
        <v>3</v>
      </c>
      <c r="C9" s="133">
        <v>3</v>
      </c>
      <c r="D9" s="133" t="s">
        <v>312</v>
      </c>
      <c r="E9" s="133" t="s">
        <v>313</v>
      </c>
      <c r="F9" s="135" t="s">
        <v>293</v>
      </c>
      <c r="G9" s="133" t="s">
        <v>306</v>
      </c>
      <c r="H9" s="135" t="s">
        <v>293</v>
      </c>
      <c r="I9" s="133" t="s">
        <v>314</v>
      </c>
      <c r="J9" s="133" t="s">
        <v>315</v>
      </c>
      <c r="K9" s="133" t="s">
        <v>316</v>
      </c>
      <c r="L9" s="133" t="s">
        <v>307</v>
      </c>
      <c r="M9" s="133" t="s">
        <v>308</v>
      </c>
      <c r="N9" s="133" t="s">
        <v>309</v>
      </c>
      <c r="O9" s="135" t="s">
        <v>317</v>
      </c>
      <c r="P9" s="133"/>
      <c r="Q9" s="135" t="s">
        <v>293</v>
      </c>
      <c r="R9" s="135" t="s">
        <v>310</v>
      </c>
      <c r="S9" s="133"/>
      <c r="T9" s="133"/>
      <c r="U9" s="135" t="s">
        <v>302</v>
      </c>
      <c r="V9" s="135" t="s">
        <v>318</v>
      </c>
      <c r="W9" s="133" t="s">
        <v>319</v>
      </c>
      <c r="X9" s="133"/>
      <c r="Y9" s="133"/>
    </row>
    <row r="10" spans="1:25" s="136" customFormat="1" ht="48" x14ac:dyDescent="0.2">
      <c r="A10" s="133" t="s">
        <v>320</v>
      </c>
      <c r="B10" s="134">
        <f t="shared" si="0"/>
        <v>4</v>
      </c>
      <c r="C10" s="133">
        <v>4</v>
      </c>
      <c r="D10" s="133" t="s">
        <v>321</v>
      </c>
      <c r="E10" s="133" t="s">
        <v>313</v>
      </c>
      <c r="F10" s="135" t="s">
        <v>293</v>
      </c>
      <c r="G10" s="133" t="s">
        <v>322</v>
      </c>
      <c r="H10" s="135" t="s">
        <v>293</v>
      </c>
      <c r="I10" s="133" t="s">
        <v>314</v>
      </c>
      <c r="J10" s="133" t="s">
        <v>315</v>
      </c>
      <c r="K10" s="133" t="s">
        <v>316</v>
      </c>
      <c r="L10" s="133" t="s">
        <v>323</v>
      </c>
      <c r="M10" s="133" t="s">
        <v>324</v>
      </c>
      <c r="N10" s="133" t="s">
        <v>325</v>
      </c>
      <c r="O10" s="135" t="s">
        <v>326</v>
      </c>
      <c r="P10" s="133"/>
      <c r="Q10" s="135" t="s">
        <v>293</v>
      </c>
      <c r="R10" s="135" t="s">
        <v>310</v>
      </c>
      <c r="S10" s="133"/>
      <c r="T10" s="133"/>
      <c r="U10" s="135" t="s">
        <v>302</v>
      </c>
      <c r="V10" s="135" t="s">
        <v>318</v>
      </c>
      <c r="W10" s="133" t="s">
        <v>327</v>
      </c>
      <c r="X10" s="133"/>
      <c r="Y10" s="133"/>
    </row>
    <row r="11" spans="1:25" s="136" customFormat="1" ht="32" x14ac:dyDescent="0.2">
      <c r="A11" s="133" t="s">
        <v>328</v>
      </c>
      <c r="B11" s="134">
        <f t="shared" si="0"/>
        <v>5</v>
      </c>
      <c r="C11" s="133">
        <v>5</v>
      </c>
      <c r="D11" s="133" t="s">
        <v>329</v>
      </c>
      <c r="E11" s="133" t="s">
        <v>313</v>
      </c>
      <c r="F11" s="135" t="s">
        <v>293</v>
      </c>
      <c r="G11" s="133" t="s">
        <v>330</v>
      </c>
      <c r="H11" s="135" t="s">
        <v>293</v>
      </c>
      <c r="I11" s="133" t="s">
        <v>314</v>
      </c>
      <c r="J11" s="133" t="s">
        <v>315</v>
      </c>
      <c r="K11" s="133" t="s">
        <v>316</v>
      </c>
      <c r="L11" s="133" t="s">
        <v>331</v>
      </c>
      <c r="M11" s="133" t="s">
        <v>332</v>
      </c>
      <c r="N11" s="133" t="s">
        <v>333</v>
      </c>
      <c r="O11" s="135" t="s">
        <v>334</v>
      </c>
      <c r="P11" s="133">
        <v>31538</v>
      </c>
      <c r="Q11" s="135" t="s">
        <v>293</v>
      </c>
      <c r="R11" s="135" t="s">
        <v>301</v>
      </c>
      <c r="S11" s="133"/>
      <c r="T11" s="133"/>
      <c r="U11" s="135" t="s">
        <v>302</v>
      </c>
      <c r="V11" s="135" t="s">
        <v>318</v>
      </c>
      <c r="W11" s="133"/>
      <c r="X11" s="133"/>
      <c r="Y11" s="133"/>
    </row>
    <row r="12" spans="1:25" s="136" customFormat="1" ht="32" x14ac:dyDescent="0.2">
      <c r="A12" s="133" t="s">
        <v>335</v>
      </c>
      <c r="B12" s="134">
        <f t="shared" si="0"/>
        <v>6</v>
      </c>
      <c r="C12" s="133">
        <v>6</v>
      </c>
      <c r="D12" s="133" t="s">
        <v>336</v>
      </c>
      <c r="E12" s="133" t="s">
        <v>313</v>
      </c>
      <c r="F12" s="135" t="s">
        <v>293</v>
      </c>
      <c r="G12" s="133" t="s">
        <v>337</v>
      </c>
      <c r="H12" s="135" t="s">
        <v>293</v>
      </c>
      <c r="I12" s="133" t="s">
        <v>314</v>
      </c>
      <c r="J12" s="133" t="s">
        <v>315</v>
      </c>
      <c r="K12" s="133" t="s">
        <v>316</v>
      </c>
      <c r="L12" s="133" t="s">
        <v>338</v>
      </c>
      <c r="M12" s="133" t="s">
        <v>339</v>
      </c>
      <c r="N12" s="133" t="s">
        <v>340</v>
      </c>
      <c r="O12" s="135" t="s">
        <v>334</v>
      </c>
      <c r="P12" s="133">
        <v>9443</v>
      </c>
      <c r="Q12" s="135" t="s">
        <v>293</v>
      </c>
      <c r="R12" s="135" t="s">
        <v>301</v>
      </c>
      <c r="S12" s="133"/>
      <c r="T12" s="133"/>
      <c r="U12" s="135" t="s">
        <v>302</v>
      </c>
      <c r="V12" s="135" t="s">
        <v>318</v>
      </c>
      <c r="W12" s="133"/>
      <c r="X12" s="133"/>
      <c r="Y12" s="133"/>
    </row>
    <row r="13" spans="1:25" s="136" customFormat="1" ht="32" x14ac:dyDescent="0.2">
      <c r="A13" s="133" t="s">
        <v>341</v>
      </c>
      <c r="B13" s="134">
        <f t="shared" si="0"/>
        <v>7</v>
      </c>
      <c r="C13" s="133">
        <v>7</v>
      </c>
      <c r="D13" s="133" t="s">
        <v>342</v>
      </c>
      <c r="E13" s="133" t="s">
        <v>313</v>
      </c>
      <c r="F13" s="135" t="s">
        <v>293</v>
      </c>
      <c r="G13" s="133" t="s">
        <v>294</v>
      </c>
      <c r="H13" s="135" t="s">
        <v>293</v>
      </c>
      <c r="I13" s="133" t="s">
        <v>314</v>
      </c>
      <c r="J13" s="133" t="s">
        <v>315</v>
      </c>
      <c r="K13" s="133" t="s">
        <v>316</v>
      </c>
      <c r="L13" s="133" t="s">
        <v>297</v>
      </c>
      <c r="M13" s="133" t="s">
        <v>298</v>
      </c>
      <c r="N13" s="133" t="s">
        <v>299</v>
      </c>
      <c r="O13" s="135" t="s">
        <v>334</v>
      </c>
      <c r="P13" s="133">
        <v>443</v>
      </c>
      <c r="Q13" s="135" t="s">
        <v>293</v>
      </c>
      <c r="R13" s="135" t="s">
        <v>301</v>
      </c>
      <c r="S13" s="133"/>
      <c r="T13" s="133"/>
      <c r="U13" s="135" t="s">
        <v>302</v>
      </c>
      <c r="V13" s="135" t="s">
        <v>318</v>
      </c>
      <c r="W13" s="133"/>
      <c r="X13" s="133"/>
      <c r="Y13" s="133"/>
    </row>
    <row r="14" spans="1:25" s="136" customFormat="1" ht="32" x14ac:dyDescent="0.2">
      <c r="A14" s="133" t="s">
        <v>343</v>
      </c>
      <c r="B14" s="134">
        <f t="shared" si="0"/>
        <v>8</v>
      </c>
      <c r="C14" s="133">
        <v>8</v>
      </c>
      <c r="D14" s="133" t="s">
        <v>344</v>
      </c>
      <c r="E14" s="133" t="s">
        <v>337</v>
      </c>
      <c r="F14" s="135" t="s">
        <v>293</v>
      </c>
      <c r="G14" s="133" t="s">
        <v>306</v>
      </c>
      <c r="H14" s="135" t="s">
        <v>293</v>
      </c>
      <c r="I14" s="133" t="s">
        <v>338</v>
      </c>
      <c r="J14" s="133" t="s">
        <v>339</v>
      </c>
      <c r="K14" s="133" t="s">
        <v>340</v>
      </c>
      <c r="L14" s="133" t="s">
        <v>307</v>
      </c>
      <c r="M14" s="133" t="s">
        <v>308</v>
      </c>
      <c r="N14" s="133" t="s">
        <v>309</v>
      </c>
      <c r="O14" s="135" t="s">
        <v>345</v>
      </c>
      <c r="P14" s="133">
        <v>19443</v>
      </c>
      <c r="Q14" s="135" t="s">
        <v>293</v>
      </c>
      <c r="R14" s="135" t="s">
        <v>310</v>
      </c>
      <c r="S14" s="133"/>
      <c r="T14" s="133"/>
      <c r="U14" s="135" t="s">
        <v>302</v>
      </c>
      <c r="V14" s="135" t="s">
        <v>318</v>
      </c>
      <c r="W14" s="133"/>
      <c r="X14" s="133"/>
      <c r="Y14" s="133"/>
    </row>
    <row r="15" spans="1:25" s="136" customFormat="1" ht="16" x14ac:dyDescent="0.2">
      <c r="A15" s="133" t="s">
        <v>346</v>
      </c>
      <c r="B15" s="134">
        <f xml:space="preserve"> ROW(B15) - 6</f>
        <v>9</v>
      </c>
      <c r="C15" s="133">
        <v>9</v>
      </c>
      <c r="D15" s="133" t="s">
        <v>347</v>
      </c>
      <c r="E15" s="133" t="s">
        <v>330</v>
      </c>
      <c r="F15" s="135" t="s">
        <v>293</v>
      </c>
      <c r="G15" s="133" t="s">
        <v>348</v>
      </c>
      <c r="H15" s="135" t="s">
        <v>293</v>
      </c>
      <c r="I15" s="133" t="s">
        <v>307</v>
      </c>
      <c r="J15" s="133" t="s">
        <v>308</v>
      </c>
      <c r="K15" s="133" t="s">
        <v>309</v>
      </c>
      <c r="L15" s="133" t="s">
        <v>349</v>
      </c>
      <c r="M15" s="133" t="s">
        <v>350</v>
      </c>
      <c r="N15" s="133" t="s">
        <v>351</v>
      </c>
      <c r="O15" s="135" t="s">
        <v>352</v>
      </c>
      <c r="P15" s="133"/>
      <c r="Q15" s="135" t="s">
        <v>293</v>
      </c>
      <c r="R15" s="135" t="s">
        <v>301</v>
      </c>
      <c r="S15" s="133"/>
      <c r="T15" s="133"/>
      <c r="U15" s="135" t="s">
        <v>302</v>
      </c>
      <c r="V15" s="135" t="s">
        <v>318</v>
      </c>
      <c r="W15" s="133"/>
      <c r="X15" s="133"/>
      <c r="Y15" s="133"/>
    </row>
    <row r="16" spans="1:25" s="136" customFormat="1" ht="16" x14ac:dyDescent="0.2">
      <c r="A16" s="133" t="s">
        <v>353</v>
      </c>
      <c r="B16" s="134">
        <f xml:space="preserve"> ROW(B16) - 6</f>
        <v>10</v>
      </c>
      <c r="C16" s="133" t="s">
        <v>354</v>
      </c>
      <c r="D16" s="133" t="s">
        <v>355</v>
      </c>
      <c r="E16" s="133" t="s">
        <v>330</v>
      </c>
      <c r="F16" s="135" t="s">
        <v>293</v>
      </c>
      <c r="G16" s="133" t="s">
        <v>348</v>
      </c>
      <c r="H16" s="135" t="s">
        <v>293</v>
      </c>
      <c r="I16" s="133" t="s">
        <v>331</v>
      </c>
      <c r="J16" s="133" t="s">
        <v>332</v>
      </c>
      <c r="K16" s="133" t="s">
        <v>333</v>
      </c>
      <c r="L16" s="133" t="s">
        <v>349</v>
      </c>
      <c r="M16" s="133" t="s">
        <v>350</v>
      </c>
      <c r="N16" s="133" t="s">
        <v>351</v>
      </c>
      <c r="O16" s="135" t="s">
        <v>352</v>
      </c>
      <c r="P16" s="133"/>
      <c r="Q16" s="135" t="s">
        <v>293</v>
      </c>
      <c r="R16" s="135" t="s">
        <v>301</v>
      </c>
      <c r="S16" s="133"/>
      <c r="T16" s="133"/>
      <c r="U16" s="135" t="s">
        <v>302</v>
      </c>
      <c r="V16" s="135" t="s">
        <v>318</v>
      </c>
      <c r="W16" s="133"/>
      <c r="X16" s="133"/>
      <c r="Y16" s="133"/>
    </row>
    <row r="17" spans="1:25" s="136" customFormat="1" ht="48" x14ac:dyDescent="0.2">
      <c r="A17" s="133" t="s">
        <v>356</v>
      </c>
      <c r="B17" s="134">
        <f t="shared" si="0"/>
        <v>11</v>
      </c>
      <c r="C17" s="133" t="s">
        <v>357</v>
      </c>
      <c r="D17" s="133" t="s">
        <v>358</v>
      </c>
      <c r="E17" s="133" t="s">
        <v>348</v>
      </c>
      <c r="F17" s="135" t="s">
        <v>293</v>
      </c>
      <c r="G17" s="133" t="s">
        <v>330</v>
      </c>
      <c r="H17" s="135" t="s">
        <v>293</v>
      </c>
      <c r="I17" s="133" t="s">
        <v>349</v>
      </c>
      <c r="J17" s="133" t="s">
        <v>350</v>
      </c>
      <c r="K17" s="133" t="s">
        <v>351</v>
      </c>
      <c r="L17" s="133" t="s">
        <v>331</v>
      </c>
      <c r="M17" s="133" t="s">
        <v>332</v>
      </c>
      <c r="N17" s="133" t="s">
        <v>333</v>
      </c>
      <c r="O17" s="135" t="s">
        <v>359</v>
      </c>
      <c r="P17" s="133" t="s">
        <v>360</v>
      </c>
      <c r="Q17" s="135" t="s">
        <v>293</v>
      </c>
      <c r="R17" s="135" t="s">
        <v>301</v>
      </c>
      <c r="S17" s="133"/>
      <c r="T17" s="133"/>
      <c r="U17" s="135" t="s">
        <v>302</v>
      </c>
      <c r="V17" s="135" t="s">
        <v>318</v>
      </c>
      <c r="W17" s="133"/>
      <c r="X17" s="133"/>
      <c r="Y17" s="133"/>
    </row>
    <row r="18" spans="1:25" s="136" customFormat="1" ht="32" x14ac:dyDescent="0.2">
      <c r="A18" s="133" t="s">
        <v>361</v>
      </c>
      <c r="B18" s="134">
        <f t="shared" si="0"/>
        <v>12</v>
      </c>
      <c r="C18" s="133" t="s">
        <v>362</v>
      </c>
      <c r="D18" s="133" t="s">
        <v>363</v>
      </c>
      <c r="E18" s="133" t="s">
        <v>364</v>
      </c>
      <c r="F18" s="135" t="s">
        <v>293</v>
      </c>
      <c r="G18" s="133" t="s">
        <v>364</v>
      </c>
      <c r="H18" s="135"/>
      <c r="I18" s="133"/>
      <c r="J18" s="133"/>
      <c r="K18" s="133"/>
      <c r="L18" s="133"/>
      <c r="M18" s="133"/>
      <c r="N18" s="133"/>
      <c r="O18" s="135"/>
      <c r="P18" s="133"/>
      <c r="Q18" s="135"/>
      <c r="R18" s="135"/>
      <c r="S18" s="133"/>
      <c r="T18" s="133"/>
      <c r="U18" s="135"/>
      <c r="V18" s="135"/>
      <c r="W18" s="133"/>
      <c r="X18" s="133"/>
      <c r="Y18" s="133"/>
    </row>
    <row r="19" spans="1:25" s="136" customFormat="1" ht="32" x14ac:dyDescent="0.2">
      <c r="A19" s="133" t="s">
        <v>365</v>
      </c>
      <c r="B19" s="134">
        <f t="shared" si="0"/>
        <v>13</v>
      </c>
      <c r="C19" s="133" t="s">
        <v>366</v>
      </c>
      <c r="D19" s="133" t="s">
        <v>367</v>
      </c>
      <c r="E19" s="133" t="s">
        <v>364</v>
      </c>
      <c r="F19" s="135" t="s">
        <v>293</v>
      </c>
      <c r="G19" s="133" t="s">
        <v>364</v>
      </c>
      <c r="H19" s="135"/>
      <c r="I19" s="133"/>
      <c r="J19" s="133"/>
      <c r="K19" s="133"/>
      <c r="L19" s="133"/>
      <c r="M19" s="133"/>
      <c r="N19" s="133"/>
      <c r="O19" s="135"/>
      <c r="P19" s="133"/>
      <c r="Q19" s="135"/>
      <c r="R19" s="135"/>
      <c r="S19" s="133"/>
      <c r="T19" s="133"/>
      <c r="U19" s="135"/>
      <c r="V19" s="135"/>
      <c r="W19" s="133"/>
      <c r="X19" s="133"/>
      <c r="Y19" s="133"/>
    </row>
    <row r="20" spans="1:25" s="136" customFormat="1" ht="32" x14ac:dyDescent="0.2">
      <c r="A20" s="133" t="s">
        <v>368</v>
      </c>
      <c r="B20" s="134">
        <f t="shared" si="0"/>
        <v>14</v>
      </c>
      <c r="C20" s="133">
        <v>12</v>
      </c>
      <c r="D20" s="133" t="s">
        <v>369</v>
      </c>
      <c r="E20" s="133" t="s">
        <v>330</v>
      </c>
      <c r="F20" s="135" t="s">
        <v>293</v>
      </c>
      <c r="G20" s="133" t="s">
        <v>364</v>
      </c>
      <c r="H20" s="135" t="s">
        <v>293</v>
      </c>
      <c r="I20" s="133"/>
      <c r="J20" s="133"/>
      <c r="K20" s="133"/>
      <c r="L20" s="133"/>
      <c r="M20" s="133"/>
      <c r="N20" s="133"/>
      <c r="O20" s="135"/>
      <c r="P20" s="133"/>
      <c r="Q20" s="135"/>
      <c r="R20" s="135"/>
      <c r="S20" s="133"/>
      <c r="T20" s="133"/>
      <c r="U20" s="135"/>
      <c r="V20" s="135"/>
      <c r="W20" s="133"/>
      <c r="X20" s="133"/>
      <c r="Y20" s="133"/>
    </row>
    <row r="21" spans="1:25" s="136" customFormat="1" ht="32" x14ac:dyDescent="0.2">
      <c r="A21" s="133" t="s">
        <v>370</v>
      </c>
      <c r="B21" s="134">
        <f t="shared" si="0"/>
        <v>15</v>
      </c>
      <c r="C21" s="133" t="s">
        <v>371</v>
      </c>
      <c r="D21" s="133" t="s">
        <v>372</v>
      </c>
      <c r="E21" s="133" t="s">
        <v>364</v>
      </c>
      <c r="F21" s="135" t="s">
        <v>293</v>
      </c>
      <c r="G21" s="133" t="s">
        <v>364</v>
      </c>
      <c r="H21" s="135"/>
      <c r="I21" s="133"/>
      <c r="J21" s="133"/>
      <c r="K21" s="133"/>
      <c r="L21" s="133"/>
      <c r="M21" s="133"/>
      <c r="N21" s="133"/>
      <c r="O21" s="135"/>
      <c r="P21" s="133"/>
      <c r="Q21" s="135"/>
      <c r="R21" s="135"/>
      <c r="S21" s="133"/>
      <c r="T21" s="133"/>
      <c r="U21" s="135"/>
      <c r="V21" s="135"/>
      <c r="W21" s="133"/>
      <c r="X21" s="133"/>
      <c r="Y21" s="133"/>
    </row>
    <row r="22" spans="1:25" s="136" customFormat="1" ht="48" x14ac:dyDescent="0.2">
      <c r="A22" s="133" t="s">
        <v>373</v>
      </c>
      <c r="B22" s="134">
        <f t="shared" si="0"/>
        <v>16</v>
      </c>
      <c r="C22" s="133" t="s">
        <v>374</v>
      </c>
      <c r="D22" s="133" t="s">
        <v>375</v>
      </c>
      <c r="E22" s="133" t="s">
        <v>364</v>
      </c>
      <c r="F22" s="135" t="s">
        <v>293</v>
      </c>
      <c r="G22" s="133" t="s">
        <v>364</v>
      </c>
      <c r="H22" s="135"/>
      <c r="I22" s="133"/>
      <c r="J22" s="133"/>
      <c r="K22" s="133"/>
      <c r="L22" s="133"/>
      <c r="M22" s="133"/>
      <c r="N22" s="133"/>
      <c r="O22" s="135"/>
      <c r="P22" s="133"/>
      <c r="Q22" s="135"/>
      <c r="R22" s="135"/>
      <c r="S22" s="133"/>
      <c r="T22" s="133"/>
      <c r="U22" s="135"/>
      <c r="V22" s="135"/>
      <c r="W22" s="133"/>
      <c r="X22" s="133"/>
      <c r="Y22" s="133"/>
    </row>
    <row r="23" spans="1:25" s="136" customFormat="1" ht="32" x14ac:dyDescent="0.2">
      <c r="A23" s="133" t="s">
        <v>376</v>
      </c>
      <c r="B23" s="134">
        <f t="shared" si="0"/>
        <v>17</v>
      </c>
      <c r="C23" s="133">
        <v>14</v>
      </c>
      <c r="D23" s="133" t="s">
        <v>377</v>
      </c>
      <c r="E23" s="133" t="s">
        <v>330</v>
      </c>
      <c r="F23" s="135" t="s">
        <v>293</v>
      </c>
      <c r="G23" s="133" t="s">
        <v>364</v>
      </c>
      <c r="H23" s="135"/>
      <c r="I23" s="133"/>
      <c r="J23" s="133"/>
      <c r="K23" s="133"/>
      <c r="L23" s="133"/>
      <c r="M23" s="133"/>
      <c r="N23" s="133"/>
      <c r="O23" s="135"/>
      <c r="P23" s="133"/>
      <c r="Q23" s="135"/>
      <c r="R23" s="135"/>
      <c r="S23" s="133"/>
      <c r="T23" s="133"/>
      <c r="U23" s="135"/>
      <c r="V23" s="135"/>
      <c r="W23" s="133"/>
      <c r="X23" s="133"/>
      <c r="Y23" s="133"/>
    </row>
    <row r="24" spans="1:25" s="136" customFormat="1" ht="32" x14ac:dyDescent="0.2">
      <c r="A24" s="133" t="s">
        <v>378</v>
      </c>
      <c r="B24" s="134">
        <f t="shared" si="0"/>
        <v>18</v>
      </c>
      <c r="C24" s="133">
        <v>15</v>
      </c>
      <c r="D24" s="133" t="s">
        <v>379</v>
      </c>
      <c r="E24" s="133" t="s">
        <v>330</v>
      </c>
      <c r="F24" s="135" t="s">
        <v>293</v>
      </c>
      <c r="G24" s="133" t="s">
        <v>380</v>
      </c>
      <c r="H24" s="135" t="s">
        <v>293</v>
      </c>
      <c r="I24" s="133" t="s">
        <v>331</v>
      </c>
      <c r="J24" s="133" t="s">
        <v>332</v>
      </c>
      <c r="K24" s="133" t="s">
        <v>333</v>
      </c>
      <c r="L24" s="133" t="s">
        <v>381</v>
      </c>
      <c r="M24" s="133" t="s">
        <v>382</v>
      </c>
      <c r="N24" s="133"/>
      <c r="O24" s="135" t="s">
        <v>383</v>
      </c>
      <c r="P24" s="133"/>
      <c r="Q24" s="135" t="s">
        <v>293</v>
      </c>
      <c r="R24" s="135" t="s">
        <v>301</v>
      </c>
      <c r="S24" s="133"/>
      <c r="T24" s="133"/>
      <c r="U24" s="135" t="s">
        <v>302</v>
      </c>
      <c r="V24" s="135" t="s">
        <v>303</v>
      </c>
      <c r="W24" s="133"/>
      <c r="X24" s="133"/>
      <c r="Y24" s="133"/>
    </row>
    <row r="25" spans="1:25" s="136" customFormat="1" ht="32" x14ac:dyDescent="0.2">
      <c r="A25" s="133" t="s">
        <v>384</v>
      </c>
      <c r="B25" s="134">
        <f t="shared" si="0"/>
        <v>19</v>
      </c>
      <c r="C25" s="133">
        <v>16</v>
      </c>
      <c r="D25" s="133" t="s">
        <v>385</v>
      </c>
      <c r="E25" s="133" t="s">
        <v>330</v>
      </c>
      <c r="F25" s="135" t="s">
        <v>293</v>
      </c>
      <c r="G25" s="133" t="s">
        <v>386</v>
      </c>
      <c r="H25" s="135" t="s">
        <v>293</v>
      </c>
      <c r="I25" s="133" t="s">
        <v>331</v>
      </c>
      <c r="J25" s="133" t="s">
        <v>332</v>
      </c>
      <c r="K25" s="133" t="s">
        <v>333</v>
      </c>
      <c r="L25" s="133" t="s">
        <v>387</v>
      </c>
      <c r="M25" s="133" t="s">
        <v>388</v>
      </c>
      <c r="N25" s="133" t="s">
        <v>389</v>
      </c>
      <c r="O25" s="135" t="s">
        <v>345</v>
      </c>
      <c r="P25" s="133" t="s">
        <v>390</v>
      </c>
      <c r="Q25" s="135" t="s">
        <v>293</v>
      </c>
      <c r="R25" s="135" t="s">
        <v>391</v>
      </c>
      <c r="S25" s="133"/>
      <c r="T25" s="133"/>
      <c r="U25" s="135" t="s">
        <v>302</v>
      </c>
      <c r="V25" s="135" t="s">
        <v>318</v>
      </c>
      <c r="W25" s="133"/>
      <c r="X25" s="133"/>
      <c r="Y25" s="133"/>
    </row>
    <row r="26" spans="1:25" s="136" customFormat="1" ht="16" x14ac:dyDescent="0.2">
      <c r="A26" s="133" t="s">
        <v>392</v>
      </c>
      <c r="B26" s="134">
        <f t="shared" si="0"/>
        <v>20</v>
      </c>
      <c r="C26" s="133">
        <v>17</v>
      </c>
      <c r="D26" s="133" t="s">
        <v>393</v>
      </c>
      <c r="E26" s="133" t="s">
        <v>394</v>
      </c>
      <c r="F26" s="135" t="s">
        <v>293</v>
      </c>
      <c r="G26" s="133" t="s">
        <v>395</v>
      </c>
      <c r="H26" s="135" t="s">
        <v>293</v>
      </c>
      <c r="I26" s="133" t="s">
        <v>338</v>
      </c>
      <c r="J26" s="133" t="s">
        <v>339</v>
      </c>
      <c r="K26" s="133" t="s">
        <v>340</v>
      </c>
      <c r="L26" s="133"/>
      <c r="M26" s="133" t="s">
        <v>396</v>
      </c>
      <c r="N26" s="133"/>
      <c r="O26" s="135" t="s">
        <v>397</v>
      </c>
      <c r="P26" s="133"/>
      <c r="Q26" s="135" t="s">
        <v>293</v>
      </c>
      <c r="R26" s="135" t="s">
        <v>391</v>
      </c>
      <c r="S26" s="133"/>
      <c r="T26" s="133"/>
      <c r="U26" s="135" t="s">
        <v>302</v>
      </c>
      <c r="V26" s="135" t="s">
        <v>303</v>
      </c>
      <c r="W26" s="133"/>
      <c r="X26" s="133"/>
      <c r="Y26" s="133"/>
    </row>
    <row r="27" spans="1:25" s="136" customFormat="1" ht="16" x14ac:dyDescent="0.2">
      <c r="A27" s="133" t="s">
        <v>398</v>
      </c>
      <c r="B27" s="134">
        <f t="shared" si="0"/>
        <v>21</v>
      </c>
      <c r="C27" s="133">
        <v>18</v>
      </c>
      <c r="D27" s="133" t="s">
        <v>399</v>
      </c>
      <c r="E27" s="133" t="s">
        <v>394</v>
      </c>
      <c r="F27" s="135" t="s">
        <v>293</v>
      </c>
      <c r="G27" s="133" t="s">
        <v>294</v>
      </c>
      <c r="H27" s="135" t="s">
        <v>293</v>
      </c>
      <c r="I27" s="133" t="s">
        <v>338</v>
      </c>
      <c r="J27" s="133" t="s">
        <v>339</v>
      </c>
      <c r="K27" s="133" t="s">
        <v>340</v>
      </c>
      <c r="L27" s="133" t="s">
        <v>297</v>
      </c>
      <c r="M27" s="133" t="s">
        <v>298</v>
      </c>
      <c r="N27" s="133" t="s">
        <v>299</v>
      </c>
      <c r="O27" s="135" t="s">
        <v>345</v>
      </c>
      <c r="P27" s="133">
        <v>2181</v>
      </c>
      <c r="Q27" s="135" t="s">
        <v>293</v>
      </c>
      <c r="R27" s="135" t="s">
        <v>400</v>
      </c>
      <c r="S27" s="133"/>
      <c r="T27" s="133"/>
      <c r="U27" s="135" t="s">
        <v>302</v>
      </c>
      <c r="V27" s="135" t="s">
        <v>318</v>
      </c>
      <c r="W27" s="133"/>
      <c r="X27" s="133"/>
      <c r="Y27" s="133"/>
    </row>
    <row r="28" spans="1:25" s="136" customFormat="1" ht="16" x14ac:dyDescent="0.2">
      <c r="A28" s="133" t="s">
        <v>401</v>
      </c>
      <c r="B28" s="134">
        <f t="shared" si="0"/>
        <v>22</v>
      </c>
      <c r="C28" s="133">
        <v>19</v>
      </c>
      <c r="D28" s="133" t="s">
        <v>402</v>
      </c>
      <c r="E28" s="133" t="s">
        <v>394</v>
      </c>
      <c r="F28" s="135" t="s">
        <v>293</v>
      </c>
      <c r="G28" s="133" t="s">
        <v>348</v>
      </c>
      <c r="H28" s="135" t="s">
        <v>293</v>
      </c>
      <c r="I28" s="133" t="s">
        <v>338</v>
      </c>
      <c r="J28" s="133" t="s">
        <v>339</v>
      </c>
      <c r="K28" s="133" t="s">
        <v>340</v>
      </c>
      <c r="L28" s="133" t="s">
        <v>349</v>
      </c>
      <c r="M28" s="133" t="s">
        <v>350</v>
      </c>
      <c r="N28" s="133" t="s">
        <v>351</v>
      </c>
      <c r="O28" s="135" t="s">
        <v>352</v>
      </c>
      <c r="P28" s="133"/>
      <c r="Q28" s="135" t="s">
        <v>293</v>
      </c>
      <c r="R28" s="135" t="s">
        <v>301</v>
      </c>
      <c r="S28" s="133"/>
      <c r="T28" s="133"/>
      <c r="U28" s="135" t="s">
        <v>302</v>
      </c>
      <c r="V28" s="135" t="s">
        <v>318</v>
      </c>
      <c r="W28" s="133"/>
      <c r="X28" s="133"/>
      <c r="Y28" s="133"/>
    </row>
    <row r="29" spans="1:25" s="136" customFormat="1" ht="32" x14ac:dyDescent="0.2">
      <c r="A29" s="133" t="s">
        <v>403</v>
      </c>
      <c r="B29" s="134">
        <f t="shared" si="0"/>
        <v>23</v>
      </c>
      <c r="C29" s="133">
        <v>20</v>
      </c>
      <c r="D29" s="133" t="s">
        <v>404</v>
      </c>
      <c r="E29" s="133" t="s">
        <v>337</v>
      </c>
      <c r="F29" s="135" t="s">
        <v>293</v>
      </c>
      <c r="G29" s="133" t="s">
        <v>294</v>
      </c>
      <c r="H29" s="135" t="s">
        <v>293</v>
      </c>
      <c r="I29" s="133" t="s">
        <v>405</v>
      </c>
      <c r="J29" s="133" t="s">
        <v>406</v>
      </c>
      <c r="K29" s="133" t="s">
        <v>407</v>
      </c>
      <c r="L29" s="133" t="s">
        <v>297</v>
      </c>
      <c r="M29" s="133" t="s">
        <v>298</v>
      </c>
      <c r="N29" s="133" t="s">
        <v>299</v>
      </c>
      <c r="O29" s="135" t="s">
        <v>345</v>
      </c>
      <c r="P29" s="133">
        <v>9092</v>
      </c>
      <c r="Q29" s="135" t="s">
        <v>293</v>
      </c>
      <c r="R29" s="135" t="s">
        <v>400</v>
      </c>
      <c r="S29" s="133"/>
      <c r="T29" s="133"/>
      <c r="U29" s="135" t="s">
        <v>302</v>
      </c>
      <c r="V29" s="135" t="s">
        <v>318</v>
      </c>
      <c r="W29" s="133"/>
      <c r="X29" s="133"/>
      <c r="Y29" s="133"/>
    </row>
    <row r="30" spans="1:25" s="136" customFormat="1" ht="16" x14ac:dyDescent="0.2">
      <c r="A30" s="133" t="s">
        <v>408</v>
      </c>
      <c r="B30" s="134"/>
      <c r="C30" s="133">
        <v>21</v>
      </c>
      <c r="D30" s="133" t="s">
        <v>409</v>
      </c>
      <c r="E30" s="133" t="s">
        <v>294</v>
      </c>
      <c r="F30" s="135" t="s">
        <v>293</v>
      </c>
      <c r="G30" s="133" t="s">
        <v>348</v>
      </c>
      <c r="H30" s="135" t="s">
        <v>293</v>
      </c>
      <c r="I30" s="133" t="s">
        <v>297</v>
      </c>
      <c r="J30" s="133" t="s">
        <v>298</v>
      </c>
      <c r="K30" s="133" t="s">
        <v>299</v>
      </c>
      <c r="L30" s="133" t="s">
        <v>349</v>
      </c>
      <c r="M30" s="133" t="s">
        <v>350</v>
      </c>
      <c r="N30" s="133" t="s">
        <v>351</v>
      </c>
      <c r="O30" s="135" t="s">
        <v>352</v>
      </c>
      <c r="P30" s="133"/>
      <c r="Q30" s="135" t="s">
        <v>293</v>
      </c>
      <c r="R30" s="135" t="s">
        <v>301</v>
      </c>
      <c r="S30" s="133"/>
      <c r="T30" s="133"/>
      <c r="U30" s="135"/>
      <c r="V30" s="135" t="s">
        <v>318</v>
      </c>
      <c r="W30" s="133"/>
      <c r="X30" s="133"/>
      <c r="Y30" s="133"/>
    </row>
    <row r="31" spans="1:25" s="136" customFormat="1" ht="48" x14ac:dyDescent="0.2">
      <c r="A31" s="133" t="s">
        <v>410</v>
      </c>
      <c r="B31" s="134">
        <f t="shared" si="0"/>
        <v>25</v>
      </c>
      <c r="C31" s="133">
        <v>22</v>
      </c>
      <c r="D31" s="133" t="s">
        <v>411</v>
      </c>
      <c r="E31" s="133" t="s">
        <v>412</v>
      </c>
      <c r="F31" s="135" t="s">
        <v>293</v>
      </c>
      <c r="G31" s="133" t="s">
        <v>395</v>
      </c>
      <c r="H31" s="135" t="s">
        <v>293</v>
      </c>
      <c r="I31" s="133" t="s">
        <v>307</v>
      </c>
      <c r="J31" s="133" t="s">
        <v>308</v>
      </c>
      <c r="K31" s="133" t="s">
        <v>309</v>
      </c>
      <c r="L31" s="133"/>
      <c r="M31" s="133" t="s">
        <v>396</v>
      </c>
      <c r="N31" s="133"/>
      <c r="O31" s="135" t="s">
        <v>397</v>
      </c>
      <c r="P31" s="133"/>
      <c r="Q31" s="135" t="s">
        <v>293</v>
      </c>
      <c r="R31" s="135" t="s">
        <v>391</v>
      </c>
      <c r="S31" s="133"/>
      <c r="T31" s="133"/>
      <c r="U31" s="135" t="s">
        <v>302</v>
      </c>
      <c r="V31" s="135" t="s">
        <v>303</v>
      </c>
      <c r="W31" s="133"/>
      <c r="X31" s="133"/>
      <c r="Y31" s="133"/>
    </row>
    <row r="32" spans="1:25" s="136" customFormat="1" ht="48" x14ac:dyDescent="0.2">
      <c r="A32" s="133" t="s">
        <v>413</v>
      </c>
      <c r="B32" s="134">
        <f t="shared" si="0"/>
        <v>26</v>
      </c>
      <c r="C32" s="133" t="s">
        <v>414</v>
      </c>
      <c r="D32" s="133" t="s">
        <v>415</v>
      </c>
      <c r="E32" s="133" t="s">
        <v>348</v>
      </c>
      <c r="F32" s="135" t="s">
        <v>293</v>
      </c>
      <c r="G32" s="133" t="s">
        <v>416</v>
      </c>
      <c r="H32" s="135" t="s">
        <v>293</v>
      </c>
      <c r="I32" s="133" t="s">
        <v>417</v>
      </c>
      <c r="J32" s="133" t="s">
        <v>418</v>
      </c>
      <c r="K32" s="133" t="s">
        <v>419</v>
      </c>
      <c r="L32" s="133" t="s">
        <v>323</v>
      </c>
      <c r="M32" s="133" t="s">
        <v>324</v>
      </c>
      <c r="N32" s="133" t="s">
        <v>325</v>
      </c>
      <c r="O32" s="135" t="s">
        <v>326</v>
      </c>
      <c r="P32" s="133"/>
      <c r="Q32" s="135" t="s">
        <v>293</v>
      </c>
      <c r="R32" s="135" t="s">
        <v>310</v>
      </c>
      <c r="S32" s="133"/>
      <c r="T32" s="133"/>
      <c r="U32" s="135"/>
      <c r="V32" s="135" t="s">
        <v>318</v>
      </c>
      <c r="W32" s="133" t="s">
        <v>420</v>
      </c>
      <c r="X32" s="133"/>
      <c r="Y32" s="133"/>
    </row>
    <row r="33" spans="1:25" s="136" customFormat="1" ht="48" x14ac:dyDescent="0.2">
      <c r="A33" s="133" t="s">
        <v>421</v>
      </c>
      <c r="B33" s="134">
        <f t="shared" si="0"/>
        <v>27</v>
      </c>
      <c r="C33" s="133" t="s">
        <v>422</v>
      </c>
      <c r="D33" s="133" t="s">
        <v>423</v>
      </c>
      <c r="E33" s="133" t="s">
        <v>416</v>
      </c>
      <c r="F33" s="135" t="s">
        <v>293</v>
      </c>
      <c r="G33" s="133" t="s">
        <v>348</v>
      </c>
      <c r="H33" s="135" t="s">
        <v>293</v>
      </c>
      <c r="I33" s="133" t="s">
        <v>323</v>
      </c>
      <c r="J33" s="133" t="s">
        <v>324</v>
      </c>
      <c r="K33" s="133" t="s">
        <v>325</v>
      </c>
      <c r="L33" s="133" t="s">
        <v>417</v>
      </c>
      <c r="M33" s="133" t="s">
        <v>418</v>
      </c>
      <c r="N33" s="133" t="s">
        <v>419</v>
      </c>
      <c r="O33" s="135" t="s">
        <v>326</v>
      </c>
      <c r="P33" s="133"/>
      <c r="Q33" s="135" t="s">
        <v>293</v>
      </c>
      <c r="R33" s="135" t="s">
        <v>310</v>
      </c>
      <c r="S33" s="133"/>
      <c r="T33" s="133"/>
      <c r="U33" s="135"/>
      <c r="V33" s="135" t="s">
        <v>318</v>
      </c>
      <c r="W33" s="133" t="s">
        <v>424</v>
      </c>
      <c r="X33" s="133"/>
      <c r="Y33" s="133"/>
    </row>
    <row r="34" spans="1:25" s="136" customFormat="1" ht="64" x14ac:dyDescent="0.2">
      <c r="A34" s="133" t="s">
        <v>425</v>
      </c>
      <c r="B34" s="134">
        <f t="shared" si="0"/>
        <v>28</v>
      </c>
      <c r="C34" s="133">
        <v>24</v>
      </c>
      <c r="D34" s="133" t="s">
        <v>426</v>
      </c>
      <c r="E34" s="133" t="s">
        <v>427</v>
      </c>
      <c r="F34" s="135" t="s">
        <v>293</v>
      </c>
      <c r="G34" s="133" t="s">
        <v>428</v>
      </c>
      <c r="H34" s="135" t="s">
        <v>293</v>
      </c>
      <c r="I34" s="133" t="s">
        <v>429</v>
      </c>
      <c r="J34" s="133" t="s">
        <v>430</v>
      </c>
      <c r="K34" s="133" t="s">
        <v>431</v>
      </c>
      <c r="L34" s="133" t="s">
        <v>432</v>
      </c>
      <c r="M34" s="133" t="s">
        <v>433</v>
      </c>
      <c r="N34" s="133" t="s">
        <v>434</v>
      </c>
      <c r="O34" s="135" t="s">
        <v>435</v>
      </c>
      <c r="P34" s="133"/>
      <c r="Q34" s="135" t="s">
        <v>293</v>
      </c>
      <c r="R34" s="135" t="s">
        <v>310</v>
      </c>
      <c r="S34" s="133"/>
      <c r="T34" s="133"/>
      <c r="U34" s="135" t="s">
        <v>302</v>
      </c>
      <c r="V34" s="135" t="s">
        <v>318</v>
      </c>
      <c r="W34" s="133"/>
      <c r="X34" s="133"/>
      <c r="Y34" s="133"/>
    </row>
    <row r="35" spans="1:25" s="136" customFormat="1" ht="64" x14ac:dyDescent="0.2">
      <c r="A35" s="133" t="s">
        <v>436</v>
      </c>
      <c r="B35" s="134">
        <f xml:space="preserve"> ROW(B35) - 6</f>
        <v>29</v>
      </c>
      <c r="C35" s="133">
        <v>25</v>
      </c>
      <c r="D35" s="133" t="s">
        <v>437</v>
      </c>
      <c r="E35" s="133" t="s">
        <v>438</v>
      </c>
      <c r="F35" s="135" t="s">
        <v>293</v>
      </c>
      <c r="G35" s="133" t="s">
        <v>439</v>
      </c>
      <c r="H35" s="135" t="s">
        <v>293</v>
      </c>
      <c r="I35" s="133" t="s">
        <v>429</v>
      </c>
      <c r="J35" s="133" t="s">
        <v>430</v>
      </c>
      <c r="K35" s="133" t="s">
        <v>431</v>
      </c>
      <c r="L35" s="133" t="s">
        <v>440</v>
      </c>
      <c r="M35" s="133" t="s">
        <v>441</v>
      </c>
      <c r="N35" s="133" t="s">
        <v>442</v>
      </c>
      <c r="O35" s="135" t="s">
        <v>334</v>
      </c>
      <c r="P35" s="133" t="s">
        <v>443</v>
      </c>
      <c r="Q35" s="135" t="s">
        <v>293</v>
      </c>
      <c r="R35" s="135" t="s">
        <v>391</v>
      </c>
      <c r="S35" s="133"/>
      <c r="T35" s="133"/>
      <c r="U35" s="135" t="s">
        <v>302</v>
      </c>
      <c r="V35" s="135" t="s">
        <v>318</v>
      </c>
      <c r="W35" s="133"/>
      <c r="X35" s="133"/>
      <c r="Y35" s="133"/>
    </row>
    <row r="36" spans="1:25" s="136" customFormat="1" ht="32" x14ac:dyDescent="0.2">
      <c r="A36" s="133" t="s">
        <v>444</v>
      </c>
      <c r="B36" s="134">
        <f t="shared" si="0"/>
        <v>30</v>
      </c>
      <c r="C36" s="133">
        <v>26</v>
      </c>
      <c r="D36" s="133" t="s">
        <v>445</v>
      </c>
      <c r="E36" s="133" t="s">
        <v>446</v>
      </c>
      <c r="F36" s="135" t="s">
        <v>293</v>
      </c>
      <c r="G36" s="133" t="s">
        <v>447</v>
      </c>
      <c r="H36" s="135" t="s">
        <v>293</v>
      </c>
      <c r="I36" s="133" t="s">
        <v>349</v>
      </c>
      <c r="J36" s="133" t="s">
        <v>350</v>
      </c>
      <c r="K36" s="133" t="s">
        <v>351</v>
      </c>
      <c r="L36" s="133" t="s">
        <v>448</v>
      </c>
      <c r="M36" s="133" t="s">
        <v>448</v>
      </c>
      <c r="N36" s="133" t="s">
        <v>449</v>
      </c>
      <c r="O36" s="135" t="s">
        <v>352</v>
      </c>
      <c r="P36" s="133">
        <v>1526</v>
      </c>
      <c r="Q36" s="135" t="s">
        <v>400</v>
      </c>
      <c r="R36" s="135" t="s">
        <v>400</v>
      </c>
      <c r="S36" s="133"/>
      <c r="T36" s="133"/>
      <c r="U36" s="135" t="s">
        <v>302</v>
      </c>
      <c r="V36" s="135" t="s">
        <v>400</v>
      </c>
      <c r="W36" s="133"/>
      <c r="X36" s="133"/>
      <c r="Y36" s="133"/>
    </row>
    <row r="37" spans="1:25" s="136" customFormat="1" ht="32" x14ac:dyDescent="0.2">
      <c r="A37" s="133" t="s">
        <v>450</v>
      </c>
      <c r="B37" s="134">
        <f t="shared" si="0"/>
        <v>31</v>
      </c>
      <c r="C37" s="133">
        <v>27</v>
      </c>
      <c r="D37" s="133" t="s">
        <v>451</v>
      </c>
      <c r="E37" s="133" t="s">
        <v>306</v>
      </c>
      <c r="F37" s="135" t="s">
        <v>293</v>
      </c>
      <c r="G37" s="133" t="s">
        <v>452</v>
      </c>
      <c r="H37" s="135" t="s">
        <v>293</v>
      </c>
      <c r="I37" s="133" t="s">
        <v>307</v>
      </c>
      <c r="J37" s="133" t="s">
        <v>308</v>
      </c>
      <c r="K37" s="133" t="s">
        <v>309</v>
      </c>
      <c r="L37" s="133" t="s">
        <v>338</v>
      </c>
      <c r="M37" s="133" t="s">
        <v>339</v>
      </c>
      <c r="N37" s="133" t="s">
        <v>340</v>
      </c>
      <c r="O37" s="135" t="s">
        <v>334</v>
      </c>
      <c r="P37" s="133">
        <v>9443</v>
      </c>
      <c r="Q37" s="135" t="s">
        <v>293</v>
      </c>
      <c r="R37" s="135" t="s">
        <v>301</v>
      </c>
      <c r="S37" s="133"/>
      <c r="T37" s="133"/>
      <c r="U37" s="135" t="s">
        <v>302</v>
      </c>
      <c r="V37" s="135" t="s">
        <v>318</v>
      </c>
      <c r="W37" s="133"/>
      <c r="X37" s="133"/>
      <c r="Y37" s="133"/>
    </row>
    <row r="38" spans="1:25" ht="16" x14ac:dyDescent="0.2">
      <c r="A38" s="197"/>
      <c r="B38" s="198">
        <f t="shared" ref="B38:B67" si="1" xml:space="preserve"> ROW(B38) - 6</f>
        <v>32</v>
      </c>
      <c r="C38" s="197"/>
      <c r="D38" s="197"/>
      <c r="E38" s="197"/>
      <c r="F38" s="199" t="s">
        <v>293</v>
      </c>
      <c r="G38" s="197"/>
      <c r="H38" s="199" t="s">
        <v>293</v>
      </c>
      <c r="I38" s="197"/>
      <c r="J38" s="197"/>
      <c r="K38" s="197"/>
      <c r="L38" s="197"/>
      <c r="M38" s="197"/>
      <c r="N38" s="197"/>
      <c r="O38" s="199" t="s">
        <v>400</v>
      </c>
      <c r="P38" s="197"/>
      <c r="Q38" s="199" t="s">
        <v>400</v>
      </c>
      <c r="R38" s="199" t="s">
        <v>400</v>
      </c>
      <c r="S38" s="197"/>
      <c r="T38" s="197"/>
      <c r="U38" s="199" t="s">
        <v>302</v>
      </c>
      <c r="V38" s="199" t="s">
        <v>400</v>
      </c>
      <c r="W38" s="197"/>
      <c r="X38" s="197"/>
      <c r="Y38" s="197"/>
    </row>
    <row r="39" spans="1:25" ht="16" x14ac:dyDescent="0.2">
      <c r="A39" s="197"/>
      <c r="B39" s="198">
        <f t="shared" si="1"/>
        <v>33</v>
      </c>
      <c r="C39" s="197"/>
      <c r="D39" s="197"/>
      <c r="E39" s="197"/>
      <c r="F39" s="199" t="s">
        <v>293</v>
      </c>
      <c r="G39" s="197"/>
      <c r="H39" s="199" t="s">
        <v>293</v>
      </c>
      <c r="I39" s="197"/>
      <c r="J39" s="197"/>
      <c r="K39" s="197"/>
      <c r="L39" s="197"/>
      <c r="M39" s="197"/>
      <c r="N39" s="197"/>
      <c r="O39" s="199" t="s">
        <v>400</v>
      </c>
      <c r="P39" s="197"/>
      <c r="Q39" s="199" t="s">
        <v>400</v>
      </c>
      <c r="R39" s="199" t="s">
        <v>400</v>
      </c>
      <c r="S39" s="197"/>
      <c r="T39" s="197"/>
      <c r="U39" s="199" t="s">
        <v>302</v>
      </c>
      <c r="V39" s="199" t="s">
        <v>400</v>
      </c>
      <c r="W39" s="197"/>
      <c r="X39" s="197"/>
      <c r="Y39" s="197"/>
    </row>
    <row r="40" spans="1:25" ht="16" x14ac:dyDescent="0.2">
      <c r="A40" s="197"/>
      <c r="B40" s="198">
        <f xml:space="preserve"> ROW(B40) - 6</f>
        <v>34</v>
      </c>
      <c r="C40" s="197"/>
      <c r="D40" s="197"/>
      <c r="E40" s="197"/>
      <c r="F40" s="199" t="s">
        <v>293</v>
      </c>
      <c r="G40" s="197"/>
      <c r="H40" s="199" t="s">
        <v>293</v>
      </c>
      <c r="I40" s="197"/>
      <c r="J40" s="197"/>
      <c r="K40" s="197"/>
      <c r="L40" s="197"/>
      <c r="M40" s="197"/>
      <c r="N40" s="197"/>
      <c r="O40" s="199" t="s">
        <v>400</v>
      </c>
      <c r="P40" s="197"/>
      <c r="Q40" s="199" t="s">
        <v>400</v>
      </c>
      <c r="R40" s="199" t="s">
        <v>400</v>
      </c>
      <c r="S40" s="197"/>
      <c r="T40" s="197"/>
      <c r="U40" s="199" t="s">
        <v>302</v>
      </c>
      <c r="V40" s="199" t="s">
        <v>400</v>
      </c>
      <c r="W40" s="197"/>
      <c r="X40" s="197"/>
      <c r="Y40" s="197"/>
    </row>
    <row r="41" spans="1:25" ht="16" x14ac:dyDescent="0.2">
      <c r="A41" s="197"/>
      <c r="B41" s="198">
        <f t="shared" si="1"/>
        <v>35</v>
      </c>
      <c r="C41" s="197"/>
      <c r="D41" s="197"/>
      <c r="E41" s="197"/>
      <c r="F41" s="199" t="s">
        <v>293</v>
      </c>
      <c r="G41" s="197"/>
      <c r="H41" s="199" t="s">
        <v>293</v>
      </c>
      <c r="I41" s="197"/>
      <c r="J41" s="197"/>
      <c r="K41" s="197"/>
      <c r="L41" s="197"/>
      <c r="M41" s="197"/>
      <c r="N41" s="197"/>
      <c r="O41" s="199" t="s">
        <v>400</v>
      </c>
      <c r="P41" s="197"/>
      <c r="Q41" s="199" t="s">
        <v>400</v>
      </c>
      <c r="R41" s="199" t="s">
        <v>400</v>
      </c>
      <c r="S41" s="197"/>
      <c r="T41" s="197"/>
      <c r="U41" s="199" t="s">
        <v>302</v>
      </c>
      <c r="V41" s="199" t="s">
        <v>400</v>
      </c>
      <c r="W41" s="197"/>
      <c r="X41" s="197"/>
      <c r="Y41" s="197"/>
    </row>
    <row r="42" spans="1:25" ht="16" x14ac:dyDescent="0.2">
      <c r="A42" s="197"/>
      <c r="B42" s="198">
        <f t="shared" si="1"/>
        <v>36</v>
      </c>
      <c r="C42" s="197"/>
      <c r="D42" s="197"/>
      <c r="E42" s="197"/>
      <c r="F42" s="199" t="s">
        <v>293</v>
      </c>
      <c r="G42" s="197"/>
      <c r="H42" s="199" t="s">
        <v>293</v>
      </c>
      <c r="I42" s="197"/>
      <c r="J42" s="197"/>
      <c r="K42" s="197"/>
      <c r="L42" s="197"/>
      <c r="M42" s="197"/>
      <c r="N42" s="197"/>
      <c r="O42" s="199" t="s">
        <v>400</v>
      </c>
      <c r="P42" s="197"/>
      <c r="Q42" s="199" t="s">
        <v>400</v>
      </c>
      <c r="R42" s="199" t="s">
        <v>400</v>
      </c>
      <c r="S42" s="197"/>
      <c r="T42" s="197"/>
      <c r="U42" s="199" t="s">
        <v>302</v>
      </c>
      <c r="V42" s="199" t="s">
        <v>400</v>
      </c>
      <c r="W42" s="197"/>
      <c r="X42" s="197"/>
      <c r="Y42" s="197"/>
    </row>
    <row r="43" spans="1:25" ht="16" x14ac:dyDescent="0.2">
      <c r="A43" s="197"/>
      <c r="B43" s="198">
        <f t="shared" si="1"/>
        <v>37</v>
      </c>
      <c r="C43" s="197"/>
      <c r="D43" s="197"/>
      <c r="E43" s="197"/>
      <c r="F43" s="199" t="s">
        <v>293</v>
      </c>
      <c r="G43" s="197"/>
      <c r="H43" s="199" t="s">
        <v>293</v>
      </c>
      <c r="I43" s="197"/>
      <c r="J43" s="197"/>
      <c r="K43" s="197"/>
      <c r="L43" s="197"/>
      <c r="M43" s="197"/>
      <c r="N43" s="197"/>
      <c r="O43" s="199" t="s">
        <v>400</v>
      </c>
      <c r="P43" s="197"/>
      <c r="Q43" s="199" t="s">
        <v>400</v>
      </c>
      <c r="R43" s="199" t="s">
        <v>400</v>
      </c>
      <c r="S43" s="197"/>
      <c r="T43" s="197"/>
      <c r="U43" s="199" t="s">
        <v>302</v>
      </c>
      <c r="V43" s="199" t="s">
        <v>400</v>
      </c>
      <c r="W43" s="197"/>
      <c r="X43" s="197"/>
      <c r="Y43" s="197"/>
    </row>
    <row r="44" spans="1:25" ht="16" x14ac:dyDescent="0.2">
      <c r="A44" s="197"/>
      <c r="B44" s="198">
        <f t="shared" si="1"/>
        <v>38</v>
      </c>
      <c r="C44" s="197"/>
      <c r="D44" s="197"/>
      <c r="E44" s="197"/>
      <c r="F44" s="199" t="s">
        <v>293</v>
      </c>
      <c r="G44" s="197"/>
      <c r="H44" s="199" t="s">
        <v>293</v>
      </c>
      <c r="I44" s="197"/>
      <c r="J44" s="197"/>
      <c r="K44" s="197"/>
      <c r="L44" s="197"/>
      <c r="M44" s="197"/>
      <c r="N44" s="197"/>
      <c r="O44" s="199" t="s">
        <v>400</v>
      </c>
      <c r="P44" s="197"/>
      <c r="Q44" s="199" t="s">
        <v>400</v>
      </c>
      <c r="R44" s="199" t="s">
        <v>400</v>
      </c>
      <c r="S44" s="197"/>
      <c r="T44" s="197"/>
      <c r="U44" s="199" t="s">
        <v>302</v>
      </c>
      <c r="V44" s="199" t="s">
        <v>400</v>
      </c>
      <c r="W44" s="197"/>
      <c r="X44" s="197"/>
      <c r="Y44" s="197"/>
    </row>
    <row r="45" spans="1:25" ht="16" x14ac:dyDescent="0.2">
      <c r="A45" s="197"/>
      <c r="B45" s="198">
        <f t="shared" si="1"/>
        <v>39</v>
      </c>
      <c r="C45" s="197"/>
      <c r="D45" s="197"/>
      <c r="E45" s="197"/>
      <c r="F45" s="199" t="s">
        <v>293</v>
      </c>
      <c r="G45" s="197"/>
      <c r="H45" s="199" t="s">
        <v>293</v>
      </c>
      <c r="I45" s="197"/>
      <c r="J45" s="197"/>
      <c r="K45" s="197"/>
      <c r="L45" s="197"/>
      <c r="M45" s="197"/>
      <c r="N45" s="197"/>
      <c r="O45" s="199" t="s">
        <v>400</v>
      </c>
      <c r="P45" s="197"/>
      <c r="Q45" s="199" t="s">
        <v>400</v>
      </c>
      <c r="R45" s="199" t="s">
        <v>400</v>
      </c>
      <c r="S45" s="197"/>
      <c r="T45" s="197"/>
      <c r="U45" s="199" t="s">
        <v>302</v>
      </c>
      <c r="V45" s="199" t="s">
        <v>400</v>
      </c>
      <c r="W45" s="197"/>
      <c r="X45" s="197"/>
      <c r="Y45" s="197"/>
    </row>
    <row r="46" spans="1:25" ht="16" x14ac:dyDescent="0.2">
      <c r="A46" s="197"/>
      <c r="B46" s="198">
        <f t="shared" si="1"/>
        <v>40</v>
      </c>
      <c r="C46" s="197"/>
      <c r="D46" s="197"/>
      <c r="E46" s="197"/>
      <c r="F46" s="199" t="s">
        <v>293</v>
      </c>
      <c r="G46" s="197"/>
      <c r="H46" s="199" t="s">
        <v>293</v>
      </c>
      <c r="I46" s="197"/>
      <c r="J46" s="197"/>
      <c r="K46" s="197"/>
      <c r="L46" s="197"/>
      <c r="M46" s="197"/>
      <c r="N46" s="197"/>
      <c r="O46" s="199" t="s">
        <v>400</v>
      </c>
      <c r="P46" s="197"/>
      <c r="Q46" s="199" t="s">
        <v>400</v>
      </c>
      <c r="R46" s="199" t="s">
        <v>400</v>
      </c>
      <c r="S46" s="197"/>
      <c r="T46" s="197"/>
      <c r="U46" s="199" t="s">
        <v>302</v>
      </c>
      <c r="V46" s="199" t="s">
        <v>400</v>
      </c>
      <c r="W46" s="197"/>
      <c r="X46" s="197"/>
      <c r="Y46" s="197"/>
    </row>
    <row r="47" spans="1:25" ht="16" x14ac:dyDescent="0.2">
      <c r="A47" s="197"/>
      <c r="B47" s="198">
        <f t="shared" si="1"/>
        <v>41</v>
      </c>
      <c r="C47" s="197"/>
      <c r="D47" s="197"/>
      <c r="E47" s="197"/>
      <c r="F47" s="199" t="s">
        <v>293</v>
      </c>
      <c r="G47" s="197"/>
      <c r="H47" s="199" t="s">
        <v>293</v>
      </c>
      <c r="I47" s="197"/>
      <c r="J47" s="197"/>
      <c r="K47" s="197"/>
      <c r="L47" s="197"/>
      <c r="M47" s="197"/>
      <c r="N47" s="197"/>
      <c r="O47" s="199" t="s">
        <v>400</v>
      </c>
      <c r="P47" s="197"/>
      <c r="Q47" s="199" t="s">
        <v>400</v>
      </c>
      <c r="R47" s="199" t="s">
        <v>400</v>
      </c>
      <c r="S47" s="197"/>
      <c r="T47" s="197"/>
      <c r="U47" s="199" t="s">
        <v>302</v>
      </c>
      <c r="V47" s="199" t="s">
        <v>400</v>
      </c>
      <c r="W47" s="197"/>
      <c r="X47" s="197"/>
      <c r="Y47" s="197"/>
    </row>
    <row r="48" spans="1:25" ht="16" x14ac:dyDescent="0.2">
      <c r="A48" s="197"/>
      <c r="B48" s="198">
        <f t="shared" si="1"/>
        <v>42</v>
      </c>
      <c r="C48" s="197"/>
      <c r="D48" s="197"/>
      <c r="E48" s="197"/>
      <c r="F48" s="199" t="s">
        <v>293</v>
      </c>
      <c r="G48" s="197"/>
      <c r="H48" s="199" t="s">
        <v>293</v>
      </c>
      <c r="I48" s="197"/>
      <c r="J48" s="197"/>
      <c r="K48" s="197"/>
      <c r="L48" s="197"/>
      <c r="M48" s="197"/>
      <c r="N48" s="197"/>
      <c r="O48" s="199" t="s">
        <v>400</v>
      </c>
      <c r="P48" s="197"/>
      <c r="Q48" s="199" t="s">
        <v>400</v>
      </c>
      <c r="R48" s="199" t="s">
        <v>400</v>
      </c>
      <c r="S48" s="197"/>
      <c r="T48" s="197"/>
      <c r="U48" s="199" t="s">
        <v>302</v>
      </c>
      <c r="V48" s="199" t="s">
        <v>400</v>
      </c>
      <c r="W48" s="197"/>
      <c r="X48" s="197"/>
      <c r="Y48" s="197"/>
    </row>
    <row r="49" spans="1:25" ht="16" x14ac:dyDescent="0.2">
      <c r="A49" s="197"/>
      <c r="B49" s="198">
        <f t="shared" si="1"/>
        <v>43</v>
      </c>
      <c r="C49" s="197"/>
      <c r="D49" s="197"/>
      <c r="E49" s="197"/>
      <c r="F49" s="199" t="s">
        <v>293</v>
      </c>
      <c r="G49" s="197"/>
      <c r="H49" s="199" t="s">
        <v>293</v>
      </c>
      <c r="I49" s="197"/>
      <c r="J49" s="197"/>
      <c r="K49" s="197"/>
      <c r="L49" s="197"/>
      <c r="M49" s="197"/>
      <c r="N49" s="197"/>
      <c r="O49" s="199" t="s">
        <v>400</v>
      </c>
      <c r="P49" s="197"/>
      <c r="Q49" s="199" t="s">
        <v>400</v>
      </c>
      <c r="R49" s="199" t="s">
        <v>400</v>
      </c>
      <c r="S49" s="197"/>
      <c r="T49" s="197"/>
      <c r="U49" s="199" t="s">
        <v>302</v>
      </c>
      <c r="V49" s="199" t="s">
        <v>400</v>
      </c>
      <c r="W49" s="197"/>
      <c r="X49" s="197"/>
      <c r="Y49" s="197"/>
    </row>
    <row r="50" spans="1:25" ht="16" x14ac:dyDescent="0.2">
      <c r="A50" s="197"/>
      <c r="B50" s="198">
        <f t="shared" si="1"/>
        <v>44</v>
      </c>
      <c r="C50" s="197"/>
      <c r="D50" s="197"/>
      <c r="E50" s="197"/>
      <c r="F50" s="199" t="s">
        <v>293</v>
      </c>
      <c r="G50" s="197"/>
      <c r="H50" s="199" t="s">
        <v>293</v>
      </c>
      <c r="I50" s="197"/>
      <c r="J50" s="197"/>
      <c r="K50" s="197"/>
      <c r="L50" s="197"/>
      <c r="M50" s="197"/>
      <c r="N50" s="197"/>
      <c r="O50" s="199" t="s">
        <v>400</v>
      </c>
      <c r="P50" s="197"/>
      <c r="Q50" s="199" t="s">
        <v>400</v>
      </c>
      <c r="R50" s="199" t="s">
        <v>400</v>
      </c>
      <c r="S50" s="197"/>
      <c r="T50" s="197"/>
      <c r="U50" s="199" t="s">
        <v>302</v>
      </c>
      <c r="V50" s="199" t="s">
        <v>400</v>
      </c>
      <c r="W50" s="197"/>
      <c r="X50" s="197"/>
      <c r="Y50" s="197"/>
    </row>
    <row r="51" spans="1:25" ht="16" x14ac:dyDescent="0.2">
      <c r="A51" s="197"/>
      <c r="B51" s="198">
        <f t="shared" si="1"/>
        <v>45</v>
      </c>
      <c r="C51" s="197"/>
      <c r="D51" s="197"/>
      <c r="E51" s="197"/>
      <c r="F51" s="199" t="s">
        <v>293</v>
      </c>
      <c r="G51" s="197"/>
      <c r="H51" s="199" t="s">
        <v>293</v>
      </c>
      <c r="I51" s="197"/>
      <c r="J51" s="197"/>
      <c r="K51" s="197"/>
      <c r="L51" s="197"/>
      <c r="M51" s="197"/>
      <c r="N51" s="197"/>
      <c r="O51" s="199" t="s">
        <v>400</v>
      </c>
      <c r="P51" s="197"/>
      <c r="Q51" s="199" t="s">
        <v>400</v>
      </c>
      <c r="R51" s="199" t="s">
        <v>400</v>
      </c>
      <c r="S51" s="197"/>
      <c r="T51" s="197"/>
      <c r="U51" s="199" t="s">
        <v>302</v>
      </c>
      <c r="V51" s="199" t="s">
        <v>400</v>
      </c>
      <c r="W51" s="197"/>
      <c r="X51" s="197"/>
      <c r="Y51" s="197"/>
    </row>
    <row r="52" spans="1:25" ht="16" x14ac:dyDescent="0.2">
      <c r="A52" s="197"/>
      <c r="B52" s="198">
        <f t="shared" si="1"/>
        <v>46</v>
      </c>
      <c r="C52" s="197"/>
      <c r="D52" s="197"/>
      <c r="E52" s="197"/>
      <c r="F52" s="199" t="s">
        <v>293</v>
      </c>
      <c r="G52" s="197"/>
      <c r="H52" s="199" t="s">
        <v>293</v>
      </c>
      <c r="I52" s="197"/>
      <c r="J52" s="197"/>
      <c r="K52" s="197"/>
      <c r="L52" s="197"/>
      <c r="M52" s="197"/>
      <c r="N52" s="197"/>
      <c r="O52" s="199" t="s">
        <v>400</v>
      </c>
      <c r="P52" s="197"/>
      <c r="Q52" s="199" t="s">
        <v>400</v>
      </c>
      <c r="R52" s="199" t="s">
        <v>400</v>
      </c>
      <c r="S52" s="197"/>
      <c r="T52" s="197"/>
      <c r="U52" s="199" t="s">
        <v>302</v>
      </c>
      <c r="V52" s="199" t="s">
        <v>400</v>
      </c>
      <c r="W52" s="197"/>
      <c r="X52" s="197"/>
      <c r="Y52" s="197"/>
    </row>
    <row r="53" spans="1:25" ht="16" x14ac:dyDescent="0.2">
      <c r="A53" s="197"/>
      <c r="B53" s="198">
        <f t="shared" si="1"/>
        <v>47</v>
      </c>
      <c r="C53" s="197"/>
      <c r="D53" s="197"/>
      <c r="E53" s="197"/>
      <c r="F53" s="199" t="s">
        <v>293</v>
      </c>
      <c r="G53" s="197"/>
      <c r="H53" s="199" t="s">
        <v>293</v>
      </c>
      <c r="I53" s="197"/>
      <c r="J53" s="197"/>
      <c r="K53" s="197"/>
      <c r="L53" s="197"/>
      <c r="M53" s="197"/>
      <c r="N53" s="197"/>
      <c r="O53" s="199" t="s">
        <v>400</v>
      </c>
      <c r="P53" s="197"/>
      <c r="Q53" s="199" t="s">
        <v>400</v>
      </c>
      <c r="R53" s="199" t="s">
        <v>400</v>
      </c>
      <c r="S53" s="197"/>
      <c r="T53" s="197"/>
      <c r="U53" s="199" t="s">
        <v>302</v>
      </c>
      <c r="V53" s="199" t="s">
        <v>400</v>
      </c>
      <c r="W53" s="197"/>
      <c r="X53" s="197"/>
      <c r="Y53" s="197"/>
    </row>
    <row r="54" spans="1:25" ht="16" x14ac:dyDescent="0.2">
      <c r="A54" s="197"/>
      <c r="B54" s="198">
        <f t="shared" si="1"/>
        <v>48</v>
      </c>
      <c r="C54" s="197"/>
      <c r="D54" s="197"/>
      <c r="E54" s="197"/>
      <c r="F54" s="199" t="s">
        <v>293</v>
      </c>
      <c r="G54" s="197"/>
      <c r="H54" s="199" t="s">
        <v>293</v>
      </c>
      <c r="I54" s="197"/>
      <c r="J54" s="197"/>
      <c r="K54" s="197"/>
      <c r="L54" s="197"/>
      <c r="M54" s="197"/>
      <c r="N54" s="197"/>
      <c r="O54" s="199" t="s">
        <v>400</v>
      </c>
      <c r="P54" s="197"/>
      <c r="Q54" s="199" t="s">
        <v>400</v>
      </c>
      <c r="R54" s="199" t="s">
        <v>400</v>
      </c>
      <c r="S54" s="197"/>
      <c r="T54" s="197"/>
      <c r="U54" s="199" t="s">
        <v>302</v>
      </c>
      <c r="V54" s="199" t="s">
        <v>400</v>
      </c>
      <c r="W54" s="197"/>
      <c r="X54" s="197"/>
      <c r="Y54" s="197"/>
    </row>
    <row r="55" spans="1:25" ht="16" x14ac:dyDescent="0.2">
      <c r="A55" s="197"/>
      <c r="B55" s="198">
        <f t="shared" si="1"/>
        <v>49</v>
      </c>
      <c r="C55" s="197"/>
      <c r="D55" s="197"/>
      <c r="E55" s="197"/>
      <c r="F55" s="199" t="s">
        <v>293</v>
      </c>
      <c r="G55" s="197"/>
      <c r="H55" s="199" t="s">
        <v>293</v>
      </c>
      <c r="I55" s="197"/>
      <c r="J55" s="197"/>
      <c r="K55" s="197"/>
      <c r="L55" s="197"/>
      <c r="M55" s="197"/>
      <c r="N55" s="197"/>
      <c r="O55" s="199" t="s">
        <v>400</v>
      </c>
      <c r="P55" s="197"/>
      <c r="Q55" s="199" t="s">
        <v>400</v>
      </c>
      <c r="R55" s="199" t="s">
        <v>400</v>
      </c>
      <c r="S55" s="197"/>
      <c r="T55" s="197"/>
      <c r="U55" s="199" t="s">
        <v>302</v>
      </c>
      <c r="V55" s="199" t="s">
        <v>400</v>
      </c>
      <c r="W55" s="197"/>
      <c r="X55" s="197"/>
      <c r="Y55" s="197"/>
    </row>
    <row r="56" spans="1:25" ht="16" x14ac:dyDescent="0.2">
      <c r="A56" s="197"/>
      <c r="B56" s="198">
        <f t="shared" si="1"/>
        <v>50</v>
      </c>
      <c r="C56" s="197"/>
      <c r="D56" s="197"/>
      <c r="E56" s="197"/>
      <c r="F56" s="199" t="s">
        <v>293</v>
      </c>
      <c r="G56" s="197"/>
      <c r="H56" s="199" t="s">
        <v>293</v>
      </c>
      <c r="I56" s="197"/>
      <c r="J56" s="197"/>
      <c r="K56" s="197"/>
      <c r="L56" s="197"/>
      <c r="M56" s="197"/>
      <c r="N56" s="197"/>
      <c r="O56" s="199" t="s">
        <v>400</v>
      </c>
      <c r="P56" s="197"/>
      <c r="Q56" s="199" t="s">
        <v>400</v>
      </c>
      <c r="R56" s="199" t="s">
        <v>400</v>
      </c>
      <c r="S56" s="197"/>
      <c r="T56" s="197"/>
      <c r="U56" s="199" t="s">
        <v>302</v>
      </c>
      <c r="V56" s="199" t="s">
        <v>400</v>
      </c>
      <c r="W56" s="197"/>
      <c r="X56" s="197"/>
      <c r="Y56" s="197"/>
    </row>
    <row r="57" spans="1:25" ht="16" x14ac:dyDescent="0.2">
      <c r="A57" s="197"/>
      <c r="B57" s="198">
        <f t="shared" si="1"/>
        <v>51</v>
      </c>
      <c r="C57" s="197"/>
      <c r="D57" s="197"/>
      <c r="E57" s="197"/>
      <c r="F57" s="199" t="s">
        <v>293</v>
      </c>
      <c r="G57" s="197"/>
      <c r="H57" s="199" t="s">
        <v>293</v>
      </c>
      <c r="I57" s="197"/>
      <c r="J57" s="197"/>
      <c r="K57" s="197"/>
      <c r="L57" s="197"/>
      <c r="M57" s="197"/>
      <c r="N57" s="197"/>
      <c r="O57" s="199" t="s">
        <v>400</v>
      </c>
      <c r="P57" s="197"/>
      <c r="Q57" s="199" t="s">
        <v>400</v>
      </c>
      <c r="R57" s="199" t="s">
        <v>400</v>
      </c>
      <c r="S57" s="197"/>
      <c r="T57" s="197"/>
      <c r="U57" s="199" t="s">
        <v>302</v>
      </c>
      <c r="V57" s="199" t="s">
        <v>400</v>
      </c>
      <c r="W57" s="197"/>
      <c r="X57" s="197"/>
      <c r="Y57" s="197"/>
    </row>
    <row r="58" spans="1:25" ht="16" x14ac:dyDescent="0.2">
      <c r="A58" s="197"/>
      <c r="B58" s="198">
        <f t="shared" si="1"/>
        <v>52</v>
      </c>
      <c r="C58" s="197"/>
      <c r="D58" s="197"/>
      <c r="E58" s="197"/>
      <c r="F58" s="199" t="s">
        <v>293</v>
      </c>
      <c r="G58" s="197"/>
      <c r="H58" s="199" t="s">
        <v>293</v>
      </c>
      <c r="I58" s="197"/>
      <c r="J58" s="197"/>
      <c r="K58" s="197"/>
      <c r="L58" s="197"/>
      <c r="M58" s="197"/>
      <c r="N58" s="197"/>
      <c r="O58" s="199" t="s">
        <v>400</v>
      </c>
      <c r="P58" s="197"/>
      <c r="Q58" s="199" t="s">
        <v>400</v>
      </c>
      <c r="R58" s="199" t="s">
        <v>400</v>
      </c>
      <c r="S58" s="197"/>
      <c r="T58" s="197"/>
      <c r="U58" s="199" t="s">
        <v>302</v>
      </c>
      <c r="V58" s="199" t="s">
        <v>400</v>
      </c>
      <c r="W58" s="197"/>
      <c r="X58" s="197"/>
      <c r="Y58" s="197"/>
    </row>
    <row r="59" spans="1:25" ht="16" x14ac:dyDescent="0.2">
      <c r="A59" s="197"/>
      <c r="B59" s="198">
        <f t="shared" si="1"/>
        <v>53</v>
      </c>
      <c r="C59" s="197"/>
      <c r="D59" s="197"/>
      <c r="E59" s="197"/>
      <c r="F59" s="199" t="s">
        <v>293</v>
      </c>
      <c r="G59" s="197"/>
      <c r="H59" s="199" t="s">
        <v>293</v>
      </c>
      <c r="I59" s="197"/>
      <c r="J59" s="197"/>
      <c r="K59" s="197"/>
      <c r="L59" s="197"/>
      <c r="M59" s="197"/>
      <c r="N59" s="197"/>
      <c r="O59" s="199" t="s">
        <v>400</v>
      </c>
      <c r="P59" s="197"/>
      <c r="Q59" s="199" t="s">
        <v>400</v>
      </c>
      <c r="R59" s="199" t="s">
        <v>400</v>
      </c>
      <c r="S59" s="197"/>
      <c r="T59" s="197"/>
      <c r="U59" s="199" t="s">
        <v>302</v>
      </c>
      <c r="V59" s="199" t="s">
        <v>400</v>
      </c>
      <c r="W59" s="197"/>
      <c r="X59" s="197"/>
      <c r="Y59" s="197"/>
    </row>
    <row r="60" spans="1:25" ht="16" x14ac:dyDescent="0.2">
      <c r="A60" s="197"/>
      <c r="B60" s="198">
        <f t="shared" si="1"/>
        <v>54</v>
      </c>
      <c r="C60" s="197"/>
      <c r="D60" s="197"/>
      <c r="E60" s="197"/>
      <c r="F60" s="199" t="s">
        <v>293</v>
      </c>
      <c r="G60" s="197"/>
      <c r="H60" s="199" t="s">
        <v>293</v>
      </c>
      <c r="I60" s="197"/>
      <c r="J60" s="197"/>
      <c r="K60" s="197"/>
      <c r="L60" s="197"/>
      <c r="M60" s="197"/>
      <c r="N60" s="197"/>
      <c r="O60" s="199" t="s">
        <v>400</v>
      </c>
      <c r="P60" s="197"/>
      <c r="Q60" s="199" t="s">
        <v>400</v>
      </c>
      <c r="R60" s="199" t="s">
        <v>400</v>
      </c>
      <c r="S60" s="197"/>
      <c r="T60" s="197"/>
      <c r="U60" s="199" t="s">
        <v>302</v>
      </c>
      <c r="V60" s="199" t="s">
        <v>400</v>
      </c>
      <c r="W60" s="197"/>
      <c r="X60" s="197"/>
      <c r="Y60" s="197"/>
    </row>
    <row r="61" spans="1:25" ht="16" x14ac:dyDescent="0.2">
      <c r="A61" s="197"/>
      <c r="B61" s="198">
        <f t="shared" si="1"/>
        <v>55</v>
      </c>
      <c r="C61" s="197"/>
      <c r="D61" s="197"/>
      <c r="E61" s="197"/>
      <c r="F61" s="199" t="s">
        <v>293</v>
      </c>
      <c r="G61" s="197"/>
      <c r="H61" s="199" t="s">
        <v>293</v>
      </c>
      <c r="I61" s="197"/>
      <c r="J61" s="197"/>
      <c r="K61" s="197"/>
      <c r="L61" s="197"/>
      <c r="M61" s="197"/>
      <c r="N61" s="197"/>
      <c r="O61" s="199" t="s">
        <v>400</v>
      </c>
      <c r="P61" s="197"/>
      <c r="Q61" s="199" t="s">
        <v>400</v>
      </c>
      <c r="R61" s="199" t="s">
        <v>400</v>
      </c>
      <c r="S61" s="197"/>
      <c r="T61" s="197"/>
      <c r="U61" s="199" t="s">
        <v>302</v>
      </c>
      <c r="V61" s="199" t="s">
        <v>400</v>
      </c>
      <c r="W61" s="197"/>
      <c r="X61" s="197"/>
      <c r="Y61" s="197"/>
    </row>
    <row r="62" spans="1:25" ht="16" x14ac:dyDescent="0.2">
      <c r="A62" s="197"/>
      <c r="B62" s="198">
        <f t="shared" si="1"/>
        <v>56</v>
      </c>
      <c r="C62" s="197"/>
      <c r="D62" s="197"/>
      <c r="E62" s="197"/>
      <c r="F62" s="199" t="s">
        <v>293</v>
      </c>
      <c r="G62" s="197"/>
      <c r="H62" s="199" t="s">
        <v>293</v>
      </c>
      <c r="I62" s="197"/>
      <c r="J62" s="197"/>
      <c r="K62" s="197"/>
      <c r="L62" s="197"/>
      <c r="M62" s="197"/>
      <c r="N62" s="197"/>
      <c r="O62" s="199" t="s">
        <v>400</v>
      </c>
      <c r="P62" s="197"/>
      <c r="Q62" s="199" t="s">
        <v>400</v>
      </c>
      <c r="R62" s="199" t="s">
        <v>400</v>
      </c>
      <c r="S62" s="197"/>
      <c r="T62" s="197"/>
      <c r="U62" s="199" t="s">
        <v>302</v>
      </c>
      <c r="V62" s="199" t="s">
        <v>400</v>
      </c>
      <c r="W62" s="197"/>
      <c r="X62" s="197"/>
      <c r="Y62" s="197"/>
    </row>
    <row r="63" spans="1:25" ht="16" x14ac:dyDescent="0.2">
      <c r="A63" s="197"/>
      <c r="B63" s="198">
        <f t="shared" si="1"/>
        <v>57</v>
      </c>
      <c r="C63" s="197"/>
      <c r="D63" s="197"/>
      <c r="E63" s="197"/>
      <c r="F63" s="199" t="s">
        <v>293</v>
      </c>
      <c r="G63" s="197"/>
      <c r="H63" s="199" t="s">
        <v>293</v>
      </c>
      <c r="I63" s="197"/>
      <c r="J63" s="197"/>
      <c r="K63" s="197"/>
      <c r="L63" s="197"/>
      <c r="M63" s="197"/>
      <c r="N63" s="197"/>
      <c r="O63" s="199" t="s">
        <v>400</v>
      </c>
      <c r="P63" s="197"/>
      <c r="Q63" s="199" t="s">
        <v>400</v>
      </c>
      <c r="R63" s="199" t="s">
        <v>400</v>
      </c>
      <c r="S63" s="197"/>
      <c r="T63" s="197"/>
      <c r="U63" s="199" t="s">
        <v>302</v>
      </c>
      <c r="V63" s="199" t="s">
        <v>400</v>
      </c>
      <c r="W63" s="197"/>
      <c r="X63" s="197"/>
      <c r="Y63" s="197"/>
    </row>
    <row r="64" spans="1:25" ht="16" x14ac:dyDescent="0.2">
      <c r="A64" s="197"/>
      <c r="B64" s="198">
        <f t="shared" si="1"/>
        <v>58</v>
      </c>
      <c r="C64" s="197"/>
      <c r="D64" s="197"/>
      <c r="E64" s="197"/>
      <c r="F64" s="199" t="s">
        <v>293</v>
      </c>
      <c r="G64" s="197"/>
      <c r="H64" s="199" t="s">
        <v>293</v>
      </c>
      <c r="I64" s="197"/>
      <c r="J64" s="197"/>
      <c r="K64" s="197"/>
      <c r="L64" s="197"/>
      <c r="M64" s="197"/>
      <c r="N64" s="197"/>
      <c r="O64" s="199" t="s">
        <v>400</v>
      </c>
      <c r="P64" s="197"/>
      <c r="Q64" s="199" t="s">
        <v>400</v>
      </c>
      <c r="R64" s="199" t="s">
        <v>400</v>
      </c>
      <c r="S64" s="197"/>
      <c r="T64" s="197"/>
      <c r="U64" s="199" t="s">
        <v>302</v>
      </c>
      <c r="V64" s="199" t="s">
        <v>400</v>
      </c>
      <c r="W64" s="197"/>
      <c r="X64" s="197"/>
      <c r="Y64" s="197"/>
    </row>
    <row r="65" spans="1:25" ht="16" x14ac:dyDescent="0.2">
      <c r="A65" s="197"/>
      <c r="B65" s="198">
        <f t="shared" si="1"/>
        <v>59</v>
      </c>
      <c r="C65" s="197"/>
      <c r="D65" s="197"/>
      <c r="E65" s="197"/>
      <c r="F65" s="199" t="s">
        <v>293</v>
      </c>
      <c r="G65" s="197"/>
      <c r="H65" s="199" t="s">
        <v>293</v>
      </c>
      <c r="I65" s="197"/>
      <c r="J65" s="197"/>
      <c r="K65" s="197"/>
      <c r="L65" s="197"/>
      <c r="M65" s="197"/>
      <c r="N65" s="197"/>
      <c r="O65" s="199" t="s">
        <v>400</v>
      </c>
      <c r="P65" s="197"/>
      <c r="Q65" s="199" t="s">
        <v>400</v>
      </c>
      <c r="R65" s="199" t="s">
        <v>400</v>
      </c>
      <c r="S65" s="197"/>
      <c r="T65" s="197"/>
      <c r="U65" s="199" t="s">
        <v>302</v>
      </c>
      <c r="V65" s="199" t="s">
        <v>400</v>
      </c>
      <c r="W65" s="197"/>
      <c r="X65" s="197"/>
      <c r="Y65" s="197"/>
    </row>
    <row r="66" spans="1:25" ht="16" x14ac:dyDescent="0.2">
      <c r="A66" s="197"/>
      <c r="B66" s="198">
        <f t="shared" si="1"/>
        <v>60</v>
      </c>
      <c r="C66" s="197"/>
      <c r="D66" s="197"/>
      <c r="E66" s="197"/>
      <c r="F66" s="199" t="s">
        <v>293</v>
      </c>
      <c r="G66" s="197"/>
      <c r="H66" s="199" t="s">
        <v>293</v>
      </c>
      <c r="I66" s="197"/>
      <c r="J66" s="197"/>
      <c r="K66" s="197"/>
      <c r="L66" s="197"/>
      <c r="M66" s="197"/>
      <c r="N66" s="197"/>
      <c r="O66" s="199" t="s">
        <v>400</v>
      </c>
      <c r="P66" s="197"/>
      <c r="Q66" s="199" t="s">
        <v>400</v>
      </c>
      <c r="R66" s="199" t="s">
        <v>400</v>
      </c>
      <c r="S66" s="197"/>
      <c r="T66" s="197"/>
      <c r="U66" s="199" t="s">
        <v>302</v>
      </c>
      <c r="V66" s="199" t="s">
        <v>400</v>
      </c>
      <c r="W66" s="197"/>
      <c r="X66" s="197"/>
      <c r="Y66" s="197"/>
    </row>
    <row r="67" spans="1:25" ht="16" x14ac:dyDescent="0.2">
      <c r="A67" s="197"/>
      <c r="B67" s="198">
        <f t="shared" si="1"/>
        <v>61</v>
      </c>
      <c r="C67" s="197"/>
      <c r="D67" s="197"/>
      <c r="E67" s="197"/>
      <c r="F67" s="199" t="s">
        <v>293</v>
      </c>
      <c r="G67" s="197"/>
      <c r="H67" s="199" t="s">
        <v>293</v>
      </c>
      <c r="I67" s="197"/>
      <c r="J67" s="197"/>
      <c r="K67" s="197"/>
      <c r="L67" s="197"/>
      <c r="M67" s="197"/>
      <c r="N67" s="197"/>
      <c r="O67" s="199" t="s">
        <v>400</v>
      </c>
      <c r="P67" s="197"/>
      <c r="Q67" s="199" t="s">
        <v>400</v>
      </c>
      <c r="R67" s="199" t="s">
        <v>400</v>
      </c>
      <c r="S67" s="197"/>
      <c r="T67" s="197"/>
      <c r="U67" s="199" t="s">
        <v>302</v>
      </c>
      <c r="V67" s="199" t="s">
        <v>400</v>
      </c>
      <c r="W67" s="197"/>
      <c r="X67" s="197"/>
      <c r="Y67" s="197"/>
    </row>
    <row r="68" spans="1:25" ht="16" x14ac:dyDescent="0.2">
      <c r="A68" s="197"/>
      <c r="B68" s="198">
        <f t="shared" ref="B68:B113" si="2" xml:space="preserve"> ROW(B68) - 6</f>
        <v>62</v>
      </c>
      <c r="C68" s="197"/>
      <c r="D68" s="197"/>
      <c r="E68" s="197"/>
      <c r="F68" s="199" t="s">
        <v>293</v>
      </c>
      <c r="G68" s="197"/>
      <c r="H68" s="199" t="s">
        <v>293</v>
      </c>
      <c r="I68" s="197"/>
      <c r="J68" s="197"/>
      <c r="K68" s="197"/>
      <c r="L68" s="197"/>
      <c r="M68" s="197"/>
      <c r="N68" s="197"/>
      <c r="O68" s="199" t="s">
        <v>400</v>
      </c>
      <c r="P68" s="197"/>
      <c r="Q68" s="199" t="s">
        <v>400</v>
      </c>
      <c r="R68" s="199" t="s">
        <v>400</v>
      </c>
      <c r="S68" s="197"/>
      <c r="T68" s="197"/>
      <c r="U68" s="199" t="s">
        <v>302</v>
      </c>
      <c r="V68" s="199" t="s">
        <v>400</v>
      </c>
      <c r="W68" s="197"/>
      <c r="X68" s="197"/>
      <c r="Y68" s="197"/>
    </row>
    <row r="69" spans="1:25" ht="16" x14ac:dyDescent="0.2">
      <c r="A69" s="197"/>
      <c r="B69" s="198">
        <f t="shared" si="2"/>
        <v>63</v>
      </c>
      <c r="C69" s="197"/>
      <c r="D69" s="197"/>
      <c r="E69" s="197"/>
      <c r="F69" s="199" t="s">
        <v>293</v>
      </c>
      <c r="G69" s="197"/>
      <c r="H69" s="199" t="s">
        <v>293</v>
      </c>
      <c r="I69" s="197"/>
      <c r="J69" s="197"/>
      <c r="K69" s="197"/>
      <c r="L69" s="197"/>
      <c r="M69" s="197"/>
      <c r="N69" s="197"/>
      <c r="O69" s="199" t="s">
        <v>400</v>
      </c>
      <c r="P69" s="197"/>
      <c r="Q69" s="199" t="s">
        <v>400</v>
      </c>
      <c r="R69" s="199" t="s">
        <v>400</v>
      </c>
      <c r="S69" s="197"/>
      <c r="T69" s="197"/>
      <c r="U69" s="199" t="s">
        <v>302</v>
      </c>
      <c r="V69" s="199" t="s">
        <v>400</v>
      </c>
      <c r="W69" s="197"/>
      <c r="X69" s="197"/>
      <c r="Y69" s="197"/>
    </row>
    <row r="70" spans="1:25" ht="16" x14ac:dyDescent="0.2">
      <c r="A70" s="197"/>
      <c r="B70" s="198">
        <f xml:space="preserve"> ROW(B70) - 6</f>
        <v>64</v>
      </c>
      <c r="C70" s="197"/>
      <c r="D70" s="197"/>
      <c r="E70" s="197"/>
      <c r="F70" s="199" t="s">
        <v>293</v>
      </c>
      <c r="G70" s="197"/>
      <c r="H70" s="199" t="s">
        <v>293</v>
      </c>
      <c r="I70" s="197"/>
      <c r="J70" s="197"/>
      <c r="K70" s="197"/>
      <c r="L70" s="197"/>
      <c r="M70" s="197"/>
      <c r="N70" s="197"/>
      <c r="O70" s="199" t="s">
        <v>400</v>
      </c>
      <c r="P70" s="197"/>
      <c r="Q70" s="199" t="s">
        <v>400</v>
      </c>
      <c r="R70" s="199" t="s">
        <v>400</v>
      </c>
      <c r="S70" s="197"/>
      <c r="T70" s="197"/>
      <c r="U70" s="199" t="s">
        <v>302</v>
      </c>
      <c r="V70" s="199" t="s">
        <v>400</v>
      </c>
      <c r="W70" s="197"/>
      <c r="X70" s="197"/>
      <c r="Y70" s="197"/>
    </row>
    <row r="71" spans="1:25" ht="16" x14ac:dyDescent="0.2">
      <c r="A71" s="197"/>
      <c r="B71" s="198">
        <f t="shared" si="2"/>
        <v>65</v>
      </c>
      <c r="C71" s="197"/>
      <c r="D71" s="197"/>
      <c r="E71" s="197"/>
      <c r="F71" s="199" t="s">
        <v>293</v>
      </c>
      <c r="G71" s="197"/>
      <c r="H71" s="199" t="s">
        <v>293</v>
      </c>
      <c r="I71" s="197"/>
      <c r="J71" s="197"/>
      <c r="K71" s="197"/>
      <c r="L71" s="197"/>
      <c r="M71" s="197"/>
      <c r="N71" s="197"/>
      <c r="O71" s="199" t="s">
        <v>400</v>
      </c>
      <c r="P71" s="197"/>
      <c r="Q71" s="199" t="s">
        <v>400</v>
      </c>
      <c r="R71" s="199" t="s">
        <v>400</v>
      </c>
      <c r="S71" s="197"/>
      <c r="T71" s="197"/>
      <c r="U71" s="199" t="s">
        <v>302</v>
      </c>
      <c r="V71" s="199" t="s">
        <v>400</v>
      </c>
      <c r="W71" s="197"/>
      <c r="X71" s="197"/>
      <c r="Y71" s="197"/>
    </row>
    <row r="72" spans="1:25" ht="16" x14ac:dyDescent="0.2">
      <c r="A72" s="197"/>
      <c r="B72" s="198">
        <f t="shared" si="2"/>
        <v>66</v>
      </c>
      <c r="C72" s="197"/>
      <c r="D72" s="197"/>
      <c r="E72" s="197"/>
      <c r="F72" s="199" t="s">
        <v>293</v>
      </c>
      <c r="G72" s="197"/>
      <c r="H72" s="199" t="s">
        <v>293</v>
      </c>
      <c r="I72" s="197"/>
      <c r="J72" s="197"/>
      <c r="K72" s="197"/>
      <c r="L72" s="197"/>
      <c r="M72" s="197"/>
      <c r="N72" s="197"/>
      <c r="O72" s="199" t="s">
        <v>400</v>
      </c>
      <c r="P72" s="197"/>
      <c r="Q72" s="199" t="s">
        <v>400</v>
      </c>
      <c r="R72" s="199" t="s">
        <v>400</v>
      </c>
      <c r="S72" s="197"/>
      <c r="T72" s="197"/>
      <c r="U72" s="199" t="s">
        <v>302</v>
      </c>
      <c r="V72" s="199" t="s">
        <v>400</v>
      </c>
      <c r="W72" s="197"/>
      <c r="X72" s="197"/>
      <c r="Y72" s="197"/>
    </row>
    <row r="73" spans="1:25" ht="16" x14ac:dyDescent="0.2">
      <c r="A73" s="197"/>
      <c r="B73" s="198">
        <f t="shared" si="2"/>
        <v>67</v>
      </c>
      <c r="C73" s="197"/>
      <c r="D73" s="197"/>
      <c r="E73" s="197"/>
      <c r="F73" s="199" t="s">
        <v>293</v>
      </c>
      <c r="G73" s="197"/>
      <c r="H73" s="199" t="s">
        <v>293</v>
      </c>
      <c r="I73" s="197"/>
      <c r="J73" s="197"/>
      <c r="K73" s="197"/>
      <c r="L73" s="197"/>
      <c r="M73" s="197"/>
      <c r="N73" s="197"/>
      <c r="O73" s="199" t="s">
        <v>400</v>
      </c>
      <c r="P73" s="197"/>
      <c r="Q73" s="199" t="s">
        <v>400</v>
      </c>
      <c r="R73" s="199" t="s">
        <v>400</v>
      </c>
      <c r="S73" s="197"/>
      <c r="T73" s="197"/>
      <c r="U73" s="199" t="s">
        <v>302</v>
      </c>
      <c r="V73" s="199" t="s">
        <v>400</v>
      </c>
      <c r="W73" s="197"/>
      <c r="X73" s="197"/>
      <c r="Y73" s="197"/>
    </row>
    <row r="74" spans="1:25" ht="16" x14ac:dyDescent="0.2">
      <c r="A74" s="197"/>
      <c r="B74" s="198">
        <f t="shared" si="2"/>
        <v>68</v>
      </c>
      <c r="C74" s="197"/>
      <c r="D74" s="197"/>
      <c r="E74" s="197"/>
      <c r="F74" s="199" t="s">
        <v>293</v>
      </c>
      <c r="G74" s="197"/>
      <c r="H74" s="199" t="s">
        <v>293</v>
      </c>
      <c r="I74" s="197"/>
      <c r="J74" s="197"/>
      <c r="K74" s="197"/>
      <c r="L74" s="197"/>
      <c r="M74" s="197"/>
      <c r="N74" s="197"/>
      <c r="O74" s="199" t="s">
        <v>400</v>
      </c>
      <c r="P74" s="197"/>
      <c r="Q74" s="199" t="s">
        <v>400</v>
      </c>
      <c r="R74" s="199" t="s">
        <v>400</v>
      </c>
      <c r="S74" s="197"/>
      <c r="T74" s="197"/>
      <c r="U74" s="199" t="s">
        <v>302</v>
      </c>
      <c r="V74" s="199" t="s">
        <v>400</v>
      </c>
      <c r="W74" s="197"/>
      <c r="X74" s="197"/>
      <c r="Y74" s="197"/>
    </row>
    <row r="75" spans="1:25" ht="16" x14ac:dyDescent="0.2">
      <c r="A75" s="197"/>
      <c r="B75" s="198">
        <f t="shared" si="2"/>
        <v>69</v>
      </c>
      <c r="C75" s="197"/>
      <c r="D75" s="197"/>
      <c r="E75" s="197"/>
      <c r="F75" s="199" t="s">
        <v>293</v>
      </c>
      <c r="G75" s="197"/>
      <c r="H75" s="199" t="s">
        <v>293</v>
      </c>
      <c r="I75" s="197"/>
      <c r="J75" s="197"/>
      <c r="K75" s="197"/>
      <c r="L75" s="197"/>
      <c r="M75" s="197"/>
      <c r="N75" s="197"/>
      <c r="O75" s="199" t="s">
        <v>400</v>
      </c>
      <c r="P75" s="197"/>
      <c r="Q75" s="199" t="s">
        <v>400</v>
      </c>
      <c r="R75" s="199" t="s">
        <v>400</v>
      </c>
      <c r="S75" s="197"/>
      <c r="T75" s="197"/>
      <c r="U75" s="199" t="s">
        <v>302</v>
      </c>
      <c r="V75" s="199" t="s">
        <v>400</v>
      </c>
      <c r="W75" s="197"/>
      <c r="X75" s="197"/>
      <c r="Y75" s="197"/>
    </row>
    <row r="76" spans="1:25" ht="16" x14ac:dyDescent="0.2">
      <c r="A76" s="197"/>
      <c r="B76" s="198">
        <f t="shared" si="2"/>
        <v>70</v>
      </c>
      <c r="C76" s="197"/>
      <c r="D76" s="197"/>
      <c r="E76" s="197"/>
      <c r="F76" s="199" t="s">
        <v>293</v>
      </c>
      <c r="G76" s="197"/>
      <c r="H76" s="199" t="s">
        <v>293</v>
      </c>
      <c r="I76" s="197"/>
      <c r="J76" s="197"/>
      <c r="K76" s="197"/>
      <c r="L76" s="197"/>
      <c r="M76" s="197"/>
      <c r="N76" s="197"/>
      <c r="O76" s="199" t="s">
        <v>400</v>
      </c>
      <c r="P76" s="197"/>
      <c r="Q76" s="199" t="s">
        <v>400</v>
      </c>
      <c r="R76" s="199" t="s">
        <v>400</v>
      </c>
      <c r="S76" s="197"/>
      <c r="T76" s="197"/>
      <c r="U76" s="199" t="s">
        <v>302</v>
      </c>
      <c r="V76" s="199" t="s">
        <v>400</v>
      </c>
      <c r="W76" s="197"/>
      <c r="X76" s="197"/>
      <c r="Y76" s="197"/>
    </row>
    <row r="77" spans="1:25" ht="16" x14ac:dyDescent="0.2">
      <c r="A77" s="197"/>
      <c r="B77" s="198">
        <f t="shared" si="2"/>
        <v>71</v>
      </c>
      <c r="C77" s="197"/>
      <c r="D77" s="197"/>
      <c r="E77" s="197"/>
      <c r="F77" s="199" t="s">
        <v>293</v>
      </c>
      <c r="G77" s="197"/>
      <c r="H77" s="199" t="s">
        <v>293</v>
      </c>
      <c r="I77" s="197"/>
      <c r="J77" s="197"/>
      <c r="K77" s="197"/>
      <c r="L77" s="197"/>
      <c r="M77" s="197"/>
      <c r="N77" s="197"/>
      <c r="O77" s="199" t="s">
        <v>400</v>
      </c>
      <c r="P77" s="197"/>
      <c r="Q77" s="199" t="s">
        <v>400</v>
      </c>
      <c r="R77" s="199" t="s">
        <v>400</v>
      </c>
      <c r="S77" s="197"/>
      <c r="T77" s="197"/>
      <c r="U77" s="199" t="s">
        <v>302</v>
      </c>
      <c r="V77" s="199" t="s">
        <v>400</v>
      </c>
      <c r="W77" s="197"/>
      <c r="X77" s="197"/>
      <c r="Y77" s="197"/>
    </row>
    <row r="78" spans="1:25" ht="16" x14ac:dyDescent="0.2">
      <c r="A78" s="197"/>
      <c r="B78" s="198">
        <f t="shared" si="2"/>
        <v>72</v>
      </c>
      <c r="C78" s="197"/>
      <c r="D78" s="197"/>
      <c r="E78" s="197"/>
      <c r="F78" s="199" t="s">
        <v>293</v>
      </c>
      <c r="G78" s="197"/>
      <c r="H78" s="199" t="s">
        <v>293</v>
      </c>
      <c r="I78" s="197"/>
      <c r="J78" s="197"/>
      <c r="K78" s="197"/>
      <c r="L78" s="197"/>
      <c r="M78" s="197"/>
      <c r="N78" s="197"/>
      <c r="O78" s="199" t="s">
        <v>400</v>
      </c>
      <c r="P78" s="197"/>
      <c r="Q78" s="199" t="s">
        <v>400</v>
      </c>
      <c r="R78" s="199" t="s">
        <v>400</v>
      </c>
      <c r="S78" s="197"/>
      <c r="T78" s="197"/>
      <c r="U78" s="199" t="s">
        <v>302</v>
      </c>
      <c r="V78" s="199" t="s">
        <v>400</v>
      </c>
      <c r="W78" s="197"/>
      <c r="X78" s="197"/>
      <c r="Y78" s="197"/>
    </row>
    <row r="79" spans="1:25" ht="16" x14ac:dyDescent="0.2">
      <c r="A79" s="197"/>
      <c r="B79" s="198">
        <f t="shared" si="2"/>
        <v>73</v>
      </c>
      <c r="C79" s="197"/>
      <c r="D79" s="197"/>
      <c r="E79" s="197"/>
      <c r="F79" s="199" t="s">
        <v>293</v>
      </c>
      <c r="G79" s="197"/>
      <c r="H79" s="199" t="s">
        <v>293</v>
      </c>
      <c r="I79" s="197"/>
      <c r="J79" s="197"/>
      <c r="K79" s="197"/>
      <c r="L79" s="197"/>
      <c r="M79" s="197"/>
      <c r="N79" s="197"/>
      <c r="O79" s="199" t="s">
        <v>400</v>
      </c>
      <c r="P79" s="197"/>
      <c r="Q79" s="199" t="s">
        <v>400</v>
      </c>
      <c r="R79" s="199" t="s">
        <v>400</v>
      </c>
      <c r="S79" s="197"/>
      <c r="T79" s="197"/>
      <c r="U79" s="199" t="s">
        <v>302</v>
      </c>
      <c r="V79" s="199" t="s">
        <v>400</v>
      </c>
      <c r="W79" s="197"/>
      <c r="X79" s="197"/>
      <c r="Y79" s="197"/>
    </row>
    <row r="80" spans="1:25" ht="16" x14ac:dyDescent="0.2">
      <c r="A80" s="197"/>
      <c r="B80" s="198">
        <f t="shared" si="2"/>
        <v>74</v>
      </c>
      <c r="C80" s="197"/>
      <c r="D80" s="197"/>
      <c r="E80" s="197"/>
      <c r="F80" s="199" t="s">
        <v>293</v>
      </c>
      <c r="G80" s="197"/>
      <c r="H80" s="199" t="s">
        <v>293</v>
      </c>
      <c r="I80" s="197"/>
      <c r="J80" s="197"/>
      <c r="K80" s="197"/>
      <c r="L80" s="197"/>
      <c r="M80" s="197"/>
      <c r="N80" s="197"/>
      <c r="O80" s="199" t="s">
        <v>400</v>
      </c>
      <c r="P80" s="197"/>
      <c r="Q80" s="199" t="s">
        <v>400</v>
      </c>
      <c r="R80" s="199" t="s">
        <v>400</v>
      </c>
      <c r="S80" s="197"/>
      <c r="T80" s="197"/>
      <c r="U80" s="199" t="s">
        <v>302</v>
      </c>
      <c r="V80" s="199" t="s">
        <v>400</v>
      </c>
      <c r="W80" s="197"/>
      <c r="X80" s="197"/>
      <c r="Y80" s="197"/>
    </row>
    <row r="81" spans="1:25" ht="16" x14ac:dyDescent="0.2">
      <c r="A81" s="197"/>
      <c r="B81" s="198">
        <f t="shared" si="2"/>
        <v>75</v>
      </c>
      <c r="C81" s="197"/>
      <c r="D81" s="197"/>
      <c r="E81" s="197"/>
      <c r="F81" s="199" t="s">
        <v>293</v>
      </c>
      <c r="G81" s="197"/>
      <c r="H81" s="199" t="s">
        <v>293</v>
      </c>
      <c r="I81" s="197"/>
      <c r="J81" s="197"/>
      <c r="K81" s="197"/>
      <c r="L81" s="197"/>
      <c r="M81" s="197"/>
      <c r="N81" s="197"/>
      <c r="O81" s="199" t="s">
        <v>400</v>
      </c>
      <c r="P81" s="197"/>
      <c r="Q81" s="199" t="s">
        <v>400</v>
      </c>
      <c r="R81" s="199" t="s">
        <v>400</v>
      </c>
      <c r="S81" s="197"/>
      <c r="T81" s="197"/>
      <c r="U81" s="199" t="s">
        <v>302</v>
      </c>
      <c r="V81" s="199" t="s">
        <v>400</v>
      </c>
      <c r="W81" s="197"/>
      <c r="X81" s="197"/>
      <c r="Y81" s="197"/>
    </row>
    <row r="82" spans="1:25" ht="16" x14ac:dyDescent="0.2">
      <c r="A82" s="197"/>
      <c r="B82" s="198">
        <f t="shared" si="2"/>
        <v>76</v>
      </c>
      <c r="C82" s="197"/>
      <c r="D82" s="197"/>
      <c r="E82" s="197"/>
      <c r="F82" s="199" t="s">
        <v>293</v>
      </c>
      <c r="G82" s="197"/>
      <c r="H82" s="199" t="s">
        <v>293</v>
      </c>
      <c r="I82" s="197"/>
      <c r="J82" s="197"/>
      <c r="K82" s="197"/>
      <c r="L82" s="197"/>
      <c r="M82" s="197"/>
      <c r="N82" s="197"/>
      <c r="O82" s="199" t="s">
        <v>400</v>
      </c>
      <c r="P82" s="197"/>
      <c r="Q82" s="199" t="s">
        <v>400</v>
      </c>
      <c r="R82" s="199" t="s">
        <v>400</v>
      </c>
      <c r="S82" s="197"/>
      <c r="T82" s="197"/>
      <c r="U82" s="199" t="s">
        <v>302</v>
      </c>
      <c r="V82" s="199" t="s">
        <v>400</v>
      </c>
      <c r="W82" s="197"/>
      <c r="X82" s="197"/>
      <c r="Y82" s="197"/>
    </row>
    <row r="83" spans="1:25" ht="16" x14ac:dyDescent="0.2">
      <c r="A83" s="197"/>
      <c r="B83" s="198">
        <f t="shared" si="2"/>
        <v>77</v>
      </c>
      <c r="C83" s="197"/>
      <c r="D83" s="197"/>
      <c r="E83" s="197"/>
      <c r="F83" s="199" t="s">
        <v>293</v>
      </c>
      <c r="G83" s="197"/>
      <c r="H83" s="199" t="s">
        <v>293</v>
      </c>
      <c r="I83" s="197"/>
      <c r="J83" s="197"/>
      <c r="K83" s="197"/>
      <c r="L83" s="197"/>
      <c r="M83" s="197"/>
      <c r="N83" s="197"/>
      <c r="O83" s="199" t="s">
        <v>400</v>
      </c>
      <c r="P83" s="197"/>
      <c r="Q83" s="199" t="s">
        <v>400</v>
      </c>
      <c r="R83" s="199" t="s">
        <v>400</v>
      </c>
      <c r="S83" s="197"/>
      <c r="T83" s="197"/>
      <c r="U83" s="199" t="s">
        <v>302</v>
      </c>
      <c r="V83" s="199" t="s">
        <v>400</v>
      </c>
      <c r="W83" s="197"/>
      <c r="X83" s="197"/>
      <c r="Y83" s="197"/>
    </row>
    <row r="84" spans="1:25" ht="16" x14ac:dyDescent="0.2">
      <c r="A84" s="197"/>
      <c r="B84" s="198">
        <f t="shared" si="2"/>
        <v>78</v>
      </c>
      <c r="C84" s="197"/>
      <c r="D84" s="197"/>
      <c r="E84" s="197"/>
      <c r="F84" s="199" t="s">
        <v>293</v>
      </c>
      <c r="G84" s="197"/>
      <c r="H84" s="199" t="s">
        <v>293</v>
      </c>
      <c r="I84" s="197"/>
      <c r="J84" s="197"/>
      <c r="K84" s="197"/>
      <c r="L84" s="197"/>
      <c r="M84" s="197"/>
      <c r="N84" s="197"/>
      <c r="O84" s="199" t="s">
        <v>400</v>
      </c>
      <c r="P84" s="197"/>
      <c r="Q84" s="199" t="s">
        <v>400</v>
      </c>
      <c r="R84" s="199" t="s">
        <v>400</v>
      </c>
      <c r="S84" s="197"/>
      <c r="T84" s="197"/>
      <c r="U84" s="199" t="s">
        <v>302</v>
      </c>
      <c r="V84" s="199" t="s">
        <v>400</v>
      </c>
      <c r="W84" s="197"/>
      <c r="X84" s="197"/>
      <c r="Y84" s="197"/>
    </row>
    <row r="85" spans="1:25" ht="16" x14ac:dyDescent="0.2">
      <c r="A85" s="197"/>
      <c r="B85" s="198">
        <f t="shared" si="2"/>
        <v>79</v>
      </c>
      <c r="C85" s="197"/>
      <c r="D85" s="197"/>
      <c r="E85" s="197"/>
      <c r="F85" s="199" t="s">
        <v>293</v>
      </c>
      <c r="G85" s="197"/>
      <c r="H85" s="199" t="s">
        <v>293</v>
      </c>
      <c r="I85" s="197"/>
      <c r="J85" s="197"/>
      <c r="K85" s="197"/>
      <c r="L85" s="197"/>
      <c r="M85" s="197"/>
      <c r="N85" s="197"/>
      <c r="O85" s="199" t="s">
        <v>400</v>
      </c>
      <c r="P85" s="197"/>
      <c r="Q85" s="199" t="s">
        <v>400</v>
      </c>
      <c r="R85" s="199" t="s">
        <v>400</v>
      </c>
      <c r="S85" s="197"/>
      <c r="T85" s="197"/>
      <c r="U85" s="199" t="s">
        <v>302</v>
      </c>
      <c r="V85" s="199" t="s">
        <v>400</v>
      </c>
      <c r="W85" s="197"/>
      <c r="X85" s="197"/>
      <c r="Y85" s="197"/>
    </row>
    <row r="86" spans="1:25" ht="16" x14ac:dyDescent="0.2">
      <c r="A86" s="197"/>
      <c r="B86" s="198">
        <f t="shared" si="2"/>
        <v>80</v>
      </c>
      <c r="C86" s="197"/>
      <c r="D86" s="197"/>
      <c r="E86" s="197"/>
      <c r="F86" s="199" t="s">
        <v>293</v>
      </c>
      <c r="G86" s="197"/>
      <c r="H86" s="199" t="s">
        <v>293</v>
      </c>
      <c r="I86" s="197"/>
      <c r="J86" s="197"/>
      <c r="K86" s="197"/>
      <c r="L86" s="197"/>
      <c r="M86" s="197"/>
      <c r="N86" s="197"/>
      <c r="O86" s="199" t="s">
        <v>400</v>
      </c>
      <c r="P86" s="197"/>
      <c r="Q86" s="199" t="s">
        <v>400</v>
      </c>
      <c r="R86" s="199" t="s">
        <v>400</v>
      </c>
      <c r="S86" s="197"/>
      <c r="T86" s="197"/>
      <c r="U86" s="199" t="s">
        <v>302</v>
      </c>
      <c r="V86" s="199" t="s">
        <v>400</v>
      </c>
      <c r="W86" s="197"/>
      <c r="X86" s="197"/>
      <c r="Y86" s="197"/>
    </row>
    <row r="87" spans="1:25" ht="16" x14ac:dyDescent="0.2">
      <c r="A87" s="197"/>
      <c r="B87" s="198">
        <f t="shared" si="2"/>
        <v>81</v>
      </c>
      <c r="C87" s="197"/>
      <c r="D87" s="197"/>
      <c r="E87" s="197"/>
      <c r="F87" s="199" t="s">
        <v>293</v>
      </c>
      <c r="G87" s="197"/>
      <c r="H87" s="199" t="s">
        <v>293</v>
      </c>
      <c r="I87" s="197"/>
      <c r="J87" s="197"/>
      <c r="K87" s="197"/>
      <c r="L87" s="197"/>
      <c r="M87" s="197"/>
      <c r="N87" s="197"/>
      <c r="O87" s="199" t="s">
        <v>400</v>
      </c>
      <c r="P87" s="197"/>
      <c r="Q87" s="199" t="s">
        <v>400</v>
      </c>
      <c r="R87" s="199" t="s">
        <v>400</v>
      </c>
      <c r="S87" s="197"/>
      <c r="T87" s="197"/>
      <c r="U87" s="199" t="s">
        <v>302</v>
      </c>
      <c r="V87" s="199" t="s">
        <v>400</v>
      </c>
      <c r="W87" s="197"/>
      <c r="X87" s="197"/>
      <c r="Y87" s="197"/>
    </row>
    <row r="88" spans="1:25" ht="16" x14ac:dyDescent="0.2">
      <c r="A88" s="197"/>
      <c r="B88" s="198">
        <f t="shared" si="2"/>
        <v>82</v>
      </c>
      <c r="C88" s="197"/>
      <c r="D88" s="197"/>
      <c r="E88" s="197"/>
      <c r="F88" s="199" t="s">
        <v>293</v>
      </c>
      <c r="G88" s="197"/>
      <c r="H88" s="199" t="s">
        <v>293</v>
      </c>
      <c r="I88" s="197"/>
      <c r="J88" s="197"/>
      <c r="K88" s="197"/>
      <c r="L88" s="197"/>
      <c r="M88" s="197"/>
      <c r="N88" s="197"/>
      <c r="O88" s="199" t="s">
        <v>400</v>
      </c>
      <c r="P88" s="197"/>
      <c r="Q88" s="199" t="s">
        <v>400</v>
      </c>
      <c r="R88" s="199" t="s">
        <v>400</v>
      </c>
      <c r="S88" s="197"/>
      <c r="T88" s="197"/>
      <c r="U88" s="199" t="s">
        <v>302</v>
      </c>
      <c r="V88" s="199" t="s">
        <v>400</v>
      </c>
      <c r="W88" s="197"/>
      <c r="X88" s="197"/>
      <c r="Y88" s="197"/>
    </row>
    <row r="89" spans="1:25" ht="16" x14ac:dyDescent="0.2">
      <c r="A89" s="197"/>
      <c r="B89" s="198">
        <f t="shared" si="2"/>
        <v>83</v>
      </c>
      <c r="C89" s="197"/>
      <c r="D89" s="197"/>
      <c r="E89" s="197"/>
      <c r="F89" s="199" t="s">
        <v>293</v>
      </c>
      <c r="G89" s="197"/>
      <c r="H89" s="199" t="s">
        <v>293</v>
      </c>
      <c r="I89" s="197"/>
      <c r="J89" s="197"/>
      <c r="K89" s="197"/>
      <c r="L89" s="197"/>
      <c r="M89" s="197"/>
      <c r="N89" s="197"/>
      <c r="O89" s="199" t="s">
        <v>400</v>
      </c>
      <c r="P89" s="197"/>
      <c r="Q89" s="199" t="s">
        <v>400</v>
      </c>
      <c r="R89" s="199" t="s">
        <v>400</v>
      </c>
      <c r="S89" s="197"/>
      <c r="T89" s="197"/>
      <c r="U89" s="199" t="s">
        <v>302</v>
      </c>
      <c r="V89" s="199" t="s">
        <v>400</v>
      </c>
      <c r="W89" s="197"/>
      <c r="X89" s="197"/>
      <c r="Y89" s="197"/>
    </row>
    <row r="90" spans="1:25" ht="16" x14ac:dyDescent="0.2">
      <c r="A90" s="197"/>
      <c r="B90" s="198">
        <f xml:space="preserve"> ROW(B90) - 6</f>
        <v>84</v>
      </c>
      <c r="C90" s="197"/>
      <c r="D90" s="197"/>
      <c r="E90" s="197"/>
      <c r="F90" s="199" t="s">
        <v>293</v>
      </c>
      <c r="G90" s="197"/>
      <c r="H90" s="199" t="s">
        <v>293</v>
      </c>
      <c r="I90" s="197"/>
      <c r="J90" s="197"/>
      <c r="K90" s="197"/>
      <c r="L90" s="197"/>
      <c r="M90" s="197"/>
      <c r="N90" s="197"/>
      <c r="O90" s="199" t="s">
        <v>400</v>
      </c>
      <c r="P90" s="197"/>
      <c r="Q90" s="199" t="s">
        <v>400</v>
      </c>
      <c r="R90" s="199" t="s">
        <v>400</v>
      </c>
      <c r="S90" s="197"/>
      <c r="T90" s="197"/>
      <c r="U90" s="199" t="s">
        <v>302</v>
      </c>
      <c r="V90" s="199" t="s">
        <v>400</v>
      </c>
      <c r="W90" s="197"/>
      <c r="X90" s="197"/>
      <c r="Y90" s="197"/>
    </row>
    <row r="91" spans="1:25" ht="16" x14ac:dyDescent="0.2">
      <c r="A91" s="197"/>
      <c r="B91" s="198">
        <f t="shared" si="2"/>
        <v>85</v>
      </c>
      <c r="C91" s="197"/>
      <c r="D91" s="197"/>
      <c r="E91" s="197"/>
      <c r="F91" s="199" t="s">
        <v>293</v>
      </c>
      <c r="G91" s="197"/>
      <c r="H91" s="199" t="s">
        <v>293</v>
      </c>
      <c r="I91" s="197"/>
      <c r="J91" s="197"/>
      <c r="K91" s="197"/>
      <c r="L91" s="197"/>
      <c r="M91" s="197"/>
      <c r="N91" s="197"/>
      <c r="O91" s="199" t="s">
        <v>400</v>
      </c>
      <c r="P91" s="197"/>
      <c r="Q91" s="199" t="s">
        <v>400</v>
      </c>
      <c r="R91" s="199" t="s">
        <v>400</v>
      </c>
      <c r="S91" s="197"/>
      <c r="T91" s="197"/>
      <c r="U91" s="199" t="s">
        <v>302</v>
      </c>
      <c r="V91" s="199" t="s">
        <v>400</v>
      </c>
      <c r="W91" s="197"/>
      <c r="X91" s="197"/>
      <c r="Y91" s="197"/>
    </row>
    <row r="92" spans="1:25" ht="16" x14ac:dyDescent="0.2">
      <c r="A92" s="197"/>
      <c r="B92" s="198">
        <f t="shared" si="2"/>
        <v>86</v>
      </c>
      <c r="C92" s="197"/>
      <c r="D92" s="197"/>
      <c r="E92" s="197"/>
      <c r="F92" s="199" t="s">
        <v>293</v>
      </c>
      <c r="G92" s="197"/>
      <c r="H92" s="199" t="s">
        <v>293</v>
      </c>
      <c r="I92" s="197"/>
      <c r="J92" s="197"/>
      <c r="K92" s="197"/>
      <c r="L92" s="197"/>
      <c r="M92" s="197"/>
      <c r="N92" s="197"/>
      <c r="O92" s="199" t="s">
        <v>400</v>
      </c>
      <c r="P92" s="197"/>
      <c r="Q92" s="199" t="s">
        <v>400</v>
      </c>
      <c r="R92" s="199" t="s">
        <v>400</v>
      </c>
      <c r="S92" s="197"/>
      <c r="T92" s="197"/>
      <c r="U92" s="199" t="s">
        <v>302</v>
      </c>
      <c r="V92" s="199" t="s">
        <v>400</v>
      </c>
      <c r="W92" s="197"/>
      <c r="X92" s="197"/>
      <c r="Y92" s="197"/>
    </row>
    <row r="93" spans="1:25" ht="16" x14ac:dyDescent="0.2">
      <c r="A93" s="197"/>
      <c r="B93" s="198">
        <f t="shared" si="2"/>
        <v>87</v>
      </c>
      <c r="C93" s="197"/>
      <c r="D93" s="197"/>
      <c r="E93" s="197"/>
      <c r="F93" s="199" t="s">
        <v>293</v>
      </c>
      <c r="G93" s="197"/>
      <c r="H93" s="199" t="s">
        <v>293</v>
      </c>
      <c r="I93" s="197"/>
      <c r="J93" s="197"/>
      <c r="K93" s="197"/>
      <c r="L93" s="197"/>
      <c r="M93" s="197"/>
      <c r="N93" s="197"/>
      <c r="O93" s="199" t="s">
        <v>400</v>
      </c>
      <c r="P93" s="197"/>
      <c r="Q93" s="199" t="s">
        <v>400</v>
      </c>
      <c r="R93" s="199" t="s">
        <v>400</v>
      </c>
      <c r="S93" s="197"/>
      <c r="T93" s="197"/>
      <c r="U93" s="199" t="s">
        <v>302</v>
      </c>
      <c r="V93" s="199" t="s">
        <v>400</v>
      </c>
      <c r="W93" s="197"/>
      <c r="X93" s="197"/>
      <c r="Y93" s="197"/>
    </row>
    <row r="94" spans="1:25" ht="16" x14ac:dyDescent="0.2">
      <c r="A94" s="197"/>
      <c r="B94" s="198">
        <f t="shared" si="2"/>
        <v>88</v>
      </c>
      <c r="C94" s="197"/>
      <c r="D94" s="197"/>
      <c r="E94" s="197"/>
      <c r="F94" s="199" t="s">
        <v>293</v>
      </c>
      <c r="G94" s="197"/>
      <c r="H94" s="199" t="s">
        <v>293</v>
      </c>
      <c r="I94" s="197"/>
      <c r="J94" s="197"/>
      <c r="K94" s="197"/>
      <c r="L94" s="197"/>
      <c r="M94" s="197"/>
      <c r="N94" s="197"/>
      <c r="O94" s="199" t="s">
        <v>400</v>
      </c>
      <c r="P94" s="197"/>
      <c r="Q94" s="199" t="s">
        <v>400</v>
      </c>
      <c r="R94" s="199" t="s">
        <v>400</v>
      </c>
      <c r="S94" s="197"/>
      <c r="T94" s="197"/>
      <c r="U94" s="199" t="s">
        <v>302</v>
      </c>
      <c r="V94" s="199" t="s">
        <v>400</v>
      </c>
      <c r="W94" s="197"/>
      <c r="X94" s="197"/>
      <c r="Y94" s="197"/>
    </row>
    <row r="95" spans="1:25" ht="16" x14ac:dyDescent="0.2">
      <c r="A95" s="197"/>
      <c r="B95" s="198">
        <f t="shared" si="2"/>
        <v>89</v>
      </c>
      <c r="C95" s="197"/>
      <c r="D95" s="197"/>
      <c r="E95" s="197"/>
      <c r="F95" s="199" t="s">
        <v>293</v>
      </c>
      <c r="G95" s="197"/>
      <c r="H95" s="199" t="s">
        <v>293</v>
      </c>
      <c r="I95" s="197"/>
      <c r="J95" s="197"/>
      <c r="K95" s="197"/>
      <c r="L95" s="197"/>
      <c r="M95" s="197"/>
      <c r="N95" s="197"/>
      <c r="O95" s="199" t="s">
        <v>400</v>
      </c>
      <c r="P95" s="197"/>
      <c r="Q95" s="199" t="s">
        <v>400</v>
      </c>
      <c r="R95" s="199" t="s">
        <v>400</v>
      </c>
      <c r="S95" s="197"/>
      <c r="T95" s="197"/>
      <c r="U95" s="199" t="s">
        <v>302</v>
      </c>
      <c r="V95" s="199" t="s">
        <v>400</v>
      </c>
      <c r="W95" s="197"/>
      <c r="X95" s="197"/>
      <c r="Y95" s="197"/>
    </row>
    <row r="96" spans="1:25" ht="16" x14ac:dyDescent="0.2">
      <c r="A96" s="197"/>
      <c r="B96" s="198">
        <f t="shared" si="2"/>
        <v>90</v>
      </c>
      <c r="C96" s="197"/>
      <c r="D96" s="197"/>
      <c r="E96" s="197"/>
      <c r="F96" s="199" t="s">
        <v>293</v>
      </c>
      <c r="G96" s="197"/>
      <c r="H96" s="199" t="s">
        <v>293</v>
      </c>
      <c r="I96" s="197"/>
      <c r="J96" s="197"/>
      <c r="K96" s="197"/>
      <c r="L96" s="197"/>
      <c r="M96" s="197"/>
      <c r="N96" s="197"/>
      <c r="O96" s="199" t="s">
        <v>400</v>
      </c>
      <c r="P96" s="197"/>
      <c r="Q96" s="199" t="s">
        <v>400</v>
      </c>
      <c r="R96" s="199" t="s">
        <v>400</v>
      </c>
      <c r="S96" s="197"/>
      <c r="T96" s="197"/>
      <c r="U96" s="199" t="s">
        <v>302</v>
      </c>
      <c r="V96" s="199" t="s">
        <v>400</v>
      </c>
      <c r="W96" s="197"/>
      <c r="X96" s="197"/>
      <c r="Y96" s="197"/>
    </row>
    <row r="97" spans="1:25" ht="16" x14ac:dyDescent="0.2">
      <c r="A97" s="197"/>
      <c r="B97" s="198">
        <f t="shared" si="2"/>
        <v>91</v>
      </c>
      <c r="C97" s="197"/>
      <c r="D97" s="197"/>
      <c r="E97" s="197"/>
      <c r="F97" s="199" t="s">
        <v>293</v>
      </c>
      <c r="G97" s="197"/>
      <c r="H97" s="199" t="s">
        <v>293</v>
      </c>
      <c r="I97" s="197"/>
      <c r="J97" s="197"/>
      <c r="K97" s="197"/>
      <c r="L97" s="197"/>
      <c r="M97" s="197"/>
      <c r="N97" s="197"/>
      <c r="O97" s="199" t="s">
        <v>400</v>
      </c>
      <c r="P97" s="197"/>
      <c r="Q97" s="199" t="s">
        <v>400</v>
      </c>
      <c r="R97" s="199" t="s">
        <v>400</v>
      </c>
      <c r="S97" s="197"/>
      <c r="T97" s="197"/>
      <c r="U97" s="199" t="s">
        <v>302</v>
      </c>
      <c r="V97" s="199" t="s">
        <v>400</v>
      </c>
      <c r="W97" s="197"/>
      <c r="X97" s="197"/>
      <c r="Y97" s="197"/>
    </row>
    <row r="98" spans="1:25" ht="16" x14ac:dyDescent="0.2">
      <c r="A98" s="197"/>
      <c r="B98" s="198">
        <f t="shared" si="2"/>
        <v>92</v>
      </c>
      <c r="C98" s="197"/>
      <c r="D98" s="197"/>
      <c r="E98" s="197"/>
      <c r="F98" s="199" t="s">
        <v>293</v>
      </c>
      <c r="G98" s="197"/>
      <c r="H98" s="199" t="s">
        <v>293</v>
      </c>
      <c r="I98" s="197"/>
      <c r="J98" s="197"/>
      <c r="K98" s="197"/>
      <c r="L98" s="197"/>
      <c r="M98" s="197"/>
      <c r="N98" s="197"/>
      <c r="O98" s="199" t="s">
        <v>400</v>
      </c>
      <c r="P98" s="197"/>
      <c r="Q98" s="199" t="s">
        <v>400</v>
      </c>
      <c r="R98" s="199" t="s">
        <v>400</v>
      </c>
      <c r="S98" s="197"/>
      <c r="T98" s="197"/>
      <c r="U98" s="199" t="s">
        <v>302</v>
      </c>
      <c r="V98" s="199" t="s">
        <v>400</v>
      </c>
      <c r="W98" s="197"/>
      <c r="X98" s="197"/>
      <c r="Y98" s="197"/>
    </row>
    <row r="99" spans="1:25" ht="16" x14ac:dyDescent="0.2">
      <c r="A99" s="197"/>
      <c r="B99" s="198">
        <f t="shared" si="2"/>
        <v>93</v>
      </c>
      <c r="C99" s="197"/>
      <c r="D99" s="197"/>
      <c r="E99" s="197"/>
      <c r="F99" s="199" t="s">
        <v>293</v>
      </c>
      <c r="G99" s="197"/>
      <c r="H99" s="199" t="s">
        <v>293</v>
      </c>
      <c r="I99" s="197"/>
      <c r="J99" s="197"/>
      <c r="K99" s="197"/>
      <c r="L99" s="197"/>
      <c r="M99" s="197"/>
      <c r="N99" s="197"/>
      <c r="O99" s="199" t="s">
        <v>400</v>
      </c>
      <c r="P99" s="197"/>
      <c r="Q99" s="199" t="s">
        <v>400</v>
      </c>
      <c r="R99" s="199" t="s">
        <v>400</v>
      </c>
      <c r="S99" s="197"/>
      <c r="T99" s="197"/>
      <c r="U99" s="199" t="s">
        <v>302</v>
      </c>
      <c r="V99" s="199" t="s">
        <v>400</v>
      </c>
      <c r="W99" s="197"/>
      <c r="X99" s="197"/>
      <c r="Y99" s="197"/>
    </row>
    <row r="100" spans="1:25" ht="16" x14ac:dyDescent="0.2">
      <c r="A100" s="197"/>
      <c r="B100" s="198">
        <f t="shared" si="2"/>
        <v>94</v>
      </c>
      <c r="C100" s="197"/>
      <c r="D100" s="197"/>
      <c r="E100" s="197"/>
      <c r="F100" s="199" t="s">
        <v>293</v>
      </c>
      <c r="G100" s="197"/>
      <c r="H100" s="199" t="s">
        <v>293</v>
      </c>
      <c r="I100" s="197"/>
      <c r="J100" s="197"/>
      <c r="K100" s="197"/>
      <c r="L100" s="197"/>
      <c r="M100" s="197"/>
      <c r="N100" s="197"/>
      <c r="O100" s="199" t="s">
        <v>400</v>
      </c>
      <c r="P100" s="197"/>
      <c r="Q100" s="199" t="s">
        <v>400</v>
      </c>
      <c r="R100" s="199" t="s">
        <v>400</v>
      </c>
      <c r="S100" s="197"/>
      <c r="T100" s="197"/>
      <c r="U100" s="199" t="s">
        <v>302</v>
      </c>
      <c r="V100" s="199" t="s">
        <v>400</v>
      </c>
      <c r="W100" s="197"/>
      <c r="X100" s="197"/>
      <c r="Y100" s="197"/>
    </row>
    <row r="101" spans="1:25" ht="16" x14ac:dyDescent="0.2">
      <c r="A101" s="197"/>
      <c r="B101" s="198">
        <f t="shared" si="2"/>
        <v>95</v>
      </c>
      <c r="C101" s="197"/>
      <c r="D101" s="197"/>
      <c r="E101" s="197"/>
      <c r="F101" s="199" t="s">
        <v>293</v>
      </c>
      <c r="G101" s="197"/>
      <c r="H101" s="199" t="s">
        <v>293</v>
      </c>
      <c r="I101" s="197"/>
      <c r="J101" s="197"/>
      <c r="K101" s="197"/>
      <c r="L101" s="197"/>
      <c r="M101" s="197"/>
      <c r="N101" s="197"/>
      <c r="O101" s="199" t="s">
        <v>400</v>
      </c>
      <c r="P101" s="197"/>
      <c r="Q101" s="199" t="s">
        <v>400</v>
      </c>
      <c r="R101" s="199" t="s">
        <v>400</v>
      </c>
      <c r="S101" s="197"/>
      <c r="T101" s="197"/>
      <c r="U101" s="199" t="s">
        <v>302</v>
      </c>
      <c r="V101" s="199" t="s">
        <v>400</v>
      </c>
      <c r="W101" s="197"/>
      <c r="X101" s="197"/>
      <c r="Y101" s="197"/>
    </row>
    <row r="102" spans="1:25" ht="16" x14ac:dyDescent="0.2">
      <c r="A102" s="197"/>
      <c r="B102" s="198">
        <f t="shared" si="2"/>
        <v>96</v>
      </c>
      <c r="C102" s="197"/>
      <c r="D102" s="197"/>
      <c r="E102" s="197"/>
      <c r="F102" s="199" t="s">
        <v>293</v>
      </c>
      <c r="G102" s="197"/>
      <c r="H102" s="199" t="s">
        <v>293</v>
      </c>
      <c r="I102" s="197"/>
      <c r="J102" s="197"/>
      <c r="K102" s="197"/>
      <c r="L102" s="197"/>
      <c r="M102" s="197"/>
      <c r="N102" s="197"/>
      <c r="O102" s="199" t="s">
        <v>400</v>
      </c>
      <c r="P102" s="197"/>
      <c r="Q102" s="199" t="s">
        <v>400</v>
      </c>
      <c r="R102" s="199" t="s">
        <v>400</v>
      </c>
      <c r="S102" s="197"/>
      <c r="T102" s="197"/>
      <c r="U102" s="199" t="s">
        <v>302</v>
      </c>
      <c r="V102" s="199" t="s">
        <v>400</v>
      </c>
      <c r="W102" s="197"/>
      <c r="X102" s="197"/>
      <c r="Y102" s="197"/>
    </row>
    <row r="103" spans="1:25" ht="16" x14ac:dyDescent="0.2">
      <c r="A103" s="197"/>
      <c r="B103" s="198">
        <f t="shared" si="2"/>
        <v>97</v>
      </c>
      <c r="C103" s="197"/>
      <c r="D103" s="197"/>
      <c r="E103" s="197"/>
      <c r="F103" s="199" t="s">
        <v>293</v>
      </c>
      <c r="G103" s="197"/>
      <c r="H103" s="199" t="s">
        <v>293</v>
      </c>
      <c r="I103" s="197"/>
      <c r="J103" s="197"/>
      <c r="K103" s="197"/>
      <c r="L103" s="197"/>
      <c r="M103" s="197"/>
      <c r="N103" s="197"/>
      <c r="O103" s="199" t="s">
        <v>400</v>
      </c>
      <c r="P103" s="197"/>
      <c r="Q103" s="199" t="s">
        <v>400</v>
      </c>
      <c r="R103" s="199" t="s">
        <v>400</v>
      </c>
      <c r="S103" s="197"/>
      <c r="T103" s="197"/>
      <c r="U103" s="199" t="s">
        <v>302</v>
      </c>
      <c r="V103" s="199" t="s">
        <v>400</v>
      </c>
      <c r="W103" s="197"/>
      <c r="X103" s="197"/>
      <c r="Y103" s="197"/>
    </row>
    <row r="104" spans="1:25" ht="16" x14ac:dyDescent="0.2">
      <c r="A104" s="197"/>
      <c r="B104" s="198">
        <f t="shared" si="2"/>
        <v>98</v>
      </c>
      <c r="C104" s="197"/>
      <c r="D104" s="197"/>
      <c r="E104" s="197"/>
      <c r="F104" s="199" t="s">
        <v>293</v>
      </c>
      <c r="G104" s="197"/>
      <c r="H104" s="199" t="s">
        <v>293</v>
      </c>
      <c r="I104" s="197"/>
      <c r="J104" s="197"/>
      <c r="K104" s="197"/>
      <c r="L104" s="197"/>
      <c r="M104" s="197"/>
      <c r="N104" s="197"/>
      <c r="O104" s="199" t="s">
        <v>400</v>
      </c>
      <c r="P104" s="197"/>
      <c r="Q104" s="199" t="s">
        <v>400</v>
      </c>
      <c r="R104" s="199" t="s">
        <v>400</v>
      </c>
      <c r="S104" s="197"/>
      <c r="T104" s="197"/>
      <c r="U104" s="199" t="s">
        <v>302</v>
      </c>
      <c r="V104" s="199" t="s">
        <v>400</v>
      </c>
      <c r="W104" s="197"/>
      <c r="X104" s="197"/>
      <c r="Y104" s="197"/>
    </row>
    <row r="105" spans="1:25" ht="16" x14ac:dyDescent="0.2">
      <c r="A105" s="197"/>
      <c r="B105" s="198">
        <f t="shared" si="2"/>
        <v>99</v>
      </c>
      <c r="C105" s="197"/>
      <c r="D105" s="197"/>
      <c r="E105" s="197"/>
      <c r="F105" s="199" t="s">
        <v>293</v>
      </c>
      <c r="G105" s="197"/>
      <c r="H105" s="199" t="s">
        <v>293</v>
      </c>
      <c r="I105" s="197"/>
      <c r="J105" s="197"/>
      <c r="K105" s="197"/>
      <c r="L105" s="197"/>
      <c r="M105" s="197"/>
      <c r="N105" s="197"/>
      <c r="O105" s="199" t="s">
        <v>400</v>
      </c>
      <c r="P105" s="197"/>
      <c r="Q105" s="199" t="s">
        <v>400</v>
      </c>
      <c r="R105" s="199" t="s">
        <v>400</v>
      </c>
      <c r="S105" s="197"/>
      <c r="T105" s="197"/>
      <c r="U105" s="199" t="s">
        <v>302</v>
      </c>
      <c r="V105" s="199" t="s">
        <v>400</v>
      </c>
      <c r="W105" s="197"/>
      <c r="X105" s="197"/>
      <c r="Y105" s="197"/>
    </row>
    <row r="106" spans="1:25" ht="16" x14ac:dyDescent="0.2">
      <c r="A106" s="197"/>
      <c r="B106" s="198">
        <f t="shared" si="2"/>
        <v>100</v>
      </c>
      <c r="C106" s="197"/>
      <c r="D106" s="197"/>
      <c r="E106" s="197"/>
      <c r="F106" s="199" t="s">
        <v>293</v>
      </c>
      <c r="G106" s="197"/>
      <c r="H106" s="199" t="s">
        <v>293</v>
      </c>
      <c r="I106" s="197"/>
      <c r="J106" s="197"/>
      <c r="K106" s="197"/>
      <c r="L106" s="197"/>
      <c r="M106" s="197"/>
      <c r="N106" s="197"/>
      <c r="O106" s="199" t="s">
        <v>400</v>
      </c>
      <c r="P106" s="197"/>
      <c r="Q106" s="199" t="s">
        <v>400</v>
      </c>
      <c r="R106" s="199" t="s">
        <v>400</v>
      </c>
      <c r="S106" s="197"/>
      <c r="T106" s="197"/>
      <c r="U106" s="199" t="s">
        <v>302</v>
      </c>
      <c r="V106" s="199" t="s">
        <v>400</v>
      </c>
      <c r="W106" s="197"/>
      <c r="X106" s="197"/>
      <c r="Y106" s="197"/>
    </row>
    <row r="107" spans="1:25" ht="16" x14ac:dyDescent="0.2">
      <c r="A107" s="197"/>
      <c r="B107" s="198">
        <f t="shared" si="2"/>
        <v>101</v>
      </c>
      <c r="C107" s="197"/>
      <c r="D107" s="197"/>
      <c r="E107" s="197"/>
      <c r="F107" s="199" t="s">
        <v>293</v>
      </c>
      <c r="G107" s="197"/>
      <c r="H107" s="199" t="s">
        <v>293</v>
      </c>
      <c r="I107" s="197"/>
      <c r="J107" s="197"/>
      <c r="K107" s="197"/>
      <c r="L107" s="197"/>
      <c r="M107" s="197"/>
      <c r="N107" s="197"/>
      <c r="O107" s="199" t="s">
        <v>400</v>
      </c>
      <c r="P107" s="197"/>
      <c r="Q107" s="199" t="s">
        <v>400</v>
      </c>
      <c r="R107" s="199" t="s">
        <v>400</v>
      </c>
      <c r="S107" s="197"/>
      <c r="T107" s="197"/>
      <c r="U107" s="199" t="s">
        <v>302</v>
      </c>
      <c r="V107" s="199" t="s">
        <v>400</v>
      </c>
      <c r="W107" s="197"/>
      <c r="X107" s="197"/>
      <c r="Y107" s="197"/>
    </row>
    <row r="108" spans="1:25" ht="16" x14ac:dyDescent="0.2">
      <c r="A108" s="197"/>
      <c r="B108" s="198">
        <f t="shared" si="2"/>
        <v>102</v>
      </c>
      <c r="C108" s="197"/>
      <c r="D108" s="197"/>
      <c r="E108" s="197"/>
      <c r="F108" s="199" t="s">
        <v>293</v>
      </c>
      <c r="G108" s="197"/>
      <c r="H108" s="199" t="s">
        <v>293</v>
      </c>
      <c r="I108" s="197"/>
      <c r="J108" s="197"/>
      <c r="K108" s="197"/>
      <c r="L108" s="197"/>
      <c r="M108" s="197"/>
      <c r="N108" s="197"/>
      <c r="O108" s="199" t="s">
        <v>400</v>
      </c>
      <c r="P108" s="197"/>
      <c r="Q108" s="199" t="s">
        <v>400</v>
      </c>
      <c r="R108" s="199" t="s">
        <v>400</v>
      </c>
      <c r="S108" s="197"/>
      <c r="T108" s="197"/>
      <c r="U108" s="199" t="s">
        <v>302</v>
      </c>
      <c r="V108" s="199" t="s">
        <v>400</v>
      </c>
      <c r="W108" s="197"/>
      <c r="X108" s="197"/>
      <c r="Y108" s="197"/>
    </row>
    <row r="109" spans="1:25" ht="16" x14ac:dyDescent="0.2">
      <c r="A109" s="197"/>
      <c r="B109" s="198">
        <f t="shared" si="2"/>
        <v>103</v>
      </c>
      <c r="C109" s="197"/>
      <c r="D109" s="197"/>
      <c r="E109" s="197"/>
      <c r="F109" s="199" t="s">
        <v>293</v>
      </c>
      <c r="G109" s="197"/>
      <c r="H109" s="199" t="s">
        <v>293</v>
      </c>
      <c r="I109" s="197"/>
      <c r="J109" s="197"/>
      <c r="K109" s="197"/>
      <c r="L109" s="197"/>
      <c r="M109" s="197"/>
      <c r="N109" s="197"/>
      <c r="O109" s="199" t="s">
        <v>400</v>
      </c>
      <c r="P109" s="197"/>
      <c r="Q109" s="199" t="s">
        <v>400</v>
      </c>
      <c r="R109" s="199" t="s">
        <v>400</v>
      </c>
      <c r="S109" s="197"/>
      <c r="T109" s="197"/>
      <c r="U109" s="199" t="s">
        <v>302</v>
      </c>
      <c r="V109" s="199" t="s">
        <v>400</v>
      </c>
      <c r="W109" s="197"/>
      <c r="X109" s="197"/>
      <c r="Y109" s="197"/>
    </row>
    <row r="110" spans="1:25" ht="16" x14ac:dyDescent="0.2">
      <c r="A110" s="197"/>
      <c r="B110" s="198">
        <f t="shared" si="2"/>
        <v>104</v>
      </c>
      <c r="C110" s="197"/>
      <c r="D110" s="197"/>
      <c r="E110" s="197"/>
      <c r="F110" s="199" t="s">
        <v>293</v>
      </c>
      <c r="G110" s="197"/>
      <c r="H110" s="199" t="s">
        <v>293</v>
      </c>
      <c r="I110" s="197"/>
      <c r="J110" s="197"/>
      <c r="K110" s="197"/>
      <c r="L110" s="197"/>
      <c r="M110" s="197"/>
      <c r="N110" s="197"/>
      <c r="O110" s="199" t="s">
        <v>400</v>
      </c>
      <c r="P110" s="197"/>
      <c r="Q110" s="199" t="s">
        <v>400</v>
      </c>
      <c r="R110" s="199" t="s">
        <v>400</v>
      </c>
      <c r="S110" s="197"/>
      <c r="T110" s="197"/>
      <c r="U110" s="199" t="s">
        <v>302</v>
      </c>
      <c r="V110" s="199" t="s">
        <v>400</v>
      </c>
      <c r="W110" s="197"/>
      <c r="X110" s="197"/>
      <c r="Y110" s="197"/>
    </row>
    <row r="111" spans="1:25" ht="16" x14ac:dyDescent="0.2">
      <c r="A111" s="197"/>
      <c r="B111" s="198">
        <f t="shared" si="2"/>
        <v>105</v>
      </c>
      <c r="C111" s="197"/>
      <c r="D111" s="197"/>
      <c r="E111" s="197"/>
      <c r="F111" s="199" t="s">
        <v>293</v>
      </c>
      <c r="G111" s="197"/>
      <c r="H111" s="199" t="s">
        <v>293</v>
      </c>
      <c r="I111" s="197"/>
      <c r="J111" s="197"/>
      <c r="K111" s="197"/>
      <c r="L111" s="197"/>
      <c r="M111" s="197"/>
      <c r="N111" s="197"/>
      <c r="O111" s="199" t="s">
        <v>400</v>
      </c>
      <c r="P111" s="197"/>
      <c r="Q111" s="199" t="s">
        <v>400</v>
      </c>
      <c r="R111" s="199" t="s">
        <v>400</v>
      </c>
      <c r="S111" s="197"/>
      <c r="T111" s="197"/>
      <c r="U111" s="199" t="s">
        <v>302</v>
      </c>
      <c r="V111" s="199" t="s">
        <v>400</v>
      </c>
      <c r="W111" s="197"/>
      <c r="X111" s="197"/>
      <c r="Y111" s="197"/>
    </row>
    <row r="112" spans="1:25" ht="16" x14ac:dyDescent="0.2">
      <c r="A112" s="197"/>
      <c r="B112" s="198">
        <f t="shared" si="2"/>
        <v>106</v>
      </c>
      <c r="C112" s="197"/>
      <c r="D112" s="197"/>
      <c r="E112" s="197"/>
      <c r="F112" s="199" t="s">
        <v>293</v>
      </c>
      <c r="G112" s="197"/>
      <c r="H112" s="199" t="s">
        <v>293</v>
      </c>
      <c r="I112" s="197"/>
      <c r="J112" s="197"/>
      <c r="K112" s="197"/>
      <c r="L112" s="197"/>
      <c r="M112" s="197"/>
      <c r="N112" s="197"/>
      <c r="O112" s="199" t="s">
        <v>400</v>
      </c>
      <c r="P112" s="197"/>
      <c r="Q112" s="199" t="s">
        <v>400</v>
      </c>
      <c r="R112" s="199" t="s">
        <v>400</v>
      </c>
      <c r="S112" s="197"/>
      <c r="T112" s="197"/>
      <c r="U112" s="199" t="s">
        <v>302</v>
      </c>
      <c r="V112" s="199" t="s">
        <v>400</v>
      </c>
      <c r="W112" s="197"/>
      <c r="X112" s="197"/>
      <c r="Y112" s="197"/>
    </row>
    <row r="113" spans="1:25" ht="16" x14ac:dyDescent="0.2">
      <c r="A113" s="197"/>
      <c r="B113" s="198">
        <f t="shared" si="2"/>
        <v>107</v>
      </c>
      <c r="C113" s="197"/>
      <c r="D113" s="197"/>
      <c r="E113" s="197"/>
      <c r="F113" s="199" t="s">
        <v>293</v>
      </c>
      <c r="G113" s="197"/>
      <c r="H113" s="199" t="s">
        <v>293</v>
      </c>
      <c r="I113" s="197"/>
      <c r="J113" s="197"/>
      <c r="K113" s="197"/>
      <c r="L113" s="197"/>
      <c r="M113" s="197"/>
      <c r="N113" s="197"/>
      <c r="O113" s="199" t="s">
        <v>400</v>
      </c>
      <c r="P113" s="197"/>
      <c r="Q113" s="199" t="s">
        <v>400</v>
      </c>
      <c r="R113" s="199" t="s">
        <v>400</v>
      </c>
      <c r="S113" s="197"/>
      <c r="T113" s="197"/>
      <c r="U113" s="199" t="s">
        <v>302</v>
      </c>
      <c r="V113" s="199" t="s">
        <v>400</v>
      </c>
      <c r="W113" s="197"/>
      <c r="X113" s="197"/>
      <c r="Y113" s="197"/>
    </row>
    <row r="114" spans="1:25" x14ac:dyDescent="0.2">
      <c r="A114" s="193"/>
      <c r="B114" s="200" t="s">
        <v>453</v>
      </c>
      <c r="C114" s="193"/>
      <c r="D114" s="194"/>
      <c r="E114" s="193"/>
      <c r="F114" s="193"/>
      <c r="G114" s="193"/>
      <c r="H114" s="193"/>
      <c r="I114" s="193"/>
      <c r="J114" s="193"/>
      <c r="K114" s="193"/>
      <c r="L114" s="193"/>
      <c r="M114" s="193"/>
      <c r="N114" s="193"/>
      <c r="O114" s="194"/>
      <c r="P114" s="194"/>
      <c r="Q114" s="195"/>
      <c r="R114" s="193"/>
      <c r="S114" s="193"/>
      <c r="T114" s="193"/>
      <c r="U114" s="194"/>
      <c r="V114" s="194"/>
      <c r="W114" s="193"/>
      <c r="X114" s="193"/>
      <c r="Y114" s="193"/>
    </row>
    <row r="116" spans="1:25" x14ac:dyDescent="0.2">
      <c r="A116" s="193"/>
      <c r="B116" s="194"/>
      <c r="C116" s="193"/>
      <c r="D116" s="193"/>
      <c r="E116" s="193"/>
      <c r="F116" s="193"/>
      <c r="G116" s="193"/>
      <c r="H116" s="193"/>
      <c r="I116" s="193"/>
      <c r="J116" s="193"/>
      <c r="K116" s="193"/>
      <c r="L116" s="193"/>
      <c r="M116" s="193"/>
      <c r="N116" s="193"/>
      <c r="O116" s="194"/>
      <c r="P116" s="194"/>
      <c r="Q116" s="195"/>
      <c r="R116" s="193"/>
      <c r="S116" s="193"/>
      <c r="T116" s="193"/>
      <c r="U116" s="194"/>
      <c r="V116" s="194"/>
      <c r="W116" s="193"/>
      <c r="X116" s="193"/>
      <c r="Y116" s="193"/>
    </row>
  </sheetData>
  <autoFilter ref="A6:Y114" xr:uid="{00000000-0009-0000-0000-000005000000}"/>
  <mergeCells count="2">
    <mergeCell ref="L3:M3"/>
    <mergeCell ref="B5:E5"/>
  </mergeCells>
  <conditionalFormatting sqref="A38:Y113">
    <cfRule type="containsText" dxfId="1459" priority="500" operator="containsText" text="check">
      <formula>NOT(ISERROR(SEARCH("check",A38)))</formula>
    </cfRule>
    <cfRule type="cellIs" dxfId="1458" priority="501" operator="equal">
      <formula>"???"</formula>
    </cfRule>
  </conditionalFormatting>
  <conditionalFormatting sqref="F38:F113 H38:H113">
    <cfRule type="cellIs" dxfId="1457" priority="499" operator="equal">
      <formula>"Yes"</formula>
    </cfRule>
  </conditionalFormatting>
  <conditionalFormatting sqref="Q38:Q113">
    <cfRule type="containsText" dxfId="1456" priority="498" operator="containsText" text="SI">
      <formula>NOT(ISERROR(SEARCH("SI",Q38)))</formula>
    </cfRule>
  </conditionalFormatting>
  <conditionalFormatting sqref="F11:F13">
    <cfRule type="containsText" dxfId="1455" priority="181" operator="containsText" text="check">
      <formula>NOT(ISERROR(SEARCH("check",F11)))</formula>
    </cfRule>
    <cfRule type="cellIs" dxfId="1454" priority="182" operator="equal">
      <formula>"???"</formula>
    </cfRule>
  </conditionalFormatting>
  <conditionalFormatting sqref="A26:H26 L26 P26:Y26">
    <cfRule type="containsText" dxfId="1453" priority="167" operator="containsText" text="check">
      <formula>NOT(ISERROR(SEARCH("check",A26)))</formula>
    </cfRule>
    <cfRule type="cellIs" dxfId="1452" priority="168" operator="equal">
      <formula>"???"</formula>
    </cfRule>
  </conditionalFormatting>
  <conditionalFormatting sqref="A15:C15 E15:H15 L15:P15 W15:Y15 R15:U15">
    <cfRule type="containsText" dxfId="1451" priority="163" operator="containsText" text="check">
      <formula>NOT(ISERROR(SEARCH("check",A15)))</formula>
    </cfRule>
    <cfRule type="cellIs" dxfId="1450" priority="164" operator="equal">
      <formula>"???"</formula>
    </cfRule>
  </conditionalFormatting>
  <conditionalFormatting sqref="A31:C31 L31">
    <cfRule type="containsText" dxfId="1449" priority="155" operator="containsText" text="check">
      <formula>NOT(ISERROR(SEARCH("check",A31)))</formula>
    </cfRule>
    <cfRule type="cellIs" dxfId="1448" priority="156" operator="equal">
      <formula>"???"</formula>
    </cfRule>
  </conditionalFormatting>
  <conditionalFormatting sqref="F30:H30">
    <cfRule type="containsText" dxfId="1447" priority="151" operator="containsText" text="check">
      <formula>NOT(ISERROR(SEARCH("check",F30)))</formula>
    </cfRule>
    <cfRule type="cellIs" dxfId="1446" priority="152" operator="equal">
      <formula>"???"</formula>
    </cfRule>
  </conditionalFormatting>
  <conditionalFormatting sqref="A32:K32 O32:Y32">
    <cfRule type="containsText" dxfId="1445" priority="145" operator="containsText" text="check">
      <formula>NOT(ISERROR(SEARCH("check",A32)))</formula>
    </cfRule>
    <cfRule type="cellIs" dxfId="1444" priority="146" operator="equal">
      <formula>"???"</formula>
    </cfRule>
  </conditionalFormatting>
  <conditionalFormatting sqref="L11:N11">
    <cfRule type="containsText" dxfId="1443" priority="139" operator="containsText" text="check">
      <formula>NOT(ISERROR(SEARCH("check",L11)))</formula>
    </cfRule>
    <cfRule type="cellIs" dxfId="1442" priority="140" operator="equal">
      <formula>"???"</formula>
    </cfRule>
  </conditionalFormatting>
  <conditionalFormatting sqref="L12:N12">
    <cfRule type="containsText" dxfId="1441" priority="137" operator="containsText" text="check">
      <formula>NOT(ISERROR(SEARCH("check",L12)))</formula>
    </cfRule>
    <cfRule type="cellIs" dxfId="1440" priority="138" operator="equal">
      <formula>"???"</formula>
    </cfRule>
  </conditionalFormatting>
  <conditionalFormatting sqref="E11:E13">
    <cfRule type="containsText" dxfId="1439" priority="135" operator="containsText" text="check">
      <formula>NOT(ISERROR(SEARCH("check",E11)))</formula>
    </cfRule>
    <cfRule type="cellIs" dxfId="1438" priority="136" operator="equal">
      <formula>"???"</formula>
    </cfRule>
  </conditionalFormatting>
  <conditionalFormatting sqref="Q15:Q17">
    <cfRule type="containsText" dxfId="1437" priority="131" operator="containsText" text="check">
      <formula>NOT(ISERROR(SEARCH("check",Q15)))</formula>
    </cfRule>
    <cfRule type="cellIs" dxfId="1436" priority="132" operator="equal">
      <formula>"???"</formula>
    </cfRule>
  </conditionalFormatting>
  <conditionalFormatting sqref="I20:K20">
    <cfRule type="containsText" dxfId="1435" priority="123" operator="containsText" text="check">
      <formula>NOT(ISERROR(SEARCH("check",I20)))</formula>
    </cfRule>
    <cfRule type="cellIs" dxfId="1434" priority="124" operator="equal">
      <formula>"???"</formula>
    </cfRule>
  </conditionalFormatting>
  <conditionalFormatting sqref="E28">
    <cfRule type="containsText" dxfId="1433" priority="111" operator="containsText" text="check">
      <formula>NOT(ISERROR(SEARCH("check",E28)))</formula>
    </cfRule>
    <cfRule type="cellIs" dxfId="1432" priority="112" operator="equal">
      <formula>"???"</formula>
    </cfRule>
  </conditionalFormatting>
  <conditionalFormatting sqref="I36:K36">
    <cfRule type="containsText" dxfId="1431" priority="52" operator="containsText" text="check">
      <formula>NOT(ISERROR(SEARCH("check",I36)))</formula>
    </cfRule>
    <cfRule type="cellIs" dxfId="1430" priority="53" operator="equal">
      <formula>"???"</formula>
    </cfRule>
  </conditionalFormatting>
  <conditionalFormatting sqref="A14:D14 O14:P14 R14:Y14 F14:H14">
    <cfRule type="containsText" dxfId="1429" priority="40" operator="containsText" text="check">
      <formula>NOT(ISERROR(SEARCH("check",A14)))</formula>
    </cfRule>
    <cfRule type="cellIs" dxfId="1428" priority="41" operator="equal">
      <formula>"???"</formula>
    </cfRule>
  </conditionalFormatting>
  <conditionalFormatting sqref="H14 F14">
    <cfRule type="cellIs" dxfId="1427" priority="39" operator="equal">
      <formula>"Yes"</formula>
    </cfRule>
  </conditionalFormatting>
  <conditionalFormatting sqref="E14">
    <cfRule type="containsText" dxfId="1426" priority="34" operator="containsText" text="check">
      <formula>NOT(ISERROR(SEARCH("check",E14)))</formula>
    </cfRule>
    <cfRule type="cellIs" dxfId="1425" priority="35" operator="equal">
      <formula>"???"</formula>
    </cfRule>
  </conditionalFormatting>
  <conditionalFormatting sqref="D27">
    <cfRule type="containsText" dxfId="1424" priority="28" operator="containsText" text="check">
      <formula>NOT(ISERROR(SEARCH("check",D27)))</formula>
    </cfRule>
    <cfRule type="cellIs" dxfId="1423" priority="29" operator="equal">
      <formula>"???"</formula>
    </cfRule>
  </conditionalFormatting>
  <conditionalFormatting sqref="O29">
    <cfRule type="containsText" dxfId="1422" priority="16" operator="containsText" text="check">
      <formula>NOT(ISERROR(SEARCH("check",O29)))</formula>
    </cfRule>
    <cfRule type="cellIs" dxfId="1421" priority="17" operator="equal">
      <formula>"???"</formula>
    </cfRule>
  </conditionalFormatting>
  <conditionalFormatting sqref="A29:D29 P29:Y29 F29 H29">
    <cfRule type="containsText" dxfId="1420" priority="24" operator="containsText" text="check">
      <formula>NOT(ISERROR(SEARCH("check",A29)))</formula>
    </cfRule>
    <cfRule type="cellIs" dxfId="1419" priority="25" operator="equal">
      <formula>"???"</formula>
    </cfRule>
  </conditionalFormatting>
  <conditionalFormatting sqref="I14:K14">
    <cfRule type="containsText" dxfId="1418" priority="14" operator="containsText" text="check">
      <formula>NOT(ISERROR(SEARCH("check",I14)))</formula>
    </cfRule>
    <cfRule type="cellIs" dxfId="1417" priority="15" operator="equal">
      <formula>"???"</formula>
    </cfRule>
  </conditionalFormatting>
  <conditionalFormatting sqref="L14:N14">
    <cfRule type="containsText" dxfId="1416" priority="12" operator="containsText" text="check">
      <formula>NOT(ISERROR(SEARCH("check",L14)))</formula>
    </cfRule>
    <cfRule type="cellIs" dxfId="1415" priority="13" operator="equal">
      <formula>"???"</formula>
    </cfRule>
  </conditionalFormatting>
  <conditionalFormatting sqref="I27:K27">
    <cfRule type="containsText" dxfId="1414" priority="10" operator="containsText" text="check">
      <formula>NOT(ISERROR(SEARCH("check",I27)))</formula>
    </cfRule>
    <cfRule type="cellIs" dxfId="1413" priority="11" operator="equal">
      <formula>"???"</formula>
    </cfRule>
  </conditionalFormatting>
  <conditionalFormatting sqref="L27:N27">
    <cfRule type="containsText" dxfId="1412" priority="8" operator="containsText" text="check">
      <formula>NOT(ISERROR(SEARCH("check",L27)))</formula>
    </cfRule>
    <cfRule type="cellIs" dxfId="1411" priority="9" operator="equal">
      <formula>"???"</formula>
    </cfRule>
  </conditionalFormatting>
  <conditionalFormatting sqref="I29:K29">
    <cfRule type="containsText" dxfId="1410" priority="6" operator="containsText" text="check">
      <formula>NOT(ISERROR(SEARCH("check",I29)))</formula>
    </cfRule>
    <cfRule type="cellIs" dxfId="1409" priority="7" operator="equal">
      <formula>"???"</formula>
    </cfRule>
  </conditionalFormatting>
  <conditionalFormatting sqref="L29:N29">
    <cfRule type="containsText" dxfId="1408" priority="4" operator="containsText" text="check">
      <formula>NOT(ISERROR(SEARCH("check",L29)))</formula>
    </cfRule>
    <cfRule type="cellIs" dxfId="1407" priority="5" operator="equal">
      <formula>"???"</formula>
    </cfRule>
  </conditionalFormatting>
  <conditionalFormatting sqref="E21:G22">
    <cfRule type="containsText" dxfId="1406" priority="2" operator="containsText" text="check">
      <formula>NOT(ISERROR(SEARCH("check",E21)))</formula>
    </cfRule>
    <cfRule type="cellIs" dxfId="1405" priority="3" operator="equal">
      <formula>"???"</formula>
    </cfRule>
  </conditionalFormatting>
  <conditionalFormatting sqref="F21:F22">
    <cfRule type="cellIs" dxfId="1404" priority="1" operator="equal">
      <formula>"Yes"</formula>
    </cfRule>
  </conditionalFormatting>
  <conditionalFormatting sqref="G13 A24:H24 A33:D33 L18:Y18 O16:P17 R16:Y17 O19:Y19 A20:F20 L20:Y20 O22:Y22 A22:D22 H22 P24:Y24 A28:D28 F28:H28 O28:Y28 F33:H33 O33:Y33 A7:K7 O7:Y7 A36:H36 O13:Y13 A13:C13 O10:Y10 A10:H10 A8:Y9 A34:Y35 L36:Y36 I30:K30 A16:H19">
    <cfRule type="containsText" dxfId="1403" priority="190" operator="containsText" text="check">
      <formula>NOT(ISERROR(SEARCH("check",A7)))</formula>
    </cfRule>
    <cfRule type="cellIs" dxfId="1402" priority="191" operator="equal">
      <formula>"???"</formula>
    </cfRule>
  </conditionalFormatting>
  <conditionalFormatting sqref="F7:F10 H7:H10 H28 F24 H24 H16:H19 F28 H22 H33:H36 F33:F36 F16:F20">
    <cfRule type="cellIs" dxfId="1401" priority="189" operator="equal">
      <formula>"Yes"</formula>
    </cfRule>
  </conditionalFormatting>
  <conditionalFormatting sqref="Q7:Q10 Q28 Q13 Q24 Q18:Q20 Q22 Q33:Q36">
    <cfRule type="containsText" dxfId="1400" priority="188" operator="containsText" text="SI">
      <formula>NOT(ISERROR(SEARCH("SI",Q7)))</formula>
    </cfRule>
  </conditionalFormatting>
  <conditionalFormatting sqref="A11:D12 G11:G12 O11:Y12">
    <cfRule type="containsText" dxfId="1399" priority="186" operator="containsText" text="check">
      <formula>NOT(ISERROR(SEARCH("check",A11)))</formula>
    </cfRule>
    <cfRule type="cellIs" dxfId="1398" priority="187" operator="equal">
      <formula>"???"</formula>
    </cfRule>
  </conditionalFormatting>
  <conditionalFormatting sqref="Q11:Q12">
    <cfRule type="containsText" dxfId="1397" priority="185" operator="containsText" text="SI">
      <formula>NOT(ISERROR(SEARCH("SI",Q11)))</formula>
    </cfRule>
  </conditionalFormatting>
  <conditionalFormatting sqref="D13">
    <cfRule type="containsText" dxfId="1396" priority="183" operator="containsText" text="check">
      <formula>NOT(ISERROR(SEARCH("check",D13)))</formula>
    </cfRule>
    <cfRule type="cellIs" dxfId="1395" priority="184" operator="equal">
      <formula>"???"</formula>
    </cfRule>
  </conditionalFormatting>
  <conditionalFormatting sqref="F11:F13">
    <cfRule type="cellIs" dxfId="1394" priority="180" operator="equal">
      <formula>"Yes"</formula>
    </cfRule>
  </conditionalFormatting>
  <conditionalFormatting sqref="H11:H13">
    <cfRule type="containsText" dxfId="1393" priority="178" operator="containsText" text="check">
      <formula>NOT(ISERROR(SEARCH("check",H11)))</formula>
    </cfRule>
    <cfRule type="cellIs" dxfId="1392" priority="179" operator="equal">
      <formula>"???"</formula>
    </cfRule>
  </conditionalFormatting>
  <conditionalFormatting sqref="H11:H13">
    <cfRule type="cellIs" dxfId="1391" priority="177" operator="equal">
      <formula>"Yes"</formula>
    </cfRule>
  </conditionalFormatting>
  <conditionalFormatting sqref="A23:Y23">
    <cfRule type="containsText" dxfId="1390" priority="175" operator="containsText" text="check">
      <formula>NOT(ISERROR(SEARCH("check",A23)))</formula>
    </cfRule>
    <cfRule type="cellIs" dxfId="1389" priority="176" operator="equal">
      <formula>"???"</formula>
    </cfRule>
  </conditionalFormatting>
  <conditionalFormatting sqref="H23 F23">
    <cfRule type="cellIs" dxfId="1388" priority="174" operator="equal">
      <formula>"Yes"</formula>
    </cfRule>
  </conditionalFormatting>
  <conditionalFormatting sqref="Q23">
    <cfRule type="containsText" dxfId="1387" priority="173" operator="containsText" text="SI">
      <formula>NOT(ISERROR(SEARCH("SI",Q23)))</formula>
    </cfRule>
  </conditionalFormatting>
  <conditionalFormatting sqref="A25:D25 F25:H25 L25:Y25">
    <cfRule type="containsText" dxfId="1386" priority="171" operator="containsText" text="check">
      <formula>NOT(ISERROR(SEARCH("check",A25)))</formula>
    </cfRule>
    <cfRule type="cellIs" dxfId="1385" priority="172" operator="equal">
      <formula>"???"</formula>
    </cfRule>
  </conditionalFormatting>
  <conditionalFormatting sqref="F25 H25">
    <cfRule type="cellIs" dxfId="1384" priority="170" operator="equal">
      <formula>"Yes"</formula>
    </cfRule>
  </conditionalFormatting>
  <conditionalFormatting sqref="Q25">
    <cfRule type="containsText" dxfId="1383" priority="169" operator="containsText" text="SI">
      <formula>NOT(ISERROR(SEARCH("SI",Q25)))</formula>
    </cfRule>
  </conditionalFormatting>
  <conditionalFormatting sqref="F26 H26">
    <cfRule type="cellIs" dxfId="1382" priority="166" operator="equal">
      <formula>"Yes"</formula>
    </cfRule>
  </conditionalFormatting>
  <conditionalFormatting sqref="Q26">
    <cfRule type="containsText" dxfId="1381" priority="165" operator="containsText" text="SI">
      <formula>NOT(ISERROR(SEARCH("SI",Q26)))</formula>
    </cfRule>
  </conditionalFormatting>
  <conditionalFormatting sqref="H15 F15">
    <cfRule type="cellIs" dxfId="1380" priority="162" operator="equal">
      <formula>"Yes"</formula>
    </cfRule>
  </conditionalFormatting>
  <conditionalFormatting sqref="D15">
    <cfRule type="containsText" dxfId="1379" priority="160" operator="containsText" text="check">
      <formula>NOT(ISERROR(SEARCH("check",D15)))</formula>
    </cfRule>
    <cfRule type="cellIs" dxfId="1378" priority="161" operator="equal">
      <formula>"???"</formula>
    </cfRule>
  </conditionalFormatting>
  <conditionalFormatting sqref="A30:C30 P30:Y30">
    <cfRule type="containsText" dxfId="1377" priority="158" operator="containsText" text="check">
      <formula>NOT(ISERROR(SEARCH("check",A30)))</formula>
    </cfRule>
    <cfRule type="cellIs" dxfId="1376" priority="159" operator="equal">
      <formula>"???"</formula>
    </cfRule>
  </conditionalFormatting>
  <conditionalFormatting sqref="Q30">
    <cfRule type="containsText" dxfId="1375" priority="157" operator="containsText" text="SI">
      <formula>NOT(ISERROR(SEARCH("SI",Q30)))</formula>
    </cfRule>
  </conditionalFormatting>
  <conditionalFormatting sqref="D30">
    <cfRule type="containsText" dxfId="1374" priority="153" operator="containsText" text="check">
      <formula>NOT(ISERROR(SEARCH("check",D30)))</formula>
    </cfRule>
    <cfRule type="cellIs" dxfId="1373" priority="154" operator="equal">
      <formula>"???"</formula>
    </cfRule>
  </conditionalFormatting>
  <conditionalFormatting sqref="H30 F30">
    <cfRule type="cellIs" dxfId="1372" priority="150" operator="equal">
      <formula>"Yes"</formula>
    </cfRule>
  </conditionalFormatting>
  <conditionalFormatting sqref="D31:H31">
    <cfRule type="containsText" dxfId="1371" priority="148" operator="containsText" text="check">
      <formula>NOT(ISERROR(SEARCH("check",D31)))</formula>
    </cfRule>
    <cfRule type="cellIs" dxfId="1370" priority="149" operator="equal">
      <formula>"???"</formula>
    </cfRule>
  </conditionalFormatting>
  <conditionalFormatting sqref="F31 H31">
    <cfRule type="cellIs" dxfId="1369" priority="147" operator="equal">
      <formula>"Yes"</formula>
    </cfRule>
  </conditionalFormatting>
  <conditionalFormatting sqref="F32 H32">
    <cfRule type="cellIs" dxfId="1368" priority="144" operator="equal">
      <formula>"Yes"</formula>
    </cfRule>
  </conditionalFormatting>
  <conditionalFormatting sqref="Q32">
    <cfRule type="containsText" dxfId="1367" priority="143" operator="containsText" text="SI">
      <formula>NOT(ISERROR(SEARCH("SI",Q32)))</formula>
    </cfRule>
  </conditionalFormatting>
  <conditionalFormatting sqref="E33">
    <cfRule type="containsText" dxfId="1366" priority="141" operator="containsText" text="check">
      <formula>NOT(ISERROR(SEARCH("check",E33)))</formula>
    </cfRule>
    <cfRule type="cellIs" dxfId="1365" priority="142" operator="equal">
      <formula>"???"</formula>
    </cfRule>
  </conditionalFormatting>
  <conditionalFormatting sqref="V15">
    <cfRule type="containsText" dxfId="1364" priority="133" operator="containsText" text="check">
      <formula>NOT(ISERROR(SEARCH("check",V15)))</formula>
    </cfRule>
    <cfRule type="cellIs" dxfId="1363" priority="134" operator="equal">
      <formula>"???"</formula>
    </cfRule>
  </conditionalFormatting>
  <conditionalFormatting sqref="Q15:Q17">
    <cfRule type="containsText" dxfId="1362" priority="130" operator="containsText" text="SI">
      <formula>NOT(ISERROR(SEARCH("SI",Q15)))</formula>
    </cfRule>
  </conditionalFormatting>
  <conditionalFormatting sqref="I19:K19">
    <cfRule type="containsText" dxfId="1361" priority="128" operator="containsText" text="check">
      <formula>NOT(ISERROR(SEARCH("check",I19)))</formula>
    </cfRule>
    <cfRule type="cellIs" dxfId="1360" priority="129" operator="equal">
      <formula>"???"</formula>
    </cfRule>
  </conditionalFormatting>
  <conditionalFormatting sqref="G20:H20">
    <cfRule type="containsText" dxfId="1359" priority="126" operator="containsText" text="check">
      <formula>NOT(ISERROR(SEARCH("check",G20)))</formula>
    </cfRule>
    <cfRule type="cellIs" dxfId="1358" priority="127" operator="equal">
      <formula>"???"</formula>
    </cfRule>
  </conditionalFormatting>
  <conditionalFormatting sqref="H20">
    <cfRule type="cellIs" dxfId="1357" priority="125" operator="equal">
      <formula>"Yes"</formula>
    </cfRule>
  </conditionalFormatting>
  <conditionalFormatting sqref="A21:D21 H21 L21:Y21">
    <cfRule type="containsText" dxfId="1356" priority="121" operator="containsText" text="check">
      <formula>NOT(ISERROR(SEARCH("check",A21)))</formula>
    </cfRule>
    <cfRule type="cellIs" dxfId="1355" priority="122" operator="equal">
      <formula>"???"</formula>
    </cfRule>
  </conditionalFormatting>
  <conditionalFormatting sqref="H21">
    <cfRule type="cellIs" dxfId="1354" priority="120" operator="equal">
      <formula>"Yes"</formula>
    </cfRule>
  </conditionalFormatting>
  <conditionalFormatting sqref="Q21">
    <cfRule type="containsText" dxfId="1353" priority="119" operator="containsText" text="SI">
      <formula>NOT(ISERROR(SEARCH("SI",Q21)))</formula>
    </cfRule>
  </conditionalFormatting>
  <conditionalFormatting sqref="O26">
    <cfRule type="containsText" dxfId="1352" priority="113" operator="containsText" text="check">
      <formula>NOT(ISERROR(SEARCH("check",O26)))</formula>
    </cfRule>
    <cfRule type="cellIs" dxfId="1351" priority="114" operator="equal">
      <formula>"???"</formula>
    </cfRule>
  </conditionalFormatting>
  <conditionalFormatting sqref="L24:O24">
    <cfRule type="containsText" dxfId="1350" priority="117" operator="containsText" text="check">
      <formula>NOT(ISERROR(SEARCH("check",L24)))</formula>
    </cfRule>
    <cfRule type="cellIs" dxfId="1349" priority="118" operator="equal">
      <formula>"???"</formula>
    </cfRule>
  </conditionalFormatting>
  <conditionalFormatting sqref="M26:N26">
    <cfRule type="containsText" dxfId="1348" priority="115" operator="containsText" text="check">
      <formula>NOT(ISERROR(SEARCH("check",M26)))</formula>
    </cfRule>
    <cfRule type="cellIs" dxfId="1347" priority="116" operator="equal">
      <formula>"???"</formula>
    </cfRule>
  </conditionalFormatting>
  <conditionalFormatting sqref="E30">
    <cfRule type="containsText" dxfId="1346" priority="109" operator="containsText" text="check">
      <formula>NOT(ISERROR(SEARCH("check",E30)))</formula>
    </cfRule>
    <cfRule type="cellIs" dxfId="1345" priority="110" operator="equal">
      <formula>"???"</formula>
    </cfRule>
  </conditionalFormatting>
  <conditionalFormatting sqref="O30">
    <cfRule type="containsText" dxfId="1344" priority="107" operator="containsText" text="check">
      <formula>NOT(ISERROR(SEARCH("check",O30)))</formula>
    </cfRule>
    <cfRule type="cellIs" dxfId="1343" priority="108" operator="equal">
      <formula>"???"</formula>
    </cfRule>
  </conditionalFormatting>
  <conditionalFormatting sqref="L33:N33">
    <cfRule type="containsText" dxfId="1342" priority="105" operator="containsText" text="check">
      <formula>NOT(ISERROR(SEARCH("check",L33)))</formula>
    </cfRule>
    <cfRule type="cellIs" dxfId="1341" priority="106" operator="equal">
      <formula>"???"</formula>
    </cfRule>
  </conditionalFormatting>
  <conditionalFormatting sqref="L7:N7">
    <cfRule type="containsText" dxfId="1340" priority="103" operator="containsText" text="check">
      <formula>NOT(ISERROR(SEARCH("check",L7)))</formula>
    </cfRule>
    <cfRule type="cellIs" dxfId="1339" priority="104" operator="equal">
      <formula>"???"</formula>
    </cfRule>
  </conditionalFormatting>
  <conditionalFormatting sqref="I22:K22">
    <cfRule type="containsText" dxfId="1338" priority="101" operator="containsText" text="check">
      <formula>NOT(ISERROR(SEARCH("check",I22)))</formula>
    </cfRule>
    <cfRule type="cellIs" dxfId="1337" priority="102" operator="equal">
      <formula>"???"</formula>
    </cfRule>
  </conditionalFormatting>
  <conditionalFormatting sqref="I18:K18">
    <cfRule type="containsText" dxfId="1336" priority="99" operator="containsText" text="check">
      <formula>NOT(ISERROR(SEARCH("check",I18)))</formula>
    </cfRule>
    <cfRule type="cellIs" dxfId="1335" priority="100" operator="equal">
      <formula>"???"</formula>
    </cfRule>
  </conditionalFormatting>
  <conditionalFormatting sqref="L19:N19">
    <cfRule type="containsText" dxfId="1334" priority="97" operator="containsText" text="check">
      <formula>NOT(ISERROR(SEARCH("check",L19)))</formula>
    </cfRule>
    <cfRule type="cellIs" dxfId="1333" priority="98" operator="equal">
      <formula>"???"</formula>
    </cfRule>
  </conditionalFormatting>
  <conditionalFormatting sqref="I21:K21">
    <cfRule type="containsText" dxfId="1332" priority="95" operator="containsText" text="check">
      <formula>NOT(ISERROR(SEARCH("check",I21)))</formula>
    </cfRule>
    <cfRule type="cellIs" dxfId="1331" priority="96" operator="equal">
      <formula>"???"</formula>
    </cfRule>
  </conditionalFormatting>
  <conditionalFormatting sqref="L22:N22">
    <cfRule type="containsText" dxfId="1330" priority="93" operator="containsText" text="check">
      <formula>NOT(ISERROR(SEARCH("check",L22)))</formula>
    </cfRule>
    <cfRule type="cellIs" dxfId="1329" priority="94" operator="equal">
      <formula>"???"</formula>
    </cfRule>
  </conditionalFormatting>
  <conditionalFormatting sqref="L16:N16">
    <cfRule type="containsText" dxfId="1328" priority="91" operator="containsText" text="check">
      <formula>NOT(ISERROR(SEARCH("check",L16)))</formula>
    </cfRule>
    <cfRule type="cellIs" dxfId="1327" priority="92" operator="equal">
      <formula>"???"</formula>
    </cfRule>
  </conditionalFormatting>
  <conditionalFormatting sqref="I17:K17">
    <cfRule type="containsText" dxfId="1326" priority="89" operator="containsText" text="check">
      <formula>NOT(ISERROR(SEARCH("check",I17)))</formula>
    </cfRule>
    <cfRule type="cellIs" dxfId="1325" priority="90" operator="equal">
      <formula>"???"</formula>
    </cfRule>
  </conditionalFormatting>
  <conditionalFormatting sqref="L28:N28">
    <cfRule type="containsText" dxfId="1324" priority="87" operator="containsText" text="check">
      <formula>NOT(ISERROR(SEARCH("check",L28)))</formula>
    </cfRule>
    <cfRule type="cellIs" dxfId="1323" priority="88" operator="equal">
      <formula>"???"</formula>
    </cfRule>
  </conditionalFormatting>
  <conditionalFormatting sqref="L30:N30">
    <cfRule type="containsText" dxfId="1322" priority="85" operator="containsText" text="check">
      <formula>NOT(ISERROR(SEARCH("check",L30)))</formula>
    </cfRule>
    <cfRule type="cellIs" dxfId="1321" priority="86" operator="equal">
      <formula>"???"</formula>
    </cfRule>
  </conditionalFormatting>
  <conditionalFormatting sqref="E25">
    <cfRule type="containsText" dxfId="1320" priority="83" operator="containsText" text="check">
      <formula>NOT(ISERROR(SEARCH("check",E25)))</formula>
    </cfRule>
    <cfRule type="cellIs" dxfId="1319" priority="84" operator="equal">
      <formula>"???"</formula>
    </cfRule>
  </conditionalFormatting>
  <conditionalFormatting sqref="L13:N13">
    <cfRule type="containsText" dxfId="1318" priority="81" operator="containsText" text="check">
      <formula>NOT(ISERROR(SEARCH("check",L13)))</formula>
    </cfRule>
    <cfRule type="cellIs" dxfId="1317" priority="82" operator="equal">
      <formula>"???"</formula>
    </cfRule>
  </conditionalFormatting>
  <conditionalFormatting sqref="I15:K15">
    <cfRule type="containsText" dxfId="1316" priority="79" operator="containsText" text="check">
      <formula>NOT(ISERROR(SEARCH("check",I15)))</formula>
    </cfRule>
    <cfRule type="cellIs" dxfId="1315" priority="80" operator="equal">
      <formula>"???"</formula>
    </cfRule>
  </conditionalFormatting>
  <conditionalFormatting sqref="I33:K33">
    <cfRule type="containsText" dxfId="1314" priority="77" operator="containsText" text="check">
      <formula>NOT(ISERROR(SEARCH("check",I33)))</formula>
    </cfRule>
    <cfRule type="cellIs" dxfId="1313" priority="78" operator="equal">
      <formula>"???"</formula>
    </cfRule>
  </conditionalFormatting>
  <conditionalFormatting sqref="L10:N10">
    <cfRule type="containsText" dxfId="1312" priority="75" operator="containsText" text="check">
      <formula>NOT(ISERROR(SEARCH("check",L10)))</formula>
    </cfRule>
    <cfRule type="cellIs" dxfId="1311" priority="76" operator="equal">
      <formula>"???"</formula>
    </cfRule>
  </conditionalFormatting>
  <conditionalFormatting sqref="I26:K26 I28:K28">
    <cfRule type="containsText" dxfId="1310" priority="65" operator="containsText" text="check">
      <formula>NOT(ISERROR(SEARCH("check",I26)))</formula>
    </cfRule>
    <cfRule type="cellIs" dxfId="1309" priority="66" operator="equal">
      <formula>"???"</formula>
    </cfRule>
  </conditionalFormatting>
  <conditionalFormatting sqref="L17:N17">
    <cfRule type="containsText" dxfId="1308" priority="73" operator="containsText" text="check">
      <formula>NOT(ISERROR(SEARCH("check",L17)))</formula>
    </cfRule>
    <cfRule type="cellIs" dxfId="1307" priority="74" operator="equal">
      <formula>"???"</formula>
    </cfRule>
  </conditionalFormatting>
  <conditionalFormatting sqref="I16:K16">
    <cfRule type="containsText" dxfId="1306" priority="71" operator="containsText" text="check">
      <formula>NOT(ISERROR(SEARCH("check",I16)))</formula>
    </cfRule>
    <cfRule type="cellIs" dxfId="1305" priority="72" operator="equal">
      <formula>"???"</formula>
    </cfRule>
  </conditionalFormatting>
  <conditionalFormatting sqref="I24:K25">
    <cfRule type="containsText" dxfId="1304" priority="69" operator="containsText" text="check">
      <formula>NOT(ISERROR(SEARCH("check",I24)))</formula>
    </cfRule>
    <cfRule type="cellIs" dxfId="1303" priority="70" operator="equal">
      <formula>"???"</formula>
    </cfRule>
  </conditionalFormatting>
  <conditionalFormatting sqref="O31">
    <cfRule type="containsText" dxfId="1302" priority="54" operator="containsText" text="check">
      <formula>NOT(ISERROR(SEARCH("check",O31)))</formula>
    </cfRule>
    <cfRule type="cellIs" dxfId="1301" priority="55" operator="equal">
      <formula>"???"</formula>
    </cfRule>
  </conditionalFormatting>
  <conditionalFormatting sqref="L32:N32">
    <cfRule type="containsText" dxfId="1300" priority="67" operator="containsText" text="check">
      <formula>NOT(ISERROR(SEARCH("check",L32)))</formula>
    </cfRule>
    <cfRule type="cellIs" dxfId="1299" priority="68" operator="equal">
      <formula>"???"</formula>
    </cfRule>
  </conditionalFormatting>
  <conditionalFormatting sqref="I10:K13">
    <cfRule type="containsText" dxfId="1298" priority="63" operator="containsText" text="check">
      <formula>NOT(ISERROR(SEARCH("check",I10)))</formula>
    </cfRule>
    <cfRule type="cellIs" dxfId="1297" priority="64" operator="equal">
      <formula>"???"</formula>
    </cfRule>
  </conditionalFormatting>
  <conditionalFormatting sqref="I31:K31">
    <cfRule type="containsText" dxfId="1296" priority="61" operator="containsText" text="check">
      <formula>NOT(ISERROR(SEARCH("check",I31)))</formula>
    </cfRule>
    <cfRule type="cellIs" dxfId="1295" priority="62" operator="equal">
      <formula>"???"</formula>
    </cfRule>
  </conditionalFormatting>
  <conditionalFormatting sqref="P31:Y31">
    <cfRule type="containsText" dxfId="1294" priority="59" operator="containsText" text="check">
      <formula>NOT(ISERROR(SEARCH("check",P31)))</formula>
    </cfRule>
    <cfRule type="cellIs" dxfId="1293" priority="60" operator="equal">
      <formula>"???"</formula>
    </cfRule>
  </conditionalFormatting>
  <conditionalFormatting sqref="Q31">
    <cfRule type="containsText" dxfId="1292" priority="58" operator="containsText" text="SI">
      <formula>NOT(ISERROR(SEARCH("SI",Q31)))</formula>
    </cfRule>
  </conditionalFormatting>
  <conditionalFormatting sqref="M31:N31">
    <cfRule type="containsText" dxfId="1291" priority="56" operator="containsText" text="check">
      <formula>NOT(ISERROR(SEARCH("check",M31)))</formula>
    </cfRule>
    <cfRule type="cellIs" dxfId="1290" priority="57" operator="equal">
      <formula>"???"</formula>
    </cfRule>
  </conditionalFormatting>
  <conditionalFormatting sqref="A37:H37 Y37">
    <cfRule type="containsText" dxfId="1289" priority="50" operator="containsText" text="check">
      <formula>NOT(ISERROR(SEARCH("check",A37)))</formula>
    </cfRule>
    <cfRule type="cellIs" dxfId="1288" priority="51" operator="equal">
      <formula>"???"</formula>
    </cfRule>
  </conditionalFormatting>
  <conditionalFormatting sqref="H37 F37">
    <cfRule type="cellIs" dxfId="1287" priority="49" operator="equal">
      <formula>"Yes"</formula>
    </cfRule>
  </conditionalFormatting>
  <conditionalFormatting sqref="O37:X37">
    <cfRule type="containsText" dxfId="1286" priority="47" operator="containsText" text="check">
      <formula>NOT(ISERROR(SEARCH("check",O37)))</formula>
    </cfRule>
    <cfRule type="cellIs" dxfId="1285" priority="48" operator="equal">
      <formula>"???"</formula>
    </cfRule>
  </conditionalFormatting>
  <conditionalFormatting sqref="Q37">
    <cfRule type="containsText" dxfId="1284" priority="46" operator="containsText" text="SI">
      <formula>NOT(ISERROR(SEARCH("SI",Q37)))</formula>
    </cfRule>
  </conditionalFormatting>
  <conditionalFormatting sqref="I37:K37">
    <cfRule type="containsText" dxfId="1283" priority="42" operator="containsText" text="check">
      <formula>NOT(ISERROR(SEARCH("check",I37)))</formula>
    </cfRule>
    <cfRule type="cellIs" dxfId="1282" priority="43" operator="equal">
      <formula>"???"</formula>
    </cfRule>
  </conditionalFormatting>
  <conditionalFormatting sqref="L37:N37">
    <cfRule type="containsText" dxfId="1281" priority="44" operator="containsText" text="check">
      <formula>NOT(ISERROR(SEARCH("check",L37)))</formula>
    </cfRule>
    <cfRule type="cellIs" dxfId="1280" priority="45" operator="equal">
      <formula>"???"</formula>
    </cfRule>
  </conditionalFormatting>
  <conditionalFormatting sqref="A27:C27 O27:Y27 E27:F27 H27">
    <cfRule type="containsText" dxfId="1279" priority="32" operator="containsText" text="check">
      <formula>NOT(ISERROR(SEARCH("check",A27)))</formula>
    </cfRule>
    <cfRule type="cellIs" dxfId="1278" priority="33" operator="equal">
      <formula>"???"</formula>
    </cfRule>
  </conditionalFormatting>
  <conditionalFormatting sqref="Q14">
    <cfRule type="containsText" dxfId="1277" priority="37" operator="containsText" text="check">
      <formula>NOT(ISERROR(SEARCH("check",Q14)))</formula>
    </cfRule>
    <cfRule type="cellIs" dxfId="1276" priority="38" operator="equal">
      <formula>"???"</formula>
    </cfRule>
  </conditionalFormatting>
  <conditionalFormatting sqref="Q14">
    <cfRule type="containsText" dxfId="1275" priority="36" operator="containsText" text="SI">
      <formula>NOT(ISERROR(SEARCH("SI",Q14)))</formula>
    </cfRule>
  </conditionalFormatting>
  <conditionalFormatting sqref="F27 H27">
    <cfRule type="cellIs" dxfId="1274" priority="31" operator="equal">
      <formula>"Yes"</formula>
    </cfRule>
  </conditionalFormatting>
  <conditionalFormatting sqref="Q27">
    <cfRule type="containsText" dxfId="1273" priority="30" operator="containsText" text="SI">
      <formula>NOT(ISERROR(SEARCH("SI",Q27)))</formula>
    </cfRule>
  </conditionalFormatting>
  <conditionalFormatting sqref="G27">
    <cfRule type="containsText" dxfId="1272" priority="26" operator="containsText" text="check">
      <formula>NOT(ISERROR(SEARCH("check",G27)))</formula>
    </cfRule>
    <cfRule type="cellIs" dxfId="1271" priority="27" operator="equal">
      <formula>"???"</formula>
    </cfRule>
  </conditionalFormatting>
  <conditionalFormatting sqref="F29 H29">
    <cfRule type="cellIs" dxfId="1270" priority="23" operator="equal">
      <formula>"Yes"</formula>
    </cfRule>
  </conditionalFormatting>
  <conditionalFormatting sqref="Q29">
    <cfRule type="containsText" dxfId="1269" priority="22" operator="containsText" text="SI">
      <formula>NOT(ISERROR(SEARCH("SI",Q29)))</formula>
    </cfRule>
  </conditionalFormatting>
  <conditionalFormatting sqref="G29">
    <cfRule type="containsText" dxfId="1268" priority="18" operator="containsText" text="check">
      <formula>NOT(ISERROR(SEARCH("check",G29)))</formula>
    </cfRule>
    <cfRule type="cellIs" dxfId="1267" priority="19" operator="equal">
      <formula>"???"</formula>
    </cfRule>
  </conditionalFormatting>
  <conditionalFormatting sqref="E29">
    <cfRule type="containsText" dxfId="1266" priority="20" operator="containsText" text="check">
      <formula>NOT(ISERROR(SEARCH("check",E29)))</formula>
    </cfRule>
    <cfRule type="cellIs" dxfId="1265" priority="21" operator="equal">
      <formula>"???"</formula>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1179075F-BC0C-438D-AE59-CE0557863270}">
          <x14:formula1>
            <xm:f>Tables!$C$7:$C$70</xm:f>
          </x14:formula1>
          <xm:sqref>O38:O113</xm:sqref>
        </x14:dataValidation>
        <x14:dataValidation type="list" allowBlank="1" showInputMessage="1" showErrorMessage="1" xr:uid="{95E80079-3519-4116-A487-48B8B57A0DE4}">
          <x14:formula1>
            <xm:f>Tables!$E$7:$E$11</xm:f>
          </x14:formula1>
          <xm:sqref>V38:V113</xm:sqref>
        </x14:dataValidation>
        <x14:dataValidation type="list" allowBlank="1" showInputMessage="1" showErrorMessage="1" xr:uid="{CDC4681D-3B91-4F01-9873-55241B72BA86}">
          <x14:formula1>
            <xm:f>Tables!$D$7:$D$10</xm:f>
          </x14:formula1>
          <xm:sqref>R38:R113</xm:sqref>
        </x14:dataValidation>
        <x14:dataValidation type="list" allowBlank="1" showInputMessage="1" showErrorMessage="1" xr:uid="{F07E7DB7-AC50-4C50-8D31-3F0AA579267B}">
          <x14:formula1>
            <xm:f>Tables!$G$7:$G$11</xm:f>
          </x14:formula1>
          <xm:sqref>U38:U113</xm:sqref>
        </x14:dataValidation>
        <x14:dataValidation type="list" allowBlank="1" showInputMessage="1" showErrorMessage="1" xr:uid="{121004EC-82DA-4FB9-9AC7-E637B1A2E8FE}">
          <x14:formula1>
            <xm:f>Tables!$J$7:$J$19</xm:f>
          </x14:formula1>
          <xm:sqref>Q38:Q113</xm:sqref>
        </x14:dataValidation>
        <x14:dataValidation type="list" allowBlank="1" showInputMessage="1" showErrorMessage="1" xr:uid="{9FBF8EEE-11F6-4144-B269-272AD7CFFE57}">
          <x14:formula1>
            <xm:f>Tables!$B$7:$B$10</xm:f>
          </x14:formula1>
          <xm:sqref>F38:F113 H38:H113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2087E-FEF5-4455-A384-423AFEF4CCD8}">
  <sheetPr codeName="Blad13">
    <tabColor rgb="FF7030A0"/>
  </sheetPr>
  <dimension ref="A1:Y117"/>
  <sheetViews>
    <sheetView zoomScale="110" zoomScaleNormal="110" workbookViewId="0">
      <pane ySplit="6" topLeftCell="A7" activePane="bottomLeft" state="frozen"/>
      <selection pane="bottomLeft" activeCell="A10" sqref="A10:XFD10"/>
    </sheetView>
  </sheetViews>
  <sheetFormatPr baseColWidth="10" defaultColWidth="9.1640625" defaultRowHeight="15" outlineLevelRow="1" outlineLevelCol="1" x14ac:dyDescent="0.2"/>
  <cols>
    <col min="1" max="1" width="14.1640625" style="159" customWidth="1"/>
    <col min="2" max="2" width="4.6640625" style="160" customWidth="1"/>
    <col min="3" max="3" width="5.83203125" style="159" customWidth="1"/>
    <col min="4" max="4" width="32.33203125" style="160" customWidth="1"/>
    <col min="5" max="5" width="19.5" style="159" customWidth="1"/>
    <col min="6" max="6" width="6.5" style="159" customWidth="1"/>
    <col min="7" max="7" width="16.5" style="159" customWidth="1"/>
    <col min="8" max="8" width="6.33203125" style="159" customWidth="1"/>
    <col min="9" max="9" width="18.5" style="159" customWidth="1"/>
    <col min="10" max="10" width="16" style="159" customWidth="1"/>
    <col min="11" max="11" width="20.33203125" style="159" customWidth="1"/>
    <col min="12" max="12" width="17.5" style="159" customWidth="1"/>
    <col min="13" max="13" width="18.5" style="159" customWidth="1"/>
    <col min="14" max="14" width="13.6640625" style="159" customWidth="1"/>
    <col min="15" max="15" width="20" style="160" customWidth="1"/>
    <col min="16" max="16" width="13.1640625" style="160" customWidth="1"/>
    <col min="17" max="17" width="13.5" style="161" customWidth="1"/>
    <col min="18" max="18" width="19.1640625" style="159" customWidth="1"/>
    <col min="19" max="19" width="16.83203125" style="159" hidden="1" customWidth="1" outlineLevel="1"/>
    <col min="20" max="20" width="16.5" style="159" hidden="1" customWidth="1" outlineLevel="1"/>
    <col min="21" max="21" width="15" style="160" hidden="1" customWidth="1" outlineLevel="1"/>
    <col min="22" max="22" width="22" style="160" customWidth="1" collapsed="1"/>
    <col min="23" max="23" width="35.5" style="159" customWidth="1"/>
    <col min="24" max="24" width="46.6640625" style="159" bestFit="1" customWidth="1"/>
    <col min="25" max="25" width="27.6640625" style="159" bestFit="1" customWidth="1"/>
    <col min="26" max="26" width="12.33203125" style="159" customWidth="1"/>
    <col min="27" max="16384" width="9.1640625" style="159"/>
  </cols>
  <sheetData>
    <row r="1" spans="1:25" hidden="1" outlineLevel="1" x14ac:dyDescent="0.2">
      <c r="A1" s="193"/>
      <c r="B1" s="194"/>
      <c r="C1" s="193"/>
      <c r="D1" s="194"/>
      <c r="E1" s="193"/>
      <c r="F1" s="193"/>
      <c r="G1" s="193"/>
      <c r="H1" s="193"/>
      <c r="I1" s="193"/>
      <c r="J1" s="193"/>
      <c r="K1" s="193"/>
      <c r="L1" s="193"/>
      <c r="M1" s="193"/>
      <c r="N1" s="193"/>
      <c r="O1" s="194"/>
      <c r="P1" s="194"/>
      <c r="Q1" s="195"/>
      <c r="R1" s="193"/>
      <c r="S1" s="193"/>
      <c r="T1" s="193"/>
      <c r="U1" s="194"/>
      <c r="V1" s="194"/>
      <c r="W1" s="193"/>
      <c r="X1" s="193"/>
      <c r="Y1" s="193"/>
    </row>
    <row r="2" spans="1:25" ht="24.75" hidden="1" customHeight="1" outlineLevel="1" x14ac:dyDescent="0.2">
      <c r="A2" s="193"/>
      <c r="B2" s="8"/>
      <c r="C2" s="5"/>
      <c r="D2" s="8"/>
      <c r="E2" s="5"/>
      <c r="F2" s="5"/>
      <c r="G2" s="5"/>
      <c r="H2" s="5"/>
      <c r="I2" s="162" t="s">
        <v>263</v>
      </c>
      <c r="J2" s="5"/>
      <c r="K2" s="5"/>
      <c r="L2" s="5"/>
      <c r="M2" s="5"/>
      <c r="N2" s="5"/>
      <c r="O2" s="8"/>
      <c r="P2" s="8"/>
      <c r="Q2" s="49"/>
      <c r="R2" s="5"/>
      <c r="S2" s="5"/>
      <c r="T2" s="5"/>
      <c r="U2" s="8"/>
      <c r="V2" s="8"/>
      <c r="W2" s="5"/>
      <c r="X2" s="5"/>
      <c r="Y2" s="5"/>
    </row>
    <row r="3" spans="1:25" hidden="1" outlineLevel="1" x14ac:dyDescent="0.2">
      <c r="A3" s="193"/>
      <c r="B3" s="8"/>
      <c r="C3" s="5"/>
      <c r="D3" s="8"/>
      <c r="E3" s="115" t="s">
        <v>264</v>
      </c>
      <c r="F3" s="5" t="str">
        <f>Versioning!F29</f>
        <v>2.01</v>
      </c>
      <c r="G3" s="5"/>
      <c r="H3" s="5"/>
      <c r="I3" s="5" t="s">
        <v>265</v>
      </c>
      <c r="J3" s="5"/>
      <c r="K3" s="5"/>
      <c r="L3" s="237" t="str">
        <f>Versioning!G6</f>
        <v>DIM-Infosphere</v>
      </c>
      <c r="M3" s="232"/>
      <c r="N3" s="5"/>
      <c r="O3" s="8"/>
      <c r="P3" s="8"/>
      <c r="Q3" s="49"/>
      <c r="R3" s="5"/>
      <c r="S3" s="5"/>
      <c r="T3" s="5"/>
      <c r="U3" s="8"/>
      <c r="V3" s="8"/>
      <c r="W3" s="5"/>
      <c r="X3" s="5"/>
      <c r="Y3" s="5"/>
    </row>
    <row r="4" spans="1:25" ht="18" hidden="1" customHeight="1" outlineLevel="1" x14ac:dyDescent="0.2">
      <c r="A4" s="193"/>
      <c r="B4" s="8"/>
      <c r="C4" s="5"/>
      <c r="D4" s="8"/>
      <c r="E4" s="5"/>
      <c r="F4" s="5"/>
      <c r="G4" s="5"/>
      <c r="H4" s="5"/>
      <c r="I4" s="33" t="s">
        <v>266</v>
      </c>
      <c r="J4" s="5"/>
      <c r="K4" s="5"/>
      <c r="L4" s="41" t="s">
        <v>267</v>
      </c>
      <c r="M4" s="5"/>
      <c r="N4" s="5"/>
      <c r="O4" s="8"/>
      <c r="P4" s="8"/>
      <c r="Q4" s="49"/>
      <c r="R4" s="5"/>
      <c r="S4" s="5"/>
      <c r="T4" s="5"/>
      <c r="U4" s="8"/>
      <c r="V4" s="8"/>
      <c r="W4" s="5"/>
      <c r="X4" s="5"/>
      <c r="Y4" s="5"/>
    </row>
    <row r="5" spans="1:25" hidden="1" outlineLevel="1" x14ac:dyDescent="0.2">
      <c r="A5" s="193"/>
      <c r="B5" s="238"/>
      <c r="C5" s="238"/>
      <c r="D5" s="238"/>
      <c r="E5" s="238"/>
      <c r="F5" s="77"/>
      <c r="G5" s="193"/>
      <c r="H5" s="193"/>
      <c r="I5" s="193"/>
      <c r="J5" s="193"/>
      <c r="K5" s="19"/>
      <c r="L5" s="19"/>
      <c r="M5" s="19"/>
      <c r="N5" s="196"/>
      <c r="O5" s="196"/>
      <c r="P5" s="193"/>
      <c r="Q5" s="195"/>
      <c r="R5" s="193"/>
      <c r="S5" s="193"/>
      <c r="T5" s="193"/>
      <c r="U5" s="194"/>
      <c r="V5" s="194"/>
      <c r="W5" s="193"/>
      <c r="X5" s="193"/>
      <c r="Y5" s="193"/>
    </row>
    <row r="6" spans="1:25" ht="70.5" customHeight="1" collapsed="1" x14ac:dyDescent="0.2">
      <c r="A6" s="146" t="s">
        <v>268</v>
      </c>
      <c r="B6" s="147" t="s">
        <v>145</v>
      </c>
      <c r="C6" s="148" t="s">
        <v>269</v>
      </c>
      <c r="D6" s="149" t="s">
        <v>270</v>
      </c>
      <c r="E6" s="148" t="s">
        <v>271</v>
      </c>
      <c r="F6" s="149" t="s">
        <v>272</v>
      </c>
      <c r="G6" s="150" t="s">
        <v>273</v>
      </c>
      <c r="H6" s="151" t="s">
        <v>272</v>
      </c>
      <c r="I6" s="148" t="s">
        <v>274</v>
      </c>
      <c r="J6" s="148" t="s">
        <v>275</v>
      </c>
      <c r="K6" s="148" t="s">
        <v>276</v>
      </c>
      <c r="L6" s="163" t="s">
        <v>277</v>
      </c>
      <c r="M6" s="164" t="s">
        <v>278</v>
      </c>
      <c r="N6" s="165" t="s">
        <v>279</v>
      </c>
      <c r="O6" s="154" t="s">
        <v>280</v>
      </c>
      <c r="P6" s="154" t="s">
        <v>281</v>
      </c>
      <c r="Q6" s="155" t="s">
        <v>282</v>
      </c>
      <c r="R6" s="156" t="s">
        <v>283</v>
      </c>
      <c r="S6" s="148" t="s">
        <v>284</v>
      </c>
      <c r="T6" s="148" t="s">
        <v>285</v>
      </c>
      <c r="U6" s="149" t="s">
        <v>286</v>
      </c>
      <c r="V6" s="155" t="s">
        <v>287</v>
      </c>
      <c r="W6" s="157" t="s">
        <v>202</v>
      </c>
      <c r="X6" s="157" t="s">
        <v>288</v>
      </c>
      <c r="Y6" s="158" t="s">
        <v>289</v>
      </c>
    </row>
    <row r="7" spans="1:25" s="136" customFormat="1" ht="16" x14ac:dyDescent="0.2">
      <c r="A7" s="133" t="s">
        <v>454</v>
      </c>
      <c r="B7" s="134">
        <f t="shared" ref="B7:B37" si="0" xml:space="preserve"> ROW(B7) - 6</f>
        <v>1</v>
      </c>
      <c r="C7" s="133">
        <v>1</v>
      </c>
      <c r="D7" s="133" t="s">
        <v>291</v>
      </c>
      <c r="E7" s="133" t="s">
        <v>292</v>
      </c>
      <c r="F7" s="135" t="s">
        <v>293</v>
      </c>
      <c r="G7" s="133" t="s">
        <v>294</v>
      </c>
      <c r="H7" s="135" t="s">
        <v>293</v>
      </c>
      <c r="I7" s="133" t="s">
        <v>295</v>
      </c>
      <c r="J7" s="133" t="s">
        <v>296</v>
      </c>
      <c r="K7" s="133"/>
      <c r="L7" s="133" t="s">
        <v>455</v>
      </c>
      <c r="M7" s="133" t="s">
        <v>456</v>
      </c>
      <c r="N7" s="133" t="s">
        <v>457</v>
      </c>
      <c r="O7" s="135" t="s">
        <v>300</v>
      </c>
      <c r="P7" s="133"/>
      <c r="Q7" s="135" t="s">
        <v>293</v>
      </c>
      <c r="R7" s="135" t="s">
        <v>301</v>
      </c>
      <c r="S7" s="133"/>
      <c r="T7" s="133"/>
      <c r="U7" s="135" t="s">
        <v>302</v>
      </c>
      <c r="V7" s="135" t="s">
        <v>303</v>
      </c>
      <c r="W7" s="133"/>
      <c r="X7" s="133"/>
      <c r="Y7" s="133"/>
    </row>
    <row r="8" spans="1:25" s="136" customFormat="1" ht="32" x14ac:dyDescent="0.2">
      <c r="A8" s="133" t="s">
        <v>458</v>
      </c>
      <c r="B8" s="134">
        <f t="shared" si="0"/>
        <v>2</v>
      </c>
      <c r="C8" s="133">
        <v>2</v>
      </c>
      <c r="D8" s="133" t="s">
        <v>305</v>
      </c>
      <c r="E8" s="133" t="s">
        <v>292</v>
      </c>
      <c r="F8" s="135" t="s">
        <v>293</v>
      </c>
      <c r="G8" s="133" t="s">
        <v>306</v>
      </c>
      <c r="H8" s="135" t="s">
        <v>293</v>
      </c>
      <c r="I8" s="133" t="s">
        <v>295</v>
      </c>
      <c r="J8" s="133" t="s">
        <v>296</v>
      </c>
      <c r="K8" s="133"/>
      <c r="L8" s="133" t="s">
        <v>459</v>
      </c>
      <c r="M8" s="133" t="s">
        <v>460</v>
      </c>
      <c r="N8" s="133" t="s">
        <v>461</v>
      </c>
      <c r="O8" s="135" t="s">
        <v>300</v>
      </c>
      <c r="P8" s="133"/>
      <c r="Q8" s="135" t="s">
        <v>293</v>
      </c>
      <c r="R8" s="135" t="s">
        <v>310</v>
      </c>
      <c r="S8" s="133"/>
      <c r="T8" s="133"/>
      <c r="U8" s="135" t="s">
        <v>302</v>
      </c>
      <c r="V8" s="135" t="s">
        <v>303</v>
      </c>
      <c r="W8" s="133"/>
      <c r="X8" s="133"/>
      <c r="Y8" s="133"/>
    </row>
    <row r="9" spans="1:25" s="136" customFormat="1" ht="32" x14ac:dyDescent="0.2">
      <c r="A9" s="133" t="s">
        <v>462</v>
      </c>
      <c r="B9" s="134">
        <f t="shared" si="0"/>
        <v>3</v>
      </c>
      <c r="C9" s="133">
        <v>3</v>
      </c>
      <c r="D9" s="133" t="s">
        <v>312</v>
      </c>
      <c r="E9" s="133" t="s">
        <v>313</v>
      </c>
      <c r="F9" s="135" t="s">
        <v>293</v>
      </c>
      <c r="G9" s="133" t="s">
        <v>306</v>
      </c>
      <c r="H9" s="135" t="s">
        <v>293</v>
      </c>
      <c r="I9" s="133" t="s">
        <v>463</v>
      </c>
      <c r="J9" s="133" t="s">
        <v>464</v>
      </c>
      <c r="K9" s="133" t="s">
        <v>465</v>
      </c>
      <c r="L9" s="133" t="s">
        <v>459</v>
      </c>
      <c r="M9" s="133" t="s">
        <v>460</v>
      </c>
      <c r="N9" s="133" t="s">
        <v>461</v>
      </c>
      <c r="O9" s="135" t="s">
        <v>317</v>
      </c>
      <c r="P9" s="133"/>
      <c r="Q9" s="135" t="s">
        <v>293</v>
      </c>
      <c r="R9" s="135" t="s">
        <v>310</v>
      </c>
      <c r="S9" s="133"/>
      <c r="T9" s="133"/>
      <c r="U9" s="135" t="s">
        <v>302</v>
      </c>
      <c r="V9" s="135" t="s">
        <v>318</v>
      </c>
      <c r="W9" s="133" t="s">
        <v>319</v>
      </c>
      <c r="X9" s="133"/>
      <c r="Y9" s="133"/>
    </row>
    <row r="10" spans="1:25" s="136" customFormat="1" ht="48" x14ac:dyDescent="0.2">
      <c r="A10" s="133" t="s">
        <v>466</v>
      </c>
      <c r="B10" s="134">
        <f t="shared" si="0"/>
        <v>4</v>
      </c>
      <c r="C10" s="133">
        <v>4</v>
      </c>
      <c r="D10" s="133" t="s">
        <v>321</v>
      </c>
      <c r="E10" s="133" t="s">
        <v>313</v>
      </c>
      <c r="F10" s="135" t="s">
        <v>293</v>
      </c>
      <c r="G10" s="133" t="s">
        <v>322</v>
      </c>
      <c r="H10" s="135" t="s">
        <v>293</v>
      </c>
      <c r="I10" s="133" t="s">
        <v>463</v>
      </c>
      <c r="J10" s="133" t="s">
        <v>464</v>
      </c>
      <c r="K10" s="133" t="s">
        <v>465</v>
      </c>
      <c r="L10" s="133" t="s">
        <v>467</v>
      </c>
      <c r="M10" s="133" t="s">
        <v>468</v>
      </c>
      <c r="N10" s="133" t="s">
        <v>469</v>
      </c>
      <c r="O10" s="135" t="s">
        <v>326</v>
      </c>
      <c r="P10" s="133"/>
      <c r="Q10" s="135" t="s">
        <v>293</v>
      </c>
      <c r="R10" s="135" t="s">
        <v>310</v>
      </c>
      <c r="S10" s="133"/>
      <c r="T10" s="133"/>
      <c r="U10" s="135" t="s">
        <v>302</v>
      </c>
      <c r="V10" s="135" t="s">
        <v>318</v>
      </c>
      <c r="W10" s="133" t="s">
        <v>327</v>
      </c>
      <c r="X10" s="133"/>
      <c r="Y10" s="133"/>
    </row>
    <row r="11" spans="1:25" s="136" customFormat="1" ht="32" x14ac:dyDescent="0.2">
      <c r="A11" s="133" t="s">
        <v>470</v>
      </c>
      <c r="B11" s="134">
        <f t="shared" si="0"/>
        <v>5</v>
      </c>
      <c r="C11" s="133">
        <v>5</v>
      </c>
      <c r="D11" s="133" t="s">
        <v>329</v>
      </c>
      <c r="E11" s="133" t="s">
        <v>313</v>
      </c>
      <c r="F11" s="135" t="s">
        <v>293</v>
      </c>
      <c r="G11" s="133" t="s">
        <v>330</v>
      </c>
      <c r="H11" s="135" t="s">
        <v>293</v>
      </c>
      <c r="I11" s="133" t="s">
        <v>463</v>
      </c>
      <c r="J11" s="133" t="s">
        <v>464</v>
      </c>
      <c r="K11" s="133" t="s">
        <v>465</v>
      </c>
      <c r="L11" s="133" t="s">
        <v>471</v>
      </c>
      <c r="M11" s="133" t="s">
        <v>472</v>
      </c>
      <c r="N11" s="133" t="s">
        <v>473</v>
      </c>
      <c r="O11" s="135" t="s">
        <v>334</v>
      </c>
      <c r="P11" s="133">
        <v>31538</v>
      </c>
      <c r="Q11" s="135" t="s">
        <v>293</v>
      </c>
      <c r="R11" s="135" t="s">
        <v>301</v>
      </c>
      <c r="S11" s="133"/>
      <c r="T11" s="133"/>
      <c r="U11" s="135" t="s">
        <v>302</v>
      </c>
      <c r="V11" s="135" t="s">
        <v>318</v>
      </c>
      <c r="W11" s="133"/>
      <c r="X11" s="133"/>
      <c r="Y11" s="133"/>
    </row>
    <row r="12" spans="1:25" s="136" customFormat="1" ht="32" x14ac:dyDescent="0.2">
      <c r="A12" s="133" t="s">
        <v>474</v>
      </c>
      <c r="B12" s="134">
        <f t="shared" si="0"/>
        <v>6</v>
      </c>
      <c r="C12" s="133">
        <v>6</v>
      </c>
      <c r="D12" s="133" t="s">
        <v>336</v>
      </c>
      <c r="E12" s="133" t="s">
        <v>313</v>
      </c>
      <c r="F12" s="135" t="s">
        <v>293</v>
      </c>
      <c r="G12" s="133" t="s">
        <v>337</v>
      </c>
      <c r="H12" s="135" t="s">
        <v>293</v>
      </c>
      <c r="I12" s="133" t="s">
        <v>463</v>
      </c>
      <c r="J12" s="133" t="s">
        <v>464</v>
      </c>
      <c r="K12" s="133" t="s">
        <v>465</v>
      </c>
      <c r="L12" s="133" t="s">
        <v>475</v>
      </c>
      <c r="M12" s="133" t="s">
        <v>476</v>
      </c>
      <c r="N12" s="133" t="s">
        <v>477</v>
      </c>
      <c r="O12" s="135" t="s">
        <v>334</v>
      </c>
      <c r="P12" s="133">
        <v>9443</v>
      </c>
      <c r="Q12" s="135" t="s">
        <v>293</v>
      </c>
      <c r="R12" s="135" t="s">
        <v>301</v>
      </c>
      <c r="S12" s="133"/>
      <c r="T12" s="133"/>
      <c r="U12" s="135" t="s">
        <v>302</v>
      </c>
      <c r="V12" s="135" t="s">
        <v>318</v>
      </c>
      <c r="W12" s="133"/>
      <c r="X12" s="133"/>
      <c r="Y12" s="133"/>
    </row>
    <row r="13" spans="1:25" s="136" customFormat="1" ht="32" x14ac:dyDescent="0.2">
      <c r="A13" s="133" t="s">
        <v>478</v>
      </c>
      <c r="B13" s="134">
        <f t="shared" si="0"/>
        <v>7</v>
      </c>
      <c r="C13" s="133">
        <v>7</v>
      </c>
      <c r="D13" s="133" t="s">
        <v>342</v>
      </c>
      <c r="E13" s="133" t="s">
        <v>313</v>
      </c>
      <c r="F13" s="135" t="s">
        <v>293</v>
      </c>
      <c r="G13" s="133" t="s">
        <v>294</v>
      </c>
      <c r="H13" s="135" t="s">
        <v>293</v>
      </c>
      <c r="I13" s="133" t="s">
        <v>463</v>
      </c>
      <c r="J13" s="133" t="s">
        <v>464</v>
      </c>
      <c r="K13" s="133" t="s">
        <v>465</v>
      </c>
      <c r="L13" s="133" t="s">
        <v>455</v>
      </c>
      <c r="M13" s="133" t="s">
        <v>456</v>
      </c>
      <c r="N13" s="133" t="s">
        <v>457</v>
      </c>
      <c r="O13" s="135" t="s">
        <v>334</v>
      </c>
      <c r="P13" s="133">
        <v>443</v>
      </c>
      <c r="Q13" s="135" t="s">
        <v>293</v>
      </c>
      <c r="R13" s="135" t="s">
        <v>301</v>
      </c>
      <c r="S13" s="133"/>
      <c r="T13" s="133"/>
      <c r="U13" s="135" t="s">
        <v>302</v>
      </c>
      <c r="V13" s="135" t="s">
        <v>318</v>
      </c>
      <c r="W13" s="133"/>
      <c r="X13" s="133"/>
      <c r="Y13" s="133"/>
    </row>
    <row r="14" spans="1:25" s="136" customFormat="1" ht="32" x14ac:dyDescent="0.2">
      <c r="A14" s="133" t="s">
        <v>479</v>
      </c>
      <c r="B14" s="134">
        <f t="shared" si="0"/>
        <v>8</v>
      </c>
      <c r="C14" s="133">
        <v>8</v>
      </c>
      <c r="D14" s="133" t="s">
        <v>344</v>
      </c>
      <c r="E14" s="133" t="s">
        <v>337</v>
      </c>
      <c r="F14" s="135" t="s">
        <v>293</v>
      </c>
      <c r="G14" s="133" t="s">
        <v>306</v>
      </c>
      <c r="H14" s="135" t="s">
        <v>293</v>
      </c>
      <c r="I14" s="133" t="s">
        <v>475</v>
      </c>
      <c r="J14" s="133" t="s">
        <v>476</v>
      </c>
      <c r="K14" s="133" t="s">
        <v>477</v>
      </c>
      <c r="L14" s="133" t="s">
        <v>459</v>
      </c>
      <c r="M14" s="133" t="s">
        <v>460</v>
      </c>
      <c r="N14" s="133" t="s">
        <v>461</v>
      </c>
      <c r="O14" s="135" t="s">
        <v>345</v>
      </c>
      <c r="P14" s="133">
        <v>19443</v>
      </c>
      <c r="Q14" s="135" t="s">
        <v>293</v>
      </c>
      <c r="R14" s="135" t="s">
        <v>310</v>
      </c>
      <c r="S14" s="133"/>
      <c r="T14" s="133"/>
      <c r="U14" s="135" t="s">
        <v>302</v>
      </c>
      <c r="V14" s="135" t="s">
        <v>318</v>
      </c>
      <c r="W14" s="133"/>
      <c r="X14" s="133"/>
      <c r="Y14" s="133"/>
    </row>
    <row r="15" spans="1:25" s="136" customFormat="1" ht="16" x14ac:dyDescent="0.2">
      <c r="A15" s="133" t="s">
        <v>480</v>
      </c>
      <c r="B15" s="134">
        <f xml:space="preserve"> ROW(B15) - 6</f>
        <v>9</v>
      </c>
      <c r="C15" s="133">
        <v>9</v>
      </c>
      <c r="D15" s="133" t="s">
        <v>347</v>
      </c>
      <c r="E15" s="133" t="s">
        <v>330</v>
      </c>
      <c r="F15" s="135" t="s">
        <v>293</v>
      </c>
      <c r="G15" s="133" t="s">
        <v>348</v>
      </c>
      <c r="H15" s="135" t="s">
        <v>293</v>
      </c>
      <c r="I15" s="133" t="s">
        <v>459</v>
      </c>
      <c r="J15" s="133" t="s">
        <v>460</v>
      </c>
      <c r="K15" s="133" t="s">
        <v>461</v>
      </c>
      <c r="L15" s="133" t="s">
        <v>349</v>
      </c>
      <c r="M15" s="133" t="s">
        <v>350</v>
      </c>
      <c r="N15" s="133" t="s">
        <v>351</v>
      </c>
      <c r="O15" s="135" t="s">
        <v>352</v>
      </c>
      <c r="P15" s="133"/>
      <c r="Q15" s="135" t="s">
        <v>293</v>
      </c>
      <c r="R15" s="135" t="s">
        <v>301</v>
      </c>
      <c r="S15" s="133"/>
      <c r="T15" s="133"/>
      <c r="U15" s="135" t="s">
        <v>302</v>
      </c>
      <c r="V15" s="135" t="s">
        <v>318</v>
      </c>
      <c r="W15" s="133"/>
      <c r="X15" s="133"/>
      <c r="Y15" s="133"/>
    </row>
    <row r="16" spans="1:25" s="136" customFormat="1" ht="16" x14ac:dyDescent="0.2">
      <c r="A16" s="133" t="s">
        <v>481</v>
      </c>
      <c r="B16" s="134">
        <f xml:space="preserve"> ROW(B16) - 6</f>
        <v>10</v>
      </c>
      <c r="C16" s="133" t="s">
        <v>354</v>
      </c>
      <c r="D16" s="133" t="s">
        <v>355</v>
      </c>
      <c r="E16" s="133" t="s">
        <v>330</v>
      </c>
      <c r="F16" s="135" t="s">
        <v>293</v>
      </c>
      <c r="G16" s="133" t="s">
        <v>348</v>
      </c>
      <c r="H16" s="135" t="s">
        <v>293</v>
      </c>
      <c r="I16" s="133" t="s">
        <v>471</v>
      </c>
      <c r="J16" s="133" t="s">
        <v>472</v>
      </c>
      <c r="K16" s="133" t="s">
        <v>473</v>
      </c>
      <c r="L16" s="133" t="s">
        <v>349</v>
      </c>
      <c r="M16" s="133" t="s">
        <v>350</v>
      </c>
      <c r="N16" s="133" t="s">
        <v>351</v>
      </c>
      <c r="O16" s="135" t="s">
        <v>352</v>
      </c>
      <c r="P16" s="133"/>
      <c r="Q16" s="135" t="s">
        <v>293</v>
      </c>
      <c r="R16" s="135" t="s">
        <v>301</v>
      </c>
      <c r="S16" s="133"/>
      <c r="T16" s="133"/>
      <c r="U16" s="135" t="s">
        <v>302</v>
      </c>
      <c r="V16" s="135" t="s">
        <v>318</v>
      </c>
      <c r="W16" s="133"/>
      <c r="X16" s="133"/>
      <c r="Y16" s="133"/>
    </row>
    <row r="17" spans="1:25" s="136" customFormat="1" ht="48" x14ac:dyDescent="0.2">
      <c r="A17" s="133" t="s">
        <v>482</v>
      </c>
      <c r="B17" s="134">
        <f t="shared" si="0"/>
        <v>11</v>
      </c>
      <c r="C17" s="133" t="s">
        <v>357</v>
      </c>
      <c r="D17" s="133" t="s">
        <v>358</v>
      </c>
      <c r="E17" s="133" t="s">
        <v>348</v>
      </c>
      <c r="F17" s="135" t="s">
        <v>293</v>
      </c>
      <c r="G17" s="133" t="s">
        <v>330</v>
      </c>
      <c r="H17" s="135" t="s">
        <v>293</v>
      </c>
      <c r="I17" s="133" t="s">
        <v>349</v>
      </c>
      <c r="J17" s="133" t="s">
        <v>350</v>
      </c>
      <c r="K17" s="133" t="s">
        <v>351</v>
      </c>
      <c r="L17" s="133" t="s">
        <v>471</v>
      </c>
      <c r="M17" s="133" t="s">
        <v>472</v>
      </c>
      <c r="N17" s="133" t="s">
        <v>473</v>
      </c>
      <c r="O17" s="135" t="s">
        <v>359</v>
      </c>
      <c r="P17" s="133" t="s">
        <v>360</v>
      </c>
      <c r="Q17" s="135" t="s">
        <v>293</v>
      </c>
      <c r="R17" s="135" t="s">
        <v>301</v>
      </c>
      <c r="S17" s="133"/>
      <c r="T17" s="133"/>
      <c r="U17" s="135" t="s">
        <v>302</v>
      </c>
      <c r="V17" s="135" t="s">
        <v>318</v>
      </c>
      <c r="W17" s="133"/>
      <c r="X17" s="133"/>
      <c r="Y17" s="133"/>
    </row>
    <row r="18" spans="1:25" s="136" customFormat="1" ht="32" x14ac:dyDescent="0.2">
      <c r="A18" s="133" t="s">
        <v>483</v>
      </c>
      <c r="B18" s="134">
        <f t="shared" si="0"/>
        <v>12</v>
      </c>
      <c r="C18" s="133" t="s">
        <v>362</v>
      </c>
      <c r="D18" s="133" t="s">
        <v>484</v>
      </c>
      <c r="E18" s="133" t="s">
        <v>364</v>
      </c>
      <c r="F18" s="135" t="s">
        <v>293</v>
      </c>
      <c r="G18" s="133" t="s">
        <v>364</v>
      </c>
      <c r="H18" s="135"/>
      <c r="I18" s="133"/>
      <c r="J18" s="133"/>
      <c r="K18" s="133"/>
      <c r="L18" s="133"/>
      <c r="M18" s="133"/>
      <c r="N18" s="133"/>
      <c r="O18" s="135"/>
      <c r="P18" s="133"/>
      <c r="Q18" s="135"/>
      <c r="R18" s="135"/>
      <c r="S18" s="133"/>
      <c r="T18" s="133"/>
      <c r="U18" s="135"/>
      <c r="V18" s="135"/>
      <c r="W18" s="133"/>
      <c r="X18" s="133"/>
      <c r="Y18" s="133"/>
    </row>
    <row r="19" spans="1:25" s="136" customFormat="1" ht="32" x14ac:dyDescent="0.2">
      <c r="A19" s="133" t="s">
        <v>485</v>
      </c>
      <c r="B19" s="134">
        <f t="shared" si="0"/>
        <v>13</v>
      </c>
      <c r="C19" s="133" t="s">
        <v>366</v>
      </c>
      <c r="D19" s="133" t="s">
        <v>486</v>
      </c>
      <c r="E19" s="133" t="s">
        <v>364</v>
      </c>
      <c r="F19" s="135" t="s">
        <v>293</v>
      </c>
      <c r="G19" s="133" t="s">
        <v>364</v>
      </c>
      <c r="H19" s="135"/>
      <c r="I19" s="133"/>
      <c r="J19" s="133"/>
      <c r="K19" s="133"/>
      <c r="L19" s="133"/>
      <c r="M19" s="133"/>
      <c r="N19" s="133"/>
      <c r="O19" s="135"/>
      <c r="P19" s="133"/>
      <c r="Q19" s="135"/>
      <c r="R19" s="135"/>
      <c r="S19" s="133"/>
      <c r="T19" s="133"/>
      <c r="U19" s="135"/>
      <c r="V19" s="135"/>
      <c r="W19" s="133"/>
      <c r="X19" s="133"/>
      <c r="Y19" s="133"/>
    </row>
    <row r="20" spans="1:25" s="136" customFormat="1" ht="32" x14ac:dyDescent="0.2">
      <c r="A20" s="133" t="s">
        <v>487</v>
      </c>
      <c r="B20" s="134">
        <f t="shared" si="0"/>
        <v>14</v>
      </c>
      <c r="C20" s="133">
        <v>12</v>
      </c>
      <c r="D20" s="133" t="s">
        <v>369</v>
      </c>
      <c r="E20" s="133" t="s">
        <v>330</v>
      </c>
      <c r="F20" s="135" t="s">
        <v>293</v>
      </c>
      <c r="G20" s="133" t="s">
        <v>364</v>
      </c>
      <c r="H20" s="135" t="s">
        <v>293</v>
      </c>
      <c r="I20" s="133"/>
      <c r="J20" s="133"/>
      <c r="K20" s="133"/>
      <c r="L20" s="133"/>
      <c r="M20" s="133"/>
      <c r="N20" s="133"/>
      <c r="O20" s="135"/>
      <c r="P20" s="133"/>
      <c r="Q20" s="135"/>
      <c r="R20" s="135"/>
      <c r="S20" s="133"/>
      <c r="T20" s="133"/>
      <c r="U20" s="135"/>
      <c r="V20" s="135"/>
      <c r="W20" s="133"/>
      <c r="X20" s="133"/>
      <c r="Y20" s="133"/>
    </row>
    <row r="21" spans="1:25" s="136" customFormat="1" ht="32" x14ac:dyDescent="0.2">
      <c r="A21" s="133" t="s">
        <v>488</v>
      </c>
      <c r="B21" s="134">
        <f t="shared" si="0"/>
        <v>15</v>
      </c>
      <c r="C21" s="133" t="s">
        <v>371</v>
      </c>
      <c r="D21" s="133" t="s">
        <v>489</v>
      </c>
      <c r="E21" s="133" t="s">
        <v>364</v>
      </c>
      <c r="F21" s="135" t="s">
        <v>293</v>
      </c>
      <c r="G21" s="133" t="s">
        <v>364</v>
      </c>
      <c r="H21" s="135"/>
      <c r="I21" s="133"/>
      <c r="J21" s="133"/>
      <c r="K21" s="133"/>
      <c r="L21" s="133"/>
      <c r="M21" s="133"/>
      <c r="N21" s="133"/>
      <c r="O21" s="135"/>
      <c r="P21" s="133"/>
      <c r="Q21" s="135"/>
      <c r="R21" s="135"/>
      <c r="S21" s="133"/>
      <c r="T21" s="133"/>
      <c r="U21" s="135"/>
      <c r="V21" s="135"/>
      <c r="W21" s="133"/>
      <c r="X21" s="133"/>
      <c r="Y21" s="133"/>
    </row>
    <row r="22" spans="1:25" s="136" customFormat="1" ht="33" customHeight="1" x14ac:dyDescent="0.2">
      <c r="A22" s="133" t="s">
        <v>490</v>
      </c>
      <c r="B22" s="134">
        <f t="shared" si="0"/>
        <v>16</v>
      </c>
      <c r="C22" s="133" t="s">
        <v>374</v>
      </c>
      <c r="D22" s="133" t="s">
        <v>491</v>
      </c>
      <c r="E22" s="133" t="s">
        <v>364</v>
      </c>
      <c r="F22" s="135" t="s">
        <v>293</v>
      </c>
      <c r="G22" s="133" t="s">
        <v>364</v>
      </c>
      <c r="H22" s="135"/>
      <c r="I22" s="133"/>
      <c r="J22" s="133"/>
      <c r="K22" s="133"/>
      <c r="L22" s="133"/>
      <c r="M22" s="133"/>
      <c r="N22" s="133"/>
      <c r="O22" s="135"/>
      <c r="P22" s="133"/>
      <c r="Q22" s="135"/>
      <c r="R22" s="135"/>
      <c r="S22" s="133"/>
      <c r="T22" s="133"/>
      <c r="U22" s="135"/>
      <c r="V22" s="135"/>
      <c r="W22" s="133"/>
      <c r="X22" s="133"/>
      <c r="Y22" s="133"/>
    </row>
    <row r="23" spans="1:25" s="136" customFormat="1" ht="32" x14ac:dyDescent="0.2">
      <c r="A23" s="133" t="s">
        <v>492</v>
      </c>
      <c r="B23" s="134">
        <f t="shared" si="0"/>
        <v>17</v>
      </c>
      <c r="C23" s="133">
        <v>14</v>
      </c>
      <c r="D23" s="133" t="s">
        <v>493</v>
      </c>
      <c r="E23" s="133" t="s">
        <v>330</v>
      </c>
      <c r="F23" s="135" t="s">
        <v>293</v>
      </c>
      <c r="G23" s="133" t="s">
        <v>364</v>
      </c>
      <c r="H23" s="135"/>
      <c r="I23" s="133"/>
      <c r="J23" s="133"/>
      <c r="K23" s="133"/>
      <c r="L23" s="133"/>
      <c r="M23" s="133"/>
      <c r="N23" s="133"/>
      <c r="O23" s="135"/>
      <c r="P23" s="133"/>
      <c r="Q23" s="135"/>
      <c r="R23" s="135"/>
      <c r="S23" s="133"/>
      <c r="T23" s="133"/>
      <c r="U23" s="135"/>
      <c r="V23" s="135"/>
      <c r="W23" s="133"/>
      <c r="X23" s="133"/>
      <c r="Y23" s="133"/>
    </row>
    <row r="24" spans="1:25" s="136" customFormat="1" ht="32" x14ac:dyDescent="0.2">
      <c r="A24" s="133" t="s">
        <v>494</v>
      </c>
      <c r="B24" s="134">
        <f t="shared" si="0"/>
        <v>18</v>
      </c>
      <c r="C24" s="133">
        <v>15</v>
      </c>
      <c r="D24" s="133" t="s">
        <v>379</v>
      </c>
      <c r="E24" s="133" t="s">
        <v>330</v>
      </c>
      <c r="F24" s="135" t="s">
        <v>293</v>
      </c>
      <c r="G24" s="133" t="s">
        <v>380</v>
      </c>
      <c r="H24" s="135" t="s">
        <v>293</v>
      </c>
      <c r="I24" s="133" t="s">
        <v>471</v>
      </c>
      <c r="J24" s="133" t="s">
        <v>472</v>
      </c>
      <c r="K24" s="133" t="s">
        <v>473</v>
      </c>
      <c r="L24" s="133" t="s">
        <v>381</v>
      </c>
      <c r="M24" s="133" t="s">
        <v>382</v>
      </c>
      <c r="N24" s="133"/>
      <c r="O24" s="135" t="s">
        <v>383</v>
      </c>
      <c r="P24" s="133"/>
      <c r="Q24" s="135" t="s">
        <v>293</v>
      </c>
      <c r="R24" s="135" t="s">
        <v>301</v>
      </c>
      <c r="S24" s="133"/>
      <c r="T24" s="133"/>
      <c r="U24" s="135" t="s">
        <v>302</v>
      </c>
      <c r="V24" s="135" t="s">
        <v>303</v>
      </c>
      <c r="W24" s="133"/>
      <c r="X24" s="133"/>
      <c r="Y24" s="133"/>
    </row>
    <row r="25" spans="1:25" s="136" customFormat="1" ht="32" x14ac:dyDescent="0.2">
      <c r="A25" s="133" t="s">
        <v>495</v>
      </c>
      <c r="B25" s="134">
        <f t="shared" si="0"/>
        <v>19</v>
      </c>
      <c r="C25" s="133">
        <v>16</v>
      </c>
      <c r="D25" s="133" t="s">
        <v>385</v>
      </c>
      <c r="E25" s="133" t="s">
        <v>330</v>
      </c>
      <c r="F25" s="135" t="s">
        <v>293</v>
      </c>
      <c r="G25" s="133" t="s">
        <v>386</v>
      </c>
      <c r="H25" s="135" t="s">
        <v>293</v>
      </c>
      <c r="I25" s="133" t="s">
        <v>471</v>
      </c>
      <c r="J25" s="133" t="s">
        <v>472</v>
      </c>
      <c r="K25" s="133" t="s">
        <v>473</v>
      </c>
      <c r="L25" s="133" t="s">
        <v>388</v>
      </c>
      <c r="M25" s="133" t="s">
        <v>388</v>
      </c>
      <c r="N25" s="133" t="s">
        <v>389</v>
      </c>
      <c r="O25" s="135" t="s">
        <v>345</v>
      </c>
      <c r="P25" s="133" t="s">
        <v>390</v>
      </c>
      <c r="Q25" s="135" t="s">
        <v>293</v>
      </c>
      <c r="R25" s="135" t="s">
        <v>391</v>
      </c>
      <c r="S25" s="133"/>
      <c r="T25" s="133"/>
      <c r="U25" s="135" t="s">
        <v>302</v>
      </c>
      <c r="V25" s="135" t="s">
        <v>318</v>
      </c>
      <c r="W25" s="133"/>
      <c r="X25" s="133"/>
      <c r="Y25" s="133"/>
    </row>
    <row r="26" spans="1:25" s="136" customFormat="1" ht="16" x14ac:dyDescent="0.2">
      <c r="A26" s="133" t="s">
        <v>496</v>
      </c>
      <c r="B26" s="134">
        <f t="shared" si="0"/>
        <v>20</v>
      </c>
      <c r="C26" s="133">
        <v>17</v>
      </c>
      <c r="D26" s="133" t="s">
        <v>393</v>
      </c>
      <c r="E26" s="133" t="s">
        <v>394</v>
      </c>
      <c r="F26" s="135" t="s">
        <v>293</v>
      </c>
      <c r="G26" s="133" t="s">
        <v>395</v>
      </c>
      <c r="H26" s="135" t="s">
        <v>293</v>
      </c>
      <c r="I26" s="133" t="s">
        <v>475</v>
      </c>
      <c r="J26" s="133" t="s">
        <v>476</v>
      </c>
      <c r="K26" s="133" t="s">
        <v>477</v>
      </c>
      <c r="L26" s="133"/>
      <c r="M26" s="133" t="s">
        <v>396</v>
      </c>
      <c r="N26" s="133"/>
      <c r="O26" s="135" t="s">
        <v>397</v>
      </c>
      <c r="P26" s="133"/>
      <c r="Q26" s="135" t="s">
        <v>293</v>
      </c>
      <c r="R26" s="135" t="s">
        <v>391</v>
      </c>
      <c r="S26" s="133"/>
      <c r="T26" s="133"/>
      <c r="U26" s="135" t="s">
        <v>302</v>
      </c>
      <c r="V26" s="135" t="s">
        <v>303</v>
      </c>
      <c r="W26" s="133"/>
      <c r="X26" s="133"/>
      <c r="Y26" s="133"/>
    </row>
    <row r="27" spans="1:25" s="136" customFormat="1" ht="16" x14ac:dyDescent="0.2">
      <c r="A27" s="133" t="s">
        <v>497</v>
      </c>
      <c r="B27" s="134">
        <f t="shared" si="0"/>
        <v>21</v>
      </c>
      <c r="C27" s="133">
        <v>18</v>
      </c>
      <c r="D27" s="133" t="s">
        <v>399</v>
      </c>
      <c r="E27" s="133" t="s">
        <v>394</v>
      </c>
      <c r="F27" s="135" t="s">
        <v>293</v>
      </c>
      <c r="G27" s="133" t="s">
        <v>294</v>
      </c>
      <c r="H27" s="135" t="s">
        <v>293</v>
      </c>
      <c r="I27" s="133" t="s">
        <v>475</v>
      </c>
      <c r="J27" s="133" t="s">
        <v>476</v>
      </c>
      <c r="K27" s="133" t="s">
        <v>477</v>
      </c>
      <c r="L27" s="133" t="s">
        <v>455</v>
      </c>
      <c r="M27" s="133" t="s">
        <v>456</v>
      </c>
      <c r="N27" s="133" t="s">
        <v>457</v>
      </c>
      <c r="O27" s="135" t="s">
        <v>345</v>
      </c>
      <c r="P27" s="133">
        <v>2181</v>
      </c>
      <c r="Q27" s="135" t="s">
        <v>293</v>
      </c>
      <c r="R27" s="135" t="s">
        <v>400</v>
      </c>
      <c r="S27" s="133"/>
      <c r="T27" s="133"/>
      <c r="U27" s="135" t="s">
        <v>302</v>
      </c>
      <c r="V27" s="135" t="s">
        <v>318</v>
      </c>
      <c r="W27" s="133"/>
      <c r="X27" s="133"/>
      <c r="Y27" s="133"/>
    </row>
    <row r="28" spans="1:25" s="136" customFormat="1" ht="16" x14ac:dyDescent="0.2">
      <c r="A28" s="133" t="s">
        <v>498</v>
      </c>
      <c r="B28" s="134">
        <f t="shared" si="0"/>
        <v>22</v>
      </c>
      <c r="C28" s="133">
        <v>19</v>
      </c>
      <c r="D28" s="133" t="s">
        <v>402</v>
      </c>
      <c r="E28" s="133" t="s">
        <v>394</v>
      </c>
      <c r="F28" s="135" t="s">
        <v>293</v>
      </c>
      <c r="G28" s="133" t="s">
        <v>348</v>
      </c>
      <c r="H28" s="135" t="s">
        <v>293</v>
      </c>
      <c r="I28" s="133" t="s">
        <v>475</v>
      </c>
      <c r="J28" s="133" t="s">
        <v>476</v>
      </c>
      <c r="K28" s="133" t="s">
        <v>477</v>
      </c>
      <c r="L28" s="133" t="s">
        <v>349</v>
      </c>
      <c r="M28" s="133" t="s">
        <v>350</v>
      </c>
      <c r="N28" s="133" t="s">
        <v>351</v>
      </c>
      <c r="O28" s="135" t="s">
        <v>352</v>
      </c>
      <c r="P28" s="133"/>
      <c r="Q28" s="135" t="s">
        <v>293</v>
      </c>
      <c r="R28" s="135" t="s">
        <v>301</v>
      </c>
      <c r="S28" s="133"/>
      <c r="T28" s="133"/>
      <c r="U28" s="135" t="s">
        <v>302</v>
      </c>
      <c r="V28" s="135" t="s">
        <v>318</v>
      </c>
      <c r="W28" s="133"/>
      <c r="X28" s="133"/>
      <c r="Y28" s="133"/>
    </row>
    <row r="29" spans="1:25" s="136" customFormat="1" ht="32" x14ac:dyDescent="0.2">
      <c r="A29" s="133" t="s">
        <v>499</v>
      </c>
      <c r="B29" s="134">
        <f t="shared" si="0"/>
        <v>23</v>
      </c>
      <c r="C29" s="133">
        <v>20</v>
      </c>
      <c r="D29" s="133" t="s">
        <v>404</v>
      </c>
      <c r="E29" s="133" t="s">
        <v>337</v>
      </c>
      <c r="F29" s="135" t="s">
        <v>293</v>
      </c>
      <c r="G29" s="133" t="s">
        <v>294</v>
      </c>
      <c r="H29" s="135" t="s">
        <v>293</v>
      </c>
      <c r="I29" s="133" t="s">
        <v>500</v>
      </c>
      <c r="J29" s="133" t="s">
        <v>501</v>
      </c>
      <c r="K29" s="133" t="s">
        <v>502</v>
      </c>
      <c r="L29" s="133" t="s">
        <v>455</v>
      </c>
      <c r="M29" s="133" t="s">
        <v>456</v>
      </c>
      <c r="N29" s="133" t="s">
        <v>457</v>
      </c>
      <c r="O29" s="135" t="s">
        <v>345</v>
      </c>
      <c r="P29" s="133">
        <v>9092</v>
      </c>
      <c r="Q29" s="135" t="s">
        <v>293</v>
      </c>
      <c r="R29" s="135" t="s">
        <v>400</v>
      </c>
      <c r="S29" s="133"/>
      <c r="T29" s="133"/>
      <c r="U29" s="135" t="s">
        <v>302</v>
      </c>
      <c r="V29" s="135" t="s">
        <v>318</v>
      </c>
      <c r="W29" s="133"/>
      <c r="X29" s="133"/>
      <c r="Y29" s="133"/>
    </row>
    <row r="30" spans="1:25" s="136" customFormat="1" ht="16" x14ac:dyDescent="0.2">
      <c r="A30" s="133" t="s">
        <v>503</v>
      </c>
      <c r="B30" s="134"/>
      <c r="C30" s="133">
        <v>21</v>
      </c>
      <c r="D30" s="133" t="s">
        <v>409</v>
      </c>
      <c r="E30" s="133" t="s">
        <v>294</v>
      </c>
      <c r="F30" s="135" t="s">
        <v>293</v>
      </c>
      <c r="G30" s="133" t="s">
        <v>348</v>
      </c>
      <c r="H30" s="135" t="s">
        <v>293</v>
      </c>
      <c r="I30" s="133" t="s">
        <v>455</v>
      </c>
      <c r="J30" s="133" t="s">
        <v>456</v>
      </c>
      <c r="K30" s="133" t="s">
        <v>457</v>
      </c>
      <c r="L30" s="133" t="s">
        <v>349</v>
      </c>
      <c r="M30" s="133" t="s">
        <v>350</v>
      </c>
      <c r="N30" s="133" t="s">
        <v>351</v>
      </c>
      <c r="O30" s="135" t="s">
        <v>352</v>
      </c>
      <c r="P30" s="133"/>
      <c r="Q30" s="135" t="s">
        <v>293</v>
      </c>
      <c r="R30" s="135" t="s">
        <v>301</v>
      </c>
      <c r="S30" s="133"/>
      <c r="T30" s="133"/>
      <c r="U30" s="135"/>
      <c r="V30" s="135" t="s">
        <v>318</v>
      </c>
      <c r="W30" s="133"/>
      <c r="X30" s="133"/>
      <c r="Y30" s="133"/>
    </row>
    <row r="31" spans="1:25" s="136" customFormat="1" ht="48" x14ac:dyDescent="0.2">
      <c r="A31" s="133" t="s">
        <v>504</v>
      </c>
      <c r="B31" s="134">
        <f t="shared" si="0"/>
        <v>25</v>
      </c>
      <c r="C31" s="133">
        <v>22</v>
      </c>
      <c r="D31" s="133" t="s">
        <v>411</v>
      </c>
      <c r="E31" s="133" t="s">
        <v>394</v>
      </c>
      <c r="F31" s="135" t="s">
        <v>293</v>
      </c>
      <c r="G31" s="133" t="s">
        <v>395</v>
      </c>
      <c r="H31" s="135" t="s">
        <v>293</v>
      </c>
      <c r="I31" s="133"/>
      <c r="J31" s="133"/>
      <c r="K31" s="133"/>
      <c r="L31" s="133"/>
      <c r="M31" s="133"/>
      <c r="N31" s="133"/>
      <c r="O31" s="135"/>
      <c r="P31" s="133"/>
      <c r="Q31" s="135"/>
      <c r="R31" s="135"/>
      <c r="S31" s="133"/>
      <c r="T31" s="133"/>
      <c r="U31" s="135" t="s">
        <v>302</v>
      </c>
      <c r="V31" s="135"/>
      <c r="W31" s="133"/>
      <c r="X31" s="133"/>
      <c r="Y31" s="133"/>
    </row>
    <row r="32" spans="1:25" s="136" customFormat="1" ht="64" x14ac:dyDescent="0.2">
      <c r="A32" s="133" t="s">
        <v>505</v>
      </c>
      <c r="B32" s="134">
        <f t="shared" si="0"/>
        <v>26</v>
      </c>
      <c r="C32" s="133" t="s">
        <v>414</v>
      </c>
      <c r="D32" s="133" t="s">
        <v>415</v>
      </c>
      <c r="E32" s="133" t="s">
        <v>348</v>
      </c>
      <c r="F32" s="135" t="s">
        <v>293</v>
      </c>
      <c r="G32" s="133" t="s">
        <v>416</v>
      </c>
      <c r="H32" s="135" t="s">
        <v>293</v>
      </c>
      <c r="I32" s="133" t="s">
        <v>417</v>
      </c>
      <c r="J32" s="133" t="s">
        <v>418</v>
      </c>
      <c r="K32" s="133" t="s">
        <v>419</v>
      </c>
      <c r="L32" s="133" t="s">
        <v>506</v>
      </c>
      <c r="M32" s="133" t="s">
        <v>507</v>
      </c>
      <c r="N32" s="133" t="s">
        <v>508</v>
      </c>
      <c r="O32" s="135" t="s">
        <v>326</v>
      </c>
      <c r="P32" s="133"/>
      <c r="Q32" s="135" t="s">
        <v>293</v>
      </c>
      <c r="R32" s="135" t="s">
        <v>310</v>
      </c>
      <c r="S32" s="133"/>
      <c r="T32" s="133"/>
      <c r="U32" s="135"/>
      <c r="V32" s="135" t="s">
        <v>318</v>
      </c>
      <c r="W32" s="133" t="s">
        <v>420</v>
      </c>
      <c r="X32" s="133"/>
      <c r="Y32" s="133"/>
    </row>
    <row r="33" spans="1:25" s="136" customFormat="1" ht="48" x14ac:dyDescent="0.2">
      <c r="A33" s="133" t="s">
        <v>509</v>
      </c>
      <c r="B33" s="134">
        <f t="shared" si="0"/>
        <v>27</v>
      </c>
      <c r="C33" s="133" t="s">
        <v>422</v>
      </c>
      <c r="D33" s="133" t="s">
        <v>423</v>
      </c>
      <c r="E33" s="133" t="s">
        <v>416</v>
      </c>
      <c r="F33" s="135" t="s">
        <v>293</v>
      </c>
      <c r="G33" s="133" t="s">
        <v>348</v>
      </c>
      <c r="H33" s="135" t="s">
        <v>293</v>
      </c>
      <c r="I33" s="133" t="s">
        <v>467</v>
      </c>
      <c r="J33" s="133" t="s">
        <v>468</v>
      </c>
      <c r="K33" s="133" t="s">
        <v>469</v>
      </c>
      <c r="L33" s="133" t="s">
        <v>417</v>
      </c>
      <c r="M33" s="133" t="s">
        <v>418</v>
      </c>
      <c r="N33" s="133" t="s">
        <v>419</v>
      </c>
      <c r="O33" s="135" t="s">
        <v>326</v>
      </c>
      <c r="P33" s="133"/>
      <c r="Q33" s="135" t="s">
        <v>293</v>
      </c>
      <c r="R33" s="135" t="s">
        <v>310</v>
      </c>
      <c r="S33" s="133"/>
      <c r="T33" s="133"/>
      <c r="U33" s="135"/>
      <c r="V33" s="135" t="s">
        <v>318</v>
      </c>
      <c r="W33" s="133" t="s">
        <v>424</v>
      </c>
      <c r="X33" s="133"/>
      <c r="Y33" s="133"/>
    </row>
    <row r="34" spans="1:25" s="136" customFormat="1" ht="64" x14ac:dyDescent="0.2">
      <c r="A34" s="133" t="s">
        <v>510</v>
      </c>
      <c r="B34" s="134">
        <f t="shared" si="0"/>
        <v>28</v>
      </c>
      <c r="C34" s="133">
        <v>24</v>
      </c>
      <c r="D34" s="133" t="s">
        <v>426</v>
      </c>
      <c r="E34" s="133" t="s">
        <v>427</v>
      </c>
      <c r="F34" s="135" t="s">
        <v>293</v>
      </c>
      <c r="G34" s="133" t="s">
        <v>428</v>
      </c>
      <c r="H34" s="135" t="s">
        <v>293</v>
      </c>
      <c r="I34" s="133" t="s">
        <v>506</v>
      </c>
      <c r="J34" s="133" t="s">
        <v>507</v>
      </c>
      <c r="K34" s="133" t="s">
        <v>508</v>
      </c>
      <c r="L34" s="133" t="s">
        <v>432</v>
      </c>
      <c r="M34" s="133" t="s">
        <v>433</v>
      </c>
      <c r="N34" s="133" t="s">
        <v>434</v>
      </c>
      <c r="O34" s="135" t="s">
        <v>435</v>
      </c>
      <c r="P34" s="133"/>
      <c r="Q34" s="135" t="s">
        <v>293</v>
      </c>
      <c r="R34" s="135" t="s">
        <v>310</v>
      </c>
      <c r="S34" s="133"/>
      <c r="T34" s="133"/>
      <c r="U34" s="135" t="s">
        <v>302</v>
      </c>
      <c r="V34" s="135" t="s">
        <v>318</v>
      </c>
      <c r="W34" s="133"/>
      <c r="X34" s="133"/>
      <c r="Y34" s="133"/>
    </row>
    <row r="35" spans="1:25" s="136" customFormat="1" ht="64" x14ac:dyDescent="0.2">
      <c r="A35" s="133" t="s">
        <v>511</v>
      </c>
      <c r="B35" s="134">
        <f xml:space="preserve"> ROW(B35) - 6</f>
        <v>29</v>
      </c>
      <c r="C35" s="133">
        <v>25</v>
      </c>
      <c r="D35" s="133" t="s">
        <v>437</v>
      </c>
      <c r="E35" s="133" t="s">
        <v>438</v>
      </c>
      <c r="F35" s="135" t="s">
        <v>293</v>
      </c>
      <c r="G35" s="133" t="s">
        <v>439</v>
      </c>
      <c r="H35" s="135" t="s">
        <v>293</v>
      </c>
      <c r="I35" s="133" t="s">
        <v>506</v>
      </c>
      <c r="J35" s="133" t="s">
        <v>507</v>
      </c>
      <c r="K35" s="133" t="s">
        <v>508</v>
      </c>
      <c r="L35" s="133" t="s">
        <v>440</v>
      </c>
      <c r="M35" s="133" t="s">
        <v>441</v>
      </c>
      <c r="N35" s="133" t="s">
        <v>442</v>
      </c>
      <c r="O35" s="135" t="s">
        <v>334</v>
      </c>
      <c r="P35" s="133" t="s">
        <v>443</v>
      </c>
      <c r="Q35" s="135" t="s">
        <v>293</v>
      </c>
      <c r="R35" s="135" t="s">
        <v>391</v>
      </c>
      <c r="S35" s="133"/>
      <c r="T35" s="133"/>
      <c r="U35" s="135" t="s">
        <v>302</v>
      </c>
      <c r="V35" s="135" t="s">
        <v>318</v>
      </c>
      <c r="W35" s="133"/>
      <c r="X35" s="133"/>
      <c r="Y35" s="133"/>
    </row>
    <row r="36" spans="1:25" s="136" customFormat="1" ht="32" x14ac:dyDescent="0.2">
      <c r="A36" s="133" t="s">
        <v>512</v>
      </c>
      <c r="B36" s="134">
        <f t="shared" ref="B36" si="1" xml:space="preserve"> ROW(B36) - 6</f>
        <v>30</v>
      </c>
      <c r="C36" s="133">
        <v>26</v>
      </c>
      <c r="D36" s="133" t="s">
        <v>513</v>
      </c>
      <c r="E36" s="133" t="s">
        <v>364</v>
      </c>
      <c r="F36" s="135" t="s">
        <v>293</v>
      </c>
      <c r="G36" s="133" t="s">
        <v>364</v>
      </c>
      <c r="H36" s="135"/>
      <c r="I36" s="133"/>
      <c r="J36" s="133"/>
      <c r="K36" s="133"/>
      <c r="L36" s="132"/>
      <c r="M36" s="133"/>
      <c r="N36" s="133"/>
      <c r="O36" s="135"/>
      <c r="P36" s="133"/>
      <c r="Q36" s="135"/>
      <c r="R36" s="135"/>
      <c r="S36" s="133"/>
      <c r="T36" s="133"/>
      <c r="U36" s="135"/>
      <c r="V36" s="135"/>
      <c r="W36" s="133"/>
      <c r="X36" s="133"/>
      <c r="Y36" s="133"/>
    </row>
    <row r="37" spans="1:25" s="136" customFormat="1" ht="32" x14ac:dyDescent="0.2">
      <c r="A37" s="133" t="s">
        <v>514</v>
      </c>
      <c r="B37" s="134">
        <f t="shared" si="0"/>
        <v>31</v>
      </c>
      <c r="C37" s="133">
        <v>27</v>
      </c>
      <c r="D37" s="133" t="s">
        <v>451</v>
      </c>
      <c r="E37" s="133" t="s">
        <v>306</v>
      </c>
      <c r="F37" s="135" t="s">
        <v>293</v>
      </c>
      <c r="G37" s="133" t="s">
        <v>452</v>
      </c>
      <c r="H37" s="135" t="s">
        <v>293</v>
      </c>
      <c r="I37" s="133" t="s">
        <v>459</v>
      </c>
      <c r="J37" s="133" t="s">
        <v>460</v>
      </c>
      <c r="K37" s="133" t="s">
        <v>461</v>
      </c>
      <c r="L37" s="133" t="s">
        <v>475</v>
      </c>
      <c r="M37" s="133" t="s">
        <v>476</v>
      </c>
      <c r="N37" s="133" t="s">
        <v>477</v>
      </c>
      <c r="O37" s="135" t="s">
        <v>334</v>
      </c>
      <c r="P37" s="133">
        <v>9443</v>
      </c>
      <c r="Q37" s="135" t="s">
        <v>293</v>
      </c>
      <c r="R37" s="135" t="s">
        <v>301</v>
      </c>
      <c r="S37" s="133"/>
      <c r="T37" s="133"/>
      <c r="U37" s="135" t="s">
        <v>302</v>
      </c>
      <c r="V37" s="135" t="s">
        <v>318</v>
      </c>
      <c r="W37" s="133"/>
      <c r="X37" s="133"/>
      <c r="Y37" s="133"/>
    </row>
    <row r="38" spans="1:25" ht="16" x14ac:dyDescent="0.2">
      <c r="A38" s="197"/>
      <c r="B38" s="198">
        <f t="shared" ref="B38:B68" si="2" xml:space="preserve"> ROW(B38) - 6</f>
        <v>32</v>
      </c>
      <c r="C38" s="197"/>
      <c r="D38" s="197"/>
      <c r="E38" s="197"/>
      <c r="F38" s="199" t="s">
        <v>293</v>
      </c>
      <c r="G38" s="197"/>
      <c r="H38" s="199" t="s">
        <v>293</v>
      </c>
      <c r="I38" s="197"/>
      <c r="J38" s="197"/>
      <c r="K38" s="197"/>
      <c r="L38" s="197"/>
      <c r="M38" s="197"/>
      <c r="N38" s="197"/>
      <c r="O38" s="199" t="s">
        <v>400</v>
      </c>
      <c r="P38" s="197"/>
      <c r="Q38" s="199" t="s">
        <v>400</v>
      </c>
      <c r="R38" s="199" t="s">
        <v>400</v>
      </c>
      <c r="S38" s="197"/>
      <c r="T38" s="197"/>
      <c r="U38" s="199" t="s">
        <v>302</v>
      </c>
      <c r="V38" s="199" t="s">
        <v>400</v>
      </c>
      <c r="W38" s="197"/>
      <c r="X38" s="197"/>
      <c r="Y38" s="197"/>
    </row>
    <row r="39" spans="1:25" ht="16" x14ac:dyDescent="0.2">
      <c r="A39" s="197"/>
      <c r="B39" s="198">
        <f t="shared" si="2"/>
        <v>33</v>
      </c>
      <c r="C39" s="197"/>
      <c r="D39" s="197"/>
      <c r="E39" s="197"/>
      <c r="F39" s="199" t="s">
        <v>293</v>
      </c>
      <c r="G39" s="197"/>
      <c r="H39" s="199" t="s">
        <v>293</v>
      </c>
      <c r="I39" s="197"/>
      <c r="J39" s="197"/>
      <c r="K39" s="197"/>
      <c r="L39" s="197"/>
      <c r="M39" s="197"/>
      <c r="N39" s="197"/>
      <c r="O39" s="199" t="s">
        <v>400</v>
      </c>
      <c r="P39" s="197"/>
      <c r="Q39" s="199" t="s">
        <v>400</v>
      </c>
      <c r="R39" s="199" t="s">
        <v>400</v>
      </c>
      <c r="S39" s="197"/>
      <c r="T39" s="197"/>
      <c r="U39" s="199" t="s">
        <v>302</v>
      </c>
      <c r="V39" s="199" t="s">
        <v>400</v>
      </c>
      <c r="W39" s="197"/>
      <c r="X39" s="197"/>
      <c r="Y39" s="197"/>
    </row>
    <row r="40" spans="1:25" ht="16" x14ac:dyDescent="0.2">
      <c r="A40" s="197"/>
      <c r="B40" s="198">
        <f t="shared" si="2"/>
        <v>34</v>
      </c>
      <c r="C40" s="197"/>
      <c r="D40" s="197"/>
      <c r="E40" s="197"/>
      <c r="F40" s="199" t="s">
        <v>293</v>
      </c>
      <c r="G40" s="197"/>
      <c r="H40" s="199" t="s">
        <v>293</v>
      </c>
      <c r="I40" s="197"/>
      <c r="J40" s="197"/>
      <c r="K40" s="197"/>
      <c r="L40" s="197"/>
      <c r="M40" s="197"/>
      <c r="N40" s="197"/>
      <c r="O40" s="199" t="s">
        <v>400</v>
      </c>
      <c r="P40" s="197"/>
      <c r="Q40" s="199" t="s">
        <v>400</v>
      </c>
      <c r="R40" s="199" t="s">
        <v>400</v>
      </c>
      <c r="S40" s="197"/>
      <c r="T40" s="197"/>
      <c r="U40" s="199" t="s">
        <v>302</v>
      </c>
      <c r="V40" s="199" t="s">
        <v>400</v>
      </c>
      <c r="W40" s="197"/>
      <c r="X40" s="197"/>
      <c r="Y40" s="197"/>
    </row>
    <row r="41" spans="1:25" ht="16" x14ac:dyDescent="0.2">
      <c r="A41" s="197"/>
      <c r="B41" s="198">
        <f xml:space="preserve"> ROW(B41) - 6</f>
        <v>35</v>
      </c>
      <c r="C41" s="197"/>
      <c r="D41" s="197"/>
      <c r="E41" s="197"/>
      <c r="F41" s="199" t="s">
        <v>293</v>
      </c>
      <c r="G41" s="197"/>
      <c r="H41" s="199" t="s">
        <v>293</v>
      </c>
      <c r="I41" s="197"/>
      <c r="J41" s="197"/>
      <c r="K41" s="197"/>
      <c r="L41" s="197"/>
      <c r="M41" s="197"/>
      <c r="N41" s="197"/>
      <c r="O41" s="199" t="s">
        <v>400</v>
      </c>
      <c r="P41" s="197"/>
      <c r="Q41" s="199" t="s">
        <v>400</v>
      </c>
      <c r="R41" s="199" t="s">
        <v>400</v>
      </c>
      <c r="S41" s="197"/>
      <c r="T41" s="197"/>
      <c r="U41" s="199" t="s">
        <v>302</v>
      </c>
      <c r="V41" s="199" t="s">
        <v>400</v>
      </c>
      <c r="W41" s="197"/>
      <c r="X41" s="197"/>
      <c r="Y41" s="197"/>
    </row>
    <row r="42" spans="1:25" ht="16" x14ac:dyDescent="0.2">
      <c r="A42" s="197"/>
      <c r="B42" s="198">
        <f t="shared" si="2"/>
        <v>36</v>
      </c>
      <c r="C42" s="197"/>
      <c r="D42" s="197"/>
      <c r="E42" s="197"/>
      <c r="F42" s="199" t="s">
        <v>293</v>
      </c>
      <c r="G42" s="197"/>
      <c r="H42" s="199" t="s">
        <v>293</v>
      </c>
      <c r="I42" s="197"/>
      <c r="J42" s="197"/>
      <c r="K42" s="197"/>
      <c r="L42" s="197"/>
      <c r="M42" s="197"/>
      <c r="N42" s="197"/>
      <c r="O42" s="199" t="s">
        <v>400</v>
      </c>
      <c r="P42" s="197"/>
      <c r="Q42" s="199" t="s">
        <v>400</v>
      </c>
      <c r="R42" s="199" t="s">
        <v>400</v>
      </c>
      <c r="S42" s="197"/>
      <c r="T42" s="197"/>
      <c r="U42" s="199" t="s">
        <v>302</v>
      </c>
      <c r="V42" s="199" t="s">
        <v>400</v>
      </c>
      <c r="W42" s="197"/>
      <c r="X42" s="197"/>
      <c r="Y42" s="197"/>
    </row>
    <row r="43" spans="1:25" ht="16" x14ac:dyDescent="0.2">
      <c r="A43" s="197"/>
      <c r="B43" s="198">
        <f t="shared" si="2"/>
        <v>37</v>
      </c>
      <c r="C43" s="197"/>
      <c r="D43" s="197"/>
      <c r="E43" s="197"/>
      <c r="F43" s="199" t="s">
        <v>293</v>
      </c>
      <c r="G43" s="197"/>
      <c r="H43" s="199" t="s">
        <v>293</v>
      </c>
      <c r="I43" s="197"/>
      <c r="J43" s="197"/>
      <c r="K43" s="197"/>
      <c r="L43" s="197"/>
      <c r="M43" s="197"/>
      <c r="N43" s="197"/>
      <c r="O43" s="199" t="s">
        <v>400</v>
      </c>
      <c r="P43" s="197"/>
      <c r="Q43" s="199" t="s">
        <v>400</v>
      </c>
      <c r="R43" s="199" t="s">
        <v>400</v>
      </c>
      <c r="S43" s="197"/>
      <c r="T43" s="197"/>
      <c r="U43" s="199" t="s">
        <v>302</v>
      </c>
      <c r="V43" s="199" t="s">
        <v>400</v>
      </c>
      <c r="W43" s="197"/>
      <c r="X43" s="197"/>
      <c r="Y43" s="197"/>
    </row>
    <row r="44" spans="1:25" ht="16" x14ac:dyDescent="0.2">
      <c r="A44" s="197"/>
      <c r="B44" s="198">
        <f t="shared" si="2"/>
        <v>38</v>
      </c>
      <c r="C44" s="197"/>
      <c r="D44" s="197"/>
      <c r="E44" s="197"/>
      <c r="F44" s="199" t="s">
        <v>293</v>
      </c>
      <c r="G44" s="197"/>
      <c r="H44" s="199" t="s">
        <v>293</v>
      </c>
      <c r="I44" s="197"/>
      <c r="J44" s="197"/>
      <c r="K44" s="197"/>
      <c r="L44" s="197"/>
      <c r="M44" s="197"/>
      <c r="N44" s="197"/>
      <c r="O44" s="199" t="s">
        <v>400</v>
      </c>
      <c r="P44" s="197"/>
      <c r="Q44" s="199" t="s">
        <v>400</v>
      </c>
      <c r="R44" s="199" t="s">
        <v>400</v>
      </c>
      <c r="S44" s="197"/>
      <c r="T44" s="197"/>
      <c r="U44" s="199" t="s">
        <v>302</v>
      </c>
      <c r="V44" s="199" t="s">
        <v>400</v>
      </c>
      <c r="W44" s="197"/>
      <c r="X44" s="197"/>
      <c r="Y44" s="197"/>
    </row>
    <row r="45" spans="1:25" ht="16" x14ac:dyDescent="0.2">
      <c r="A45" s="197"/>
      <c r="B45" s="198">
        <f t="shared" si="2"/>
        <v>39</v>
      </c>
      <c r="C45" s="197"/>
      <c r="D45" s="197"/>
      <c r="E45" s="197"/>
      <c r="F45" s="199" t="s">
        <v>293</v>
      </c>
      <c r="G45" s="197"/>
      <c r="H45" s="199" t="s">
        <v>293</v>
      </c>
      <c r="I45" s="197"/>
      <c r="J45" s="197"/>
      <c r="K45" s="197"/>
      <c r="L45" s="197"/>
      <c r="M45" s="197"/>
      <c r="N45" s="197"/>
      <c r="O45" s="199" t="s">
        <v>400</v>
      </c>
      <c r="P45" s="197"/>
      <c r="Q45" s="199" t="s">
        <v>400</v>
      </c>
      <c r="R45" s="199" t="s">
        <v>400</v>
      </c>
      <c r="S45" s="197"/>
      <c r="T45" s="197"/>
      <c r="U45" s="199" t="s">
        <v>302</v>
      </c>
      <c r="V45" s="199" t="s">
        <v>400</v>
      </c>
      <c r="W45" s="197"/>
      <c r="X45" s="197"/>
      <c r="Y45" s="197"/>
    </row>
    <row r="46" spans="1:25" ht="16" x14ac:dyDescent="0.2">
      <c r="A46" s="197"/>
      <c r="B46" s="198">
        <f t="shared" si="2"/>
        <v>40</v>
      </c>
      <c r="C46" s="197"/>
      <c r="D46" s="197"/>
      <c r="E46" s="197"/>
      <c r="F46" s="199" t="s">
        <v>293</v>
      </c>
      <c r="G46" s="197"/>
      <c r="H46" s="199" t="s">
        <v>293</v>
      </c>
      <c r="I46" s="197"/>
      <c r="J46" s="197"/>
      <c r="K46" s="197"/>
      <c r="L46" s="197"/>
      <c r="M46" s="197"/>
      <c r="N46" s="197"/>
      <c r="O46" s="199" t="s">
        <v>400</v>
      </c>
      <c r="P46" s="197"/>
      <c r="Q46" s="199" t="s">
        <v>400</v>
      </c>
      <c r="R46" s="199" t="s">
        <v>400</v>
      </c>
      <c r="S46" s="197"/>
      <c r="T46" s="197"/>
      <c r="U46" s="199" t="s">
        <v>302</v>
      </c>
      <c r="V46" s="199" t="s">
        <v>400</v>
      </c>
      <c r="W46" s="197"/>
      <c r="X46" s="197"/>
      <c r="Y46" s="197"/>
    </row>
    <row r="47" spans="1:25" ht="16" x14ac:dyDescent="0.2">
      <c r="A47" s="197"/>
      <c r="B47" s="198">
        <f t="shared" si="2"/>
        <v>41</v>
      </c>
      <c r="C47" s="197"/>
      <c r="D47" s="197"/>
      <c r="E47" s="197"/>
      <c r="F47" s="199" t="s">
        <v>293</v>
      </c>
      <c r="G47" s="197"/>
      <c r="H47" s="199" t="s">
        <v>293</v>
      </c>
      <c r="I47" s="197"/>
      <c r="J47" s="197"/>
      <c r="K47" s="197"/>
      <c r="L47" s="197"/>
      <c r="M47" s="197"/>
      <c r="N47" s="197"/>
      <c r="O47" s="199" t="s">
        <v>400</v>
      </c>
      <c r="P47" s="197"/>
      <c r="Q47" s="199" t="s">
        <v>400</v>
      </c>
      <c r="R47" s="199" t="s">
        <v>400</v>
      </c>
      <c r="S47" s="197"/>
      <c r="T47" s="197"/>
      <c r="U47" s="199" t="s">
        <v>302</v>
      </c>
      <c r="V47" s="199" t="s">
        <v>400</v>
      </c>
      <c r="W47" s="197"/>
      <c r="X47" s="197"/>
      <c r="Y47" s="197"/>
    </row>
    <row r="48" spans="1:25" ht="16" x14ac:dyDescent="0.2">
      <c r="A48" s="197"/>
      <c r="B48" s="198">
        <f t="shared" si="2"/>
        <v>42</v>
      </c>
      <c r="C48" s="197"/>
      <c r="D48" s="197"/>
      <c r="E48" s="197"/>
      <c r="F48" s="199" t="s">
        <v>293</v>
      </c>
      <c r="G48" s="197"/>
      <c r="H48" s="199" t="s">
        <v>293</v>
      </c>
      <c r="I48" s="197"/>
      <c r="J48" s="197"/>
      <c r="K48" s="197"/>
      <c r="L48" s="197"/>
      <c r="M48" s="197"/>
      <c r="N48" s="197"/>
      <c r="O48" s="199" t="s">
        <v>400</v>
      </c>
      <c r="P48" s="197"/>
      <c r="Q48" s="199" t="s">
        <v>400</v>
      </c>
      <c r="R48" s="199" t="s">
        <v>400</v>
      </c>
      <c r="S48" s="197"/>
      <c r="T48" s="197"/>
      <c r="U48" s="199" t="s">
        <v>302</v>
      </c>
      <c r="V48" s="199" t="s">
        <v>400</v>
      </c>
      <c r="W48" s="197"/>
      <c r="X48" s="197"/>
      <c r="Y48" s="197"/>
    </row>
    <row r="49" spans="1:25" ht="16" x14ac:dyDescent="0.2">
      <c r="A49" s="197"/>
      <c r="B49" s="198">
        <f t="shared" si="2"/>
        <v>43</v>
      </c>
      <c r="C49" s="197"/>
      <c r="D49" s="197"/>
      <c r="E49" s="197"/>
      <c r="F49" s="199" t="s">
        <v>293</v>
      </c>
      <c r="G49" s="197"/>
      <c r="H49" s="199" t="s">
        <v>293</v>
      </c>
      <c r="I49" s="197"/>
      <c r="J49" s="197"/>
      <c r="K49" s="197"/>
      <c r="L49" s="197"/>
      <c r="M49" s="197"/>
      <c r="N49" s="197"/>
      <c r="O49" s="199" t="s">
        <v>400</v>
      </c>
      <c r="P49" s="197"/>
      <c r="Q49" s="199" t="s">
        <v>400</v>
      </c>
      <c r="R49" s="199" t="s">
        <v>400</v>
      </c>
      <c r="S49" s="197"/>
      <c r="T49" s="197"/>
      <c r="U49" s="199" t="s">
        <v>302</v>
      </c>
      <c r="V49" s="199" t="s">
        <v>400</v>
      </c>
      <c r="W49" s="197"/>
      <c r="X49" s="197"/>
      <c r="Y49" s="197"/>
    </row>
    <row r="50" spans="1:25" ht="16" x14ac:dyDescent="0.2">
      <c r="A50" s="197"/>
      <c r="B50" s="198">
        <f t="shared" si="2"/>
        <v>44</v>
      </c>
      <c r="C50" s="197"/>
      <c r="D50" s="197"/>
      <c r="E50" s="197"/>
      <c r="F50" s="199" t="s">
        <v>293</v>
      </c>
      <c r="G50" s="197"/>
      <c r="H50" s="199" t="s">
        <v>293</v>
      </c>
      <c r="I50" s="197"/>
      <c r="J50" s="197"/>
      <c r="K50" s="197"/>
      <c r="L50" s="197"/>
      <c r="M50" s="197"/>
      <c r="N50" s="197"/>
      <c r="O50" s="199" t="s">
        <v>400</v>
      </c>
      <c r="P50" s="197"/>
      <c r="Q50" s="199" t="s">
        <v>400</v>
      </c>
      <c r="R50" s="199" t="s">
        <v>400</v>
      </c>
      <c r="S50" s="197"/>
      <c r="T50" s="197"/>
      <c r="U50" s="199" t="s">
        <v>302</v>
      </c>
      <c r="V50" s="199" t="s">
        <v>400</v>
      </c>
      <c r="W50" s="197"/>
      <c r="X50" s="197"/>
      <c r="Y50" s="197"/>
    </row>
    <row r="51" spans="1:25" ht="16" x14ac:dyDescent="0.2">
      <c r="A51" s="197"/>
      <c r="B51" s="198">
        <f t="shared" si="2"/>
        <v>45</v>
      </c>
      <c r="C51" s="197"/>
      <c r="D51" s="197"/>
      <c r="E51" s="197"/>
      <c r="F51" s="199" t="s">
        <v>293</v>
      </c>
      <c r="G51" s="197"/>
      <c r="H51" s="199" t="s">
        <v>293</v>
      </c>
      <c r="I51" s="197"/>
      <c r="J51" s="197"/>
      <c r="K51" s="197"/>
      <c r="L51" s="197"/>
      <c r="M51" s="197"/>
      <c r="N51" s="197"/>
      <c r="O51" s="199" t="s">
        <v>400</v>
      </c>
      <c r="P51" s="197"/>
      <c r="Q51" s="199" t="s">
        <v>400</v>
      </c>
      <c r="R51" s="199" t="s">
        <v>400</v>
      </c>
      <c r="S51" s="197"/>
      <c r="T51" s="197"/>
      <c r="U51" s="199" t="s">
        <v>302</v>
      </c>
      <c r="V51" s="199" t="s">
        <v>400</v>
      </c>
      <c r="W51" s="197"/>
      <c r="X51" s="197"/>
      <c r="Y51" s="197"/>
    </row>
    <row r="52" spans="1:25" ht="16" x14ac:dyDescent="0.2">
      <c r="A52" s="197"/>
      <c r="B52" s="198">
        <f t="shared" si="2"/>
        <v>46</v>
      </c>
      <c r="C52" s="197"/>
      <c r="D52" s="197"/>
      <c r="E52" s="197"/>
      <c r="F52" s="199" t="s">
        <v>293</v>
      </c>
      <c r="G52" s="197"/>
      <c r="H52" s="199" t="s">
        <v>293</v>
      </c>
      <c r="I52" s="197"/>
      <c r="J52" s="197"/>
      <c r="K52" s="197"/>
      <c r="L52" s="197"/>
      <c r="M52" s="197"/>
      <c r="N52" s="197"/>
      <c r="O52" s="199" t="s">
        <v>400</v>
      </c>
      <c r="P52" s="197"/>
      <c r="Q52" s="199" t="s">
        <v>400</v>
      </c>
      <c r="R52" s="199" t="s">
        <v>400</v>
      </c>
      <c r="S52" s="197"/>
      <c r="T52" s="197"/>
      <c r="U52" s="199" t="s">
        <v>302</v>
      </c>
      <c r="V52" s="199" t="s">
        <v>400</v>
      </c>
      <c r="W52" s="197"/>
      <c r="X52" s="197"/>
      <c r="Y52" s="197"/>
    </row>
    <row r="53" spans="1:25" ht="16" x14ac:dyDescent="0.2">
      <c r="A53" s="197"/>
      <c r="B53" s="198">
        <f t="shared" si="2"/>
        <v>47</v>
      </c>
      <c r="C53" s="197"/>
      <c r="D53" s="197"/>
      <c r="E53" s="197"/>
      <c r="F53" s="199" t="s">
        <v>293</v>
      </c>
      <c r="G53" s="197"/>
      <c r="H53" s="199" t="s">
        <v>293</v>
      </c>
      <c r="I53" s="197"/>
      <c r="J53" s="197"/>
      <c r="K53" s="197"/>
      <c r="L53" s="197"/>
      <c r="M53" s="197"/>
      <c r="N53" s="197"/>
      <c r="O53" s="199" t="s">
        <v>400</v>
      </c>
      <c r="P53" s="197"/>
      <c r="Q53" s="199" t="s">
        <v>400</v>
      </c>
      <c r="R53" s="199" t="s">
        <v>400</v>
      </c>
      <c r="S53" s="197"/>
      <c r="T53" s="197"/>
      <c r="U53" s="199" t="s">
        <v>302</v>
      </c>
      <c r="V53" s="199" t="s">
        <v>400</v>
      </c>
      <c r="W53" s="197"/>
      <c r="X53" s="197"/>
      <c r="Y53" s="197"/>
    </row>
    <row r="54" spans="1:25" ht="16" x14ac:dyDescent="0.2">
      <c r="A54" s="197"/>
      <c r="B54" s="198">
        <f t="shared" si="2"/>
        <v>48</v>
      </c>
      <c r="C54" s="197"/>
      <c r="D54" s="197"/>
      <c r="E54" s="197"/>
      <c r="F54" s="199" t="s">
        <v>293</v>
      </c>
      <c r="G54" s="197"/>
      <c r="H54" s="199" t="s">
        <v>293</v>
      </c>
      <c r="I54" s="197"/>
      <c r="J54" s="197"/>
      <c r="K54" s="197"/>
      <c r="L54" s="197"/>
      <c r="M54" s="197"/>
      <c r="N54" s="197"/>
      <c r="O54" s="199" t="s">
        <v>400</v>
      </c>
      <c r="P54" s="197"/>
      <c r="Q54" s="199" t="s">
        <v>400</v>
      </c>
      <c r="R54" s="199" t="s">
        <v>400</v>
      </c>
      <c r="S54" s="197"/>
      <c r="T54" s="197"/>
      <c r="U54" s="199" t="s">
        <v>302</v>
      </c>
      <c r="V54" s="199" t="s">
        <v>400</v>
      </c>
      <c r="W54" s="197"/>
      <c r="X54" s="197"/>
      <c r="Y54" s="197"/>
    </row>
    <row r="55" spans="1:25" ht="16" x14ac:dyDescent="0.2">
      <c r="A55" s="197"/>
      <c r="B55" s="198">
        <f t="shared" si="2"/>
        <v>49</v>
      </c>
      <c r="C55" s="197"/>
      <c r="D55" s="197"/>
      <c r="E55" s="197"/>
      <c r="F55" s="199" t="s">
        <v>293</v>
      </c>
      <c r="G55" s="197"/>
      <c r="H55" s="199" t="s">
        <v>293</v>
      </c>
      <c r="I55" s="197"/>
      <c r="J55" s="197"/>
      <c r="K55" s="197"/>
      <c r="L55" s="197"/>
      <c r="M55" s="197"/>
      <c r="N55" s="197"/>
      <c r="O55" s="199" t="s">
        <v>400</v>
      </c>
      <c r="P55" s="197"/>
      <c r="Q55" s="199" t="s">
        <v>400</v>
      </c>
      <c r="R55" s="199" t="s">
        <v>400</v>
      </c>
      <c r="S55" s="197"/>
      <c r="T55" s="197"/>
      <c r="U55" s="199" t="s">
        <v>302</v>
      </c>
      <c r="V55" s="199" t="s">
        <v>400</v>
      </c>
      <c r="W55" s="197"/>
      <c r="X55" s="197"/>
      <c r="Y55" s="197"/>
    </row>
    <row r="56" spans="1:25" ht="16" x14ac:dyDescent="0.2">
      <c r="A56" s="197"/>
      <c r="B56" s="198">
        <f t="shared" si="2"/>
        <v>50</v>
      </c>
      <c r="C56" s="197"/>
      <c r="D56" s="197"/>
      <c r="E56" s="197"/>
      <c r="F56" s="199" t="s">
        <v>293</v>
      </c>
      <c r="G56" s="197"/>
      <c r="H56" s="199" t="s">
        <v>293</v>
      </c>
      <c r="I56" s="197"/>
      <c r="J56" s="197"/>
      <c r="K56" s="197"/>
      <c r="L56" s="197"/>
      <c r="M56" s="197"/>
      <c r="N56" s="197"/>
      <c r="O56" s="199" t="s">
        <v>400</v>
      </c>
      <c r="P56" s="197"/>
      <c r="Q56" s="199" t="s">
        <v>400</v>
      </c>
      <c r="R56" s="199" t="s">
        <v>400</v>
      </c>
      <c r="S56" s="197"/>
      <c r="T56" s="197"/>
      <c r="U56" s="199" t="s">
        <v>302</v>
      </c>
      <c r="V56" s="199" t="s">
        <v>400</v>
      </c>
      <c r="W56" s="197"/>
      <c r="X56" s="197"/>
      <c r="Y56" s="197"/>
    </row>
    <row r="57" spans="1:25" ht="16" x14ac:dyDescent="0.2">
      <c r="A57" s="197"/>
      <c r="B57" s="198">
        <f t="shared" si="2"/>
        <v>51</v>
      </c>
      <c r="C57" s="197"/>
      <c r="D57" s="197"/>
      <c r="E57" s="197"/>
      <c r="F57" s="199" t="s">
        <v>293</v>
      </c>
      <c r="G57" s="197"/>
      <c r="H57" s="199" t="s">
        <v>293</v>
      </c>
      <c r="I57" s="197"/>
      <c r="J57" s="197"/>
      <c r="K57" s="197"/>
      <c r="L57" s="197"/>
      <c r="M57" s="197"/>
      <c r="N57" s="197"/>
      <c r="O57" s="199" t="s">
        <v>400</v>
      </c>
      <c r="P57" s="197"/>
      <c r="Q57" s="199" t="s">
        <v>400</v>
      </c>
      <c r="R57" s="199" t="s">
        <v>400</v>
      </c>
      <c r="S57" s="197"/>
      <c r="T57" s="197"/>
      <c r="U57" s="199" t="s">
        <v>302</v>
      </c>
      <c r="V57" s="199" t="s">
        <v>400</v>
      </c>
      <c r="W57" s="197"/>
      <c r="X57" s="197"/>
      <c r="Y57" s="197"/>
    </row>
    <row r="58" spans="1:25" ht="16" x14ac:dyDescent="0.2">
      <c r="A58" s="197"/>
      <c r="B58" s="198">
        <f t="shared" si="2"/>
        <v>52</v>
      </c>
      <c r="C58" s="197"/>
      <c r="D58" s="197"/>
      <c r="E58" s="197"/>
      <c r="F58" s="199" t="s">
        <v>293</v>
      </c>
      <c r="G58" s="197"/>
      <c r="H58" s="199" t="s">
        <v>293</v>
      </c>
      <c r="I58" s="197"/>
      <c r="J58" s="197"/>
      <c r="K58" s="197"/>
      <c r="L58" s="197"/>
      <c r="M58" s="197"/>
      <c r="N58" s="197"/>
      <c r="O58" s="199" t="s">
        <v>400</v>
      </c>
      <c r="P58" s="197"/>
      <c r="Q58" s="199" t="s">
        <v>400</v>
      </c>
      <c r="R58" s="199" t="s">
        <v>400</v>
      </c>
      <c r="S58" s="197"/>
      <c r="T58" s="197"/>
      <c r="U58" s="199" t="s">
        <v>302</v>
      </c>
      <c r="V58" s="199" t="s">
        <v>400</v>
      </c>
      <c r="W58" s="197"/>
      <c r="X58" s="197"/>
      <c r="Y58" s="197"/>
    </row>
    <row r="59" spans="1:25" ht="16" x14ac:dyDescent="0.2">
      <c r="A59" s="197"/>
      <c r="B59" s="198">
        <f t="shared" si="2"/>
        <v>53</v>
      </c>
      <c r="C59" s="197"/>
      <c r="D59" s="197"/>
      <c r="E59" s="197"/>
      <c r="F59" s="199" t="s">
        <v>293</v>
      </c>
      <c r="G59" s="197"/>
      <c r="H59" s="199" t="s">
        <v>293</v>
      </c>
      <c r="I59" s="197"/>
      <c r="J59" s="197"/>
      <c r="K59" s="197"/>
      <c r="L59" s="197"/>
      <c r="M59" s="197"/>
      <c r="N59" s="197"/>
      <c r="O59" s="199" t="s">
        <v>400</v>
      </c>
      <c r="P59" s="197"/>
      <c r="Q59" s="199" t="s">
        <v>400</v>
      </c>
      <c r="R59" s="199" t="s">
        <v>400</v>
      </c>
      <c r="S59" s="197"/>
      <c r="T59" s="197"/>
      <c r="U59" s="199" t="s">
        <v>302</v>
      </c>
      <c r="V59" s="199" t="s">
        <v>400</v>
      </c>
      <c r="W59" s="197"/>
      <c r="X59" s="197"/>
      <c r="Y59" s="197"/>
    </row>
    <row r="60" spans="1:25" ht="16" x14ac:dyDescent="0.2">
      <c r="A60" s="197"/>
      <c r="B60" s="198">
        <f t="shared" si="2"/>
        <v>54</v>
      </c>
      <c r="C60" s="197"/>
      <c r="D60" s="197"/>
      <c r="E60" s="197"/>
      <c r="F60" s="199" t="s">
        <v>293</v>
      </c>
      <c r="G60" s="197"/>
      <c r="H60" s="199" t="s">
        <v>293</v>
      </c>
      <c r="I60" s="197"/>
      <c r="J60" s="197"/>
      <c r="K60" s="197"/>
      <c r="L60" s="197"/>
      <c r="M60" s="197"/>
      <c r="N60" s="197"/>
      <c r="O60" s="199" t="s">
        <v>400</v>
      </c>
      <c r="P60" s="197"/>
      <c r="Q60" s="199" t="s">
        <v>400</v>
      </c>
      <c r="R60" s="199" t="s">
        <v>400</v>
      </c>
      <c r="S60" s="197"/>
      <c r="T60" s="197"/>
      <c r="U60" s="199" t="s">
        <v>302</v>
      </c>
      <c r="V60" s="199" t="s">
        <v>400</v>
      </c>
      <c r="W60" s="197"/>
      <c r="X60" s="197"/>
      <c r="Y60" s="197"/>
    </row>
    <row r="61" spans="1:25" ht="16" x14ac:dyDescent="0.2">
      <c r="A61" s="197"/>
      <c r="B61" s="198">
        <f t="shared" si="2"/>
        <v>55</v>
      </c>
      <c r="C61" s="197"/>
      <c r="D61" s="197"/>
      <c r="E61" s="197"/>
      <c r="F61" s="199" t="s">
        <v>293</v>
      </c>
      <c r="G61" s="197"/>
      <c r="H61" s="199" t="s">
        <v>293</v>
      </c>
      <c r="I61" s="197"/>
      <c r="J61" s="197"/>
      <c r="K61" s="197"/>
      <c r="L61" s="197"/>
      <c r="M61" s="197"/>
      <c r="N61" s="197"/>
      <c r="O61" s="199" t="s">
        <v>400</v>
      </c>
      <c r="P61" s="197"/>
      <c r="Q61" s="199" t="s">
        <v>400</v>
      </c>
      <c r="R61" s="199" t="s">
        <v>400</v>
      </c>
      <c r="S61" s="197"/>
      <c r="T61" s="197"/>
      <c r="U61" s="199" t="s">
        <v>302</v>
      </c>
      <c r="V61" s="199" t="s">
        <v>400</v>
      </c>
      <c r="W61" s="197"/>
      <c r="X61" s="197"/>
      <c r="Y61" s="197"/>
    </row>
    <row r="62" spans="1:25" ht="16" x14ac:dyDescent="0.2">
      <c r="A62" s="197"/>
      <c r="B62" s="198">
        <f t="shared" si="2"/>
        <v>56</v>
      </c>
      <c r="C62" s="197"/>
      <c r="D62" s="197"/>
      <c r="E62" s="197"/>
      <c r="F62" s="199" t="s">
        <v>293</v>
      </c>
      <c r="G62" s="197"/>
      <c r="H62" s="199" t="s">
        <v>293</v>
      </c>
      <c r="I62" s="197"/>
      <c r="J62" s="197"/>
      <c r="K62" s="197"/>
      <c r="L62" s="197"/>
      <c r="M62" s="197"/>
      <c r="N62" s="197"/>
      <c r="O62" s="199" t="s">
        <v>400</v>
      </c>
      <c r="P62" s="197"/>
      <c r="Q62" s="199" t="s">
        <v>400</v>
      </c>
      <c r="R62" s="199" t="s">
        <v>400</v>
      </c>
      <c r="S62" s="197"/>
      <c r="T62" s="197"/>
      <c r="U62" s="199" t="s">
        <v>302</v>
      </c>
      <c r="V62" s="199" t="s">
        <v>400</v>
      </c>
      <c r="W62" s="197"/>
      <c r="X62" s="197"/>
      <c r="Y62" s="197"/>
    </row>
    <row r="63" spans="1:25" ht="16" x14ac:dyDescent="0.2">
      <c r="A63" s="197"/>
      <c r="B63" s="198">
        <f t="shared" si="2"/>
        <v>57</v>
      </c>
      <c r="C63" s="197"/>
      <c r="D63" s="197"/>
      <c r="E63" s="197"/>
      <c r="F63" s="199" t="s">
        <v>293</v>
      </c>
      <c r="G63" s="197"/>
      <c r="H63" s="199" t="s">
        <v>293</v>
      </c>
      <c r="I63" s="197"/>
      <c r="J63" s="197"/>
      <c r="K63" s="197"/>
      <c r="L63" s="197"/>
      <c r="M63" s="197"/>
      <c r="N63" s="197"/>
      <c r="O63" s="199" t="s">
        <v>400</v>
      </c>
      <c r="P63" s="197"/>
      <c r="Q63" s="199" t="s">
        <v>400</v>
      </c>
      <c r="R63" s="199" t="s">
        <v>400</v>
      </c>
      <c r="S63" s="197"/>
      <c r="T63" s="197"/>
      <c r="U63" s="199" t="s">
        <v>302</v>
      </c>
      <c r="V63" s="199" t="s">
        <v>400</v>
      </c>
      <c r="W63" s="197"/>
      <c r="X63" s="197"/>
      <c r="Y63" s="197"/>
    </row>
    <row r="64" spans="1:25" ht="16" x14ac:dyDescent="0.2">
      <c r="A64" s="197"/>
      <c r="B64" s="198">
        <f t="shared" si="2"/>
        <v>58</v>
      </c>
      <c r="C64" s="197"/>
      <c r="D64" s="197"/>
      <c r="E64" s="197"/>
      <c r="F64" s="199" t="s">
        <v>293</v>
      </c>
      <c r="G64" s="197"/>
      <c r="H64" s="199" t="s">
        <v>293</v>
      </c>
      <c r="I64" s="197"/>
      <c r="J64" s="197"/>
      <c r="K64" s="197"/>
      <c r="L64" s="197"/>
      <c r="M64" s="197"/>
      <c r="N64" s="197"/>
      <c r="O64" s="199" t="s">
        <v>400</v>
      </c>
      <c r="P64" s="197"/>
      <c r="Q64" s="199" t="s">
        <v>400</v>
      </c>
      <c r="R64" s="199" t="s">
        <v>400</v>
      </c>
      <c r="S64" s="197"/>
      <c r="T64" s="197"/>
      <c r="U64" s="199" t="s">
        <v>302</v>
      </c>
      <c r="V64" s="199" t="s">
        <v>400</v>
      </c>
      <c r="W64" s="197"/>
      <c r="X64" s="197"/>
      <c r="Y64" s="197"/>
    </row>
    <row r="65" spans="1:25" ht="16" x14ac:dyDescent="0.2">
      <c r="A65" s="197"/>
      <c r="B65" s="198">
        <f t="shared" si="2"/>
        <v>59</v>
      </c>
      <c r="C65" s="197"/>
      <c r="D65" s="197"/>
      <c r="E65" s="197"/>
      <c r="F65" s="199" t="s">
        <v>293</v>
      </c>
      <c r="G65" s="197"/>
      <c r="H65" s="199" t="s">
        <v>293</v>
      </c>
      <c r="I65" s="197"/>
      <c r="J65" s="197"/>
      <c r="K65" s="197"/>
      <c r="L65" s="197"/>
      <c r="M65" s="197"/>
      <c r="N65" s="197"/>
      <c r="O65" s="199" t="s">
        <v>400</v>
      </c>
      <c r="P65" s="197"/>
      <c r="Q65" s="199" t="s">
        <v>400</v>
      </c>
      <c r="R65" s="199" t="s">
        <v>400</v>
      </c>
      <c r="S65" s="197"/>
      <c r="T65" s="197"/>
      <c r="U65" s="199" t="s">
        <v>302</v>
      </c>
      <c r="V65" s="199" t="s">
        <v>400</v>
      </c>
      <c r="W65" s="197"/>
      <c r="X65" s="197"/>
      <c r="Y65" s="197"/>
    </row>
    <row r="66" spans="1:25" ht="16" x14ac:dyDescent="0.2">
      <c r="A66" s="197"/>
      <c r="B66" s="198">
        <f t="shared" si="2"/>
        <v>60</v>
      </c>
      <c r="C66" s="197"/>
      <c r="D66" s="197"/>
      <c r="E66" s="197"/>
      <c r="F66" s="199" t="s">
        <v>293</v>
      </c>
      <c r="G66" s="197"/>
      <c r="H66" s="199" t="s">
        <v>293</v>
      </c>
      <c r="I66" s="197"/>
      <c r="J66" s="197"/>
      <c r="K66" s="197"/>
      <c r="L66" s="197"/>
      <c r="M66" s="197"/>
      <c r="N66" s="197"/>
      <c r="O66" s="199" t="s">
        <v>400</v>
      </c>
      <c r="P66" s="197"/>
      <c r="Q66" s="199" t="s">
        <v>400</v>
      </c>
      <c r="R66" s="199" t="s">
        <v>400</v>
      </c>
      <c r="S66" s="197"/>
      <c r="T66" s="197"/>
      <c r="U66" s="199" t="s">
        <v>302</v>
      </c>
      <c r="V66" s="199" t="s">
        <v>400</v>
      </c>
      <c r="W66" s="197"/>
      <c r="X66" s="197"/>
      <c r="Y66" s="197"/>
    </row>
    <row r="67" spans="1:25" ht="16" x14ac:dyDescent="0.2">
      <c r="A67" s="197"/>
      <c r="B67" s="198">
        <f t="shared" si="2"/>
        <v>61</v>
      </c>
      <c r="C67" s="197"/>
      <c r="D67" s="197"/>
      <c r="E67" s="197"/>
      <c r="F67" s="199" t="s">
        <v>293</v>
      </c>
      <c r="G67" s="197"/>
      <c r="H67" s="199" t="s">
        <v>293</v>
      </c>
      <c r="I67" s="197"/>
      <c r="J67" s="197"/>
      <c r="K67" s="197"/>
      <c r="L67" s="197"/>
      <c r="M67" s="197"/>
      <c r="N67" s="197"/>
      <c r="O67" s="199" t="s">
        <v>400</v>
      </c>
      <c r="P67" s="197"/>
      <c r="Q67" s="199" t="s">
        <v>400</v>
      </c>
      <c r="R67" s="199" t="s">
        <v>400</v>
      </c>
      <c r="S67" s="197"/>
      <c r="T67" s="197"/>
      <c r="U67" s="199" t="s">
        <v>302</v>
      </c>
      <c r="V67" s="199" t="s">
        <v>400</v>
      </c>
      <c r="W67" s="197"/>
      <c r="X67" s="197"/>
      <c r="Y67" s="197"/>
    </row>
    <row r="68" spans="1:25" ht="16" x14ac:dyDescent="0.2">
      <c r="A68" s="197"/>
      <c r="B68" s="198">
        <f t="shared" si="2"/>
        <v>62</v>
      </c>
      <c r="C68" s="197"/>
      <c r="D68" s="197"/>
      <c r="E68" s="197"/>
      <c r="F68" s="199" t="s">
        <v>293</v>
      </c>
      <c r="G68" s="197"/>
      <c r="H68" s="199" t="s">
        <v>293</v>
      </c>
      <c r="I68" s="197"/>
      <c r="J68" s="197"/>
      <c r="K68" s="197"/>
      <c r="L68" s="197"/>
      <c r="M68" s="197"/>
      <c r="N68" s="197"/>
      <c r="O68" s="199" t="s">
        <v>400</v>
      </c>
      <c r="P68" s="197"/>
      <c r="Q68" s="199" t="s">
        <v>400</v>
      </c>
      <c r="R68" s="199" t="s">
        <v>400</v>
      </c>
      <c r="S68" s="197"/>
      <c r="T68" s="197"/>
      <c r="U68" s="199" t="s">
        <v>302</v>
      </c>
      <c r="V68" s="199" t="s">
        <v>400</v>
      </c>
      <c r="W68" s="197"/>
      <c r="X68" s="197"/>
      <c r="Y68" s="197"/>
    </row>
    <row r="69" spans="1:25" ht="16" x14ac:dyDescent="0.2">
      <c r="A69" s="197"/>
      <c r="B69" s="198">
        <f t="shared" ref="B69:B114" si="3" xml:space="preserve"> ROW(B69) - 6</f>
        <v>63</v>
      </c>
      <c r="C69" s="197"/>
      <c r="D69" s="197"/>
      <c r="E69" s="197"/>
      <c r="F69" s="199" t="s">
        <v>293</v>
      </c>
      <c r="G69" s="197"/>
      <c r="H69" s="199" t="s">
        <v>293</v>
      </c>
      <c r="I69" s="197"/>
      <c r="J69" s="197"/>
      <c r="K69" s="197"/>
      <c r="L69" s="197"/>
      <c r="M69" s="197"/>
      <c r="N69" s="197"/>
      <c r="O69" s="199" t="s">
        <v>400</v>
      </c>
      <c r="P69" s="197"/>
      <c r="Q69" s="199" t="s">
        <v>400</v>
      </c>
      <c r="R69" s="199" t="s">
        <v>400</v>
      </c>
      <c r="S69" s="197"/>
      <c r="T69" s="197"/>
      <c r="U69" s="199" t="s">
        <v>302</v>
      </c>
      <c r="V69" s="199" t="s">
        <v>400</v>
      </c>
      <c r="W69" s="197"/>
      <c r="X69" s="197"/>
      <c r="Y69" s="197"/>
    </row>
    <row r="70" spans="1:25" ht="16" x14ac:dyDescent="0.2">
      <c r="A70" s="197"/>
      <c r="B70" s="198">
        <f t="shared" si="3"/>
        <v>64</v>
      </c>
      <c r="C70" s="197"/>
      <c r="D70" s="197"/>
      <c r="E70" s="197"/>
      <c r="F70" s="199" t="s">
        <v>293</v>
      </c>
      <c r="G70" s="197"/>
      <c r="H70" s="199" t="s">
        <v>293</v>
      </c>
      <c r="I70" s="197"/>
      <c r="J70" s="197"/>
      <c r="K70" s="197"/>
      <c r="L70" s="197"/>
      <c r="M70" s="197"/>
      <c r="N70" s="197"/>
      <c r="O70" s="199" t="s">
        <v>400</v>
      </c>
      <c r="P70" s="197"/>
      <c r="Q70" s="199" t="s">
        <v>400</v>
      </c>
      <c r="R70" s="199" t="s">
        <v>400</v>
      </c>
      <c r="S70" s="197"/>
      <c r="T70" s="197"/>
      <c r="U70" s="199" t="s">
        <v>302</v>
      </c>
      <c r="V70" s="199" t="s">
        <v>400</v>
      </c>
      <c r="W70" s="197"/>
      <c r="X70" s="197"/>
      <c r="Y70" s="197"/>
    </row>
    <row r="71" spans="1:25" ht="16" x14ac:dyDescent="0.2">
      <c r="A71" s="197"/>
      <c r="B71" s="198">
        <f xml:space="preserve"> ROW(B71) - 6</f>
        <v>65</v>
      </c>
      <c r="C71" s="197"/>
      <c r="D71" s="197"/>
      <c r="E71" s="197"/>
      <c r="F71" s="199" t="s">
        <v>293</v>
      </c>
      <c r="G71" s="197"/>
      <c r="H71" s="199" t="s">
        <v>293</v>
      </c>
      <c r="I71" s="197"/>
      <c r="J71" s="197"/>
      <c r="K71" s="197"/>
      <c r="L71" s="197"/>
      <c r="M71" s="197"/>
      <c r="N71" s="197"/>
      <c r="O71" s="199" t="s">
        <v>400</v>
      </c>
      <c r="P71" s="197"/>
      <c r="Q71" s="199" t="s">
        <v>400</v>
      </c>
      <c r="R71" s="199" t="s">
        <v>400</v>
      </c>
      <c r="S71" s="197"/>
      <c r="T71" s="197"/>
      <c r="U71" s="199" t="s">
        <v>302</v>
      </c>
      <c r="V71" s="199" t="s">
        <v>400</v>
      </c>
      <c r="W71" s="197"/>
      <c r="X71" s="197"/>
      <c r="Y71" s="197"/>
    </row>
    <row r="72" spans="1:25" ht="16" x14ac:dyDescent="0.2">
      <c r="A72" s="197"/>
      <c r="B72" s="198">
        <f t="shared" si="3"/>
        <v>66</v>
      </c>
      <c r="C72" s="197"/>
      <c r="D72" s="197"/>
      <c r="E72" s="197"/>
      <c r="F72" s="199" t="s">
        <v>293</v>
      </c>
      <c r="G72" s="197"/>
      <c r="H72" s="199" t="s">
        <v>293</v>
      </c>
      <c r="I72" s="197"/>
      <c r="J72" s="197"/>
      <c r="K72" s="197"/>
      <c r="L72" s="197"/>
      <c r="M72" s="197"/>
      <c r="N72" s="197"/>
      <c r="O72" s="199" t="s">
        <v>400</v>
      </c>
      <c r="P72" s="197"/>
      <c r="Q72" s="199" t="s">
        <v>400</v>
      </c>
      <c r="R72" s="199" t="s">
        <v>400</v>
      </c>
      <c r="S72" s="197"/>
      <c r="T72" s="197"/>
      <c r="U72" s="199" t="s">
        <v>302</v>
      </c>
      <c r="V72" s="199" t="s">
        <v>400</v>
      </c>
      <c r="W72" s="197"/>
      <c r="X72" s="197"/>
      <c r="Y72" s="197"/>
    </row>
    <row r="73" spans="1:25" ht="16" x14ac:dyDescent="0.2">
      <c r="A73" s="197"/>
      <c r="B73" s="198">
        <f t="shared" si="3"/>
        <v>67</v>
      </c>
      <c r="C73" s="197"/>
      <c r="D73" s="197"/>
      <c r="E73" s="197"/>
      <c r="F73" s="199" t="s">
        <v>293</v>
      </c>
      <c r="G73" s="197"/>
      <c r="H73" s="199" t="s">
        <v>293</v>
      </c>
      <c r="I73" s="197"/>
      <c r="J73" s="197"/>
      <c r="K73" s="197"/>
      <c r="L73" s="197"/>
      <c r="M73" s="197"/>
      <c r="N73" s="197"/>
      <c r="O73" s="199" t="s">
        <v>400</v>
      </c>
      <c r="P73" s="197"/>
      <c r="Q73" s="199" t="s">
        <v>400</v>
      </c>
      <c r="R73" s="199" t="s">
        <v>400</v>
      </c>
      <c r="S73" s="197"/>
      <c r="T73" s="197"/>
      <c r="U73" s="199" t="s">
        <v>302</v>
      </c>
      <c r="V73" s="199" t="s">
        <v>400</v>
      </c>
      <c r="W73" s="197"/>
      <c r="X73" s="197"/>
      <c r="Y73" s="197"/>
    </row>
    <row r="74" spans="1:25" ht="16" x14ac:dyDescent="0.2">
      <c r="A74" s="197"/>
      <c r="B74" s="198">
        <f t="shared" si="3"/>
        <v>68</v>
      </c>
      <c r="C74" s="197"/>
      <c r="D74" s="197"/>
      <c r="E74" s="197"/>
      <c r="F74" s="199" t="s">
        <v>293</v>
      </c>
      <c r="G74" s="197"/>
      <c r="H74" s="199" t="s">
        <v>293</v>
      </c>
      <c r="I74" s="197"/>
      <c r="J74" s="197"/>
      <c r="K74" s="197"/>
      <c r="L74" s="197"/>
      <c r="M74" s="197"/>
      <c r="N74" s="197"/>
      <c r="O74" s="199" t="s">
        <v>400</v>
      </c>
      <c r="P74" s="197"/>
      <c r="Q74" s="199" t="s">
        <v>400</v>
      </c>
      <c r="R74" s="199" t="s">
        <v>400</v>
      </c>
      <c r="S74" s="197"/>
      <c r="T74" s="197"/>
      <c r="U74" s="199" t="s">
        <v>302</v>
      </c>
      <c r="V74" s="199" t="s">
        <v>400</v>
      </c>
      <c r="W74" s="197"/>
      <c r="X74" s="197"/>
      <c r="Y74" s="197"/>
    </row>
    <row r="75" spans="1:25" ht="16" x14ac:dyDescent="0.2">
      <c r="A75" s="197"/>
      <c r="B75" s="198">
        <f t="shared" si="3"/>
        <v>69</v>
      </c>
      <c r="C75" s="197"/>
      <c r="D75" s="197"/>
      <c r="E75" s="197"/>
      <c r="F75" s="199" t="s">
        <v>293</v>
      </c>
      <c r="G75" s="197"/>
      <c r="H75" s="199" t="s">
        <v>293</v>
      </c>
      <c r="I75" s="197"/>
      <c r="J75" s="197"/>
      <c r="K75" s="197"/>
      <c r="L75" s="197"/>
      <c r="M75" s="197"/>
      <c r="N75" s="197"/>
      <c r="O75" s="199" t="s">
        <v>400</v>
      </c>
      <c r="P75" s="197"/>
      <c r="Q75" s="199" t="s">
        <v>400</v>
      </c>
      <c r="R75" s="199" t="s">
        <v>400</v>
      </c>
      <c r="S75" s="197"/>
      <c r="T75" s="197"/>
      <c r="U75" s="199" t="s">
        <v>302</v>
      </c>
      <c r="V75" s="199" t="s">
        <v>400</v>
      </c>
      <c r="W75" s="197"/>
      <c r="X75" s="197"/>
      <c r="Y75" s="197"/>
    </row>
    <row r="76" spans="1:25" ht="16" x14ac:dyDescent="0.2">
      <c r="A76" s="197"/>
      <c r="B76" s="198">
        <f t="shared" si="3"/>
        <v>70</v>
      </c>
      <c r="C76" s="197"/>
      <c r="D76" s="197"/>
      <c r="E76" s="197"/>
      <c r="F76" s="199" t="s">
        <v>293</v>
      </c>
      <c r="G76" s="197"/>
      <c r="H76" s="199" t="s">
        <v>293</v>
      </c>
      <c r="I76" s="197"/>
      <c r="J76" s="197"/>
      <c r="K76" s="197"/>
      <c r="L76" s="197"/>
      <c r="M76" s="197"/>
      <c r="N76" s="197"/>
      <c r="O76" s="199" t="s">
        <v>400</v>
      </c>
      <c r="P76" s="197"/>
      <c r="Q76" s="199" t="s">
        <v>400</v>
      </c>
      <c r="R76" s="199" t="s">
        <v>400</v>
      </c>
      <c r="S76" s="197"/>
      <c r="T76" s="197"/>
      <c r="U76" s="199" t="s">
        <v>302</v>
      </c>
      <c r="V76" s="199" t="s">
        <v>400</v>
      </c>
      <c r="W76" s="197"/>
      <c r="X76" s="197"/>
      <c r="Y76" s="197"/>
    </row>
    <row r="77" spans="1:25" ht="16" x14ac:dyDescent="0.2">
      <c r="A77" s="197"/>
      <c r="B77" s="198">
        <f t="shared" si="3"/>
        <v>71</v>
      </c>
      <c r="C77" s="197"/>
      <c r="D77" s="197"/>
      <c r="E77" s="197"/>
      <c r="F77" s="199" t="s">
        <v>293</v>
      </c>
      <c r="G77" s="197"/>
      <c r="H77" s="199" t="s">
        <v>293</v>
      </c>
      <c r="I77" s="197"/>
      <c r="J77" s="197"/>
      <c r="K77" s="197"/>
      <c r="L77" s="197"/>
      <c r="M77" s="197"/>
      <c r="N77" s="197"/>
      <c r="O77" s="199" t="s">
        <v>400</v>
      </c>
      <c r="P77" s="197"/>
      <c r="Q77" s="199" t="s">
        <v>400</v>
      </c>
      <c r="R77" s="199" t="s">
        <v>400</v>
      </c>
      <c r="S77" s="197"/>
      <c r="T77" s="197"/>
      <c r="U77" s="199" t="s">
        <v>302</v>
      </c>
      <c r="V77" s="199" t="s">
        <v>400</v>
      </c>
      <c r="W77" s="197"/>
      <c r="X77" s="197"/>
      <c r="Y77" s="197"/>
    </row>
    <row r="78" spans="1:25" ht="16" x14ac:dyDescent="0.2">
      <c r="A78" s="197"/>
      <c r="B78" s="198">
        <f t="shared" si="3"/>
        <v>72</v>
      </c>
      <c r="C78" s="197"/>
      <c r="D78" s="197"/>
      <c r="E78" s="197"/>
      <c r="F78" s="199" t="s">
        <v>293</v>
      </c>
      <c r="G78" s="197"/>
      <c r="H78" s="199" t="s">
        <v>293</v>
      </c>
      <c r="I78" s="197"/>
      <c r="J78" s="197"/>
      <c r="K78" s="197"/>
      <c r="L78" s="197"/>
      <c r="M78" s="197"/>
      <c r="N78" s="197"/>
      <c r="O78" s="199" t="s">
        <v>400</v>
      </c>
      <c r="P78" s="197"/>
      <c r="Q78" s="199" t="s">
        <v>400</v>
      </c>
      <c r="R78" s="199" t="s">
        <v>400</v>
      </c>
      <c r="S78" s="197"/>
      <c r="T78" s="197"/>
      <c r="U78" s="199" t="s">
        <v>302</v>
      </c>
      <c r="V78" s="199" t="s">
        <v>400</v>
      </c>
      <c r="W78" s="197"/>
      <c r="X78" s="197"/>
      <c r="Y78" s="197"/>
    </row>
    <row r="79" spans="1:25" ht="16" x14ac:dyDescent="0.2">
      <c r="A79" s="197"/>
      <c r="B79" s="198">
        <f t="shared" si="3"/>
        <v>73</v>
      </c>
      <c r="C79" s="197"/>
      <c r="D79" s="197"/>
      <c r="E79" s="197"/>
      <c r="F79" s="199" t="s">
        <v>293</v>
      </c>
      <c r="G79" s="197"/>
      <c r="H79" s="199" t="s">
        <v>293</v>
      </c>
      <c r="I79" s="197"/>
      <c r="J79" s="197"/>
      <c r="K79" s="197"/>
      <c r="L79" s="197"/>
      <c r="M79" s="197"/>
      <c r="N79" s="197"/>
      <c r="O79" s="199" t="s">
        <v>400</v>
      </c>
      <c r="P79" s="197"/>
      <c r="Q79" s="199" t="s">
        <v>400</v>
      </c>
      <c r="R79" s="199" t="s">
        <v>400</v>
      </c>
      <c r="S79" s="197"/>
      <c r="T79" s="197"/>
      <c r="U79" s="199" t="s">
        <v>302</v>
      </c>
      <c r="V79" s="199" t="s">
        <v>400</v>
      </c>
      <c r="W79" s="197"/>
      <c r="X79" s="197"/>
      <c r="Y79" s="197"/>
    </row>
    <row r="80" spans="1:25" ht="16" x14ac:dyDescent="0.2">
      <c r="A80" s="197"/>
      <c r="B80" s="198">
        <f t="shared" si="3"/>
        <v>74</v>
      </c>
      <c r="C80" s="197"/>
      <c r="D80" s="197"/>
      <c r="E80" s="197"/>
      <c r="F80" s="199" t="s">
        <v>293</v>
      </c>
      <c r="G80" s="197"/>
      <c r="H80" s="199" t="s">
        <v>293</v>
      </c>
      <c r="I80" s="197"/>
      <c r="J80" s="197"/>
      <c r="K80" s="197"/>
      <c r="L80" s="197"/>
      <c r="M80" s="197"/>
      <c r="N80" s="197"/>
      <c r="O80" s="199" t="s">
        <v>400</v>
      </c>
      <c r="P80" s="197"/>
      <c r="Q80" s="199" t="s">
        <v>400</v>
      </c>
      <c r="R80" s="199" t="s">
        <v>400</v>
      </c>
      <c r="S80" s="197"/>
      <c r="T80" s="197"/>
      <c r="U80" s="199" t="s">
        <v>302</v>
      </c>
      <c r="V80" s="199" t="s">
        <v>400</v>
      </c>
      <c r="W80" s="197"/>
      <c r="X80" s="197"/>
      <c r="Y80" s="197"/>
    </row>
    <row r="81" spans="1:25" ht="16" x14ac:dyDescent="0.2">
      <c r="A81" s="197"/>
      <c r="B81" s="198">
        <f t="shared" si="3"/>
        <v>75</v>
      </c>
      <c r="C81" s="197"/>
      <c r="D81" s="197"/>
      <c r="E81" s="197"/>
      <c r="F81" s="199" t="s">
        <v>293</v>
      </c>
      <c r="G81" s="197"/>
      <c r="H81" s="199" t="s">
        <v>293</v>
      </c>
      <c r="I81" s="197"/>
      <c r="J81" s="197"/>
      <c r="K81" s="197"/>
      <c r="L81" s="197"/>
      <c r="M81" s="197"/>
      <c r="N81" s="197"/>
      <c r="O81" s="199" t="s">
        <v>400</v>
      </c>
      <c r="P81" s="197"/>
      <c r="Q81" s="199" t="s">
        <v>400</v>
      </c>
      <c r="R81" s="199" t="s">
        <v>400</v>
      </c>
      <c r="S81" s="197"/>
      <c r="T81" s="197"/>
      <c r="U81" s="199" t="s">
        <v>302</v>
      </c>
      <c r="V81" s="199" t="s">
        <v>400</v>
      </c>
      <c r="W81" s="197"/>
      <c r="X81" s="197"/>
      <c r="Y81" s="197"/>
    </row>
    <row r="82" spans="1:25" ht="16" x14ac:dyDescent="0.2">
      <c r="A82" s="197"/>
      <c r="B82" s="198">
        <f t="shared" si="3"/>
        <v>76</v>
      </c>
      <c r="C82" s="197"/>
      <c r="D82" s="197"/>
      <c r="E82" s="197"/>
      <c r="F82" s="199" t="s">
        <v>293</v>
      </c>
      <c r="G82" s="197"/>
      <c r="H82" s="199" t="s">
        <v>293</v>
      </c>
      <c r="I82" s="197"/>
      <c r="J82" s="197"/>
      <c r="K82" s="197"/>
      <c r="L82" s="197"/>
      <c r="M82" s="197"/>
      <c r="N82" s="197"/>
      <c r="O82" s="199" t="s">
        <v>400</v>
      </c>
      <c r="P82" s="197"/>
      <c r="Q82" s="199" t="s">
        <v>400</v>
      </c>
      <c r="R82" s="199" t="s">
        <v>400</v>
      </c>
      <c r="S82" s="197"/>
      <c r="T82" s="197"/>
      <c r="U82" s="199" t="s">
        <v>302</v>
      </c>
      <c r="V82" s="199" t="s">
        <v>400</v>
      </c>
      <c r="W82" s="197"/>
      <c r="X82" s="197"/>
      <c r="Y82" s="197"/>
    </row>
    <row r="83" spans="1:25" ht="16" x14ac:dyDescent="0.2">
      <c r="A83" s="197"/>
      <c r="B83" s="198">
        <f t="shared" si="3"/>
        <v>77</v>
      </c>
      <c r="C83" s="197"/>
      <c r="D83" s="197"/>
      <c r="E83" s="197"/>
      <c r="F83" s="199" t="s">
        <v>293</v>
      </c>
      <c r="G83" s="197"/>
      <c r="H83" s="199" t="s">
        <v>293</v>
      </c>
      <c r="I83" s="197"/>
      <c r="J83" s="197"/>
      <c r="K83" s="197"/>
      <c r="L83" s="197"/>
      <c r="M83" s="197"/>
      <c r="N83" s="197"/>
      <c r="O83" s="199" t="s">
        <v>400</v>
      </c>
      <c r="P83" s="197"/>
      <c r="Q83" s="199" t="s">
        <v>400</v>
      </c>
      <c r="R83" s="199" t="s">
        <v>400</v>
      </c>
      <c r="S83" s="197"/>
      <c r="T83" s="197"/>
      <c r="U83" s="199" t="s">
        <v>302</v>
      </c>
      <c r="V83" s="199" t="s">
        <v>400</v>
      </c>
      <c r="W83" s="197"/>
      <c r="X83" s="197"/>
      <c r="Y83" s="197"/>
    </row>
    <row r="84" spans="1:25" ht="16" x14ac:dyDescent="0.2">
      <c r="A84" s="197"/>
      <c r="B84" s="198">
        <f t="shared" si="3"/>
        <v>78</v>
      </c>
      <c r="C84" s="197"/>
      <c r="D84" s="197"/>
      <c r="E84" s="197"/>
      <c r="F84" s="199" t="s">
        <v>293</v>
      </c>
      <c r="G84" s="197"/>
      <c r="H84" s="199" t="s">
        <v>293</v>
      </c>
      <c r="I84" s="197"/>
      <c r="J84" s="197"/>
      <c r="K84" s="197"/>
      <c r="L84" s="197"/>
      <c r="M84" s="197"/>
      <c r="N84" s="197"/>
      <c r="O84" s="199" t="s">
        <v>400</v>
      </c>
      <c r="P84" s="197"/>
      <c r="Q84" s="199" t="s">
        <v>400</v>
      </c>
      <c r="R84" s="199" t="s">
        <v>400</v>
      </c>
      <c r="S84" s="197"/>
      <c r="T84" s="197"/>
      <c r="U84" s="199" t="s">
        <v>302</v>
      </c>
      <c r="V84" s="199" t="s">
        <v>400</v>
      </c>
      <c r="W84" s="197"/>
      <c r="X84" s="197"/>
      <c r="Y84" s="197"/>
    </row>
    <row r="85" spans="1:25" ht="16" x14ac:dyDescent="0.2">
      <c r="A85" s="197"/>
      <c r="B85" s="198">
        <f t="shared" si="3"/>
        <v>79</v>
      </c>
      <c r="C85" s="197"/>
      <c r="D85" s="197"/>
      <c r="E85" s="197"/>
      <c r="F85" s="199" t="s">
        <v>293</v>
      </c>
      <c r="G85" s="197"/>
      <c r="H85" s="199" t="s">
        <v>293</v>
      </c>
      <c r="I85" s="197"/>
      <c r="J85" s="197"/>
      <c r="K85" s="197"/>
      <c r="L85" s="197"/>
      <c r="M85" s="197"/>
      <c r="N85" s="197"/>
      <c r="O85" s="199" t="s">
        <v>400</v>
      </c>
      <c r="P85" s="197"/>
      <c r="Q85" s="199" t="s">
        <v>400</v>
      </c>
      <c r="R85" s="199" t="s">
        <v>400</v>
      </c>
      <c r="S85" s="197"/>
      <c r="T85" s="197"/>
      <c r="U85" s="199" t="s">
        <v>302</v>
      </c>
      <c r="V85" s="199" t="s">
        <v>400</v>
      </c>
      <c r="W85" s="197"/>
      <c r="X85" s="197"/>
      <c r="Y85" s="197"/>
    </row>
    <row r="86" spans="1:25" ht="16" x14ac:dyDescent="0.2">
      <c r="A86" s="197"/>
      <c r="B86" s="198">
        <f t="shared" si="3"/>
        <v>80</v>
      </c>
      <c r="C86" s="197"/>
      <c r="D86" s="197"/>
      <c r="E86" s="197"/>
      <c r="F86" s="199" t="s">
        <v>293</v>
      </c>
      <c r="G86" s="197"/>
      <c r="H86" s="199" t="s">
        <v>293</v>
      </c>
      <c r="I86" s="197"/>
      <c r="J86" s="197"/>
      <c r="K86" s="197"/>
      <c r="L86" s="197"/>
      <c r="M86" s="197"/>
      <c r="N86" s="197"/>
      <c r="O86" s="199" t="s">
        <v>400</v>
      </c>
      <c r="P86" s="197"/>
      <c r="Q86" s="199" t="s">
        <v>400</v>
      </c>
      <c r="R86" s="199" t="s">
        <v>400</v>
      </c>
      <c r="S86" s="197"/>
      <c r="T86" s="197"/>
      <c r="U86" s="199" t="s">
        <v>302</v>
      </c>
      <c r="V86" s="199" t="s">
        <v>400</v>
      </c>
      <c r="W86" s="197"/>
      <c r="X86" s="197"/>
      <c r="Y86" s="197"/>
    </row>
    <row r="87" spans="1:25" ht="16" x14ac:dyDescent="0.2">
      <c r="A87" s="197"/>
      <c r="B87" s="198">
        <f t="shared" si="3"/>
        <v>81</v>
      </c>
      <c r="C87" s="197"/>
      <c r="D87" s="197"/>
      <c r="E87" s="197"/>
      <c r="F87" s="199" t="s">
        <v>293</v>
      </c>
      <c r="G87" s="197"/>
      <c r="H87" s="199" t="s">
        <v>293</v>
      </c>
      <c r="I87" s="197"/>
      <c r="J87" s="197"/>
      <c r="K87" s="197"/>
      <c r="L87" s="197"/>
      <c r="M87" s="197"/>
      <c r="N87" s="197"/>
      <c r="O87" s="199" t="s">
        <v>400</v>
      </c>
      <c r="P87" s="197"/>
      <c r="Q87" s="199" t="s">
        <v>400</v>
      </c>
      <c r="R87" s="199" t="s">
        <v>400</v>
      </c>
      <c r="S87" s="197"/>
      <c r="T87" s="197"/>
      <c r="U87" s="199" t="s">
        <v>302</v>
      </c>
      <c r="V87" s="199" t="s">
        <v>400</v>
      </c>
      <c r="W87" s="197"/>
      <c r="X87" s="197"/>
      <c r="Y87" s="197"/>
    </row>
    <row r="88" spans="1:25" ht="16" x14ac:dyDescent="0.2">
      <c r="A88" s="197"/>
      <c r="B88" s="198">
        <f t="shared" si="3"/>
        <v>82</v>
      </c>
      <c r="C88" s="197"/>
      <c r="D88" s="197"/>
      <c r="E88" s="197"/>
      <c r="F88" s="199" t="s">
        <v>293</v>
      </c>
      <c r="G88" s="197"/>
      <c r="H88" s="199" t="s">
        <v>293</v>
      </c>
      <c r="I88" s="197"/>
      <c r="J88" s="197"/>
      <c r="K88" s="197"/>
      <c r="L88" s="197"/>
      <c r="M88" s="197"/>
      <c r="N88" s="197"/>
      <c r="O88" s="199" t="s">
        <v>400</v>
      </c>
      <c r="P88" s="197"/>
      <c r="Q88" s="199" t="s">
        <v>400</v>
      </c>
      <c r="R88" s="199" t="s">
        <v>400</v>
      </c>
      <c r="S88" s="197"/>
      <c r="T88" s="197"/>
      <c r="U88" s="199" t="s">
        <v>302</v>
      </c>
      <c r="V88" s="199" t="s">
        <v>400</v>
      </c>
      <c r="W88" s="197"/>
      <c r="X88" s="197"/>
      <c r="Y88" s="197"/>
    </row>
    <row r="89" spans="1:25" ht="16" x14ac:dyDescent="0.2">
      <c r="A89" s="197"/>
      <c r="B89" s="198">
        <f t="shared" si="3"/>
        <v>83</v>
      </c>
      <c r="C89" s="197"/>
      <c r="D89" s="197"/>
      <c r="E89" s="197"/>
      <c r="F89" s="199" t="s">
        <v>293</v>
      </c>
      <c r="G89" s="197"/>
      <c r="H89" s="199" t="s">
        <v>293</v>
      </c>
      <c r="I89" s="197"/>
      <c r="J89" s="197"/>
      <c r="K89" s="197"/>
      <c r="L89" s="197"/>
      <c r="M89" s="197"/>
      <c r="N89" s="197"/>
      <c r="O89" s="199" t="s">
        <v>400</v>
      </c>
      <c r="P89" s="197"/>
      <c r="Q89" s="199" t="s">
        <v>400</v>
      </c>
      <c r="R89" s="199" t="s">
        <v>400</v>
      </c>
      <c r="S89" s="197"/>
      <c r="T89" s="197"/>
      <c r="U89" s="199" t="s">
        <v>302</v>
      </c>
      <c r="V89" s="199" t="s">
        <v>400</v>
      </c>
      <c r="W89" s="197"/>
      <c r="X89" s="197"/>
      <c r="Y89" s="197"/>
    </row>
    <row r="90" spans="1:25" ht="16" x14ac:dyDescent="0.2">
      <c r="A90" s="197"/>
      <c r="B90" s="198">
        <f t="shared" si="3"/>
        <v>84</v>
      </c>
      <c r="C90" s="197"/>
      <c r="D90" s="197"/>
      <c r="E90" s="197"/>
      <c r="F90" s="199" t="s">
        <v>293</v>
      </c>
      <c r="G90" s="197"/>
      <c r="H90" s="199" t="s">
        <v>293</v>
      </c>
      <c r="I90" s="197"/>
      <c r="J90" s="197"/>
      <c r="K90" s="197"/>
      <c r="L90" s="197"/>
      <c r="M90" s="197"/>
      <c r="N90" s="197"/>
      <c r="O90" s="199" t="s">
        <v>400</v>
      </c>
      <c r="P90" s="197"/>
      <c r="Q90" s="199" t="s">
        <v>400</v>
      </c>
      <c r="R90" s="199" t="s">
        <v>400</v>
      </c>
      <c r="S90" s="197"/>
      <c r="T90" s="197"/>
      <c r="U90" s="199" t="s">
        <v>302</v>
      </c>
      <c r="V90" s="199" t="s">
        <v>400</v>
      </c>
      <c r="W90" s="197"/>
      <c r="X90" s="197"/>
      <c r="Y90" s="197"/>
    </row>
    <row r="91" spans="1:25" ht="16" x14ac:dyDescent="0.2">
      <c r="A91" s="197"/>
      <c r="B91" s="198">
        <f xml:space="preserve"> ROW(B91) - 6</f>
        <v>85</v>
      </c>
      <c r="C91" s="197"/>
      <c r="D91" s="197"/>
      <c r="E91" s="197"/>
      <c r="F91" s="199" t="s">
        <v>293</v>
      </c>
      <c r="G91" s="197"/>
      <c r="H91" s="199" t="s">
        <v>293</v>
      </c>
      <c r="I91" s="197"/>
      <c r="J91" s="197"/>
      <c r="K91" s="197"/>
      <c r="L91" s="197"/>
      <c r="M91" s="197"/>
      <c r="N91" s="197"/>
      <c r="O91" s="199" t="s">
        <v>400</v>
      </c>
      <c r="P91" s="197"/>
      <c r="Q91" s="199" t="s">
        <v>400</v>
      </c>
      <c r="R91" s="199" t="s">
        <v>400</v>
      </c>
      <c r="S91" s="197"/>
      <c r="T91" s="197"/>
      <c r="U91" s="199" t="s">
        <v>302</v>
      </c>
      <c r="V91" s="199" t="s">
        <v>400</v>
      </c>
      <c r="W91" s="197"/>
      <c r="X91" s="197"/>
      <c r="Y91" s="197"/>
    </row>
    <row r="92" spans="1:25" ht="16" x14ac:dyDescent="0.2">
      <c r="A92" s="197"/>
      <c r="B92" s="198">
        <f t="shared" si="3"/>
        <v>86</v>
      </c>
      <c r="C92" s="197"/>
      <c r="D92" s="197"/>
      <c r="E92" s="197"/>
      <c r="F92" s="199" t="s">
        <v>293</v>
      </c>
      <c r="G92" s="197"/>
      <c r="H92" s="199" t="s">
        <v>293</v>
      </c>
      <c r="I92" s="197"/>
      <c r="J92" s="197"/>
      <c r="K92" s="197"/>
      <c r="L92" s="197"/>
      <c r="M92" s="197"/>
      <c r="N92" s="197"/>
      <c r="O92" s="199" t="s">
        <v>400</v>
      </c>
      <c r="P92" s="197"/>
      <c r="Q92" s="199" t="s">
        <v>400</v>
      </c>
      <c r="R92" s="199" t="s">
        <v>400</v>
      </c>
      <c r="S92" s="197"/>
      <c r="T92" s="197"/>
      <c r="U92" s="199" t="s">
        <v>302</v>
      </c>
      <c r="V92" s="199" t="s">
        <v>400</v>
      </c>
      <c r="W92" s="197"/>
      <c r="X92" s="197"/>
      <c r="Y92" s="197"/>
    </row>
    <row r="93" spans="1:25" ht="16" x14ac:dyDescent="0.2">
      <c r="A93" s="197"/>
      <c r="B93" s="198">
        <f t="shared" si="3"/>
        <v>87</v>
      </c>
      <c r="C93" s="197"/>
      <c r="D93" s="197"/>
      <c r="E93" s="197"/>
      <c r="F93" s="199" t="s">
        <v>293</v>
      </c>
      <c r="G93" s="197"/>
      <c r="H93" s="199" t="s">
        <v>293</v>
      </c>
      <c r="I93" s="197"/>
      <c r="J93" s="197"/>
      <c r="K93" s="197"/>
      <c r="L93" s="197"/>
      <c r="M93" s="197"/>
      <c r="N93" s="197"/>
      <c r="O93" s="199" t="s">
        <v>400</v>
      </c>
      <c r="P93" s="197"/>
      <c r="Q93" s="199" t="s">
        <v>400</v>
      </c>
      <c r="R93" s="199" t="s">
        <v>400</v>
      </c>
      <c r="S93" s="197"/>
      <c r="T93" s="197"/>
      <c r="U93" s="199" t="s">
        <v>302</v>
      </c>
      <c r="V93" s="199" t="s">
        <v>400</v>
      </c>
      <c r="W93" s="197"/>
      <c r="X93" s="197"/>
      <c r="Y93" s="197"/>
    </row>
    <row r="94" spans="1:25" ht="16" x14ac:dyDescent="0.2">
      <c r="A94" s="197"/>
      <c r="B94" s="198">
        <f t="shared" si="3"/>
        <v>88</v>
      </c>
      <c r="C94" s="197"/>
      <c r="D94" s="197"/>
      <c r="E94" s="197"/>
      <c r="F94" s="199" t="s">
        <v>293</v>
      </c>
      <c r="G94" s="197"/>
      <c r="H94" s="199" t="s">
        <v>293</v>
      </c>
      <c r="I94" s="197"/>
      <c r="J94" s="197"/>
      <c r="K94" s="197"/>
      <c r="L94" s="197"/>
      <c r="M94" s="197"/>
      <c r="N94" s="197"/>
      <c r="O94" s="199" t="s">
        <v>400</v>
      </c>
      <c r="P94" s="197"/>
      <c r="Q94" s="199" t="s">
        <v>400</v>
      </c>
      <c r="R94" s="199" t="s">
        <v>400</v>
      </c>
      <c r="S94" s="197"/>
      <c r="T94" s="197"/>
      <c r="U94" s="199" t="s">
        <v>302</v>
      </c>
      <c r="V94" s="199" t="s">
        <v>400</v>
      </c>
      <c r="W94" s="197"/>
      <c r="X94" s="197"/>
      <c r="Y94" s="197"/>
    </row>
    <row r="95" spans="1:25" ht="16" x14ac:dyDescent="0.2">
      <c r="A95" s="197"/>
      <c r="B95" s="198">
        <f t="shared" si="3"/>
        <v>89</v>
      </c>
      <c r="C95" s="197"/>
      <c r="D95" s="197"/>
      <c r="E95" s="197"/>
      <c r="F95" s="199" t="s">
        <v>293</v>
      </c>
      <c r="G95" s="197"/>
      <c r="H95" s="199" t="s">
        <v>293</v>
      </c>
      <c r="I95" s="197"/>
      <c r="J95" s="197"/>
      <c r="K95" s="197"/>
      <c r="L95" s="197"/>
      <c r="M95" s="197"/>
      <c r="N95" s="197"/>
      <c r="O95" s="199" t="s">
        <v>400</v>
      </c>
      <c r="P95" s="197"/>
      <c r="Q95" s="199" t="s">
        <v>400</v>
      </c>
      <c r="R95" s="199" t="s">
        <v>400</v>
      </c>
      <c r="S95" s="197"/>
      <c r="T95" s="197"/>
      <c r="U95" s="199" t="s">
        <v>302</v>
      </c>
      <c r="V95" s="199" t="s">
        <v>400</v>
      </c>
      <c r="W95" s="197"/>
      <c r="X95" s="197"/>
      <c r="Y95" s="197"/>
    </row>
    <row r="96" spans="1:25" ht="16" x14ac:dyDescent="0.2">
      <c r="A96" s="197"/>
      <c r="B96" s="198">
        <f t="shared" si="3"/>
        <v>90</v>
      </c>
      <c r="C96" s="197"/>
      <c r="D96" s="197"/>
      <c r="E96" s="197"/>
      <c r="F96" s="199" t="s">
        <v>293</v>
      </c>
      <c r="G96" s="197"/>
      <c r="H96" s="199" t="s">
        <v>293</v>
      </c>
      <c r="I96" s="197"/>
      <c r="J96" s="197"/>
      <c r="K96" s="197"/>
      <c r="L96" s="197"/>
      <c r="M96" s="197"/>
      <c r="N96" s="197"/>
      <c r="O96" s="199" t="s">
        <v>400</v>
      </c>
      <c r="P96" s="197"/>
      <c r="Q96" s="199" t="s">
        <v>400</v>
      </c>
      <c r="R96" s="199" t="s">
        <v>400</v>
      </c>
      <c r="S96" s="197"/>
      <c r="T96" s="197"/>
      <c r="U96" s="199" t="s">
        <v>302</v>
      </c>
      <c r="V96" s="199" t="s">
        <v>400</v>
      </c>
      <c r="W96" s="197"/>
      <c r="X96" s="197"/>
      <c r="Y96" s="197"/>
    </row>
    <row r="97" spans="1:25" ht="16" x14ac:dyDescent="0.2">
      <c r="A97" s="197"/>
      <c r="B97" s="198">
        <f t="shared" si="3"/>
        <v>91</v>
      </c>
      <c r="C97" s="197"/>
      <c r="D97" s="197"/>
      <c r="E97" s="197"/>
      <c r="F97" s="199" t="s">
        <v>293</v>
      </c>
      <c r="G97" s="197"/>
      <c r="H97" s="199" t="s">
        <v>293</v>
      </c>
      <c r="I97" s="197"/>
      <c r="J97" s="197"/>
      <c r="K97" s="197"/>
      <c r="L97" s="197"/>
      <c r="M97" s="197"/>
      <c r="N97" s="197"/>
      <c r="O97" s="199" t="s">
        <v>400</v>
      </c>
      <c r="P97" s="197"/>
      <c r="Q97" s="199" t="s">
        <v>400</v>
      </c>
      <c r="R97" s="199" t="s">
        <v>400</v>
      </c>
      <c r="S97" s="197"/>
      <c r="T97" s="197"/>
      <c r="U97" s="199" t="s">
        <v>302</v>
      </c>
      <c r="V97" s="199" t="s">
        <v>400</v>
      </c>
      <c r="W97" s="197"/>
      <c r="X97" s="197"/>
      <c r="Y97" s="197"/>
    </row>
    <row r="98" spans="1:25" ht="16" x14ac:dyDescent="0.2">
      <c r="A98" s="197"/>
      <c r="B98" s="198">
        <f t="shared" si="3"/>
        <v>92</v>
      </c>
      <c r="C98" s="197"/>
      <c r="D98" s="197"/>
      <c r="E98" s="197"/>
      <c r="F98" s="199" t="s">
        <v>293</v>
      </c>
      <c r="G98" s="197"/>
      <c r="H98" s="199" t="s">
        <v>293</v>
      </c>
      <c r="I98" s="197"/>
      <c r="J98" s="197"/>
      <c r="K98" s="197"/>
      <c r="L98" s="197"/>
      <c r="M98" s="197"/>
      <c r="N98" s="197"/>
      <c r="O98" s="199" t="s">
        <v>400</v>
      </c>
      <c r="P98" s="197"/>
      <c r="Q98" s="199" t="s">
        <v>400</v>
      </c>
      <c r="R98" s="199" t="s">
        <v>400</v>
      </c>
      <c r="S98" s="197"/>
      <c r="T98" s="197"/>
      <c r="U98" s="199" t="s">
        <v>302</v>
      </c>
      <c r="V98" s="199" t="s">
        <v>400</v>
      </c>
      <c r="W98" s="197"/>
      <c r="X98" s="197"/>
      <c r="Y98" s="197"/>
    </row>
    <row r="99" spans="1:25" ht="16" x14ac:dyDescent="0.2">
      <c r="A99" s="197"/>
      <c r="B99" s="198">
        <f t="shared" si="3"/>
        <v>93</v>
      </c>
      <c r="C99" s="197"/>
      <c r="D99" s="197"/>
      <c r="E99" s="197"/>
      <c r="F99" s="199" t="s">
        <v>293</v>
      </c>
      <c r="G99" s="197"/>
      <c r="H99" s="199" t="s">
        <v>293</v>
      </c>
      <c r="I99" s="197"/>
      <c r="J99" s="197"/>
      <c r="K99" s="197"/>
      <c r="L99" s="197"/>
      <c r="M99" s="197"/>
      <c r="N99" s="197"/>
      <c r="O99" s="199" t="s">
        <v>400</v>
      </c>
      <c r="P99" s="197"/>
      <c r="Q99" s="199" t="s">
        <v>400</v>
      </c>
      <c r="R99" s="199" t="s">
        <v>400</v>
      </c>
      <c r="S99" s="197"/>
      <c r="T99" s="197"/>
      <c r="U99" s="199" t="s">
        <v>302</v>
      </c>
      <c r="V99" s="199" t="s">
        <v>400</v>
      </c>
      <c r="W99" s="197"/>
      <c r="X99" s="197"/>
      <c r="Y99" s="197"/>
    </row>
    <row r="100" spans="1:25" ht="16" x14ac:dyDescent="0.2">
      <c r="A100" s="197"/>
      <c r="B100" s="198">
        <f t="shared" si="3"/>
        <v>94</v>
      </c>
      <c r="C100" s="197"/>
      <c r="D100" s="197"/>
      <c r="E100" s="197"/>
      <c r="F100" s="199" t="s">
        <v>293</v>
      </c>
      <c r="G100" s="197"/>
      <c r="H100" s="199" t="s">
        <v>293</v>
      </c>
      <c r="I100" s="197"/>
      <c r="J100" s="197"/>
      <c r="K100" s="197"/>
      <c r="L100" s="197"/>
      <c r="M100" s="197"/>
      <c r="N100" s="197"/>
      <c r="O100" s="199" t="s">
        <v>400</v>
      </c>
      <c r="P100" s="197"/>
      <c r="Q100" s="199" t="s">
        <v>400</v>
      </c>
      <c r="R100" s="199" t="s">
        <v>400</v>
      </c>
      <c r="S100" s="197"/>
      <c r="T100" s="197"/>
      <c r="U100" s="199" t="s">
        <v>302</v>
      </c>
      <c r="V100" s="199" t="s">
        <v>400</v>
      </c>
      <c r="W100" s="197"/>
      <c r="X100" s="197"/>
      <c r="Y100" s="197"/>
    </row>
    <row r="101" spans="1:25" ht="16" x14ac:dyDescent="0.2">
      <c r="A101" s="197"/>
      <c r="B101" s="198">
        <f t="shared" si="3"/>
        <v>95</v>
      </c>
      <c r="C101" s="197"/>
      <c r="D101" s="197"/>
      <c r="E101" s="197"/>
      <c r="F101" s="199" t="s">
        <v>293</v>
      </c>
      <c r="G101" s="197"/>
      <c r="H101" s="199" t="s">
        <v>293</v>
      </c>
      <c r="I101" s="197"/>
      <c r="J101" s="197"/>
      <c r="K101" s="197"/>
      <c r="L101" s="197"/>
      <c r="M101" s="197"/>
      <c r="N101" s="197"/>
      <c r="O101" s="199" t="s">
        <v>400</v>
      </c>
      <c r="P101" s="197"/>
      <c r="Q101" s="199" t="s">
        <v>400</v>
      </c>
      <c r="R101" s="199" t="s">
        <v>400</v>
      </c>
      <c r="S101" s="197"/>
      <c r="T101" s="197"/>
      <c r="U101" s="199" t="s">
        <v>302</v>
      </c>
      <c r="V101" s="199" t="s">
        <v>400</v>
      </c>
      <c r="W101" s="197"/>
      <c r="X101" s="197"/>
      <c r="Y101" s="197"/>
    </row>
    <row r="102" spans="1:25" ht="16" x14ac:dyDescent="0.2">
      <c r="A102" s="197"/>
      <c r="B102" s="198">
        <f t="shared" si="3"/>
        <v>96</v>
      </c>
      <c r="C102" s="197"/>
      <c r="D102" s="197"/>
      <c r="E102" s="197"/>
      <c r="F102" s="199" t="s">
        <v>293</v>
      </c>
      <c r="G102" s="197"/>
      <c r="H102" s="199" t="s">
        <v>293</v>
      </c>
      <c r="I102" s="197"/>
      <c r="J102" s="197"/>
      <c r="K102" s="197"/>
      <c r="L102" s="197"/>
      <c r="M102" s="197"/>
      <c r="N102" s="197"/>
      <c r="O102" s="199" t="s">
        <v>400</v>
      </c>
      <c r="P102" s="197"/>
      <c r="Q102" s="199" t="s">
        <v>400</v>
      </c>
      <c r="R102" s="199" t="s">
        <v>400</v>
      </c>
      <c r="S102" s="197"/>
      <c r="T102" s="197"/>
      <c r="U102" s="199" t="s">
        <v>302</v>
      </c>
      <c r="V102" s="199" t="s">
        <v>400</v>
      </c>
      <c r="W102" s="197"/>
      <c r="X102" s="197"/>
      <c r="Y102" s="197"/>
    </row>
    <row r="103" spans="1:25" ht="16" x14ac:dyDescent="0.2">
      <c r="A103" s="197"/>
      <c r="B103" s="198">
        <f t="shared" si="3"/>
        <v>97</v>
      </c>
      <c r="C103" s="197"/>
      <c r="D103" s="197"/>
      <c r="E103" s="197"/>
      <c r="F103" s="199" t="s">
        <v>293</v>
      </c>
      <c r="G103" s="197"/>
      <c r="H103" s="199" t="s">
        <v>293</v>
      </c>
      <c r="I103" s="197"/>
      <c r="J103" s="197"/>
      <c r="K103" s="197"/>
      <c r="L103" s="197"/>
      <c r="M103" s="197"/>
      <c r="N103" s="197"/>
      <c r="O103" s="199" t="s">
        <v>400</v>
      </c>
      <c r="P103" s="197"/>
      <c r="Q103" s="199" t="s">
        <v>400</v>
      </c>
      <c r="R103" s="199" t="s">
        <v>400</v>
      </c>
      <c r="S103" s="197"/>
      <c r="T103" s="197"/>
      <c r="U103" s="199" t="s">
        <v>302</v>
      </c>
      <c r="V103" s="199" t="s">
        <v>400</v>
      </c>
      <c r="W103" s="197"/>
      <c r="X103" s="197"/>
      <c r="Y103" s="197"/>
    </row>
    <row r="104" spans="1:25" ht="16" x14ac:dyDescent="0.2">
      <c r="A104" s="197"/>
      <c r="B104" s="198">
        <f t="shared" si="3"/>
        <v>98</v>
      </c>
      <c r="C104" s="197"/>
      <c r="D104" s="197"/>
      <c r="E104" s="197"/>
      <c r="F104" s="199" t="s">
        <v>293</v>
      </c>
      <c r="G104" s="197"/>
      <c r="H104" s="199" t="s">
        <v>293</v>
      </c>
      <c r="I104" s="197"/>
      <c r="J104" s="197"/>
      <c r="K104" s="197"/>
      <c r="L104" s="197"/>
      <c r="M104" s="197"/>
      <c r="N104" s="197"/>
      <c r="O104" s="199" t="s">
        <v>400</v>
      </c>
      <c r="P104" s="197"/>
      <c r="Q104" s="199" t="s">
        <v>400</v>
      </c>
      <c r="R104" s="199" t="s">
        <v>400</v>
      </c>
      <c r="S104" s="197"/>
      <c r="T104" s="197"/>
      <c r="U104" s="199" t="s">
        <v>302</v>
      </c>
      <c r="V104" s="199" t="s">
        <v>400</v>
      </c>
      <c r="W104" s="197"/>
      <c r="X104" s="197"/>
      <c r="Y104" s="197"/>
    </row>
    <row r="105" spans="1:25" ht="16" x14ac:dyDescent="0.2">
      <c r="A105" s="197"/>
      <c r="B105" s="198">
        <f t="shared" si="3"/>
        <v>99</v>
      </c>
      <c r="C105" s="197"/>
      <c r="D105" s="197"/>
      <c r="E105" s="197"/>
      <c r="F105" s="199" t="s">
        <v>293</v>
      </c>
      <c r="G105" s="197"/>
      <c r="H105" s="199" t="s">
        <v>293</v>
      </c>
      <c r="I105" s="197"/>
      <c r="J105" s="197"/>
      <c r="K105" s="197"/>
      <c r="L105" s="197"/>
      <c r="M105" s="197"/>
      <c r="N105" s="197"/>
      <c r="O105" s="199" t="s">
        <v>400</v>
      </c>
      <c r="P105" s="197"/>
      <c r="Q105" s="199" t="s">
        <v>400</v>
      </c>
      <c r="R105" s="199" t="s">
        <v>400</v>
      </c>
      <c r="S105" s="197"/>
      <c r="T105" s="197"/>
      <c r="U105" s="199" t="s">
        <v>302</v>
      </c>
      <c r="V105" s="199" t="s">
        <v>400</v>
      </c>
      <c r="W105" s="197"/>
      <c r="X105" s="197"/>
      <c r="Y105" s="197"/>
    </row>
    <row r="106" spans="1:25" ht="16" x14ac:dyDescent="0.2">
      <c r="A106" s="197"/>
      <c r="B106" s="198">
        <f t="shared" si="3"/>
        <v>100</v>
      </c>
      <c r="C106" s="197"/>
      <c r="D106" s="197"/>
      <c r="E106" s="197"/>
      <c r="F106" s="199" t="s">
        <v>293</v>
      </c>
      <c r="G106" s="197"/>
      <c r="H106" s="199" t="s">
        <v>293</v>
      </c>
      <c r="I106" s="197"/>
      <c r="J106" s="197"/>
      <c r="K106" s="197"/>
      <c r="L106" s="197"/>
      <c r="M106" s="197"/>
      <c r="N106" s="197"/>
      <c r="O106" s="199" t="s">
        <v>400</v>
      </c>
      <c r="P106" s="197"/>
      <c r="Q106" s="199" t="s">
        <v>400</v>
      </c>
      <c r="R106" s="199" t="s">
        <v>400</v>
      </c>
      <c r="S106" s="197"/>
      <c r="T106" s="197"/>
      <c r="U106" s="199" t="s">
        <v>302</v>
      </c>
      <c r="V106" s="199" t="s">
        <v>400</v>
      </c>
      <c r="W106" s="197"/>
      <c r="X106" s="197"/>
      <c r="Y106" s="197"/>
    </row>
    <row r="107" spans="1:25" ht="16" x14ac:dyDescent="0.2">
      <c r="A107" s="197"/>
      <c r="B107" s="198">
        <f t="shared" si="3"/>
        <v>101</v>
      </c>
      <c r="C107" s="197"/>
      <c r="D107" s="197"/>
      <c r="E107" s="197"/>
      <c r="F107" s="199" t="s">
        <v>293</v>
      </c>
      <c r="G107" s="197"/>
      <c r="H107" s="199" t="s">
        <v>293</v>
      </c>
      <c r="I107" s="197"/>
      <c r="J107" s="197"/>
      <c r="K107" s="197"/>
      <c r="L107" s="197"/>
      <c r="M107" s="197"/>
      <c r="N107" s="197"/>
      <c r="O107" s="199" t="s">
        <v>400</v>
      </c>
      <c r="P107" s="197"/>
      <c r="Q107" s="199" t="s">
        <v>400</v>
      </c>
      <c r="R107" s="199" t="s">
        <v>400</v>
      </c>
      <c r="S107" s="197"/>
      <c r="T107" s="197"/>
      <c r="U107" s="199" t="s">
        <v>302</v>
      </c>
      <c r="V107" s="199" t="s">
        <v>400</v>
      </c>
      <c r="W107" s="197"/>
      <c r="X107" s="197"/>
      <c r="Y107" s="197"/>
    </row>
    <row r="108" spans="1:25" ht="16" x14ac:dyDescent="0.2">
      <c r="A108" s="197"/>
      <c r="B108" s="198">
        <f t="shared" si="3"/>
        <v>102</v>
      </c>
      <c r="C108" s="197"/>
      <c r="D108" s="197"/>
      <c r="E108" s="197"/>
      <c r="F108" s="199" t="s">
        <v>293</v>
      </c>
      <c r="G108" s="197"/>
      <c r="H108" s="199" t="s">
        <v>293</v>
      </c>
      <c r="I108" s="197"/>
      <c r="J108" s="197"/>
      <c r="K108" s="197"/>
      <c r="L108" s="197"/>
      <c r="M108" s="197"/>
      <c r="N108" s="197"/>
      <c r="O108" s="199" t="s">
        <v>400</v>
      </c>
      <c r="P108" s="197"/>
      <c r="Q108" s="199" t="s">
        <v>400</v>
      </c>
      <c r="R108" s="199" t="s">
        <v>400</v>
      </c>
      <c r="S108" s="197"/>
      <c r="T108" s="197"/>
      <c r="U108" s="199" t="s">
        <v>302</v>
      </c>
      <c r="V108" s="199" t="s">
        <v>400</v>
      </c>
      <c r="W108" s="197"/>
      <c r="X108" s="197"/>
      <c r="Y108" s="197"/>
    </row>
    <row r="109" spans="1:25" ht="16" x14ac:dyDescent="0.2">
      <c r="A109" s="197"/>
      <c r="B109" s="198">
        <f t="shared" si="3"/>
        <v>103</v>
      </c>
      <c r="C109" s="197"/>
      <c r="D109" s="197"/>
      <c r="E109" s="197"/>
      <c r="F109" s="199" t="s">
        <v>293</v>
      </c>
      <c r="G109" s="197"/>
      <c r="H109" s="199" t="s">
        <v>293</v>
      </c>
      <c r="I109" s="197"/>
      <c r="J109" s="197"/>
      <c r="K109" s="197"/>
      <c r="L109" s="197"/>
      <c r="M109" s="197"/>
      <c r="N109" s="197"/>
      <c r="O109" s="199" t="s">
        <v>400</v>
      </c>
      <c r="P109" s="197"/>
      <c r="Q109" s="199" t="s">
        <v>400</v>
      </c>
      <c r="R109" s="199" t="s">
        <v>400</v>
      </c>
      <c r="S109" s="197"/>
      <c r="T109" s="197"/>
      <c r="U109" s="199" t="s">
        <v>302</v>
      </c>
      <c r="V109" s="199" t="s">
        <v>400</v>
      </c>
      <c r="W109" s="197"/>
      <c r="X109" s="197"/>
      <c r="Y109" s="197"/>
    </row>
    <row r="110" spans="1:25" ht="16" x14ac:dyDescent="0.2">
      <c r="A110" s="197"/>
      <c r="B110" s="198">
        <f t="shared" si="3"/>
        <v>104</v>
      </c>
      <c r="C110" s="197"/>
      <c r="D110" s="197"/>
      <c r="E110" s="197"/>
      <c r="F110" s="199" t="s">
        <v>293</v>
      </c>
      <c r="G110" s="197"/>
      <c r="H110" s="199" t="s">
        <v>293</v>
      </c>
      <c r="I110" s="197"/>
      <c r="J110" s="197"/>
      <c r="K110" s="197"/>
      <c r="L110" s="197"/>
      <c r="M110" s="197"/>
      <c r="N110" s="197"/>
      <c r="O110" s="199" t="s">
        <v>400</v>
      </c>
      <c r="P110" s="197"/>
      <c r="Q110" s="199" t="s">
        <v>400</v>
      </c>
      <c r="R110" s="199" t="s">
        <v>400</v>
      </c>
      <c r="S110" s="197"/>
      <c r="T110" s="197"/>
      <c r="U110" s="199" t="s">
        <v>302</v>
      </c>
      <c r="V110" s="199" t="s">
        <v>400</v>
      </c>
      <c r="W110" s="197"/>
      <c r="X110" s="197"/>
      <c r="Y110" s="197"/>
    </row>
    <row r="111" spans="1:25" ht="16" x14ac:dyDescent="0.2">
      <c r="A111" s="197"/>
      <c r="B111" s="198">
        <f t="shared" si="3"/>
        <v>105</v>
      </c>
      <c r="C111" s="197"/>
      <c r="D111" s="197"/>
      <c r="E111" s="197"/>
      <c r="F111" s="199" t="s">
        <v>293</v>
      </c>
      <c r="G111" s="197"/>
      <c r="H111" s="199" t="s">
        <v>293</v>
      </c>
      <c r="I111" s="197"/>
      <c r="J111" s="197"/>
      <c r="K111" s="197"/>
      <c r="L111" s="197"/>
      <c r="M111" s="197"/>
      <c r="N111" s="197"/>
      <c r="O111" s="199" t="s">
        <v>400</v>
      </c>
      <c r="P111" s="197"/>
      <c r="Q111" s="199" t="s">
        <v>400</v>
      </c>
      <c r="R111" s="199" t="s">
        <v>400</v>
      </c>
      <c r="S111" s="197"/>
      <c r="T111" s="197"/>
      <c r="U111" s="199" t="s">
        <v>302</v>
      </c>
      <c r="V111" s="199" t="s">
        <v>400</v>
      </c>
      <c r="W111" s="197"/>
      <c r="X111" s="197"/>
      <c r="Y111" s="197"/>
    </row>
    <row r="112" spans="1:25" ht="16" x14ac:dyDescent="0.2">
      <c r="A112" s="197"/>
      <c r="B112" s="198">
        <f t="shared" si="3"/>
        <v>106</v>
      </c>
      <c r="C112" s="197"/>
      <c r="D112" s="197"/>
      <c r="E112" s="197"/>
      <c r="F112" s="199" t="s">
        <v>293</v>
      </c>
      <c r="G112" s="197"/>
      <c r="H112" s="199" t="s">
        <v>293</v>
      </c>
      <c r="I112" s="197"/>
      <c r="J112" s="197"/>
      <c r="K112" s="197"/>
      <c r="L112" s="197"/>
      <c r="M112" s="197"/>
      <c r="N112" s="197"/>
      <c r="O112" s="199" t="s">
        <v>400</v>
      </c>
      <c r="P112" s="197"/>
      <c r="Q112" s="199" t="s">
        <v>400</v>
      </c>
      <c r="R112" s="199" t="s">
        <v>400</v>
      </c>
      <c r="S112" s="197"/>
      <c r="T112" s="197"/>
      <c r="U112" s="199" t="s">
        <v>302</v>
      </c>
      <c r="V112" s="199" t="s">
        <v>400</v>
      </c>
      <c r="W112" s="197"/>
      <c r="X112" s="197"/>
      <c r="Y112" s="197"/>
    </row>
    <row r="113" spans="1:25" ht="16" x14ac:dyDescent="0.2">
      <c r="A113" s="197"/>
      <c r="B113" s="198">
        <f t="shared" si="3"/>
        <v>107</v>
      </c>
      <c r="C113" s="197"/>
      <c r="D113" s="197"/>
      <c r="E113" s="197"/>
      <c r="F113" s="199" t="s">
        <v>293</v>
      </c>
      <c r="G113" s="197"/>
      <c r="H113" s="199" t="s">
        <v>293</v>
      </c>
      <c r="I113" s="197"/>
      <c r="J113" s="197"/>
      <c r="K113" s="197"/>
      <c r="L113" s="197"/>
      <c r="M113" s="197"/>
      <c r="N113" s="197"/>
      <c r="O113" s="199" t="s">
        <v>400</v>
      </c>
      <c r="P113" s="197"/>
      <c r="Q113" s="199" t="s">
        <v>400</v>
      </c>
      <c r="R113" s="199" t="s">
        <v>400</v>
      </c>
      <c r="S113" s="197"/>
      <c r="T113" s="197"/>
      <c r="U113" s="199" t="s">
        <v>302</v>
      </c>
      <c r="V113" s="199" t="s">
        <v>400</v>
      </c>
      <c r="W113" s="197"/>
      <c r="X113" s="197"/>
      <c r="Y113" s="197"/>
    </row>
    <row r="114" spans="1:25" ht="16" x14ac:dyDescent="0.2">
      <c r="A114" s="197"/>
      <c r="B114" s="198">
        <f t="shared" si="3"/>
        <v>108</v>
      </c>
      <c r="C114" s="197"/>
      <c r="D114" s="197"/>
      <c r="E114" s="197"/>
      <c r="F114" s="199" t="s">
        <v>293</v>
      </c>
      <c r="G114" s="197"/>
      <c r="H114" s="199" t="s">
        <v>293</v>
      </c>
      <c r="I114" s="197"/>
      <c r="J114" s="197"/>
      <c r="K114" s="197"/>
      <c r="L114" s="197"/>
      <c r="M114" s="197"/>
      <c r="N114" s="197"/>
      <c r="O114" s="199" t="s">
        <v>400</v>
      </c>
      <c r="P114" s="197"/>
      <c r="Q114" s="199" t="s">
        <v>400</v>
      </c>
      <c r="R114" s="199" t="s">
        <v>400</v>
      </c>
      <c r="S114" s="197"/>
      <c r="T114" s="197"/>
      <c r="U114" s="199" t="s">
        <v>302</v>
      </c>
      <c r="V114" s="199" t="s">
        <v>400</v>
      </c>
      <c r="W114" s="197"/>
      <c r="X114" s="197"/>
      <c r="Y114" s="197"/>
    </row>
    <row r="115" spans="1:25" x14ac:dyDescent="0.2">
      <c r="A115" s="193"/>
      <c r="B115" s="200" t="s">
        <v>453</v>
      </c>
      <c r="C115" s="193"/>
      <c r="D115" s="194"/>
      <c r="E115" s="193"/>
      <c r="F115" s="193"/>
      <c r="G115" s="193"/>
      <c r="H115" s="193"/>
      <c r="I115" s="193"/>
      <c r="J115" s="193"/>
      <c r="K115" s="193"/>
      <c r="L115" s="193"/>
      <c r="M115" s="193"/>
      <c r="N115" s="193"/>
      <c r="O115" s="194"/>
      <c r="P115" s="194"/>
      <c r="Q115" s="195"/>
      <c r="R115" s="193"/>
      <c r="S115" s="193"/>
      <c r="T115" s="193"/>
      <c r="U115" s="194"/>
      <c r="V115" s="194"/>
      <c r="W115" s="193"/>
      <c r="X115" s="193"/>
      <c r="Y115" s="193"/>
    </row>
    <row r="117" spans="1:25" x14ac:dyDescent="0.2">
      <c r="A117" s="193"/>
      <c r="B117" s="194"/>
      <c r="C117" s="193"/>
      <c r="D117" s="193"/>
      <c r="E117" s="193"/>
      <c r="F117" s="193"/>
      <c r="G117" s="193"/>
      <c r="H117" s="193"/>
      <c r="I117" s="193"/>
      <c r="J117" s="193"/>
      <c r="K117" s="193"/>
      <c r="L117" s="193"/>
      <c r="M117" s="193"/>
      <c r="N117" s="193"/>
      <c r="O117" s="194"/>
      <c r="P117" s="194"/>
      <c r="Q117" s="195"/>
      <c r="R117" s="193"/>
      <c r="S117" s="193"/>
      <c r="T117" s="193"/>
      <c r="U117" s="194"/>
      <c r="V117" s="194"/>
      <c r="W117" s="193"/>
      <c r="X117" s="193"/>
      <c r="Y117" s="193"/>
    </row>
  </sheetData>
  <autoFilter ref="A6:Y115" xr:uid="{00000000-0009-0000-0000-000005000000}"/>
  <mergeCells count="2">
    <mergeCell ref="L3:M3"/>
    <mergeCell ref="B5:E5"/>
  </mergeCells>
  <conditionalFormatting sqref="A38:Y114">
    <cfRule type="containsText" dxfId="1264" priority="524" operator="containsText" text="check">
      <formula>NOT(ISERROR(SEARCH("check",A38)))</formula>
    </cfRule>
    <cfRule type="cellIs" dxfId="1263" priority="525" operator="equal">
      <formula>"???"</formula>
    </cfRule>
  </conditionalFormatting>
  <conditionalFormatting sqref="H38:H114 F38:F114">
    <cfRule type="cellIs" dxfId="1262" priority="523" operator="equal">
      <formula>"Yes"</formula>
    </cfRule>
  </conditionalFormatting>
  <conditionalFormatting sqref="Q38:Q114">
    <cfRule type="containsText" dxfId="1261" priority="522" operator="containsText" text="SI">
      <formula>NOT(ISERROR(SEARCH("SI",Q38)))</formula>
    </cfRule>
  </conditionalFormatting>
  <conditionalFormatting sqref="D13">
    <cfRule type="containsText" dxfId="1260" priority="187" operator="containsText" text="check">
      <formula>NOT(ISERROR(SEARCH("check",D13)))</formula>
    </cfRule>
    <cfRule type="cellIs" dxfId="1259" priority="188" operator="equal">
      <formula>"???"</formula>
    </cfRule>
  </conditionalFormatting>
  <conditionalFormatting sqref="A25:D25 F25:H25 L25:Y25">
    <cfRule type="containsText" dxfId="1258" priority="175" operator="containsText" text="check">
      <formula>NOT(ISERROR(SEARCH("check",A25)))</formula>
    </cfRule>
    <cfRule type="cellIs" dxfId="1257" priority="176" operator="equal">
      <formula>"???"</formula>
    </cfRule>
  </conditionalFormatting>
  <conditionalFormatting sqref="A26:H26 L26 P26:Y26">
    <cfRule type="containsText" dxfId="1256" priority="171" operator="containsText" text="check">
      <formula>NOT(ISERROR(SEARCH("check",A26)))</formula>
    </cfRule>
    <cfRule type="cellIs" dxfId="1255" priority="172" operator="equal">
      <formula>"???"</formula>
    </cfRule>
  </conditionalFormatting>
  <conditionalFormatting sqref="A15:C15 E15:H15 L15:P15 W15:Y15 R15:U15">
    <cfRule type="containsText" dxfId="1254" priority="167" operator="containsText" text="check">
      <formula>NOT(ISERROR(SEARCH("check",A15)))</formula>
    </cfRule>
    <cfRule type="cellIs" dxfId="1253" priority="168" operator="equal">
      <formula>"???"</formula>
    </cfRule>
  </conditionalFormatting>
  <conditionalFormatting sqref="E31:H31">
    <cfRule type="containsText" dxfId="1252" priority="151" operator="containsText" text="check">
      <formula>NOT(ISERROR(SEARCH("check",E31)))</formula>
    </cfRule>
    <cfRule type="cellIs" dxfId="1251" priority="152" operator="equal">
      <formula>"???"</formula>
    </cfRule>
  </conditionalFormatting>
  <conditionalFormatting sqref="A31:C31 I31:Y31">
    <cfRule type="containsText" dxfId="1250" priority="159" operator="containsText" text="check">
      <formula>NOT(ISERROR(SEARCH("check",A31)))</formula>
    </cfRule>
    <cfRule type="cellIs" dxfId="1249" priority="160" operator="equal">
      <formula>"???"</formula>
    </cfRule>
  </conditionalFormatting>
  <conditionalFormatting sqref="I19:K19">
    <cfRule type="containsText" dxfId="1248" priority="129" operator="containsText" text="check">
      <formula>NOT(ISERROR(SEARCH("check",I19)))</formula>
    </cfRule>
    <cfRule type="cellIs" dxfId="1247" priority="130" operator="equal">
      <formula>"???"</formula>
    </cfRule>
  </conditionalFormatting>
  <conditionalFormatting sqref="Q14">
    <cfRule type="containsText" dxfId="1246" priority="37" operator="containsText" text="check">
      <formula>NOT(ISERROR(SEARCH("check",Q14)))</formula>
    </cfRule>
    <cfRule type="cellIs" dxfId="1245" priority="38" operator="equal">
      <formula>"???"</formula>
    </cfRule>
  </conditionalFormatting>
  <conditionalFormatting sqref="F21:F22">
    <cfRule type="cellIs" dxfId="1244" priority="1" operator="equal">
      <formula>"Yes"</formula>
    </cfRule>
  </conditionalFormatting>
  <conditionalFormatting sqref="G13 A24:H24 A33:D33 L18:Y18 O16:P17 R16:Y17 O19:Y19 A20:F20 L20:Y20 O22:Y22 A22:D22 H22 P24:Y24 A28:D28 F28:H28 O28:Y28 F33:H33 O33:Y33 A7:K7 O7:Y7 O13:Y13 A8:Y9 A13:C13 O10:Y10 A34:Y35 A10:K10 A16:H19">
    <cfRule type="containsText" dxfId="1243" priority="194" operator="containsText" text="check">
      <formula>NOT(ISERROR(SEARCH("check",A7)))</formula>
    </cfRule>
    <cfRule type="cellIs" dxfId="1242" priority="195" operator="equal">
      <formula>"???"</formula>
    </cfRule>
  </conditionalFormatting>
  <conditionalFormatting sqref="F7:F10 H7:H10 H28 F33:F35 H33:H35 F24 H24 H16:H19 F28 H22 F16:F20">
    <cfRule type="cellIs" dxfId="1241" priority="193" operator="equal">
      <formula>"Yes"</formula>
    </cfRule>
  </conditionalFormatting>
  <conditionalFormatting sqref="Q7:Q10 Q28 Q33:Q35 Q13 Q24 Q18:Q20 Q22">
    <cfRule type="containsText" dxfId="1240" priority="192" operator="containsText" text="SI">
      <formula>NOT(ISERROR(SEARCH("SI",Q7)))</formula>
    </cfRule>
  </conditionalFormatting>
  <conditionalFormatting sqref="A11:D12 G11:G12 O11:Y12">
    <cfRule type="containsText" dxfId="1239" priority="190" operator="containsText" text="check">
      <formula>NOT(ISERROR(SEARCH("check",A11)))</formula>
    </cfRule>
    <cfRule type="cellIs" dxfId="1238" priority="191" operator="equal">
      <formula>"???"</formula>
    </cfRule>
  </conditionalFormatting>
  <conditionalFormatting sqref="Q11:Q12">
    <cfRule type="containsText" dxfId="1237" priority="189" operator="containsText" text="SI">
      <formula>NOT(ISERROR(SEARCH("SI",Q11)))</formula>
    </cfRule>
  </conditionalFormatting>
  <conditionalFormatting sqref="F11:F13">
    <cfRule type="containsText" dxfId="1236" priority="185" operator="containsText" text="check">
      <formula>NOT(ISERROR(SEARCH("check",F11)))</formula>
    </cfRule>
    <cfRule type="cellIs" dxfId="1235" priority="186" operator="equal">
      <formula>"???"</formula>
    </cfRule>
  </conditionalFormatting>
  <conditionalFormatting sqref="F11:F13">
    <cfRule type="cellIs" dxfId="1234" priority="184" operator="equal">
      <formula>"Yes"</formula>
    </cfRule>
  </conditionalFormatting>
  <conditionalFormatting sqref="H11:H13">
    <cfRule type="containsText" dxfId="1233" priority="182" operator="containsText" text="check">
      <formula>NOT(ISERROR(SEARCH("check",H11)))</formula>
    </cfRule>
    <cfRule type="cellIs" dxfId="1232" priority="183" operator="equal">
      <formula>"???"</formula>
    </cfRule>
  </conditionalFormatting>
  <conditionalFormatting sqref="H11:H13">
    <cfRule type="cellIs" dxfId="1231" priority="181" operator="equal">
      <formula>"Yes"</formula>
    </cfRule>
  </conditionalFormatting>
  <conditionalFormatting sqref="A23:Y23">
    <cfRule type="containsText" dxfId="1230" priority="179" operator="containsText" text="check">
      <formula>NOT(ISERROR(SEARCH("check",A23)))</formula>
    </cfRule>
    <cfRule type="cellIs" dxfId="1229" priority="180" operator="equal">
      <formula>"???"</formula>
    </cfRule>
  </conditionalFormatting>
  <conditionalFormatting sqref="H23 F23">
    <cfRule type="cellIs" dxfId="1228" priority="178" operator="equal">
      <formula>"Yes"</formula>
    </cfRule>
  </conditionalFormatting>
  <conditionalFormatting sqref="Q23">
    <cfRule type="containsText" dxfId="1227" priority="177" operator="containsText" text="SI">
      <formula>NOT(ISERROR(SEARCH("SI",Q23)))</formula>
    </cfRule>
  </conditionalFormatting>
  <conditionalFormatting sqref="F25 H25">
    <cfRule type="cellIs" dxfId="1226" priority="174" operator="equal">
      <formula>"Yes"</formula>
    </cfRule>
  </conditionalFormatting>
  <conditionalFormatting sqref="Q25">
    <cfRule type="containsText" dxfId="1225" priority="173" operator="containsText" text="SI">
      <formula>NOT(ISERROR(SEARCH("SI",Q25)))</formula>
    </cfRule>
  </conditionalFormatting>
  <conditionalFormatting sqref="F26 H26">
    <cfRule type="cellIs" dxfId="1224" priority="170" operator="equal">
      <formula>"Yes"</formula>
    </cfRule>
  </conditionalFormatting>
  <conditionalFormatting sqref="Q26">
    <cfRule type="containsText" dxfId="1223" priority="169" operator="containsText" text="SI">
      <formula>NOT(ISERROR(SEARCH("SI",Q26)))</formula>
    </cfRule>
  </conditionalFormatting>
  <conditionalFormatting sqref="H15 F15">
    <cfRule type="cellIs" dxfId="1222" priority="166" operator="equal">
      <formula>"Yes"</formula>
    </cfRule>
  </conditionalFormatting>
  <conditionalFormatting sqref="D15">
    <cfRule type="containsText" dxfId="1221" priority="164" operator="containsText" text="check">
      <formula>NOT(ISERROR(SEARCH("check",D15)))</formula>
    </cfRule>
    <cfRule type="cellIs" dxfId="1220" priority="165" operator="equal">
      <formula>"???"</formula>
    </cfRule>
  </conditionalFormatting>
  <conditionalFormatting sqref="A30:C30 P30:Y30">
    <cfRule type="containsText" dxfId="1219" priority="162" operator="containsText" text="check">
      <formula>NOT(ISERROR(SEARCH("check",A30)))</formula>
    </cfRule>
    <cfRule type="cellIs" dxfId="1218" priority="163" operator="equal">
      <formula>"???"</formula>
    </cfRule>
  </conditionalFormatting>
  <conditionalFormatting sqref="Q30">
    <cfRule type="containsText" dxfId="1217" priority="161" operator="containsText" text="SI">
      <formula>NOT(ISERROR(SEARCH("SI",Q30)))</formula>
    </cfRule>
  </conditionalFormatting>
  <conditionalFormatting sqref="Q31">
    <cfRule type="containsText" dxfId="1216" priority="158" operator="containsText" text="SI">
      <formula>NOT(ISERROR(SEARCH("SI",Q31)))</formula>
    </cfRule>
  </conditionalFormatting>
  <conditionalFormatting sqref="D30">
    <cfRule type="containsText" dxfId="1215" priority="156" operator="containsText" text="check">
      <formula>NOT(ISERROR(SEARCH("check",D30)))</formula>
    </cfRule>
    <cfRule type="cellIs" dxfId="1214" priority="157" operator="equal">
      <formula>"???"</formula>
    </cfRule>
  </conditionalFormatting>
  <conditionalFormatting sqref="F30:H30">
    <cfRule type="containsText" dxfId="1213" priority="154" operator="containsText" text="check">
      <formula>NOT(ISERROR(SEARCH("check",F30)))</formula>
    </cfRule>
    <cfRule type="cellIs" dxfId="1212" priority="155" operator="equal">
      <formula>"???"</formula>
    </cfRule>
  </conditionalFormatting>
  <conditionalFormatting sqref="H30 F30">
    <cfRule type="cellIs" dxfId="1211" priority="153" operator="equal">
      <formula>"Yes"</formula>
    </cfRule>
  </conditionalFormatting>
  <conditionalFormatting sqref="F31 H31">
    <cfRule type="cellIs" dxfId="1210" priority="150" operator="equal">
      <formula>"Yes"</formula>
    </cfRule>
  </conditionalFormatting>
  <conditionalFormatting sqref="A32:K32 O32:Y32">
    <cfRule type="containsText" dxfId="1209" priority="148" operator="containsText" text="check">
      <formula>NOT(ISERROR(SEARCH("check",A32)))</formula>
    </cfRule>
    <cfRule type="cellIs" dxfId="1208" priority="149" operator="equal">
      <formula>"???"</formula>
    </cfRule>
  </conditionalFormatting>
  <conditionalFormatting sqref="F32 H32">
    <cfRule type="cellIs" dxfId="1207" priority="147" operator="equal">
      <formula>"Yes"</formula>
    </cfRule>
  </conditionalFormatting>
  <conditionalFormatting sqref="Q32">
    <cfRule type="containsText" dxfId="1206" priority="146" operator="containsText" text="SI">
      <formula>NOT(ISERROR(SEARCH("SI",Q32)))</formula>
    </cfRule>
  </conditionalFormatting>
  <conditionalFormatting sqref="E33">
    <cfRule type="containsText" dxfId="1205" priority="144" operator="containsText" text="check">
      <formula>NOT(ISERROR(SEARCH("check",E33)))</formula>
    </cfRule>
    <cfRule type="cellIs" dxfId="1204" priority="145" operator="equal">
      <formula>"???"</formula>
    </cfRule>
  </conditionalFormatting>
  <conditionalFormatting sqref="L11:N11">
    <cfRule type="containsText" dxfId="1203" priority="142" operator="containsText" text="check">
      <formula>NOT(ISERROR(SEARCH("check",L11)))</formula>
    </cfRule>
    <cfRule type="cellIs" dxfId="1202" priority="143" operator="equal">
      <formula>"???"</formula>
    </cfRule>
  </conditionalFormatting>
  <conditionalFormatting sqref="L12:N12">
    <cfRule type="containsText" dxfId="1201" priority="140" operator="containsText" text="check">
      <formula>NOT(ISERROR(SEARCH("check",L12)))</formula>
    </cfRule>
    <cfRule type="cellIs" dxfId="1200" priority="141" operator="equal">
      <formula>"???"</formula>
    </cfRule>
  </conditionalFormatting>
  <conditionalFormatting sqref="E11:E13">
    <cfRule type="containsText" dxfId="1199" priority="138" operator="containsText" text="check">
      <formula>NOT(ISERROR(SEARCH("check",E11)))</formula>
    </cfRule>
    <cfRule type="cellIs" dxfId="1198" priority="139" operator="equal">
      <formula>"???"</formula>
    </cfRule>
  </conditionalFormatting>
  <conditionalFormatting sqref="I15:K15">
    <cfRule type="containsText" dxfId="1197" priority="136" operator="containsText" text="check">
      <formula>NOT(ISERROR(SEARCH("check",I15)))</formula>
    </cfRule>
    <cfRule type="cellIs" dxfId="1196" priority="137" operator="equal">
      <formula>"???"</formula>
    </cfRule>
  </conditionalFormatting>
  <conditionalFormatting sqref="L24:O24">
    <cfRule type="containsText" dxfId="1195" priority="118" operator="containsText" text="check">
      <formula>NOT(ISERROR(SEARCH("check",L24)))</formula>
    </cfRule>
    <cfRule type="cellIs" dxfId="1194" priority="119" operator="equal">
      <formula>"???"</formula>
    </cfRule>
  </conditionalFormatting>
  <conditionalFormatting sqref="M26:N26">
    <cfRule type="containsText" dxfId="1193" priority="116" operator="containsText" text="check">
      <formula>NOT(ISERROR(SEARCH("check",M26)))</formula>
    </cfRule>
    <cfRule type="cellIs" dxfId="1192" priority="117" operator="equal">
      <formula>"???"</formula>
    </cfRule>
  </conditionalFormatting>
  <conditionalFormatting sqref="V15">
    <cfRule type="containsText" dxfId="1191" priority="134" operator="containsText" text="check">
      <formula>NOT(ISERROR(SEARCH("check",V15)))</formula>
    </cfRule>
    <cfRule type="cellIs" dxfId="1190" priority="135" operator="equal">
      <formula>"???"</formula>
    </cfRule>
  </conditionalFormatting>
  <conditionalFormatting sqref="Q15:Q17">
    <cfRule type="containsText" dxfId="1189" priority="132" operator="containsText" text="check">
      <formula>NOT(ISERROR(SEARCH("check",Q15)))</formula>
    </cfRule>
    <cfRule type="cellIs" dxfId="1188" priority="133" operator="equal">
      <formula>"???"</formula>
    </cfRule>
  </conditionalFormatting>
  <conditionalFormatting sqref="Q15:Q17">
    <cfRule type="containsText" dxfId="1187" priority="131" operator="containsText" text="SI">
      <formula>NOT(ISERROR(SEARCH("SI",Q15)))</formula>
    </cfRule>
  </conditionalFormatting>
  <conditionalFormatting sqref="G20:H20">
    <cfRule type="containsText" dxfId="1186" priority="127" operator="containsText" text="check">
      <formula>NOT(ISERROR(SEARCH("check",G20)))</formula>
    </cfRule>
    <cfRule type="cellIs" dxfId="1185" priority="128" operator="equal">
      <formula>"???"</formula>
    </cfRule>
  </conditionalFormatting>
  <conditionalFormatting sqref="H20">
    <cfRule type="cellIs" dxfId="1184" priority="126" operator="equal">
      <formula>"Yes"</formula>
    </cfRule>
  </conditionalFormatting>
  <conditionalFormatting sqref="I20:K20">
    <cfRule type="containsText" dxfId="1183" priority="124" operator="containsText" text="check">
      <formula>NOT(ISERROR(SEARCH("check",I20)))</formula>
    </cfRule>
    <cfRule type="cellIs" dxfId="1182" priority="125" operator="equal">
      <formula>"???"</formula>
    </cfRule>
  </conditionalFormatting>
  <conditionalFormatting sqref="A21:D21 H21 L21:Y21">
    <cfRule type="containsText" dxfId="1181" priority="122" operator="containsText" text="check">
      <formula>NOT(ISERROR(SEARCH("check",A21)))</formula>
    </cfRule>
    <cfRule type="cellIs" dxfId="1180" priority="123" operator="equal">
      <formula>"???"</formula>
    </cfRule>
  </conditionalFormatting>
  <conditionalFormatting sqref="H21">
    <cfRule type="cellIs" dxfId="1179" priority="121" operator="equal">
      <formula>"Yes"</formula>
    </cfRule>
  </conditionalFormatting>
  <conditionalFormatting sqref="Q21">
    <cfRule type="containsText" dxfId="1178" priority="120" operator="containsText" text="SI">
      <formula>NOT(ISERROR(SEARCH("SI",Q21)))</formula>
    </cfRule>
  </conditionalFormatting>
  <conditionalFormatting sqref="E30">
    <cfRule type="containsText" dxfId="1177" priority="110" operator="containsText" text="check">
      <formula>NOT(ISERROR(SEARCH("check",E30)))</formula>
    </cfRule>
    <cfRule type="cellIs" dxfId="1176" priority="111" operator="equal">
      <formula>"???"</formula>
    </cfRule>
  </conditionalFormatting>
  <conditionalFormatting sqref="O26">
    <cfRule type="containsText" dxfId="1175" priority="114" operator="containsText" text="check">
      <formula>NOT(ISERROR(SEARCH("check",O26)))</formula>
    </cfRule>
    <cfRule type="cellIs" dxfId="1174" priority="115" operator="equal">
      <formula>"???"</formula>
    </cfRule>
  </conditionalFormatting>
  <conditionalFormatting sqref="I22:K22">
    <cfRule type="containsText" dxfId="1173" priority="102" operator="containsText" text="check">
      <formula>NOT(ISERROR(SEARCH("check",I22)))</formula>
    </cfRule>
    <cfRule type="cellIs" dxfId="1172" priority="103" operator="equal">
      <formula>"???"</formula>
    </cfRule>
  </conditionalFormatting>
  <conditionalFormatting sqref="L7:N7">
    <cfRule type="containsText" dxfId="1171" priority="104" operator="containsText" text="check">
      <formula>NOT(ISERROR(SEARCH("check",L7)))</formula>
    </cfRule>
    <cfRule type="cellIs" dxfId="1170" priority="105" operator="equal">
      <formula>"???"</formula>
    </cfRule>
  </conditionalFormatting>
  <conditionalFormatting sqref="E28">
    <cfRule type="containsText" dxfId="1169" priority="112" operator="containsText" text="check">
      <formula>NOT(ISERROR(SEARCH("check",E28)))</formula>
    </cfRule>
    <cfRule type="cellIs" dxfId="1168" priority="113" operator="equal">
      <formula>"???"</formula>
    </cfRule>
  </conditionalFormatting>
  <conditionalFormatting sqref="I21:K21">
    <cfRule type="containsText" dxfId="1167" priority="82" operator="containsText" text="check">
      <formula>NOT(ISERROR(SEARCH("check",I21)))</formula>
    </cfRule>
    <cfRule type="cellIs" dxfId="1166" priority="83" operator="equal">
      <formula>"???"</formula>
    </cfRule>
  </conditionalFormatting>
  <conditionalFormatting sqref="O30">
    <cfRule type="containsText" dxfId="1165" priority="108" operator="containsText" text="check">
      <formula>NOT(ISERROR(SEARCH("check",O30)))</formula>
    </cfRule>
    <cfRule type="cellIs" dxfId="1164" priority="109" operator="equal">
      <formula>"???"</formula>
    </cfRule>
  </conditionalFormatting>
  <conditionalFormatting sqref="I24:K24">
    <cfRule type="containsText" dxfId="1163" priority="78" operator="containsText" text="check">
      <formula>NOT(ISERROR(SEARCH("check",I24)))</formula>
    </cfRule>
    <cfRule type="cellIs" dxfId="1162" priority="79" operator="equal">
      <formula>"???"</formula>
    </cfRule>
  </conditionalFormatting>
  <conditionalFormatting sqref="L33:N33">
    <cfRule type="containsText" dxfId="1161" priority="106" operator="containsText" text="check">
      <formula>NOT(ISERROR(SEARCH("check",L33)))</formula>
    </cfRule>
    <cfRule type="cellIs" dxfId="1160" priority="107" operator="equal">
      <formula>"???"</formula>
    </cfRule>
  </conditionalFormatting>
  <conditionalFormatting sqref="I11:K13">
    <cfRule type="containsText" dxfId="1159" priority="74" operator="containsText" text="check">
      <formula>NOT(ISERROR(SEARCH("check",I11)))</formula>
    </cfRule>
    <cfRule type="cellIs" dxfId="1158" priority="75" operator="equal">
      <formula>"???"</formula>
    </cfRule>
  </conditionalFormatting>
  <conditionalFormatting sqref="L32:N32">
    <cfRule type="containsText" dxfId="1157" priority="96" operator="containsText" text="check">
      <formula>NOT(ISERROR(SEARCH("check",L32)))</formula>
    </cfRule>
    <cfRule type="cellIs" dxfId="1156" priority="97" operator="equal">
      <formula>"???"</formula>
    </cfRule>
  </conditionalFormatting>
  <conditionalFormatting sqref="L13:N13">
    <cfRule type="containsText" dxfId="1155" priority="100" operator="containsText" text="check">
      <formula>NOT(ISERROR(SEARCH("check",L13)))</formula>
    </cfRule>
    <cfRule type="cellIs" dxfId="1154" priority="101" operator="equal">
      <formula>"???"</formula>
    </cfRule>
  </conditionalFormatting>
  <conditionalFormatting sqref="I30:K30">
    <cfRule type="containsText" dxfId="1153" priority="98" operator="containsText" text="check">
      <formula>NOT(ISERROR(SEARCH("check",I30)))</formula>
    </cfRule>
    <cfRule type="cellIs" dxfId="1152" priority="99" operator="equal">
      <formula>"???"</formula>
    </cfRule>
  </conditionalFormatting>
  <conditionalFormatting sqref="A37:H37 Y37">
    <cfRule type="containsText" dxfId="1151" priority="58" operator="containsText" text="check">
      <formula>NOT(ISERROR(SEARCH("check",A37)))</formula>
    </cfRule>
    <cfRule type="cellIs" dxfId="1150" priority="59" operator="equal">
      <formula>"???"</formula>
    </cfRule>
  </conditionalFormatting>
  <conditionalFormatting sqref="I33:K33">
    <cfRule type="containsText" dxfId="1149" priority="94" operator="containsText" text="check">
      <formula>NOT(ISERROR(SEARCH("check",I33)))</formula>
    </cfRule>
    <cfRule type="cellIs" dxfId="1148" priority="95" operator="equal">
      <formula>"???"</formula>
    </cfRule>
  </conditionalFormatting>
  <conditionalFormatting sqref="L10:N10">
    <cfRule type="containsText" dxfId="1147" priority="92" operator="containsText" text="check">
      <formula>NOT(ISERROR(SEARCH("check",L10)))</formula>
    </cfRule>
    <cfRule type="cellIs" dxfId="1146" priority="93" operator="equal">
      <formula>"???"</formula>
    </cfRule>
  </conditionalFormatting>
  <conditionalFormatting sqref="L22:N22">
    <cfRule type="containsText" dxfId="1145" priority="80" operator="containsText" text="check">
      <formula>NOT(ISERROR(SEARCH("check",L22)))</formula>
    </cfRule>
    <cfRule type="cellIs" dxfId="1144" priority="81" operator="equal">
      <formula>"???"</formula>
    </cfRule>
  </conditionalFormatting>
  <conditionalFormatting sqref="I16:K16">
    <cfRule type="containsText" dxfId="1143" priority="90" operator="containsText" text="check">
      <formula>NOT(ISERROR(SEARCH("check",I16)))</formula>
    </cfRule>
    <cfRule type="cellIs" dxfId="1142" priority="91" operator="equal">
      <formula>"???"</formula>
    </cfRule>
  </conditionalFormatting>
  <conditionalFormatting sqref="I18:K18">
    <cfRule type="containsText" dxfId="1141" priority="88" operator="containsText" text="check">
      <formula>NOT(ISERROR(SEARCH("check",I18)))</formula>
    </cfRule>
    <cfRule type="cellIs" dxfId="1140" priority="89" operator="equal">
      <formula>"???"</formula>
    </cfRule>
  </conditionalFormatting>
  <conditionalFormatting sqref="L17:N17">
    <cfRule type="containsText" dxfId="1139" priority="86" operator="containsText" text="check">
      <formula>NOT(ISERROR(SEARCH("check",L17)))</formula>
    </cfRule>
    <cfRule type="cellIs" dxfId="1138" priority="87" operator="equal">
      <formula>"???"</formula>
    </cfRule>
  </conditionalFormatting>
  <conditionalFormatting sqref="L19:N19">
    <cfRule type="containsText" dxfId="1137" priority="84" operator="containsText" text="check">
      <formula>NOT(ISERROR(SEARCH("check",L19)))</formula>
    </cfRule>
    <cfRule type="cellIs" dxfId="1136" priority="85" operator="equal">
      <formula>"???"</formula>
    </cfRule>
  </conditionalFormatting>
  <conditionalFormatting sqref="I17:K17">
    <cfRule type="containsText" dxfId="1135" priority="70" operator="containsText" text="check">
      <formula>NOT(ISERROR(SEARCH("check",I17)))</formula>
    </cfRule>
    <cfRule type="cellIs" dxfId="1134" priority="71" operator="equal">
      <formula>"???"</formula>
    </cfRule>
  </conditionalFormatting>
  <conditionalFormatting sqref="D31">
    <cfRule type="containsText" dxfId="1133" priority="60" operator="containsText" text="check">
      <formula>NOT(ISERROR(SEARCH("check",D31)))</formula>
    </cfRule>
    <cfRule type="cellIs" dxfId="1132" priority="61" operator="equal">
      <formula>"???"</formula>
    </cfRule>
  </conditionalFormatting>
  <conditionalFormatting sqref="I26:K26 I28:K28">
    <cfRule type="containsText" dxfId="1131" priority="76" operator="containsText" text="check">
      <formula>NOT(ISERROR(SEARCH("check",I26)))</formula>
    </cfRule>
    <cfRule type="cellIs" dxfId="1130" priority="77" operator="equal">
      <formula>"???"</formula>
    </cfRule>
  </conditionalFormatting>
  <conditionalFormatting sqref="L16:N16">
    <cfRule type="containsText" dxfId="1129" priority="72" operator="containsText" text="check">
      <formula>NOT(ISERROR(SEARCH("check",L16)))</formula>
    </cfRule>
    <cfRule type="cellIs" dxfId="1128" priority="73" operator="equal">
      <formula>"???"</formula>
    </cfRule>
  </conditionalFormatting>
  <conditionalFormatting sqref="L37:N37">
    <cfRule type="containsText" dxfId="1127" priority="52" operator="containsText" text="check">
      <formula>NOT(ISERROR(SEARCH("check",L37)))</formula>
    </cfRule>
    <cfRule type="cellIs" dxfId="1126" priority="53" operator="equal">
      <formula>"???"</formula>
    </cfRule>
  </conditionalFormatting>
  <conditionalFormatting sqref="L28:N28">
    <cfRule type="containsText" dxfId="1125" priority="68" operator="containsText" text="check">
      <formula>NOT(ISERROR(SEARCH("check",L28)))</formula>
    </cfRule>
    <cfRule type="cellIs" dxfId="1124" priority="69" operator="equal">
      <formula>"???"</formula>
    </cfRule>
  </conditionalFormatting>
  <conditionalFormatting sqref="L30:N30">
    <cfRule type="containsText" dxfId="1123" priority="66" operator="containsText" text="check">
      <formula>NOT(ISERROR(SEARCH("check",L30)))</formula>
    </cfRule>
    <cfRule type="cellIs" dxfId="1122" priority="67" operator="equal">
      <formula>"???"</formula>
    </cfRule>
  </conditionalFormatting>
  <conditionalFormatting sqref="I25:K25">
    <cfRule type="containsText" dxfId="1121" priority="64" operator="containsText" text="check">
      <formula>NOT(ISERROR(SEARCH("check",I25)))</formula>
    </cfRule>
    <cfRule type="cellIs" dxfId="1120" priority="65" operator="equal">
      <formula>"???"</formula>
    </cfRule>
  </conditionalFormatting>
  <conditionalFormatting sqref="E25">
    <cfRule type="containsText" dxfId="1119" priority="62" operator="containsText" text="check">
      <formula>NOT(ISERROR(SEARCH("check",E25)))</formula>
    </cfRule>
    <cfRule type="cellIs" dxfId="1118" priority="63" operator="equal">
      <formula>"???"</formula>
    </cfRule>
  </conditionalFormatting>
  <conditionalFormatting sqref="H37 F37">
    <cfRule type="cellIs" dxfId="1117" priority="57" operator="equal">
      <formula>"Yes"</formula>
    </cfRule>
  </conditionalFormatting>
  <conditionalFormatting sqref="O37:X37">
    <cfRule type="containsText" dxfId="1116" priority="55" operator="containsText" text="check">
      <formula>NOT(ISERROR(SEARCH("check",O37)))</formula>
    </cfRule>
    <cfRule type="cellIs" dxfId="1115" priority="56" operator="equal">
      <formula>"???"</formula>
    </cfRule>
  </conditionalFormatting>
  <conditionalFormatting sqref="Q37">
    <cfRule type="containsText" dxfId="1114" priority="54" operator="containsText" text="SI">
      <formula>NOT(ISERROR(SEARCH("SI",Q37)))</formula>
    </cfRule>
  </conditionalFormatting>
  <conditionalFormatting sqref="I37:K37">
    <cfRule type="containsText" dxfId="1113" priority="50" operator="containsText" text="check">
      <formula>NOT(ISERROR(SEARCH("check",I37)))</formula>
    </cfRule>
    <cfRule type="cellIs" dxfId="1112" priority="51" operator="equal">
      <formula>"???"</formula>
    </cfRule>
  </conditionalFormatting>
  <conditionalFormatting sqref="A36:H36 M36:Y36">
    <cfRule type="containsText" dxfId="1111" priority="48" operator="containsText" text="check">
      <formula>NOT(ISERROR(SEARCH("check",A36)))</formula>
    </cfRule>
    <cfRule type="cellIs" dxfId="1110" priority="49" operator="equal">
      <formula>"???"</formula>
    </cfRule>
  </conditionalFormatting>
  <conditionalFormatting sqref="I36:K36">
    <cfRule type="containsText" dxfId="1109" priority="44" operator="containsText" text="check">
      <formula>NOT(ISERROR(SEARCH("check",I36)))</formula>
    </cfRule>
    <cfRule type="cellIs" dxfId="1108" priority="45" operator="equal">
      <formula>"???"</formula>
    </cfRule>
  </conditionalFormatting>
  <conditionalFormatting sqref="F36 H36">
    <cfRule type="cellIs" dxfId="1107" priority="47" operator="equal">
      <formula>"Yes"</formula>
    </cfRule>
  </conditionalFormatting>
  <conditionalFormatting sqref="Q36">
    <cfRule type="containsText" dxfId="1106" priority="46" operator="containsText" text="SI">
      <formula>NOT(ISERROR(SEARCH("SI",Q36)))</formula>
    </cfRule>
  </conditionalFormatting>
  <conditionalFormatting sqref="L36">
    <cfRule type="containsText" dxfId="1105" priority="42" operator="containsText" text="check">
      <formula>NOT(ISERROR(SEARCH("check",L36)))</formula>
    </cfRule>
    <cfRule type="cellIs" dxfId="1104" priority="43" operator="equal">
      <formula>"???"</formula>
    </cfRule>
  </conditionalFormatting>
  <conditionalFormatting sqref="A14:D14 O14:P14 R14:Y14 F14:H14">
    <cfRule type="containsText" dxfId="1103" priority="40" operator="containsText" text="check">
      <formula>NOT(ISERROR(SEARCH("check",A14)))</formula>
    </cfRule>
    <cfRule type="cellIs" dxfId="1102" priority="41" operator="equal">
      <formula>"???"</formula>
    </cfRule>
  </conditionalFormatting>
  <conditionalFormatting sqref="H14 F14">
    <cfRule type="cellIs" dxfId="1101" priority="39" operator="equal">
      <formula>"Yes"</formula>
    </cfRule>
  </conditionalFormatting>
  <conditionalFormatting sqref="Q14">
    <cfRule type="containsText" dxfId="1100" priority="36" operator="containsText" text="SI">
      <formula>NOT(ISERROR(SEARCH("SI",Q14)))</formula>
    </cfRule>
  </conditionalFormatting>
  <conditionalFormatting sqref="E14">
    <cfRule type="containsText" dxfId="1099" priority="34" operator="containsText" text="check">
      <formula>NOT(ISERROR(SEARCH("check",E14)))</formula>
    </cfRule>
    <cfRule type="cellIs" dxfId="1098" priority="35" operator="equal">
      <formula>"???"</formula>
    </cfRule>
  </conditionalFormatting>
  <conditionalFormatting sqref="A27:C27 O27:Y27 E27:F27 H27">
    <cfRule type="containsText" dxfId="1097" priority="32" operator="containsText" text="check">
      <formula>NOT(ISERROR(SEARCH("check",A27)))</formula>
    </cfRule>
    <cfRule type="cellIs" dxfId="1096" priority="33" operator="equal">
      <formula>"???"</formula>
    </cfRule>
  </conditionalFormatting>
  <conditionalFormatting sqref="F27 H27">
    <cfRule type="cellIs" dxfId="1095" priority="31" operator="equal">
      <formula>"Yes"</formula>
    </cfRule>
  </conditionalFormatting>
  <conditionalFormatting sqref="Q27">
    <cfRule type="containsText" dxfId="1094" priority="30" operator="containsText" text="SI">
      <formula>NOT(ISERROR(SEARCH("SI",Q27)))</formula>
    </cfRule>
  </conditionalFormatting>
  <conditionalFormatting sqref="D27">
    <cfRule type="containsText" dxfId="1093" priority="28" operator="containsText" text="check">
      <formula>NOT(ISERROR(SEARCH("check",D27)))</formula>
    </cfRule>
    <cfRule type="cellIs" dxfId="1092" priority="29" operator="equal">
      <formula>"???"</formula>
    </cfRule>
  </conditionalFormatting>
  <conditionalFormatting sqref="G27">
    <cfRule type="containsText" dxfId="1091" priority="26" operator="containsText" text="check">
      <formula>NOT(ISERROR(SEARCH("check",G27)))</formula>
    </cfRule>
    <cfRule type="cellIs" dxfId="1090" priority="27" operator="equal">
      <formula>"???"</formula>
    </cfRule>
  </conditionalFormatting>
  <conditionalFormatting sqref="A29:D29 P29:Y29 F29 H29">
    <cfRule type="containsText" dxfId="1089" priority="24" operator="containsText" text="check">
      <formula>NOT(ISERROR(SEARCH("check",A29)))</formula>
    </cfRule>
    <cfRule type="cellIs" dxfId="1088" priority="25" operator="equal">
      <formula>"???"</formula>
    </cfRule>
  </conditionalFormatting>
  <conditionalFormatting sqref="F29 H29">
    <cfRule type="cellIs" dxfId="1087" priority="23" operator="equal">
      <formula>"Yes"</formula>
    </cfRule>
  </conditionalFormatting>
  <conditionalFormatting sqref="Q29">
    <cfRule type="containsText" dxfId="1086" priority="22" operator="containsText" text="SI">
      <formula>NOT(ISERROR(SEARCH("SI",Q29)))</formula>
    </cfRule>
  </conditionalFormatting>
  <conditionalFormatting sqref="O29">
    <cfRule type="containsText" dxfId="1085" priority="16" operator="containsText" text="check">
      <formula>NOT(ISERROR(SEARCH("check",O29)))</formula>
    </cfRule>
    <cfRule type="cellIs" dxfId="1084" priority="17" operator="equal">
      <formula>"???"</formula>
    </cfRule>
  </conditionalFormatting>
  <conditionalFormatting sqref="G29">
    <cfRule type="containsText" dxfId="1083" priority="18" operator="containsText" text="check">
      <formula>NOT(ISERROR(SEARCH("check",G29)))</formula>
    </cfRule>
    <cfRule type="cellIs" dxfId="1082" priority="19" operator="equal">
      <formula>"???"</formula>
    </cfRule>
  </conditionalFormatting>
  <conditionalFormatting sqref="E29">
    <cfRule type="containsText" dxfId="1081" priority="20" operator="containsText" text="check">
      <formula>NOT(ISERROR(SEARCH("check",E29)))</formula>
    </cfRule>
    <cfRule type="cellIs" dxfId="1080" priority="21" operator="equal">
      <formula>"???"</formula>
    </cfRule>
  </conditionalFormatting>
  <conditionalFormatting sqref="I14:K14">
    <cfRule type="containsText" dxfId="1079" priority="14" operator="containsText" text="check">
      <formula>NOT(ISERROR(SEARCH("check",I14)))</formula>
    </cfRule>
    <cfRule type="cellIs" dxfId="1078" priority="15" operator="equal">
      <formula>"???"</formula>
    </cfRule>
  </conditionalFormatting>
  <conditionalFormatting sqref="L14:N14">
    <cfRule type="containsText" dxfId="1077" priority="12" operator="containsText" text="check">
      <formula>NOT(ISERROR(SEARCH("check",L14)))</formula>
    </cfRule>
    <cfRule type="cellIs" dxfId="1076" priority="13" operator="equal">
      <formula>"???"</formula>
    </cfRule>
  </conditionalFormatting>
  <conditionalFormatting sqref="I27:K27">
    <cfRule type="containsText" dxfId="1075" priority="10" operator="containsText" text="check">
      <formula>NOT(ISERROR(SEARCH("check",I27)))</formula>
    </cfRule>
    <cfRule type="cellIs" dxfId="1074" priority="11" operator="equal">
      <formula>"???"</formula>
    </cfRule>
  </conditionalFormatting>
  <conditionalFormatting sqref="L27:N27">
    <cfRule type="containsText" dxfId="1073" priority="8" operator="containsText" text="check">
      <formula>NOT(ISERROR(SEARCH("check",L27)))</formula>
    </cfRule>
    <cfRule type="cellIs" dxfId="1072" priority="9" operator="equal">
      <formula>"???"</formula>
    </cfRule>
  </conditionalFormatting>
  <conditionalFormatting sqref="I29:K29">
    <cfRule type="containsText" dxfId="1071" priority="6" operator="containsText" text="check">
      <formula>NOT(ISERROR(SEARCH("check",I29)))</formula>
    </cfRule>
    <cfRule type="cellIs" dxfId="1070" priority="7" operator="equal">
      <formula>"???"</formula>
    </cfRule>
  </conditionalFormatting>
  <conditionalFormatting sqref="L29:N29">
    <cfRule type="containsText" dxfId="1069" priority="4" operator="containsText" text="check">
      <formula>NOT(ISERROR(SEARCH("check",L29)))</formula>
    </cfRule>
    <cfRule type="cellIs" dxfId="1068" priority="5" operator="equal">
      <formula>"???"</formula>
    </cfRule>
  </conditionalFormatting>
  <conditionalFormatting sqref="E21:G22">
    <cfRule type="containsText" dxfId="1067" priority="2" operator="containsText" text="check">
      <formula>NOT(ISERROR(SEARCH("check",E21)))</formula>
    </cfRule>
    <cfRule type="cellIs" dxfId="1066" priority="3" operator="equal">
      <formula>"???"</formula>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D7D063AA-8D47-41F0-80C6-D6F462315945}">
          <x14:formula1>
            <xm:f>Tables!$C$7:$C$70</xm:f>
          </x14:formula1>
          <xm:sqref>O38:O114</xm:sqref>
        </x14:dataValidation>
        <x14:dataValidation type="list" allowBlank="1" showInputMessage="1" showErrorMessage="1" xr:uid="{0B09F13B-10AB-4B1A-9B39-155DB2F95F67}">
          <x14:formula1>
            <xm:f>Tables!$B$7:$B$10</xm:f>
          </x14:formula1>
          <xm:sqref>H38:H114 F38:F114</xm:sqref>
        </x14:dataValidation>
        <x14:dataValidation type="list" allowBlank="1" showInputMessage="1" showErrorMessage="1" xr:uid="{4EC877CC-1C7A-4AEA-A658-C2A91DD6AD8C}">
          <x14:formula1>
            <xm:f>Tables!$J$7:$J$19</xm:f>
          </x14:formula1>
          <xm:sqref>Q38:Q114</xm:sqref>
        </x14:dataValidation>
        <x14:dataValidation type="list" allowBlank="1" showInputMessage="1" showErrorMessage="1" xr:uid="{986677FB-743F-4882-9952-50A1E2B763D5}">
          <x14:formula1>
            <xm:f>Tables!$G$7:$G$11</xm:f>
          </x14:formula1>
          <xm:sqref>U38:U114</xm:sqref>
        </x14:dataValidation>
        <x14:dataValidation type="list" allowBlank="1" showInputMessage="1" showErrorMessage="1" xr:uid="{1D2B596C-AED9-486B-83CE-8593CCB7394C}">
          <x14:formula1>
            <xm:f>Tables!$D$7:$D$10</xm:f>
          </x14:formula1>
          <xm:sqref>R38:R114</xm:sqref>
        </x14:dataValidation>
        <x14:dataValidation type="list" allowBlank="1" showInputMessage="1" showErrorMessage="1" xr:uid="{86AD3665-30B5-4CB7-8727-FFC5FC66A66F}">
          <x14:formula1>
            <xm:f>Tables!$E$7:$E$11</xm:f>
          </x14:formula1>
          <xm:sqref>V38:V114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rgb="FF7030A0"/>
  </sheetPr>
  <dimension ref="A1:Y106"/>
  <sheetViews>
    <sheetView zoomScaleNormal="100" workbookViewId="0">
      <pane ySplit="6" topLeftCell="A7" activePane="bottomLeft" state="frozen"/>
      <selection pane="bottomLeft" activeCell="J9" sqref="J9"/>
    </sheetView>
  </sheetViews>
  <sheetFormatPr baseColWidth="10" defaultColWidth="9.1640625" defaultRowHeight="15" outlineLevelRow="1" outlineLevelCol="1" x14ac:dyDescent="0.2"/>
  <cols>
    <col min="1" max="1" width="15.5" style="141" customWidth="1"/>
    <col min="2" max="2" width="5.5" style="142" customWidth="1"/>
    <col min="3" max="3" width="4.1640625" style="141" customWidth="1"/>
    <col min="4" max="4" width="41.1640625" style="143" customWidth="1"/>
    <col min="5" max="5" width="19.5" style="141" customWidth="1"/>
    <col min="6" max="6" width="6.5" style="142" customWidth="1"/>
    <col min="7" max="7" width="16.5" style="141" customWidth="1"/>
    <col min="8" max="8" width="6.5" style="142" customWidth="1"/>
    <col min="9" max="9" width="9.83203125" style="141" customWidth="1"/>
    <col min="10" max="10" width="14.5" style="141" customWidth="1"/>
    <col min="11" max="11" width="13.83203125" style="141" customWidth="1"/>
    <col min="12" max="12" width="16.33203125" style="141" customWidth="1"/>
    <col min="13" max="13" width="27.5" style="141" customWidth="1"/>
    <col min="14" max="14" width="12.83203125" style="141" customWidth="1"/>
    <col min="15" max="15" width="18.5" style="142" customWidth="1"/>
    <col min="16" max="16" width="13.1640625" style="142" customWidth="1"/>
    <col min="17" max="17" width="13.5" style="144" customWidth="1"/>
    <col min="18" max="18" width="19.1640625" style="141" customWidth="1"/>
    <col min="19" max="19" width="16.83203125" style="141" customWidth="1" outlineLevel="1"/>
    <col min="20" max="20" width="16.5" style="141" customWidth="1" outlineLevel="1"/>
    <col min="21" max="21" width="15" style="142" customWidth="1" outlineLevel="1"/>
    <col min="22" max="22" width="22" style="142" customWidth="1"/>
    <col min="23" max="23" width="35.5" style="141" customWidth="1"/>
    <col min="24" max="24" width="46.6640625" style="141" bestFit="1" customWidth="1"/>
    <col min="25" max="25" width="27.6640625" style="141" bestFit="1" customWidth="1"/>
    <col min="26" max="26" width="12.33203125" style="141" customWidth="1"/>
    <col min="27" max="16384" width="9.1640625" style="141"/>
  </cols>
  <sheetData>
    <row r="1" spans="1:25" hidden="1" outlineLevel="1" x14ac:dyDescent="0.2">
      <c r="A1" s="193"/>
      <c r="B1" s="194"/>
      <c r="C1" s="193"/>
      <c r="D1" s="201"/>
      <c r="E1" s="193"/>
      <c r="F1" s="194"/>
      <c r="G1" s="193"/>
      <c r="H1" s="194"/>
      <c r="I1" s="193"/>
      <c r="J1" s="193"/>
      <c r="K1" s="193"/>
      <c r="L1" s="193"/>
      <c r="M1" s="193"/>
      <c r="N1" s="193"/>
      <c r="O1" s="194"/>
      <c r="P1" s="194"/>
      <c r="Q1" s="195"/>
      <c r="R1" s="193"/>
      <c r="S1" s="193"/>
      <c r="T1" s="193"/>
      <c r="U1" s="194"/>
      <c r="V1" s="194"/>
      <c r="W1" s="193"/>
      <c r="X1" s="193"/>
      <c r="Y1" s="193"/>
    </row>
    <row r="2" spans="1:25" ht="24.75" hidden="1" customHeight="1" outlineLevel="1" x14ac:dyDescent="0.2">
      <c r="A2" s="193"/>
      <c r="B2" s="8"/>
      <c r="C2" s="5"/>
      <c r="D2" s="71"/>
      <c r="E2" s="5"/>
      <c r="F2" s="8"/>
      <c r="G2" s="5"/>
      <c r="H2" s="8"/>
      <c r="I2" s="145" t="s">
        <v>515</v>
      </c>
      <c r="J2" s="5"/>
      <c r="K2" s="5"/>
      <c r="L2" s="5"/>
      <c r="M2" s="5"/>
      <c r="N2" s="5"/>
      <c r="O2" s="8"/>
      <c r="P2" s="8"/>
      <c r="Q2" s="49"/>
      <c r="R2" s="5"/>
      <c r="S2" s="5"/>
      <c r="T2" s="5"/>
      <c r="U2" s="8"/>
      <c r="V2" s="8"/>
      <c r="W2" s="5"/>
      <c r="X2" s="5"/>
      <c r="Y2" s="5"/>
    </row>
    <row r="3" spans="1:25" hidden="1" outlineLevel="1" x14ac:dyDescent="0.2">
      <c r="A3" s="193"/>
      <c r="B3" s="8"/>
      <c r="C3" s="5"/>
      <c r="D3" s="71"/>
      <c r="E3" s="115" t="s">
        <v>264</v>
      </c>
      <c r="F3" s="5" t="str">
        <f>Versioning!F29</f>
        <v>2.01</v>
      </c>
      <c r="G3" s="5"/>
      <c r="H3" s="8"/>
      <c r="I3" s="5" t="s">
        <v>265</v>
      </c>
      <c r="J3" s="5"/>
      <c r="K3" s="5"/>
      <c r="L3" s="237" t="str">
        <f>Versioning!G6</f>
        <v>DIM-Infosphere</v>
      </c>
      <c r="M3" s="237"/>
      <c r="N3" s="5"/>
      <c r="O3" s="8"/>
      <c r="P3" s="8"/>
      <c r="Q3" s="49"/>
      <c r="R3" s="5"/>
      <c r="S3" s="5"/>
      <c r="T3" s="5"/>
      <c r="U3" s="8"/>
      <c r="V3" s="8"/>
      <c r="W3" s="5"/>
      <c r="X3" s="5"/>
      <c r="Y3" s="5"/>
    </row>
    <row r="4" spans="1:25" ht="18" hidden="1" customHeight="1" outlineLevel="1" x14ac:dyDescent="0.2">
      <c r="A4" s="193"/>
      <c r="B4" s="8"/>
      <c r="C4" s="5"/>
      <c r="D4" s="71"/>
      <c r="E4" s="5"/>
      <c r="F4" s="8"/>
      <c r="G4" s="5"/>
      <c r="H4" s="8"/>
      <c r="I4" s="33" t="s">
        <v>266</v>
      </c>
      <c r="J4" s="5"/>
      <c r="K4" s="5"/>
      <c r="L4" s="41" t="s">
        <v>267</v>
      </c>
      <c r="M4" s="5"/>
      <c r="N4" s="5"/>
      <c r="O4" s="8"/>
      <c r="P4" s="8"/>
      <c r="Q4" s="49"/>
      <c r="R4" s="5"/>
      <c r="S4" s="5"/>
      <c r="T4" s="5"/>
      <c r="U4" s="8"/>
      <c r="V4" s="8"/>
      <c r="W4" s="5"/>
      <c r="X4" s="5"/>
      <c r="Y4" s="5"/>
    </row>
    <row r="5" spans="1:25" hidden="1" outlineLevel="1" x14ac:dyDescent="0.2">
      <c r="A5" s="193"/>
      <c r="B5" s="238"/>
      <c r="C5" s="238"/>
      <c r="D5" s="238"/>
      <c r="E5" s="238"/>
      <c r="F5" s="77"/>
      <c r="G5" s="193"/>
      <c r="H5" s="194"/>
      <c r="I5" s="193"/>
      <c r="J5" s="193"/>
      <c r="K5" s="19"/>
      <c r="L5" s="19"/>
      <c r="M5" s="19"/>
      <c r="N5" s="196"/>
      <c r="O5" s="196"/>
      <c r="P5" s="193"/>
      <c r="Q5" s="195"/>
      <c r="R5" s="193"/>
      <c r="S5" s="193"/>
      <c r="T5" s="193"/>
      <c r="U5" s="194"/>
      <c r="V5" s="194"/>
      <c r="W5" s="193"/>
      <c r="X5" s="193"/>
      <c r="Y5" s="193"/>
    </row>
    <row r="6" spans="1:25" ht="70.5" customHeight="1" collapsed="1" x14ac:dyDescent="0.2">
      <c r="A6" s="146" t="s">
        <v>268</v>
      </c>
      <c r="B6" s="147" t="s">
        <v>145</v>
      </c>
      <c r="C6" s="148" t="s">
        <v>269</v>
      </c>
      <c r="D6" s="149" t="s">
        <v>270</v>
      </c>
      <c r="E6" s="148" t="s">
        <v>271</v>
      </c>
      <c r="F6" s="149" t="s">
        <v>272</v>
      </c>
      <c r="G6" s="150" t="s">
        <v>516</v>
      </c>
      <c r="H6" s="151" t="s">
        <v>272</v>
      </c>
      <c r="I6" s="148" t="s">
        <v>274</v>
      </c>
      <c r="J6" s="148" t="s">
        <v>275</v>
      </c>
      <c r="K6" s="148" t="s">
        <v>276</v>
      </c>
      <c r="L6" s="150" t="s">
        <v>277</v>
      </c>
      <c r="M6" s="152" t="s">
        <v>278</v>
      </c>
      <c r="N6" s="153" t="s">
        <v>279</v>
      </c>
      <c r="O6" s="154" t="s">
        <v>280</v>
      </c>
      <c r="P6" s="154" t="s">
        <v>281</v>
      </c>
      <c r="Q6" s="155" t="s">
        <v>282</v>
      </c>
      <c r="R6" s="156" t="s">
        <v>283</v>
      </c>
      <c r="S6" s="148" t="s">
        <v>284</v>
      </c>
      <c r="T6" s="148" t="s">
        <v>285</v>
      </c>
      <c r="U6" s="149" t="s">
        <v>286</v>
      </c>
      <c r="V6" s="155" t="s">
        <v>287</v>
      </c>
      <c r="W6" s="157" t="s">
        <v>202</v>
      </c>
      <c r="X6" s="157" t="s">
        <v>288</v>
      </c>
      <c r="Y6" s="158" t="s">
        <v>289</v>
      </c>
    </row>
    <row r="7" spans="1:25" s="136" customFormat="1" ht="16" x14ac:dyDescent="0.2">
      <c r="A7" s="133" t="s">
        <v>517</v>
      </c>
      <c r="B7" s="134">
        <f t="shared" ref="B7:B37" si="0" xml:space="preserve"> ROW(B7) - 6</f>
        <v>1</v>
      </c>
      <c r="C7" s="133">
        <v>1</v>
      </c>
      <c r="D7" s="133" t="s">
        <v>291</v>
      </c>
      <c r="E7" s="133" t="s">
        <v>292</v>
      </c>
      <c r="F7" s="135" t="s">
        <v>293</v>
      </c>
      <c r="G7" s="133" t="s">
        <v>294</v>
      </c>
      <c r="H7" s="135" t="s">
        <v>293</v>
      </c>
      <c r="I7" s="133" t="s">
        <v>295</v>
      </c>
      <c r="J7" s="133" t="s">
        <v>296</v>
      </c>
      <c r="K7" s="133"/>
      <c r="L7" s="133" t="s">
        <v>518</v>
      </c>
      <c r="M7" s="133" t="s">
        <v>519</v>
      </c>
      <c r="N7" s="133" t="s">
        <v>520</v>
      </c>
      <c r="O7" s="135" t="s">
        <v>300</v>
      </c>
      <c r="P7" s="133"/>
      <c r="Q7" s="135" t="s">
        <v>293</v>
      </c>
      <c r="R7" s="135" t="s">
        <v>301</v>
      </c>
      <c r="S7" s="133"/>
      <c r="T7" s="133"/>
      <c r="U7" s="135" t="s">
        <v>302</v>
      </c>
      <c r="V7" s="135" t="s">
        <v>303</v>
      </c>
      <c r="W7" s="133"/>
      <c r="X7" s="133"/>
      <c r="Y7" s="133"/>
    </row>
    <row r="8" spans="1:25" s="136" customFormat="1" ht="32" x14ac:dyDescent="0.2">
      <c r="A8" s="133" t="s">
        <v>521</v>
      </c>
      <c r="B8" s="134">
        <f t="shared" si="0"/>
        <v>2</v>
      </c>
      <c r="C8" s="133">
        <v>2</v>
      </c>
      <c r="D8" s="133" t="s">
        <v>305</v>
      </c>
      <c r="E8" s="133" t="s">
        <v>292</v>
      </c>
      <c r="F8" s="135" t="s">
        <v>293</v>
      </c>
      <c r="G8" s="133" t="s">
        <v>306</v>
      </c>
      <c r="H8" s="135" t="s">
        <v>293</v>
      </c>
      <c r="I8" s="133" t="s">
        <v>295</v>
      </c>
      <c r="J8" s="133" t="s">
        <v>296</v>
      </c>
      <c r="K8" s="133"/>
      <c r="L8" s="133" t="s">
        <v>522</v>
      </c>
      <c r="M8" s="133" t="s">
        <v>523</v>
      </c>
      <c r="N8" s="133" t="s">
        <v>524</v>
      </c>
      <c r="O8" s="135" t="s">
        <v>300</v>
      </c>
      <c r="P8" s="133"/>
      <c r="Q8" s="135" t="s">
        <v>293</v>
      </c>
      <c r="R8" s="135" t="s">
        <v>310</v>
      </c>
      <c r="S8" s="133"/>
      <c r="T8" s="133"/>
      <c r="U8" s="135" t="s">
        <v>302</v>
      </c>
      <c r="V8" s="135" t="s">
        <v>303</v>
      </c>
      <c r="W8" s="133"/>
      <c r="X8" s="133"/>
      <c r="Y8" s="133"/>
    </row>
    <row r="9" spans="1:25" s="136" customFormat="1" ht="32" x14ac:dyDescent="0.2">
      <c r="A9" s="133" t="s">
        <v>525</v>
      </c>
      <c r="B9" s="134">
        <f t="shared" si="0"/>
        <v>3</v>
      </c>
      <c r="C9" s="133">
        <v>3</v>
      </c>
      <c r="D9" s="133" t="s">
        <v>312</v>
      </c>
      <c r="E9" s="133" t="s">
        <v>313</v>
      </c>
      <c r="F9" s="135" t="s">
        <v>293</v>
      </c>
      <c r="G9" s="133" t="s">
        <v>306</v>
      </c>
      <c r="H9" s="135" t="s">
        <v>293</v>
      </c>
      <c r="I9" s="133" t="s">
        <v>526</v>
      </c>
      <c r="J9" s="133" t="s">
        <v>527</v>
      </c>
      <c r="K9" s="133" t="s">
        <v>528</v>
      </c>
      <c r="L9" s="133" t="s">
        <v>522</v>
      </c>
      <c r="M9" s="133" t="s">
        <v>523</v>
      </c>
      <c r="N9" s="133" t="s">
        <v>524</v>
      </c>
      <c r="O9" s="135" t="s">
        <v>317</v>
      </c>
      <c r="P9" s="133"/>
      <c r="Q9" s="135" t="s">
        <v>293</v>
      </c>
      <c r="R9" s="135" t="s">
        <v>310</v>
      </c>
      <c r="S9" s="133"/>
      <c r="T9" s="133"/>
      <c r="U9" s="135" t="s">
        <v>302</v>
      </c>
      <c r="V9" s="135" t="s">
        <v>318</v>
      </c>
      <c r="W9" s="133" t="s">
        <v>319</v>
      </c>
      <c r="X9" s="133"/>
      <c r="Y9" s="133"/>
    </row>
    <row r="10" spans="1:25" s="136" customFormat="1" ht="63" customHeight="1" x14ac:dyDescent="0.2">
      <c r="A10" s="133" t="s">
        <v>529</v>
      </c>
      <c r="B10" s="134">
        <f t="shared" si="0"/>
        <v>4</v>
      </c>
      <c r="C10" s="133">
        <v>4</v>
      </c>
      <c r="D10" s="133" t="s">
        <v>321</v>
      </c>
      <c r="E10" s="133" t="s">
        <v>313</v>
      </c>
      <c r="F10" s="135" t="s">
        <v>293</v>
      </c>
      <c r="G10" s="133" t="s">
        <v>322</v>
      </c>
      <c r="H10" s="135" t="s">
        <v>293</v>
      </c>
      <c r="I10" s="133" t="s">
        <v>526</v>
      </c>
      <c r="J10" s="133" t="s">
        <v>527</v>
      </c>
      <c r="K10" s="133" t="s">
        <v>528</v>
      </c>
      <c r="L10" s="133" t="s">
        <v>530</v>
      </c>
      <c r="M10" s="133" t="s">
        <v>531</v>
      </c>
      <c r="N10" s="133" t="s">
        <v>532</v>
      </c>
      <c r="O10" s="135" t="s">
        <v>326</v>
      </c>
      <c r="P10" s="133"/>
      <c r="Q10" s="135" t="s">
        <v>293</v>
      </c>
      <c r="R10" s="135" t="s">
        <v>310</v>
      </c>
      <c r="S10" s="133"/>
      <c r="T10" s="133"/>
      <c r="U10" s="135" t="s">
        <v>302</v>
      </c>
      <c r="V10" s="135" t="s">
        <v>318</v>
      </c>
      <c r="W10" s="133" t="s">
        <v>327</v>
      </c>
      <c r="X10" s="133"/>
      <c r="Y10" s="133"/>
    </row>
    <row r="11" spans="1:25" s="136" customFormat="1" ht="32" x14ac:dyDescent="0.2">
      <c r="A11" s="133" t="s">
        <v>533</v>
      </c>
      <c r="B11" s="134">
        <f t="shared" si="0"/>
        <v>5</v>
      </c>
      <c r="C11" s="133">
        <v>5</v>
      </c>
      <c r="D11" s="133" t="s">
        <v>329</v>
      </c>
      <c r="E11" s="133" t="s">
        <v>313</v>
      </c>
      <c r="F11" s="135" t="s">
        <v>293</v>
      </c>
      <c r="G11" s="133" t="s">
        <v>330</v>
      </c>
      <c r="H11" s="135" t="s">
        <v>293</v>
      </c>
      <c r="I11" s="133" t="s">
        <v>526</v>
      </c>
      <c r="J11" s="133" t="s">
        <v>527</v>
      </c>
      <c r="K11" s="133" t="s">
        <v>528</v>
      </c>
      <c r="L11" s="133" t="s">
        <v>534</v>
      </c>
      <c r="M11" s="133" t="s">
        <v>535</v>
      </c>
      <c r="N11" s="133" t="s">
        <v>536</v>
      </c>
      <c r="O11" s="135" t="s">
        <v>334</v>
      </c>
      <c r="P11" s="133">
        <v>31538</v>
      </c>
      <c r="Q11" s="135" t="s">
        <v>293</v>
      </c>
      <c r="R11" s="135" t="s">
        <v>301</v>
      </c>
      <c r="S11" s="133"/>
      <c r="T11" s="133"/>
      <c r="U11" s="135" t="s">
        <v>302</v>
      </c>
      <c r="V11" s="135" t="s">
        <v>318</v>
      </c>
      <c r="W11" s="133"/>
      <c r="X11" s="133"/>
      <c r="Y11" s="133"/>
    </row>
    <row r="12" spans="1:25" s="136" customFormat="1" ht="32" x14ac:dyDescent="0.2">
      <c r="A12" s="133" t="s">
        <v>537</v>
      </c>
      <c r="B12" s="134">
        <f t="shared" si="0"/>
        <v>6</v>
      </c>
      <c r="C12" s="133">
        <v>6</v>
      </c>
      <c r="D12" s="133" t="s">
        <v>336</v>
      </c>
      <c r="E12" s="133" t="s">
        <v>313</v>
      </c>
      <c r="F12" s="135" t="s">
        <v>293</v>
      </c>
      <c r="G12" s="133" t="s">
        <v>337</v>
      </c>
      <c r="H12" s="135" t="s">
        <v>293</v>
      </c>
      <c r="I12" s="133" t="s">
        <v>526</v>
      </c>
      <c r="J12" s="133" t="s">
        <v>527</v>
      </c>
      <c r="K12" s="133" t="s">
        <v>528</v>
      </c>
      <c r="L12" s="133" t="s">
        <v>538</v>
      </c>
      <c r="M12" s="133" t="s">
        <v>539</v>
      </c>
      <c r="N12" s="133" t="s">
        <v>540</v>
      </c>
      <c r="O12" s="135" t="s">
        <v>334</v>
      </c>
      <c r="P12" s="133">
        <v>9443</v>
      </c>
      <c r="Q12" s="135" t="s">
        <v>293</v>
      </c>
      <c r="R12" s="135" t="s">
        <v>301</v>
      </c>
      <c r="S12" s="133"/>
      <c r="T12" s="133"/>
      <c r="U12" s="135" t="s">
        <v>302</v>
      </c>
      <c r="V12" s="135" t="s">
        <v>318</v>
      </c>
      <c r="W12" s="133"/>
      <c r="X12" s="133"/>
      <c r="Y12" s="133"/>
    </row>
    <row r="13" spans="1:25" s="136" customFormat="1" ht="32" x14ac:dyDescent="0.2">
      <c r="A13" s="133" t="s">
        <v>541</v>
      </c>
      <c r="B13" s="134">
        <f t="shared" si="0"/>
        <v>7</v>
      </c>
      <c r="C13" s="133">
        <v>7</v>
      </c>
      <c r="D13" s="133" t="s">
        <v>342</v>
      </c>
      <c r="E13" s="133" t="s">
        <v>313</v>
      </c>
      <c r="F13" s="135" t="s">
        <v>293</v>
      </c>
      <c r="G13" s="133" t="s">
        <v>294</v>
      </c>
      <c r="H13" s="168" t="s">
        <v>293</v>
      </c>
      <c r="I13" s="133" t="s">
        <v>526</v>
      </c>
      <c r="J13" s="167" t="s">
        <v>527</v>
      </c>
      <c r="K13" s="133" t="s">
        <v>528</v>
      </c>
      <c r="L13" s="133" t="s">
        <v>518</v>
      </c>
      <c r="M13" s="133" t="s">
        <v>519</v>
      </c>
      <c r="N13" s="133" t="s">
        <v>520</v>
      </c>
      <c r="O13" s="135" t="s">
        <v>334</v>
      </c>
      <c r="P13" s="133">
        <v>443</v>
      </c>
      <c r="Q13" s="135" t="s">
        <v>293</v>
      </c>
      <c r="R13" s="135" t="s">
        <v>301</v>
      </c>
      <c r="S13" s="133"/>
      <c r="T13" s="133"/>
      <c r="U13" s="135" t="s">
        <v>302</v>
      </c>
      <c r="V13" s="135" t="s">
        <v>318</v>
      </c>
      <c r="W13" s="133"/>
      <c r="X13" s="133"/>
      <c r="Y13" s="133"/>
    </row>
    <row r="14" spans="1:25" s="136" customFormat="1" ht="32" x14ac:dyDescent="0.2">
      <c r="A14" s="133" t="s">
        <v>542</v>
      </c>
      <c r="B14" s="134">
        <f t="shared" si="0"/>
        <v>8</v>
      </c>
      <c r="C14" s="133">
        <v>8</v>
      </c>
      <c r="D14" s="133" t="s">
        <v>344</v>
      </c>
      <c r="E14" s="133" t="s">
        <v>337</v>
      </c>
      <c r="F14" s="135" t="s">
        <v>293</v>
      </c>
      <c r="G14" s="133" t="s">
        <v>306</v>
      </c>
      <c r="H14" s="135" t="s">
        <v>293</v>
      </c>
      <c r="I14" s="133" t="s">
        <v>538</v>
      </c>
      <c r="J14" s="133" t="s">
        <v>539</v>
      </c>
      <c r="K14" s="133" t="s">
        <v>540</v>
      </c>
      <c r="L14" s="133" t="s">
        <v>522</v>
      </c>
      <c r="M14" s="133" t="s">
        <v>523</v>
      </c>
      <c r="N14" s="133" t="s">
        <v>524</v>
      </c>
      <c r="O14" s="135" t="s">
        <v>345</v>
      </c>
      <c r="P14" s="133">
        <v>19443</v>
      </c>
      <c r="Q14" s="135" t="s">
        <v>293</v>
      </c>
      <c r="R14" s="135" t="s">
        <v>310</v>
      </c>
      <c r="S14" s="133"/>
      <c r="T14" s="133"/>
      <c r="U14" s="135" t="s">
        <v>302</v>
      </c>
      <c r="V14" s="135" t="s">
        <v>318</v>
      </c>
      <c r="W14" s="133"/>
      <c r="X14" s="133"/>
      <c r="Y14" s="133"/>
    </row>
    <row r="15" spans="1:25" s="136" customFormat="1" ht="32" x14ac:dyDescent="0.2">
      <c r="A15" s="133" t="s">
        <v>543</v>
      </c>
      <c r="B15" s="134">
        <f xml:space="preserve"> ROW(B15) - 6</f>
        <v>9</v>
      </c>
      <c r="C15" s="133">
        <v>9</v>
      </c>
      <c r="D15" s="133" t="s">
        <v>544</v>
      </c>
      <c r="E15" s="133" t="s">
        <v>545</v>
      </c>
      <c r="F15" s="135" t="s">
        <v>293</v>
      </c>
      <c r="G15" s="133" t="s">
        <v>348</v>
      </c>
      <c r="H15" s="135" t="s">
        <v>293</v>
      </c>
      <c r="I15" s="133" t="s">
        <v>522</v>
      </c>
      <c r="J15" s="133" t="s">
        <v>523</v>
      </c>
      <c r="K15" s="133" t="s">
        <v>524</v>
      </c>
      <c r="L15" s="133" t="s">
        <v>546</v>
      </c>
      <c r="M15" s="133" t="s">
        <v>547</v>
      </c>
      <c r="N15" s="133" t="s">
        <v>548</v>
      </c>
      <c r="O15" s="135" t="s">
        <v>352</v>
      </c>
      <c r="P15" s="133"/>
      <c r="Q15" s="135" t="s">
        <v>293</v>
      </c>
      <c r="R15" s="135" t="s">
        <v>301</v>
      </c>
      <c r="S15" s="133"/>
      <c r="T15" s="133"/>
      <c r="U15" s="135" t="s">
        <v>302</v>
      </c>
      <c r="V15" s="135" t="s">
        <v>318</v>
      </c>
      <c r="W15" s="133"/>
      <c r="X15" s="133"/>
      <c r="Y15" s="133"/>
    </row>
    <row r="16" spans="1:25" s="136" customFormat="1" ht="16" x14ac:dyDescent="0.2">
      <c r="A16" s="133" t="s">
        <v>549</v>
      </c>
      <c r="B16" s="134">
        <f xml:space="preserve"> ROW(B16) - 6</f>
        <v>10</v>
      </c>
      <c r="C16" s="133" t="s">
        <v>354</v>
      </c>
      <c r="D16" s="133" t="s">
        <v>550</v>
      </c>
      <c r="E16" s="133" t="s">
        <v>330</v>
      </c>
      <c r="F16" s="135" t="s">
        <v>293</v>
      </c>
      <c r="G16" s="133" t="s">
        <v>348</v>
      </c>
      <c r="H16" s="135" t="s">
        <v>293</v>
      </c>
      <c r="I16" s="133" t="s">
        <v>534</v>
      </c>
      <c r="J16" s="133" t="s">
        <v>535</v>
      </c>
      <c r="K16" t="s">
        <v>536</v>
      </c>
      <c r="L16" s="133" t="s">
        <v>546</v>
      </c>
      <c r="M16" s="133" t="s">
        <v>547</v>
      </c>
      <c r="N16" s="133" t="s">
        <v>548</v>
      </c>
      <c r="O16" s="135" t="s">
        <v>352</v>
      </c>
      <c r="P16" s="133"/>
      <c r="Q16" s="135" t="s">
        <v>293</v>
      </c>
      <c r="R16" s="135" t="s">
        <v>301</v>
      </c>
      <c r="S16" s="133"/>
      <c r="T16" s="133"/>
      <c r="U16" s="135" t="s">
        <v>302</v>
      </c>
      <c r="V16" s="135" t="s">
        <v>318</v>
      </c>
      <c r="W16" s="133"/>
      <c r="X16" s="133"/>
      <c r="Y16" s="133"/>
    </row>
    <row r="17" spans="1:25" s="136" customFormat="1" ht="48" x14ac:dyDescent="0.2">
      <c r="A17" s="133" t="s">
        <v>551</v>
      </c>
      <c r="B17" s="134">
        <f t="shared" si="0"/>
        <v>11</v>
      </c>
      <c r="C17" s="133" t="s">
        <v>357</v>
      </c>
      <c r="D17" s="133" t="s">
        <v>552</v>
      </c>
      <c r="E17" s="133" t="s">
        <v>348</v>
      </c>
      <c r="F17" s="135" t="s">
        <v>293</v>
      </c>
      <c r="G17" s="133" t="s">
        <v>330</v>
      </c>
      <c r="H17" s="135" t="s">
        <v>293</v>
      </c>
      <c r="I17" s="133" t="s">
        <v>546</v>
      </c>
      <c r="J17" s="133" t="s">
        <v>547</v>
      </c>
      <c r="K17" s="133" t="s">
        <v>548</v>
      </c>
      <c r="L17" s="133" t="s">
        <v>534</v>
      </c>
      <c r="M17" s="133" t="s">
        <v>535</v>
      </c>
      <c r="N17" s="133" t="s">
        <v>536</v>
      </c>
      <c r="O17" s="135" t="s">
        <v>359</v>
      </c>
      <c r="P17" s="133" t="s">
        <v>360</v>
      </c>
      <c r="Q17" s="135" t="s">
        <v>293</v>
      </c>
      <c r="R17" s="135" t="s">
        <v>301</v>
      </c>
      <c r="S17" s="133"/>
      <c r="T17" s="133"/>
      <c r="U17" s="135" t="s">
        <v>302</v>
      </c>
      <c r="V17" s="135" t="s">
        <v>318</v>
      </c>
      <c r="W17" s="133"/>
      <c r="X17" s="133"/>
      <c r="Y17" s="133"/>
    </row>
    <row r="18" spans="1:25" s="136" customFormat="1" ht="16" x14ac:dyDescent="0.2">
      <c r="A18" s="133" t="s">
        <v>553</v>
      </c>
      <c r="B18" s="134">
        <f t="shared" si="0"/>
        <v>12</v>
      </c>
      <c r="C18" s="133" t="s">
        <v>362</v>
      </c>
      <c r="D18" s="133" t="s">
        <v>554</v>
      </c>
      <c r="E18" s="133" t="s">
        <v>330</v>
      </c>
      <c r="F18" s="135" t="s">
        <v>293</v>
      </c>
      <c r="G18" s="133" t="s">
        <v>555</v>
      </c>
      <c r="H18" s="135" t="s">
        <v>293</v>
      </c>
      <c r="I18" s="133" t="s">
        <v>534</v>
      </c>
      <c r="J18" s="133" t="s">
        <v>535</v>
      </c>
      <c r="K18" s="133" t="s">
        <v>536</v>
      </c>
      <c r="L18" s="133" t="s">
        <v>556</v>
      </c>
      <c r="M18" s="133" t="s">
        <v>557</v>
      </c>
      <c r="N18" s="133" t="s">
        <v>558</v>
      </c>
      <c r="O18" s="135" t="s">
        <v>559</v>
      </c>
      <c r="P18" s="133"/>
      <c r="Q18" s="135" t="s">
        <v>560</v>
      </c>
      <c r="R18" s="135" t="s">
        <v>301</v>
      </c>
      <c r="S18" s="133"/>
      <c r="T18" s="133"/>
      <c r="U18" s="135" t="s">
        <v>302</v>
      </c>
      <c r="V18" s="135" t="s">
        <v>318</v>
      </c>
      <c r="W18" s="133"/>
      <c r="X18" s="133" t="s">
        <v>561</v>
      </c>
      <c r="Y18" s="133"/>
    </row>
    <row r="19" spans="1:25" s="136" customFormat="1" ht="32" x14ac:dyDescent="0.2">
      <c r="A19" s="133" t="s">
        <v>562</v>
      </c>
      <c r="B19" s="134">
        <f t="shared" si="0"/>
        <v>13</v>
      </c>
      <c r="C19" s="133" t="s">
        <v>366</v>
      </c>
      <c r="D19" s="133" t="s">
        <v>563</v>
      </c>
      <c r="E19" s="133" t="s">
        <v>555</v>
      </c>
      <c r="F19" s="135" t="s">
        <v>293</v>
      </c>
      <c r="G19" s="133" t="s">
        <v>330</v>
      </c>
      <c r="H19" s="135" t="s">
        <v>293</v>
      </c>
      <c r="I19" s="133" t="s">
        <v>564</v>
      </c>
      <c r="J19" s="133" t="s">
        <v>565</v>
      </c>
      <c r="K19" s="133" t="s">
        <v>566</v>
      </c>
      <c r="L19" s="133" t="s">
        <v>534</v>
      </c>
      <c r="M19" s="133" t="s">
        <v>535</v>
      </c>
      <c r="N19" s="133" t="s">
        <v>536</v>
      </c>
      <c r="O19" s="135" t="s">
        <v>559</v>
      </c>
      <c r="P19" s="133"/>
      <c r="Q19" s="135" t="s">
        <v>560</v>
      </c>
      <c r="R19" s="135" t="s">
        <v>301</v>
      </c>
      <c r="S19" s="133"/>
      <c r="T19" s="133"/>
      <c r="U19" s="135" t="s">
        <v>302</v>
      </c>
      <c r="V19" s="135" t="s">
        <v>318</v>
      </c>
      <c r="W19" s="133" t="s">
        <v>567</v>
      </c>
      <c r="X19" s="133"/>
      <c r="Y19" s="133"/>
    </row>
    <row r="20" spans="1:25" s="136" customFormat="1" ht="32" x14ac:dyDescent="0.2">
      <c r="A20" s="133" t="s">
        <v>568</v>
      </c>
      <c r="B20" s="134">
        <f t="shared" si="0"/>
        <v>14</v>
      </c>
      <c r="C20" s="133">
        <v>12</v>
      </c>
      <c r="D20" s="133" t="s">
        <v>369</v>
      </c>
      <c r="E20" s="133" t="s">
        <v>330</v>
      </c>
      <c r="F20" s="135" t="s">
        <v>293</v>
      </c>
      <c r="G20" s="133"/>
      <c r="H20" s="135" t="s">
        <v>293</v>
      </c>
      <c r="I20" s="133"/>
      <c r="J20" s="133"/>
      <c r="K20" s="133"/>
      <c r="L20" s="133"/>
      <c r="M20" s="133"/>
      <c r="N20" s="133"/>
      <c r="O20" s="135"/>
      <c r="P20" s="133"/>
      <c r="Q20" s="135"/>
      <c r="R20" s="135"/>
      <c r="S20" s="133"/>
      <c r="T20" s="133"/>
      <c r="U20" s="135"/>
      <c r="V20" s="135"/>
      <c r="W20" s="133"/>
      <c r="X20" s="133"/>
      <c r="Y20" s="133"/>
    </row>
    <row r="21" spans="1:25" s="136" customFormat="1" ht="32" x14ac:dyDescent="0.2">
      <c r="A21" s="133" t="s">
        <v>569</v>
      </c>
      <c r="B21" s="134">
        <f t="shared" si="0"/>
        <v>15</v>
      </c>
      <c r="C21" s="133" t="s">
        <v>371</v>
      </c>
      <c r="D21" s="133" t="s">
        <v>570</v>
      </c>
      <c r="E21" s="133" t="s">
        <v>330</v>
      </c>
      <c r="F21" s="135" t="s">
        <v>293</v>
      </c>
      <c r="G21" s="133" t="s">
        <v>571</v>
      </c>
      <c r="H21" s="135" t="s">
        <v>293</v>
      </c>
      <c r="I21" s="133" t="s">
        <v>534</v>
      </c>
      <c r="J21" s="133" t="s">
        <v>535</v>
      </c>
      <c r="K21" s="133" t="s">
        <v>536</v>
      </c>
      <c r="L21" s="133" t="s">
        <v>572</v>
      </c>
      <c r="M21" s="133" t="s">
        <v>572</v>
      </c>
      <c r="N21" s="133" t="s">
        <v>573</v>
      </c>
      <c r="O21" s="135" t="s">
        <v>334</v>
      </c>
      <c r="P21" s="133" t="s">
        <v>574</v>
      </c>
      <c r="Q21" s="135" t="s">
        <v>293</v>
      </c>
      <c r="R21" s="135" t="s">
        <v>400</v>
      </c>
      <c r="S21" s="133"/>
      <c r="T21" s="133"/>
      <c r="U21" s="135" t="s">
        <v>302</v>
      </c>
      <c r="V21" s="135" t="s">
        <v>575</v>
      </c>
      <c r="W21" s="133"/>
      <c r="X21" s="133"/>
      <c r="Y21" s="133"/>
    </row>
    <row r="22" spans="1:25" s="136" customFormat="1" ht="32" x14ac:dyDescent="0.2">
      <c r="A22" s="133" t="s">
        <v>576</v>
      </c>
      <c r="B22" s="134">
        <f t="shared" si="0"/>
        <v>16</v>
      </c>
      <c r="C22" s="133" t="s">
        <v>374</v>
      </c>
      <c r="D22" s="133" t="s">
        <v>577</v>
      </c>
      <c r="E22" s="133" t="s">
        <v>571</v>
      </c>
      <c r="F22" s="135" t="s">
        <v>293</v>
      </c>
      <c r="G22" s="133" t="s">
        <v>330</v>
      </c>
      <c r="H22" s="135" t="s">
        <v>293</v>
      </c>
      <c r="I22" s="133" t="s">
        <v>572</v>
      </c>
      <c r="J22" s="133" t="s">
        <v>572</v>
      </c>
      <c r="K22" s="133" t="s">
        <v>573</v>
      </c>
      <c r="L22" s="133" t="s">
        <v>534</v>
      </c>
      <c r="M22" s="133" t="s">
        <v>535</v>
      </c>
      <c r="N22" s="133" t="s">
        <v>536</v>
      </c>
      <c r="O22" s="135" t="s">
        <v>334</v>
      </c>
      <c r="P22" s="133">
        <v>34243</v>
      </c>
      <c r="Q22" s="135" t="s">
        <v>293</v>
      </c>
      <c r="R22" s="135" t="s">
        <v>400</v>
      </c>
      <c r="S22" s="133"/>
      <c r="T22" s="133"/>
      <c r="U22" s="135" t="s">
        <v>302</v>
      </c>
      <c r="V22" s="135" t="s">
        <v>575</v>
      </c>
      <c r="W22" s="133"/>
      <c r="X22" s="133"/>
      <c r="Y22" s="133"/>
    </row>
    <row r="23" spans="1:25" s="136" customFormat="1" ht="16" x14ac:dyDescent="0.2">
      <c r="A23" s="133" t="s">
        <v>578</v>
      </c>
      <c r="B23" s="134">
        <f t="shared" si="0"/>
        <v>17</v>
      </c>
      <c r="C23" s="133">
        <v>14</v>
      </c>
      <c r="D23" s="133" t="s">
        <v>579</v>
      </c>
      <c r="E23" s="133" t="s">
        <v>330</v>
      </c>
      <c r="F23" s="135" t="s">
        <v>293</v>
      </c>
      <c r="G23" s="133"/>
      <c r="H23" s="135"/>
      <c r="I23" s="133"/>
      <c r="J23" s="133"/>
      <c r="K23" s="133"/>
      <c r="L23" s="133"/>
      <c r="M23" s="133"/>
      <c r="N23" s="133"/>
      <c r="O23" s="135"/>
      <c r="P23" s="133"/>
      <c r="Q23" s="135"/>
      <c r="R23" s="135"/>
      <c r="S23" s="133"/>
      <c r="T23" s="133"/>
      <c r="U23" s="135"/>
      <c r="V23" s="135"/>
      <c r="W23" s="133"/>
      <c r="X23" s="133"/>
      <c r="Y23" s="133"/>
    </row>
    <row r="24" spans="1:25" s="136" customFormat="1" ht="32" x14ac:dyDescent="0.2">
      <c r="A24" s="133" t="s">
        <v>580</v>
      </c>
      <c r="B24" s="134">
        <f t="shared" si="0"/>
        <v>18</v>
      </c>
      <c r="C24" s="133">
        <v>15</v>
      </c>
      <c r="D24" s="133" t="s">
        <v>379</v>
      </c>
      <c r="E24" s="133" t="s">
        <v>330</v>
      </c>
      <c r="F24" s="135" t="s">
        <v>293</v>
      </c>
      <c r="G24" s="133" t="s">
        <v>380</v>
      </c>
      <c r="H24" s="135" t="s">
        <v>293</v>
      </c>
      <c r="I24" s="133" t="s">
        <v>534</v>
      </c>
      <c r="J24" s="133" t="s">
        <v>535</v>
      </c>
      <c r="K24" s="133" t="s">
        <v>536</v>
      </c>
      <c r="L24" s="133" t="s">
        <v>381</v>
      </c>
      <c r="M24" s="133" t="s">
        <v>382</v>
      </c>
      <c r="N24" s="133"/>
      <c r="O24" s="135" t="s">
        <v>383</v>
      </c>
      <c r="P24" s="133"/>
      <c r="Q24" s="135" t="s">
        <v>293</v>
      </c>
      <c r="R24" s="135" t="s">
        <v>301</v>
      </c>
      <c r="S24" s="133"/>
      <c r="T24" s="133"/>
      <c r="U24" s="135" t="s">
        <v>302</v>
      </c>
      <c r="V24" s="135" t="s">
        <v>303</v>
      </c>
      <c r="W24" s="133"/>
      <c r="X24" s="133"/>
      <c r="Y24" s="133"/>
    </row>
    <row r="25" spans="1:25" s="136" customFormat="1" ht="32" x14ac:dyDescent="0.2">
      <c r="A25" s="133" t="s">
        <v>581</v>
      </c>
      <c r="B25" s="134">
        <f t="shared" si="0"/>
        <v>19</v>
      </c>
      <c r="C25" s="133">
        <v>16</v>
      </c>
      <c r="D25" s="133" t="s">
        <v>385</v>
      </c>
      <c r="E25" s="133" t="s">
        <v>364</v>
      </c>
      <c r="F25" s="135" t="s">
        <v>293</v>
      </c>
      <c r="G25" s="133" t="s">
        <v>364</v>
      </c>
      <c r="H25" s="135" t="s">
        <v>293</v>
      </c>
      <c r="I25" s="133"/>
      <c r="J25" s="133"/>
      <c r="K25" s="133"/>
      <c r="L25" s="133"/>
      <c r="M25" s="133"/>
      <c r="N25" s="133"/>
      <c r="O25" s="135"/>
      <c r="P25" s="133"/>
      <c r="Q25" s="135"/>
      <c r="R25" s="135"/>
      <c r="S25" s="133"/>
      <c r="T25" s="133"/>
      <c r="U25" s="135" t="s">
        <v>302</v>
      </c>
      <c r="V25" s="135"/>
      <c r="W25" s="133"/>
      <c r="X25" s="133"/>
      <c r="Y25" s="133"/>
    </row>
    <row r="26" spans="1:25" s="136" customFormat="1" ht="16" x14ac:dyDescent="0.2">
      <c r="A26" s="133" t="s">
        <v>582</v>
      </c>
      <c r="B26" s="134">
        <f t="shared" si="0"/>
        <v>20</v>
      </c>
      <c r="C26" s="133">
        <v>17</v>
      </c>
      <c r="D26" s="133" t="s">
        <v>393</v>
      </c>
      <c r="E26" s="133" t="s">
        <v>394</v>
      </c>
      <c r="F26" s="135" t="s">
        <v>293</v>
      </c>
      <c r="G26" s="133" t="s">
        <v>395</v>
      </c>
      <c r="H26" s="135" t="s">
        <v>293</v>
      </c>
      <c r="I26" s="133" t="s">
        <v>538</v>
      </c>
      <c r="J26" s="133" t="s">
        <v>539</v>
      </c>
      <c r="K26" s="133" t="s">
        <v>540</v>
      </c>
      <c r="L26" s="133"/>
      <c r="M26" s="133" t="s">
        <v>396</v>
      </c>
      <c r="N26" s="133"/>
      <c r="O26" s="135" t="s">
        <v>397</v>
      </c>
      <c r="P26" s="133"/>
      <c r="Q26" s="135" t="s">
        <v>293</v>
      </c>
      <c r="R26" s="135" t="s">
        <v>391</v>
      </c>
      <c r="S26" s="133"/>
      <c r="T26" s="133"/>
      <c r="U26" s="135" t="s">
        <v>302</v>
      </c>
      <c r="V26" s="135" t="s">
        <v>303</v>
      </c>
      <c r="W26" s="133"/>
      <c r="X26" s="133"/>
      <c r="Y26" s="133"/>
    </row>
    <row r="27" spans="1:25" s="136" customFormat="1" ht="16" x14ac:dyDescent="0.2">
      <c r="A27" s="133" t="s">
        <v>583</v>
      </c>
      <c r="B27" s="134">
        <f t="shared" si="0"/>
        <v>21</v>
      </c>
      <c r="C27" s="133">
        <v>18</v>
      </c>
      <c r="D27" s="133" t="s">
        <v>399</v>
      </c>
      <c r="E27" s="133" t="s">
        <v>394</v>
      </c>
      <c r="F27" s="135" t="s">
        <v>293</v>
      </c>
      <c r="G27" s="133" t="s">
        <v>294</v>
      </c>
      <c r="H27" s="135" t="s">
        <v>293</v>
      </c>
      <c r="I27" s="133" t="s">
        <v>538</v>
      </c>
      <c r="J27" s="133" t="s">
        <v>539</v>
      </c>
      <c r="K27" s="133" t="s">
        <v>540</v>
      </c>
      <c r="L27" s="133" t="s">
        <v>518</v>
      </c>
      <c r="M27" s="133" t="s">
        <v>519</v>
      </c>
      <c r="N27" s="133" t="s">
        <v>520</v>
      </c>
      <c r="O27" s="135" t="s">
        <v>345</v>
      </c>
      <c r="P27" s="133">
        <v>2181</v>
      </c>
      <c r="Q27" s="135" t="s">
        <v>293</v>
      </c>
      <c r="R27" s="135" t="s">
        <v>400</v>
      </c>
      <c r="S27" s="133"/>
      <c r="T27" s="133"/>
      <c r="U27" s="135" t="s">
        <v>302</v>
      </c>
      <c r="V27" s="135" t="s">
        <v>318</v>
      </c>
      <c r="W27" s="133"/>
      <c r="X27" s="133"/>
      <c r="Y27" s="133"/>
    </row>
    <row r="28" spans="1:25" s="136" customFormat="1" ht="16" x14ac:dyDescent="0.2">
      <c r="A28" s="133" t="s">
        <v>584</v>
      </c>
      <c r="B28" s="134">
        <f t="shared" si="0"/>
        <v>22</v>
      </c>
      <c r="C28" s="133">
        <v>19</v>
      </c>
      <c r="D28" s="133" t="s">
        <v>585</v>
      </c>
      <c r="E28" s="133" t="s">
        <v>394</v>
      </c>
      <c r="F28" s="135" t="s">
        <v>293</v>
      </c>
      <c r="G28" s="133" t="s">
        <v>348</v>
      </c>
      <c r="H28" s="135" t="s">
        <v>293</v>
      </c>
      <c r="I28" s="133" t="s">
        <v>538</v>
      </c>
      <c r="J28" s="133" t="s">
        <v>539</v>
      </c>
      <c r="K28" s="133" t="s">
        <v>540</v>
      </c>
      <c r="L28" s="133" t="s">
        <v>546</v>
      </c>
      <c r="M28" s="133" t="s">
        <v>547</v>
      </c>
      <c r="N28" s="133" t="s">
        <v>548</v>
      </c>
      <c r="O28" s="135" t="s">
        <v>352</v>
      </c>
      <c r="P28" s="133"/>
      <c r="Q28" s="135" t="s">
        <v>293</v>
      </c>
      <c r="R28" s="135" t="s">
        <v>301</v>
      </c>
      <c r="S28" s="133"/>
      <c r="T28" s="133"/>
      <c r="U28" s="135" t="s">
        <v>302</v>
      </c>
      <c r="V28" s="135" t="s">
        <v>318</v>
      </c>
      <c r="W28" s="133"/>
      <c r="X28" s="133"/>
      <c r="Y28" s="133"/>
    </row>
    <row r="29" spans="1:25" s="136" customFormat="1" ht="32" x14ac:dyDescent="0.2">
      <c r="A29" s="133" t="s">
        <v>586</v>
      </c>
      <c r="B29" s="134">
        <f t="shared" si="0"/>
        <v>23</v>
      </c>
      <c r="C29" s="133">
        <v>20</v>
      </c>
      <c r="D29" s="133" t="s">
        <v>404</v>
      </c>
      <c r="E29" s="133" t="s">
        <v>337</v>
      </c>
      <c r="F29" s="135" t="s">
        <v>293</v>
      </c>
      <c r="G29" s="133" t="s">
        <v>294</v>
      </c>
      <c r="H29" s="135" t="s">
        <v>293</v>
      </c>
      <c r="I29" s="133" t="s">
        <v>587</v>
      </c>
      <c r="J29" s="133" t="s">
        <v>588</v>
      </c>
      <c r="K29" s="133" t="s">
        <v>589</v>
      </c>
      <c r="L29" s="133" t="s">
        <v>518</v>
      </c>
      <c r="M29" s="133" t="s">
        <v>519</v>
      </c>
      <c r="N29" s="133" t="s">
        <v>520</v>
      </c>
      <c r="O29" s="135" t="s">
        <v>345</v>
      </c>
      <c r="P29" s="133">
        <v>9092</v>
      </c>
      <c r="Q29" s="135" t="s">
        <v>293</v>
      </c>
      <c r="R29" s="135" t="s">
        <v>400</v>
      </c>
      <c r="S29" s="133"/>
      <c r="T29" s="133"/>
      <c r="U29" s="135" t="s">
        <v>302</v>
      </c>
      <c r="V29" s="135" t="s">
        <v>318</v>
      </c>
      <c r="W29" s="133"/>
      <c r="X29" s="133"/>
      <c r="Y29" s="133"/>
    </row>
    <row r="30" spans="1:25" s="136" customFormat="1" ht="16" x14ac:dyDescent="0.2">
      <c r="A30" s="133" t="s">
        <v>590</v>
      </c>
      <c r="B30" s="134">
        <v>24</v>
      </c>
      <c r="C30" s="133">
        <v>21</v>
      </c>
      <c r="D30" s="133" t="s">
        <v>591</v>
      </c>
      <c r="E30" s="133" t="s">
        <v>294</v>
      </c>
      <c r="F30" s="135" t="s">
        <v>293</v>
      </c>
      <c r="G30" s="133" t="s">
        <v>348</v>
      </c>
      <c r="H30" s="135" t="s">
        <v>293</v>
      </c>
      <c r="I30" s="133" t="s">
        <v>518</v>
      </c>
      <c r="J30" s="133" t="s">
        <v>519</v>
      </c>
      <c r="K30" s="133" t="s">
        <v>520</v>
      </c>
      <c r="L30" s="133" t="s">
        <v>546</v>
      </c>
      <c r="M30" s="133" t="s">
        <v>547</v>
      </c>
      <c r="N30" s="133" t="s">
        <v>548</v>
      </c>
      <c r="O30" s="135" t="s">
        <v>352</v>
      </c>
      <c r="P30" s="133"/>
      <c r="Q30" s="135" t="s">
        <v>293</v>
      </c>
      <c r="R30" s="135" t="s">
        <v>301</v>
      </c>
      <c r="S30" s="133"/>
      <c r="T30" s="133"/>
      <c r="U30" s="135"/>
      <c r="V30" s="135" t="s">
        <v>318</v>
      </c>
      <c r="W30" s="133"/>
      <c r="X30" s="133"/>
      <c r="Y30" s="133"/>
    </row>
    <row r="31" spans="1:25" s="136" customFormat="1" ht="32" x14ac:dyDescent="0.2">
      <c r="A31" s="133" t="s">
        <v>592</v>
      </c>
      <c r="B31" s="134">
        <f t="shared" si="0"/>
        <v>25</v>
      </c>
      <c r="C31" s="133">
        <v>22</v>
      </c>
      <c r="D31" s="133" t="s">
        <v>411</v>
      </c>
      <c r="E31" s="133" t="s">
        <v>364</v>
      </c>
      <c r="F31" s="135" t="s">
        <v>293</v>
      </c>
      <c r="G31" s="133" t="s">
        <v>364</v>
      </c>
      <c r="H31" s="135"/>
      <c r="I31" s="133"/>
      <c r="J31" s="133"/>
      <c r="K31" s="133"/>
      <c r="L31" s="133"/>
      <c r="M31" s="133"/>
      <c r="N31" s="133"/>
      <c r="O31" s="135"/>
      <c r="P31" s="133"/>
      <c r="Q31" s="135"/>
      <c r="R31" s="135"/>
      <c r="S31" s="133"/>
      <c r="T31" s="133"/>
      <c r="U31" s="135" t="s">
        <v>302</v>
      </c>
      <c r="V31" s="135"/>
      <c r="W31" s="133"/>
      <c r="X31" s="133"/>
      <c r="Y31" s="133"/>
    </row>
    <row r="32" spans="1:25" s="136" customFormat="1" ht="64" x14ac:dyDescent="0.2">
      <c r="A32" s="133" t="s">
        <v>593</v>
      </c>
      <c r="B32" s="134">
        <f t="shared" si="0"/>
        <v>26</v>
      </c>
      <c r="C32" s="133" t="s">
        <v>414</v>
      </c>
      <c r="D32" s="139" t="s">
        <v>594</v>
      </c>
      <c r="E32" s="139" t="s">
        <v>595</v>
      </c>
      <c r="F32" s="140" t="s">
        <v>293</v>
      </c>
      <c r="G32" s="139" t="s">
        <v>416</v>
      </c>
      <c r="H32" s="140" t="s">
        <v>293</v>
      </c>
      <c r="I32" s="139" t="s">
        <v>417</v>
      </c>
      <c r="J32" s="139" t="s">
        <v>418</v>
      </c>
      <c r="K32" s="139" t="s">
        <v>419</v>
      </c>
      <c r="L32" s="139" t="s">
        <v>596</v>
      </c>
      <c r="M32" s="139" t="s">
        <v>597</v>
      </c>
      <c r="N32" s="139" t="s">
        <v>598</v>
      </c>
      <c r="O32" s="140" t="s">
        <v>326</v>
      </c>
      <c r="P32" s="133"/>
      <c r="Q32" s="135" t="s">
        <v>293</v>
      </c>
      <c r="R32" s="135" t="s">
        <v>310</v>
      </c>
      <c r="S32" s="133"/>
      <c r="T32" s="133"/>
      <c r="U32" s="135"/>
      <c r="V32" s="135" t="s">
        <v>318</v>
      </c>
      <c r="W32" s="133" t="s">
        <v>420</v>
      </c>
      <c r="X32" s="133"/>
      <c r="Y32" s="133"/>
    </row>
    <row r="33" spans="1:25" s="136" customFormat="1" ht="48" x14ac:dyDescent="0.2">
      <c r="A33" s="133" t="s">
        <v>599</v>
      </c>
      <c r="B33" s="134">
        <f t="shared" si="0"/>
        <v>27</v>
      </c>
      <c r="C33" s="133" t="s">
        <v>422</v>
      </c>
      <c r="D33" s="139" t="s">
        <v>423</v>
      </c>
      <c r="E33" s="139" t="s">
        <v>416</v>
      </c>
      <c r="F33" s="140" t="s">
        <v>293</v>
      </c>
      <c r="G33" s="139" t="s">
        <v>348</v>
      </c>
      <c r="H33" s="140" t="s">
        <v>293</v>
      </c>
      <c r="I33" s="139" t="s">
        <v>530</v>
      </c>
      <c r="J33" s="139" t="s">
        <v>531</v>
      </c>
      <c r="K33" s="139" t="s">
        <v>532</v>
      </c>
      <c r="L33" s="139" t="s">
        <v>417</v>
      </c>
      <c r="M33" s="139" t="s">
        <v>418</v>
      </c>
      <c r="N33" s="139" t="s">
        <v>419</v>
      </c>
      <c r="O33" s="140" t="s">
        <v>326</v>
      </c>
      <c r="P33" s="133"/>
      <c r="Q33" s="135" t="s">
        <v>293</v>
      </c>
      <c r="R33" s="135" t="s">
        <v>310</v>
      </c>
      <c r="S33" s="133"/>
      <c r="T33" s="133"/>
      <c r="U33" s="135"/>
      <c r="V33" s="135" t="s">
        <v>318</v>
      </c>
      <c r="W33" s="133" t="s">
        <v>424</v>
      </c>
      <c r="X33" s="133"/>
      <c r="Y33" s="133"/>
    </row>
    <row r="34" spans="1:25" s="136" customFormat="1" ht="64" x14ac:dyDescent="0.2">
      <c r="A34" s="133" t="s">
        <v>600</v>
      </c>
      <c r="B34" s="134">
        <f t="shared" si="0"/>
        <v>28</v>
      </c>
      <c r="C34" s="133">
        <v>24</v>
      </c>
      <c r="D34" s="133" t="s">
        <v>426</v>
      </c>
      <c r="E34" s="133" t="s">
        <v>427</v>
      </c>
      <c r="F34" s="135" t="s">
        <v>293</v>
      </c>
      <c r="G34" s="133" t="s">
        <v>428</v>
      </c>
      <c r="H34" s="135" t="s">
        <v>293</v>
      </c>
      <c r="I34" s="133" t="s">
        <v>596</v>
      </c>
      <c r="J34" s="133" t="s">
        <v>597</v>
      </c>
      <c r="K34" s="133" t="s">
        <v>598</v>
      </c>
      <c r="L34" s="133" t="s">
        <v>432</v>
      </c>
      <c r="M34" s="133" t="s">
        <v>433</v>
      </c>
      <c r="N34" s="133" t="s">
        <v>434</v>
      </c>
      <c r="O34" s="135" t="s">
        <v>435</v>
      </c>
      <c r="P34" s="133"/>
      <c r="Q34" s="135" t="s">
        <v>293</v>
      </c>
      <c r="R34" s="135" t="s">
        <v>310</v>
      </c>
      <c r="S34" s="133"/>
      <c r="T34" s="133"/>
      <c r="U34" s="135" t="s">
        <v>302</v>
      </c>
      <c r="V34" s="135" t="s">
        <v>318</v>
      </c>
      <c r="W34" s="133"/>
      <c r="X34" s="133"/>
      <c r="Y34" s="133"/>
    </row>
    <row r="35" spans="1:25" s="136" customFormat="1" ht="64" x14ac:dyDescent="0.2">
      <c r="A35" s="133" t="s">
        <v>601</v>
      </c>
      <c r="B35" s="134">
        <f xml:space="preserve"> ROW(B35) - 6</f>
        <v>29</v>
      </c>
      <c r="C35" s="133">
        <v>25</v>
      </c>
      <c r="D35" s="133" t="s">
        <v>437</v>
      </c>
      <c r="E35" s="133" t="s">
        <v>438</v>
      </c>
      <c r="F35" s="135" t="s">
        <v>293</v>
      </c>
      <c r="G35" s="133" t="s">
        <v>439</v>
      </c>
      <c r="H35" s="135" t="s">
        <v>293</v>
      </c>
      <c r="I35" s="133" t="s">
        <v>596</v>
      </c>
      <c r="J35" s="133" t="s">
        <v>597</v>
      </c>
      <c r="K35" s="133" t="s">
        <v>598</v>
      </c>
      <c r="L35" s="133" t="s">
        <v>440</v>
      </c>
      <c r="M35" s="133" t="s">
        <v>441</v>
      </c>
      <c r="N35" s="133" t="s">
        <v>442</v>
      </c>
      <c r="O35" s="135" t="s">
        <v>334</v>
      </c>
      <c r="P35" s="133" t="s">
        <v>443</v>
      </c>
      <c r="Q35" s="135" t="s">
        <v>293</v>
      </c>
      <c r="R35" s="135" t="s">
        <v>391</v>
      </c>
      <c r="S35" s="133"/>
      <c r="T35" s="133"/>
      <c r="U35" s="135" t="s">
        <v>302</v>
      </c>
      <c r="V35" s="135" t="s">
        <v>318</v>
      </c>
      <c r="W35" s="133"/>
      <c r="X35" s="133"/>
      <c r="Y35" s="133"/>
    </row>
    <row r="36" spans="1:25" s="136" customFormat="1" ht="32" x14ac:dyDescent="0.2">
      <c r="A36" s="133" t="s">
        <v>602</v>
      </c>
      <c r="B36" s="134">
        <f t="shared" si="0"/>
        <v>30</v>
      </c>
      <c r="C36" s="133">
        <v>26</v>
      </c>
      <c r="D36" s="133" t="s">
        <v>513</v>
      </c>
      <c r="E36" s="133" t="s">
        <v>364</v>
      </c>
      <c r="F36" s="135" t="s">
        <v>293</v>
      </c>
      <c r="G36" s="133" t="s">
        <v>364</v>
      </c>
      <c r="H36" s="135"/>
      <c r="I36" s="133"/>
      <c r="J36" s="133"/>
      <c r="K36" s="133"/>
      <c r="L36" s="132"/>
      <c r="M36" s="133"/>
      <c r="N36" s="133"/>
      <c r="O36" s="135"/>
      <c r="P36" s="133"/>
      <c r="Q36" s="135"/>
      <c r="R36" s="135"/>
      <c r="S36" s="133"/>
      <c r="T36" s="133"/>
      <c r="U36" s="135"/>
      <c r="V36" s="135"/>
      <c r="W36" s="133"/>
      <c r="X36" s="133"/>
      <c r="Y36" s="133"/>
    </row>
    <row r="37" spans="1:25" s="136" customFormat="1" ht="32" x14ac:dyDescent="0.2">
      <c r="A37" s="133" t="s">
        <v>603</v>
      </c>
      <c r="B37" s="134">
        <f t="shared" si="0"/>
        <v>31</v>
      </c>
      <c r="C37" s="133">
        <v>27</v>
      </c>
      <c r="D37" s="133" t="s">
        <v>451</v>
      </c>
      <c r="E37" s="133" t="s">
        <v>306</v>
      </c>
      <c r="F37" s="135" t="s">
        <v>293</v>
      </c>
      <c r="G37" s="133" t="s">
        <v>452</v>
      </c>
      <c r="H37" s="135" t="s">
        <v>293</v>
      </c>
      <c r="I37" s="133" t="s">
        <v>522</v>
      </c>
      <c r="J37" s="133" t="s">
        <v>523</v>
      </c>
      <c r="K37" s="133" t="s">
        <v>524</v>
      </c>
      <c r="L37" s="133" t="s">
        <v>538</v>
      </c>
      <c r="M37" s="133" t="s">
        <v>539</v>
      </c>
      <c r="N37" s="133" t="s">
        <v>540</v>
      </c>
      <c r="O37" s="135" t="s">
        <v>334</v>
      </c>
      <c r="P37" s="133">
        <v>9443</v>
      </c>
      <c r="Q37" s="135" t="s">
        <v>293</v>
      </c>
      <c r="R37" s="135" t="s">
        <v>301</v>
      </c>
      <c r="S37" s="133"/>
      <c r="T37" s="133"/>
      <c r="U37" s="135" t="s">
        <v>302</v>
      </c>
      <c r="V37" s="135" t="s">
        <v>318</v>
      </c>
      <c r="W37" s="133"/>
      <c r="X37" s="133"/>
      <c r="Y37" s="133"/>
    </row>
    <row r="38" spans="1:25" ht="16" x14ac:dyDescent="0.2">
      <c r="A38" s="197"/>
      <c r="B38" s="198">
        <f t="shared" ref="B38:B103" si="1" xml:space="preserve"> ROW(B38) - 6</f>
        <v>32</v>
      </c>
      <c r="C38" s="197"/>
      <c r="D38" s="197"/>
      <c r="E38" s="197"/>
      <c r="F38" s="199" t="s">
        <v>293</v>
      </c>
      <c r="G38" s="197"/>
      <c r="H38" s="199" t="s">
        <v>293</v>
      </c>
      <c r="I38" s="197"/>
      <c r="J38" s="197"/>
      <c r="K38" s="197"/>
      <c r="L38" s="197"/>
      <c r="M38" s="197"/>
      <c r="N38" s="197"/>
      <c r="O38" s="199" t="s">
        <v>400</v>
      </c>
      <c r="P38" s="197"/>
      <c r="Q38" s="199" t="s">
        <v>400</v>
      </c>
      <c r="R38" s="199" t="s">
        <v>400</v>
      </c>
      <c r="S38" s="197"/>
      <c r="T38" s="197"/>
      <c r="U38" s="199" t="s">
        <v>302</v>
      </c>
      <c r="V38" s="199" t="s">
        <v>400</v>
      </c>
      <c r="W38" s="197"/>
      <c r="X38" s="197"/>
      <c r="Y38" s="197"/>
    </row>
    <row r="39" spans="1:25" ht="16" x14ac:dyDescent="0.2">
      <c r="A39" s="197"/>
      <c r="B39" s="198">
        <f t="shared" si="1"/>
        <v>33</v>
      </c>
      <c r="C39" s="197"/>
      <c r="D39" s="197"/>
      <c r="E39" s="197"/>
      <c r="F39" s="199" t="s">
        <v>293</v>
      </c>
      <c r="G39" s="197"/>
      <c r="H39" s="199" t="s">
        <v>293</v>
      </c>
      <c r="I39" s="197"/>
      <c r="J39" s="197"/>
      <c r="K39" s="197"/>
      <c r="L39" s="197"/>
      <c r="M39" s="197"/>
      <c r="N39" s="197"/>
      <c r="O39" s="199" t="s">
        <v>400</v>
      </c>
      <c r="P39" s="197"/>
      <c r="Q39" s="199" t="s">
        <v>400</v>
      </c>
      <c r="R39" s="199" t="s">
        <v>400</v>
      </c>
      <c r="S39" s="197"/>
      <c r="T39" s="197"/>
      <c r="U39" s="199" t="s">
        <v>302</v>
      </c>
      <c r="V39" s="199" t="s">
        <v>400</v>
      </c>
      <c r="W39" s="197"/>
      <c r="X39" s="197"/>
      <c r="Y39" s="197"/>
    </row>
    <row r="40" spans="1:25" ht="16" x14ac:dyDescent="0.2">
      <c r="A40" s="197"/>
      <c r="B40" s="198">
        <f t="shared" si="1"/>
        <v>34</v>
      </c>
      <c r="C40" s="197"/>
      <c r="D40" s="197"/>
      <c r="E40" s="197"/>
      <c r="F40" s="199" t="s">
        <v>293</v>
      </c>
      <c r="G40" s="197"/>
      <c r="H40" s="199" t="s">
        <v>293</v>
      </c>
      <c r="I40" s="197"/>
      <c r="J40" s="197"/>
      <c r="K40" s="197"/>
      <c r="L40" s="197"/>
      <c r="M40" s="197"/>
      <c r="N40" s="197"/>
      <c r="O40" s="199" t="s">
        <v>400</v>
      </c>
      <c r="P40" s="197"/>
      <c r="Q40" s="199" t="s">
        <v>400</v>
      </c>
      <c r="R40" s="199" t="s">
        <v>400</v>
      </c>
      <c r="S40" s="197"/>
      <c r="T40" s="197"/>
      <c r="U40" s="199" t="s">
        <v>302</v>
      </c>
      <c r="V40" s="199" t="s">
        <v>400</v>
      </c>
      <c r="W40" s="197"/>
      <c r="X40" s="197"/>
      <c r="Y40" s="197"/>
    </row>
    <row r="41" spans="1:25" ht="16" x14ac:dyDescent="0.2">
      <c r="A41" s="197"/>
      <c r="B41" s="198">
        <f t="shared" si="1"/>
        <v>35</v>
      </c>
      <c r="C41" s="197"/>
      <c r="D41" s="197"/>
      <c r="E41" s="197"/>
      <c r="F41" s="199" t="s">
        <v>293</v>
      </c>
      <c r="G41" s="197"/>
      <c r="H41" s="199" t="s">
        <v>293</v>
      </c>
      <c r="I41" s="197"/>
      <c r="J41" s="197"/>
      <c r="K41" s="197"/>
      <c r="L41" s="197"/>
      <c r="M41" s="197"/>
      <c r="N41" s="197"/>
      <c r="O41" s="199" t="s">
        <v>400</v>
      </c>
      <c r="P41" s="197"/>
      <c r="Q41" s="199" t="s">
        <v>400</v>
      </c>
      <c r="R41" s="199" t="s">
        <v>400</v>
      </c>
      <c r="S41" s="197"/>
      <c r="T41" s="197"/>
      <c r="U41" s="199" t="s">
        <v>302</v>
      </c>
      <c r="V41" s="199" t="s">
        <v>400</v>
      </c>
      <c r="W41" s="197"/>
      <c r="X41" s="197"/>
      <c r="Y41" s="197"/>
    </row>
    <row r="42" spans="1:25" ht="16" x14ac:dyDescent="0.2">
      <c r="A42" s="197"/>
      <c r="B42" s="198">
        <f t="shared" si="1"/>
        <v>36</v>
      </c>
      <c r="C42" s="197"/>
      <c r="D42" s="197"/>
      <c r="E42" s="197"/>
      <c r="F42" s="199" t="s">
        <v>293</v>
      </c>
      <c r="G42" s="197"/>
      <c r="H42" s="199" t="s">
        <v>293</v>
      </c>
      <c r="I42" s="197"/>
      <c r="J42" s="197"/>
      <c r="K42" s="197"/>
      <c r="L42" s="197"/>
      <c r="M42" s="197"/>
      <c r="N42" s="197"/>
      <c r="O42" s="199" t="s">
        <v>400</v>
      </c>
      <c r="P42" s="197"/>
      <c r="Q42" s="199" t="s">
        <v>400</v>
      </c>
      <c r="R42" s="199" t="s">
        <v>400</v>
      </c>
      <c r="S42" s="197"/>
      <c r="T42" s="197"/>
      <c r="U42" s="199" t="s">
        <v>302</v>
      </c>
      <c r="V42" s="199" t="s">
        <v>400</v>
      </c>
      <c r="W42" s="197"/>
      <c r="X42" s="197"/>
      <c r="Y42" s="197"/>
    </row>
    <row r="43" spans="1:25" ht="16" x14ac:dyDescent="0.2">
      <c r="A43" s="197"/>
      <c r="B43" s="198">
        <f t="shared" si="1"/>
        <v>37</v>
      </c>
      <c r="C43" s="197"/>
      <c r="D43" s="197"/>
      <c r="E43" s="197"/>
      <c r="F43" s="199" t="s">
        <v>293</v>
      </c>
      <c r="G43" s="197"/>
      <c r="H43" s="199" t="s">
        <v>293</v>
      </c>
      <c r="I43" s="197"/>
      <c r="J43" s="197"/>
      <c r="K43" s="197"/>
      <c r="L43" s="197"/>
      <c r="M43" s="197"/>
      <c r="N43" s="197"/>
      <c r="O43" s="199" t="s">
        <v>400</v>
      </c>
      <c r="P43" s="197"/>
      <c r="Q43" s="199" t="s">
        <v>400</v>
      </c>
      <c r="R43" s="199" t="s">
        <v>400</v>
      </c>
      <c r="S43" s="197"/>
      <c r="T43" s="197"/>
      <c r="U43" s="199" t="s">
        <v>302</v>
      </c>
      <c r="V43" s="199" t="s">
        <v>400</v>
      </c>
      <c r="W43" s="197"/>
      <c r="X43" s="197"/>
      <c r="Y43" s="197"/>
    </row>
    <row r="44" spans="1:25" ht="16" x14ac:dyDescent="0.2">
      <c r="A44" s="197"/>
      <c r="B44" s="198">
        <f t="shared" si="1"/>
        <v>38</v>
      </c>
      <c r="C44" s="197"/>
      <c r="D44" s="197"/>
      <c r="E44" s="197"/>
      <c r="F44" s="199" t="s">
        <v>293</v>
      </c>
      <c r="G44" s="197"/>
      <c r="H44" s="199" t="s">
        <v>293</v>
      </c>
      <c r="I44" s="197"/>
      <c r="J44" s="197"/>
      <c r="K44" s="197"/>
      <c r="L44" s="197"/>
      <c r="M44" s="197"/>
      <c r="N44" s="197"/>
      <c r="O44" s="199" t="s">
        <v>400</v>
      </c>
      <c r="P44" s="197"/>
      <c r="Q44" s="199" t="s">
        <v>400</v>
      </c>
      <c r="R44" s="199" t="s">
        <v>400</v>
      </c>
      <c r="S44" s="197"/>
      <c r="T44" s="197"/>
      <c r="U44" s="199" t="s">
        <v>302</v>
      </c>
      <c r="V44" s="199" t="s">
        <v>400</v>
      </c>
      <c r="W44" s="197"/>
      <c r="X44" s="197"/>
      <c r="Y44" s="197"/>
    </row>
    <row r="45" spans="1:25" ht="16" x14ac:dyDescent="0.2">
      <c r="A45" s="197"/>
      <c r="B45" s="198">
        <f t="shared" si="1"/>
        <v>39</v>
      </c>
      <c r="C45" s="197"/>
      <c r="D45" s="197"/>
      <c r="E45" s="197"/>
      <c r="F45" s="199" t="s">
        <v>293</v>
      </c>
      <c r="G45" s="197"/>
      <c r="H45" s="199" t="s">
        <v>293</v>
      </c>
      <c r="I45" s="197"/>
      <c r="J45" s="197"/>
      <c r="K45" s="197"/>
      <c r="L45" s="197"/>
      <c r="M45" s="197"/>
      <c r="N45" s="197"/>
      <c r="O45" s="199" t="s">
        <v>400</v>
      </c>
      <c r="P45" s="197"/>
      <c r="Q45" s="199" t="s">
        <v>400</v>
      </c>
      <c r="R45" s="199" t="s">
        <v>400</v>
      </c>
      <c r="S45" s="197"/>
      <c r="T45" s="197"/>
      <c r="U45" s="199" t="s">
        <v>302</v>
      </c>
      <c r="V45" s="199" t="s">
        <v>400</v>
      </c>
      <c r="W45" s="197"/>
      <c r="X45" s="197"/>
      <c r="Y45" s="197"/>
    </row>
    <row r="46" spans="1:25" ht="16" x14ac:dyDescent="0.2">
      <c r="A46" s="197"/>
      <c r="B46" s="198">
        <f t="shared" si="1"/>
        <v>40</v>
      </c>
      <c r="C46" s="197"/>
      <c r="D46" s="197"/>
      <c r="E46" s="197"/>
      <c r="F46" s="199" t="s">
        <v>293</v>
      </c>
      <c r="G46" s="197"/>
      <c r="H46" s="199" t="s">
        <v>293</v>
      </c>
      <c r="I46" s="197"/>
      <c r="J46" s="197"/>
      <c r="K46" s="197"/>
      <c r="L46" s="197"/>
      <c r="M46" s="197"/>
      <c r="N46" s="197"/>
      <c r="O46" s="199" t="s">
        <v>400</v>
      </c>
      <c r="P46" s="197"/>
      <c r="Q46" s="199" t="s">
        <v>400</v>
      </c>
      <c r="R46" s="199" t="s">
        <v>400</v>
      </c>
      <c r="S46" s="197"/>
      <c r="T46" s="197"/>
      <c r="U46" s="199" t="s">
        <v>302</v>
      </c>
      <c r="V46" s="199" t="s">
        <v>400</v>
      </c>
      <c r="W46" s="197"/>
      <c r="X46" s="197"/>
      <c r="Y46" s="197"/>
    </row>
    <row r="47" spans="1:25" ht="16" x14ac:dyDescent="0.2">
      <c r="A47" s="197"/>
      <c r="B47" s="198">
        <f t="shared" si="1"/>
        <v>41</v>
      </c>
      <c r="C47" s="197"/>
      <c r="D47" s="197"/>
      <c r="E47" s="197"/>
      <c r="F47" s="199" t="s">
        <v>293</v>
      </c>
      <c r="G47" s="197"/>
      <c r="H47" s="199" t="s">
        <v>293</v>
      </c>
      <c r="I47" s="197"/>
      <c r="J47" s="197"/>
      <c r="K47" s="197"/>
      <c r="L47" s="197"/>
      <c r="M47" s="197"/>
      <c r="N47" s="197"/>
      <c r="O47" s="199" t="s">
        <v>400</v>
      </c>
      <c r="P47" s="197"/>
      <c r="Q47" s="199" t="s">
        <v>400</v>
      </c>
      <c r="R47" s="199" t="s">
        <v>400</v>
      </c>
      <c r="S47" s="197"/>
      <c r="T47" s="197"/>
      <c r="U47" s="199" t="s">
        <v>302</v>
      </c>
      <c r="V47" s="199" t="s">
        <v>400</v>
      </c>
      <c r="W47" s="197"/>
      <c r="X47" s="197"/>
      <c r="Y47" s="197"/>
    </row>
    <row r="48" spans="1:25" ht="16" x14ac:dyDescent="0.2">
      <c r="A48" s="197"/>
      <c r="B48" s="198">
        <f t="shared" si="1"/>
        <v>42</v>
      </c>
      <c r="C48" s="197"/>
      <c r="D48" s="197"/>
      <c r="E48" s="197"/>
      <c r="F48" s="199" t="s">
        <v>293</v>
      </c>
      <c r="G48" s="197"/>
      <c r="H48" s="199" t="s">
        <v>293</v>
      </c>
      <c r="I48" s="197"/>
      <c r="J48" s="197"/>
      <c r="K48" s="197"/>
      <c r="L48" s="197"/>
      <c r="M48" s="197"/>
      <c r="N48" s="197"/>
      <c r="O48" s="199" t="s">
        <v>400</v>
      </c>
      <c r="P48" s="197"/>
      <c r="Q48" s="199" t="s">
        <v>400</v>
      </c>
      <c r="R48" s="199" t="s">
        <v>400</v>
      </c>
      <c r="S48" s="197"/>
      <c r="T48" s="197"/>
      <c r="U48" s="199" t="s">
        <v>302</v>
      </c>
      <c r="V48" s="199" t="s">
        <v>400</v>
      </c>
      <c r="W48" s="197"/>
      <c r="X48" s="197"/>
      <c r="Y48" s="197"/>
    </row>
    <row r="49" spans="1:25" ht="16" x14ac:dyDescent="0.2">
      <c r="A49" s="197"/>
      <c r="B49" s="198">
        <f t="shared" si="1"/>
        <v>43</v>
      </c>
      <c r="C49" s="197"/>
      <c r="D49" s="197"/>
      <c r="E49" s="197"/>
      <c r="F49" s="199" t="s">
        <v>293</v>
      </c>
      <c r="G49" s="197"/>
      <c r="H49" s="199" t="s">
        <v>293</v>
      </c>
      <c r="I49" s="197"/>
      <c r="J49" s="197"/>
      <c r="K49" s="197"/>
      <c r="L49" s="197"/>
      <c r="M49" s="197"/>
      <c r="N49" s="197"/>
      <c r="O49" s="199" t="s">
        <v>400</v>
      </c>
      <c r="P49" s="197"/>
      <c r="Q49" s="199" t="s">
        <v>400</v>
      </c>
      <c r="R49" s="199" t="s">
        <v>400</v>
      </c>
      <c r="S49" s="197"/>
      <c r="T49" s="197"/>
      <c r="U49" s="199" t="s">
        <v>302</v>
      </c>
      <c r="V49" s="199" t="s">
        <v>400</v>
      </c>
      <c r="W49" s="197"/>
      <c r="X49" s="197"/>
      <c r="Y49" s="197"/>
    </row>
    <row r="50" spans="1:25" ht="16" x14ac:dyDescent="0.2">
      <c r="A50" s="197"/>
      <c r="B50" s="198">
        <f t="shared" si="1"/>
        <v>44</v>
      </c>
      <c r="C50" s="197"/>
      <c r="D50" s="197"/>
      <c r="E50" s="197"/>
      <c r="F50" s="199" t="s">
        <v>293</v>
      </c>
      <c r="G50" s="197"/>
      <c r="H50" s="199" t="s">
        <v>293</v>
      </c>
      <c r="I50" s="197"/>
      <c r="J50" s="197"/>
      <c r="K50" s="197"/>
      <c r="L50" s="197"/>
      <c r="M50" s="197"/>
      <c r="N50" s="197"/>
      <c r="O50" s="199" t="s">
        <v>400</v>
      </c>
      <c r="P50" s="197"/>
      <c r="Q50" s="199" t="s">
        <v>400</v>
      </c>
      <c r="R50" s="199" t="s">
        <v>400</v>
      </c>
      <c r="S50" s="197"/>
      <c r="T50" s="197"/>
      <c r="U50" s="199" t="s">
        <v>302</v>
      </c>
      <c r="V50" s="199" t="s">
        <v>400</v>
      </c>
      <c r="W50" s="197"/>
      <c r="X50" s="197"/>
      <c r="Y50" s="197"/>
    </row>
    <row r="51" spans="1:25" ht="16" x14ac:dyDescent="0.2">
      <c r="A51" s="197"/>
      <c r="B51" s="198">
        <f t="shared" si="1"/>
        <v>45</v>
      </c>
      <c r="C51" s="197"/>
      <c r="D51" s="197"/>
      <c r="E51" s="197"/>
      <c r="F51" s="199" t="s">
        <v>293</v>
      </c>
      <c r="G51" s="197"/>
      <c r="H51" s="199" t="s">
        <v>293</v>
      </c>
      <c r="I51" s="197"/>
      <c r="J51" s="197"/>
      <c r="K51" s="197"/>
      <c r="L51" s="197"/>
      <c r="M51" s="197"/>
      <c r="N51" s="197"/>
      <c r="O51" s="199" t="s">
        <v>400</v>
      </c>
      <c r="P51" s="197"/>
      <c r="Q51" s="199" t="s">
        <v>400</v>
      </c>
      <c r="R51" s="199" t="s">
        <v>400</v>
      </c>
      <c r="S51" s="197"/>
      <c r="T51" s="197"/>
      <c r="U51" s="199" t="s">
        <v>302</v>
      </c>
      <c r="V51" s="199" t="s">
        <v>400</v>
      </c>
      <c r="W51" s="197"/>
      <c r="X51" s="197"/>
      <c r="Y51" s="197"/>
    </row>
    <row r="52" spans="1:25" ht="16" x14ac:dyDescent="0.2">
      <c r="A52" s="197"/>
      <c r="B52" s="198">
        <f t="shared" si="1"/>
        <v>46</v>
      </c>
      <c r="C52" s="197"/>
      <c r="D52" s="197"/>
      <c r="E52" s="197"/>
      <c r="F52" s="199" t="s">
        <v>293</v>
      </c>
      <c r="G52" s="197"/>
      <c r="H52" s="199" t="s">
        <v>293</v>
      </c>
      <c r="I52" s="197"/>
      <c r="J52" s="197"/>
      <c r="K52" s="197"/>
      <c r="L52" s="197"/>
      <c r="M52" s="197"/>
      <c r="N52" s="197"/>
      <c r="O52" s="199" t="s">
        <v>400</v>
      </c>
      <c r="P52" s="197"/>
      <c r="Q52" s="199" t="s">
        <v>400</v>
      </c>
      <c r="R52" s="199" t="s">
        <v>400</v>
      </c>
      <c r="S52" s="197"/>
      <c r="T52" s="197"/>
      <c r="U52" s="199" t="s">
        <v>302</v>
      </c>
      <c r="V52" s="199" t="s">
        <v>400</v>
      </c>
      <c r="W52" s="197"/>
      <c r="X52" s="197"/>
      <c r="Y52" s="197"/>
    </row>
    <row r="53" spans="1:25" ht="16" x14ac:dyDescent="0.2">
      <c r="A53" s="197"/>
      <c r="B53" s="198">
        <f t="shared" si="1"/>
        <v>47</v>
      </c>
      <c r="C53" s="197"/>
      <c r="D53" s="197"/>
      <c r="E53" s="197"/>
      <c r="F53" s="199" t="s">
        <v>293</v>
      </c>
      <c r="G53" s="197"/>
      <c r="H53" s="199" t="s">
        <v>293</v>
      </c>
      <c r="I53" s="197"/>
      <c r="J53" s="197"/>
      <c r="K53" s="197"/>
      <c r="L53" s="197"/>
      <c r="M53" s="197"/>
      <c r="N53" s="197"/>
      <c r="O53" s="199" t="s">
        <v>400</v>
      </c>
      <c r="P53" s="197"/>
      <c r="Q53" s="199" t="s">
        <v>400</v>
      </c>
      <c r="R53" s="199" t="s">
        <v>400</v>
      </c>
      <c r="S53" s="197"/>
      <c r="T53" s="197"/>
      <c r="U53" s="199" t="s">
        <v>302</v>
      </c>
      <c r="V53" s="199" t="s">
        <v>400</v>
      </c>
      <c r="W53" s="197"/>
      <c r="X53" s="197"/>
      <c r="Y53" s="197"/>
    </row>
    <row r="54" spans="1:25" ht="16" x14ac:dyDescent="0.2">
      <c r="A54" s="197"/>
      <c r="B54" s="198">
        <f t="shared" si="1"/>
        <v>48</v>
      </c>
      <c r="C54" s="197"/>
      <c r="D54" s="197"/>
      <c r="E54" s="197"/>
      <c r="F54" s="199" t="s">
        <v>293</v>
      </c>
      <c r="G54" s="197"/>
      <c r="H54" s="199" t="s">
        <v>293</v>
      </c>
      <c r="I54" s="197"/>
      <c r="J54" s="197"/>
      <c r="K54" s="197"/>
      <c r="L54" s="197"/>
      <c r="M54" s="197"/>
      <c r="N54" s="197"/>
      <c r="O54" s="199" t="s">
        <v>400</v>
      </c>
      <c r="P54" s="197"/>
      <c r="Q54" s="199" t="s">
        <v>400</v>
      </c>
      <c r="R54" s="199" t="s">
        <v>400</v>
      </c>
      <c r="S54" s="197"/>
      <c r="T54" s="197"/>
      <c r="U54" s="199" t="s">
        <v>302</v>
      </c>
      <c r="V54" s="199" t="s">
        <v>400</v>
      </c>
      <c r="W54" s="197"/>
      <c r="X54" s="197"/>
      <c r="Y54" s="197"/>
    </row>
    <row r="55" spans="1:25" ht="16" x14ac:dyDescent="0.2">
      <c r="A55" s="197"/>
      <c r="B55" s="198">
        <f t="shared" si="1"/>
        <v>49</v>
      </c>
      <c r="C55" s="197"/>
      <c r="D55" s="197"/>
      <c r="E55" s="197"/>
      <c r="F55" s="199" t="s">
        <v>293</v>
      </c>
      <c r="G55" s="197"/>
      <c r="H55" s="199" t="s">
        <v>293</v>
      </c>
      <c r="I55" s="197"/>
      <c r="J55" s="197"/>
      <c r="K55" s="197"/>
      <c r="L55" s="197"/>
      <c r="M55" s="197"/>
      <c r="N55" s="197"/>
      <c r="O55" s="199" t="s">
        <v>400</v>
      </c>
      <c r="P55" s="197"/>
      <c r="Q55" s="199" t="s">
        <v>400</v>
      </c>
      <c r="R55" s="199" t="s">
        <v>400</v>
      </c>
      <c r="S55" s="197"/>
      <c r="T55" s="197"/>
      <c r="U55" s="199" t="s">
        <v>302</v>
      </c>
      <c r="V55" s="199" t="s">
        <v>400</v>
      </c>
      <c r="W55" s="197"/>
      <c r="X55" s="197"/>
      <c r="Y55" s="197"/>
    </row>
    <row r="56" spans="1:25" ht="16" x14ac:dyDescent="0.2">
      <c r="A56" s="197"/>
      <c r="B56" s="198">
        <f t="shared" si="1"/>
        <v>50</v>
      </c>
      <c r="C56" s="197"/>
      <c r="D56" s="197"/>
      <c r="E56" s="197"/>
      <c r="F56" s="199" t="s">
        <v>293</v>
      </c>
      <c r="G56" s="197"/>
      <c r="H56" s="199" t="s">
        <v>293</v>
      </c>
      <c r="I56" s="197"/>
      <c r="J56" s="197"/>
      <c r="K56" s="197"/>
      <c r="L56" s="197"/>
      <c r="M56" s="197"/>
      <c r="N56" s="197"/>
      <c r="O56" s="199" t="s">
        <v>400</v>
      </c>
      <c r="P56" s="197"/>
      <c r="Q56" s="199" t="s">
        <v>400</v>
      </c>
      <c r="R56" s="199" t="s">
        <v>400</v>
      </c>
      <c r="S56" s="197"/>
      <c r="T56" s="197"/>
      <c r="U56" s="199" t="s">
        <v>302</v>
      </c>
      <c r="V56" s="199" t="s">
        <v>400</v>
      </c>
      <c r="W56" s="197"/>
      <c r="X56" s="197"/>
      <c r="Y56" s="197"/>
    </row>
    <row r="57" spans="1:25" ht="16" x14ac:dyDescent="0.2">
      <c r="A57" s="197"/>
      <c r="B57" s="198">
        <f t="shared" si="1"/>
        <v>51</v>
      </c>
      <c r="C57" s="197"/>
      <c r="D57" s="197"/>
      <c r="E57" s="197"/>
      <c r="F57" s="199" t="s">
        <v>293</v>
      </c>
      <c r="G57" s="197"/>
      <c r="H57" s="199" t="s">
        <v>293</v>
      </c>
      <c r="I57" s="197"/>
      <c r="J57" s="197"/>
      <c r="K57" s="197"/>
      <c r="L57" s="197"/>
      <c r="M57" s="197"/>
      <c r="N57" s="197"/>
      <c r="O57" s="199" t="s">
        <v>400</v>
      </c>
      <c r="P57" s="197"/>
      <c r="Q57" s="199" t="s">
        <v>400</v>
      </c>
      <c r="R57" s="199" t="s">
        <v>400</v>
      </c>
      <c r="S57" s="197"/>
      <c r="T57" s="197"/>
      <c r="U57" s="199" t="s">
        <v>302</v>
      </c>
      <c r="V57" s="199" t="s">
        <v>400</v>
      </c>
      <c r="W57" s="197"/>
      <c r="X57" s="197"/>
      <c r="Y57" s="197"/>
    </row>
    <row r="58" spans="1:25" ht="16" x14ac:dyDescent="0.2">
      <c r="A58" s="197"/>
      <c r="B58" s="198">
        <f t="shared" si="1"/>
        <v>52</v>
      </c>
      <c r="C58" s="197"/>
      <c r="D58" s="197"/>
      <c r="E58" s="197"/>
      <c r="F58" s="199" t="s">
        <v>293</v>
      </c>
      <c r="G58" s="197"/>
      <c r="H58" s="199" t="s">
        <v>293</v>
      </c>
      <c r="I58" s="197"/>
      <c r="J58" s="197"/>
      <c r="K58" s="197"/>
      <c r="L58" s="197"/>
      <c r="M58" s="197"/>
      <c r="N58" s="197"/>
      <c r="O58" s="199" t="s">
        <v>400</v>
      </c>
      <c r="P58" s="197"/>
      <c r="Q58" s="199" t="s">
        <v>400</v>
      </c>
      <c r="R58" s="199" t="s">
        <v>400</v>
      </c>
      <c r="S58" s="197"/>
      <c r="T58" s="197"/>
      <c r="U58" s="199" t="s">
        <v>302</v>
      </c>
      <c r="V58" s="199" t="s">
        <v>400</v>
      </c>
      <c r="W58" s="197"/>
      <c r="X58" s="197"/>
      <c r="Y58" s="197"/>
    </row>
    <row r="59" spans="1:25" ht="16" x14ac:dyDescent="0.2">
      <c r="A59" s="197"/>
      <c r="B59" s="198">
        <f t="shared" si="1"/>
        <v>53</v>
      </c>
      <c r="C59" s="197"/>
      <c r="D59" s="197"/>
      <c r="E59" s="197"/>
      <c r="F59" s="199" t="s">
        <v>293</v>
      </c>
      <c r="G59" s="197"/>
      <c r="H59" s="199" t="s">
        <v>293</v>
      </c>
      <c r="I59" s="197"/>
      <c r="J59" s="197"/>
      <c r="K59" s="197"/>
      <c r="L59" s="197"/>
      <c r="M59" s="197"/>
      <c r="N59" s="197"/>
      <c r="O59" s="199" t="s">
        <v>400</v>
      </c>
      <c r="P59" s="197"/>
      <c r="Q59" s="199" t="s">
        <v>400</v>
      </c>
      <c r="R59" s="199" t="s">
        <v>400</v>
      </c>
      <c r="S59" s="197"/>
      <c r="T59" s="197"/>
      <c r="U59" s="199" t="s">
        <v>302</v>
      </c>
      <c r="V59" s="199" t="s">
        <v>400</v>
      </c>
      <c r="W59" s="197"/>
      <c r="X59" s="197"/>
      <c r="Y59" s="197"/>
    </row>
    <row r="60" spans="1:25" ht="16" x14ac:dyDescent="0.2">
      <c r="A60" s="197"/>
      <c r="B60" s="198">
        <f t="shared" si="1"/>
        <v>54</v>
      </c>
      <c r="C60" s="197"/>
      <c r="D60" s="197"/>
      <c r="E60" s="197"/>
      <c r="F60" s="199" t="s">
        <v>293</v>
      </c>
      <c r="G60" s="197"/>
      <c r="H60" s="199" t="s">
        <v>293</v>
      </c>
      <c r="I60" s="197"/>
      <c r="J60" s="197"/>
      <c r="K60" s="197"/>
      <c r="L60" s="197"/>
      <c r="M60" s="197"/>
      <c r="N60" s="197"/>
      <c r="O60" s="199" t="s">
        <v>400</v>
      </c>
      <c r="P60" s="197"/>
      <c r="Q60" s="199" t="s">
        <v>400</v>
      </c>
      <c r="R60" s="199" t="s">
        <v>400</v>
      </c>
      <c r="S60" s="197"/>
      <c r="T60" s="197"/>
      <c r="U60" s="199" t="s">
        <v>302</v>
      </c>
      <c r="V60" s="199" t="s">
        <v>400</v>
      </c>
      <c r="W60" s="197"/>
      <c r="X60" s="197"/>
      <c r="Y60" s="197"/>
    </row>
    <row r="61" spans="1:25" ht="16" x14ac:dyDescent="0.2">
      <c r="A61" s="197"/>
      <c r="B61" s="198">
        <f t="shared" si="1"/>
        <v>55</v>
      </c>
      <c r="C61" s="197"/>
      <c r="D61" s="197"/>
      <c r="E61" s="197"/>
      <c r="F61" s="199" t="s">
        <v>293</v>
      </c>
      <c r="G61" s="197"/>
      <c r="H61" s="199" t="s">
        <v>293</v>
      </c>
      <c r="I61" s="197"/>
      <c r="J61" s="197"/>
      <c r="K61" s="197"/>
      <c r="L61" s="197"/>
      <c r="M61" s="197"/>
      <c r="N61" s="197"/>
      <c r="O61" s="199" t="s">
        <v>400</v>
      </c>
      <c r="P61" s="197"/>
      <c r="Q61" s="199" t="s">
        <v>400</v>
      </c>
      <c r="R61" s="199" t="s">
        <v>400</v>
      </c>
      <c r="S61" s="197"/>
      <c r="T61" s="197"/>
      <c r="U61" s="199" t="s">
        <v>302</v>
      </c>
      <c r="V61" s="199" t="s">
        <v>400</v>
      </c>
      <c r="W61" s="197"/>
      <c r="X61" s="197"/>
      <c r="Y61" s="197"/>
    </row>
    <row r="62" spans="1:25" ht="16" x14ac:dyDescent="0.2">
      <c r="A62" s="197"/>
      <c r="B62" s="198">
        <f t="shared" si="1"/>
        <v>56</v>
      </c>
      <c r="C62" s="197"/>
      <c r="D62" s="197"/>
      <c r="E62" s="197"/>
      <c r="F62" s="199" t="s">
        <v>293</v>
      </c>
      <c r="G62" s="197"/>
      <c r="H62" s="199" t="s">
        <v>293</v>
      </c>
      <c r="I62" s="197"/>
      <c r="J62" s="197"/>
      <c r="K62" s="197"/>
      <c r="L62" s="197"/>
      <c r="M62" s="197"/>
      <c r="N62" s="197"/>
      <c r="O62" s="199" t="s">
        <v>400</v>
      </c>
      <c r="P62" s="197"/>
      <c r="Q62" s="199" t="s">
        <v>400</v>
      </c>
      <c r="R62" s="199" t="s">
        <v>400</v>
      </c>
      <c r="S62" s="197"/>
      <c r="T62" s="197"/>
      <c r="U62" s="199" t="s">
        <v>302</v>
      </c>
      <c r="V62" s="199" t="s">
        <v>400</v>
      </c>
      <c r="W62" s="197"/>
      <c r="X62" s="197"/>
      <c r="Y62" s="197"/>
    </row>
    <row r="63" spans="1:25" ht="16" x14ac:dyDescent="0.2">
      <c r="A63" s="197"/>
      <c r="B63" s="198">
        <f t="shared" si="1"/>
        <v>57</v>
      </c>
      <c r="C63" s="197"/>
      <c r="D63" s="197"/>
      <c r="E63" s="197"/>
      <c r="F63" s="199" t="s">
        <v>293</v>
      </c>
      <c r="G63" s="197"/>
      <c r="H63" s="199" t="s">
        <v>293</v>
      </c>
      <c r="I63" s="197"/>
      <c r="J63" s="197"/>
      <c r="K63" s="197"/>
      <c r="L63" s="197"/>
      <c r="M63" s="197"/>
      <c r="N63" s="197"/>
      <c r="O63" s="199" t="s">
        <v>400</v>
      </c>
      <c r="P63" s="197"/>
      <c r="Q63" s="199" t="s">
        <v>400</v>
      </c>
      <c r="R63" s="199" t="s">
        <v>400</v>
      </c>
      <c r="S63" s="197"/>
      <c r="T63" s="197"/>
      <c r="U63" s="199" t="s">
        <v>302</v>
      </c>
      <c r="V63" s="199" t="s">
        <v>400</v>
      </c>
      <c r="W63" s="197"/>
      <c r="X63" s="197"/>
      <c r="Y63" s="197"/>
    </row>
    <row r="64" spans="1:25" ht="16" x14ac:dyDescent="0.2">
      <c r="A64" s="197"/>
      <c r="B64" s="198">
        <f t="shared" si="1"/>
        <v>58</v>
      </c>
      <c r="C64" s="197"/>
      <c r="D64" s="197"/>
      <c r="E64" s="197"/>
      <c r="F64" s="199" t="s">
        <v>293</v>
      </c>
      <c r="G64" s="197"/>
      <c r="H64" s="199" t="s">
        <v>293</v>
      </c>
      <c r="I64" s="197"/>
      <c r="J64" s="197"/>
      <c r="K64" s="197"/>
      <c r="L64" s="197"/>
      <c r="M64" s="197"/>
      <c r="N64" s="197"/>
      <c r="O64" s="199" t="s">
        <v>400</v>
      </c>
      <c r="P64" s="197"/>
      <c r="Q64" s="199" t="s">
        <v>400</v>
      </c>
      <c r="R64" s="199" t="s">
        <v>400</v>
      </c>
      <c r="S64" s="197"/>
      <c r="T64" s="197"/>
      <c r="U64" s="199" t="s">
        <v>302</v>
      </c>
      <c r="V64" s="199" t="s">
        <v>400</v>
      </c>
      <c r="W64" s="197"/>
      <c r="X64" s="197"/>
      <c r="Y64" s="197"/>
    </row>
    <row r="65" spans="1:25" ht="16" x14ac:dyDescent="0.2">
      <c r="A65" s="197"/>
      <c r="B65" s="198">
        <f t="shared" si="1"/>
        <v>59</v>
      </c>
      <c r="C65" s="197"/>
      <c r="D65" s="197"/>
      <c r="E65" s="197"/>
      <c r="F65" s="199" t="s">
        <v>293</v>
      </c>
      <c r="G65" s="197"/>
      <c r="H65" s="199" t="s">
        <v>293</v>
      </c>
      <c r="I65" s="197"/>
      <c r="J65" s="197"/>
      <c r="K65" s="197"/>
      <c r="L65" s="197"/>
      <c r="M65" s="197"/>
      <c r="N65" s="197"/>
      <c r="O65" s="199" t="s">
        <v>400</v>
      </c>
      <c r="P65" s="197"/>
      <c r="Q65" s="199" t="s">
        <v>400</v>
      </c>
      <c r="R65" s="199" t="s">
        <v>400</v>
      </c>
      <c r="S65" s="197"/>
      <c r="T65" s="197"/>
      <c r="U65" s="199" t="s">
        <v>302</v>
      </c>
      <c r="V65" s="199" t="s">
        <v>400</v>
      </c>
      <c r="W65" s="197"/>
      <c r="X65" s="197"/>
      <c r="Y65" s="197"/>
    </row>
    <row r="66" spans="1:25" ht="16" x14ac:dyDescent="0.2">
      <c r="A66" s="197"/>
      <c r="B66" s="198">
        <f t="shared" si="1"/>
        <v>60</v>
      </c>
      <c r="C66" s="197"/>
      <c r="D66" s="197"/>
      <c r="E66" s="197"/>
      <c r="F66" s="199" t="s">
        <v>293</v>
      </c>
      <c r="G66" s="197"/>
      <c r="H66" s="199" t="s">
        <v>293</v>
      </c>
      <c r="I66" s="197"/>
      <c r="J66" s="197"/>
      <c r="K66" s="197"/>
      <c r="L66" s="197"/>
      <c r="M66" s="197"/>
      <c r="N66" s="197"/>
      <c r="O66" s="199" t="s">
        <v>400</v>
      </c>
      <c r="P66" s="197"/>
      <c r="Q66" s="199" t="s">
        <v>400</v>
      </c>
      <c r="R66" s="199" t="s">
        <v>400</v>
      </c>
      <c r="S66" s="197"/>
      <c r="T66" s="197"/>
      <c r="U66" s="199" t="s">
        <v>302</v>
      </c>
      <c r="V66" s="199" t="s">
        <v>400</v>
      </c>
      <c r="W66" s="197"/>
      <c r="X66" s="197"/>
      <c r="Y66" s="197"/>
    </row>
    <row r="67" spans="1:25" ht="16" x14ac:dyDescent="0.2">
      <c r="A67" s="197"/>
      <c r="B67" s="198">
        <f t="shared" si="1"/>
        <v>61</v>
      </c>
      <c r="C67" s="197"/>
      <c r="D67" s="197"/>
      <c r="E67" s="197"/>
      <c r="F67" s="199" t="s">
        <v>293</v>
      </c>
      <c r="G67" s="197"/>
      <c r="H67" s="199" t="s">
        <v>293</v>
      </c>
      <c r="I67" s="197"/>
      <c r="J67" s="197"/>
      <c r="K67" s="197"/>
      <c r="L67" s="197"/>
      <c r="M67" s="197"/>
      <c r="N67" s="197"/>
      <c r="O67" s="199" t="s">
        <v>400</v>
      </c>
      <c r="P67" s="197"/>
      <c r="Q67" s="199" t="s">
        <v>400</v>
      </c>
      <c r="R67" s="199" t="s">
        <v>400</v>
      </c>
      <c r="S67" s="197"/>
      <c r="T67" s="197"/>
      <c r="U67" s="199" t="s">
        <v>302</v>
      </c>
      <c r="V67" s="199" t="s">
        <v>400</v>
      </c>
      <c r="W67" s="197"/>
      <c r="X67" s="197"/>
      <c r="Y67" s="197"/>
    </row>
    <row r="68" spans="1:25" ht="16" x14ac:dyDescent="0.2">
      <c r="A68" s="197"/>
      <c r="B68" s="198">
        <f t="shared" si="1"/>
        <v>62</v>
      </c>
      <c r="C68" s="197"/>
      <c r="D68" s="197"/>
      <c r="E68" s="197"/>
      <c r="F68" s="199" t="s">
        <v>293</v>
      </c>
      <c r="G68" s="197"/>
      <c r="H68" s="199" t="s">
        <v>293</v>
      </c>
      <c r="I68" s="197"/>
      <c r="J68" s="197"/>
      <c r="K68" s="197"/>
      <c r="L68" s="197"/>
      <c r="M68" s="197"/>
      <c r="N68" s="197"/>
      <c r="O68" s="199" t="s">
        <v>400</v>
      </c>
      <c r="P68" s="197"/>
      <c r="Q68" s="199" t="s">
        <v>400</v>
      </c>
      <c r="R68" s="199" t="s">
        <v>400</v>
      </c>
      <c r="S68" s="197"/>
      <c r="T68" s="197"/>
      <c r="U68" s="199" t="s">
        <v>302</v>
      </c>
      <c r="V68" s="199" t="s">
        <v>400</v>
      </c>
      <c r="W68" s="197"/>
      <c r="X68" s="197"/>
      <c r="Y68" s="197"/>
    </row>
    <row r="69" spans="1:25" ht="16" x14ac:dyDescent="0.2">
      <c r="A69" s="197"/>
      <c r="B69" s="198">
        <f t="shared" si="1"/>
        <v>63</v>
      </c>
      <c r="C69" s="197"/>
      <c r="D69" s="197"/>
      <c r="E69" s="197"/>
      <c r="F69" s="199" t="s">
        <v>293</v>
      </c>
      <c r="G69" s="197"/>
      <c r="H69" s="199" t="s">
        <v>293</v>
      </c>
      <c r="I69" s="197"/>
      <c r="J69" s="197"/>
      <c r="K69" s="197"/>
      <c r="L69" s="197"/>
      <c r="M69" s="197"/>
      <c r="N69" s="197"/>
      <c r="O69" s="199" t="s">
        <v>400</v>
      </c>
      <c r="P69" s="197"/>
      <c r="Q69" s="199" t="s">
        <v>400</v>
      </c>
      <c r="R69" s="199" t="s">
        <v>400</v>
      </c>
      <c r="S69" s="197"/>
      <c r="T69" s="197"/>
      <c r="U69" s="199" t="s">
        <v>302</v>
      </c>
      <c r="V69" s="199" t="s">
        <v>400</v>
      </c>
      <c r="W69" s="197"/>
      <c r="X69" s="197"/>
      <c r="Y69" s="197"/>
    </row>
    <row r="70" spans="1:25" ht="16" x14ac:dyDescent="0.2">
      <c r="A70" s="197"/>
      <c r="B70" s="198">
        <f t="shared" si="1"/>
        <v>64</v>
      </c>
      <c r="C70" s="197"/>
      <c r="D70" s="197"/>
      <c r="E70" s="197"/>
      <c r="F70" s="199" t="s">
        <v>293</v>
      </c>
      <c r="G70" s="197"/>
      <c r="H70" s="199" t="s">
        <v>293</v>
      </c>
      <c r="I70" s="197"/>
      <c r="J70" s="197"/>
      <c r="K70" s="197"/>
      <c r="L70" s="197"/>
      <c r="M70" s="197"/>
      <c r="N70" s="197"/>
      <c r="O70" s="199" t="s">
        <v>400</v>
      </c>
      <c r="P70" s="197"/>
      <c r="Q70" s="199" t="s">
        <v>400</v>
      </c>
      <c r="R70" s="199" t="s">
        <v>400</v>
      </c>
      <c r="S70" s="197"/>
      <c r="T70" s="197"/>
      <c r="U70" s="199" t="s">
        <v>302</v>
      </c>
      <c r="V70" s="199" t="s">
        <v>400</v>
      </c>
      <c r="W70" s="197"/>
      <c r="X70" s="197"/>
      <c r="Y70" s="197"/>
    </row>
    <row r="71" spans="1:25" ht="16" x14ac:dyDescent="0.2">
      <c r="A71" s="197"/>
      <c r="B71" s="198">
        <f t="shared" si="1"/>
        <v>65</v>
      </c>
      <c r="C71" s="197"/>
      <c r="D71" s="197"/>
      <c r="E71" s="197"/>
      <c r="F71" s="199" t="s">
        <v>293</v>
      </c>
      <c r="G71" s="197"/>
      <c r="H71" s="199" t="s">
        <v>293</v>
      </c>
      <c r="I71" s="197"/>
      <c r="J71" s="197"/>
      <c r="K71" s="197"/>
      <c r="L71" s="197"/>
      <c r="M71" s="197"/>
      <c r="N71" s="197"/>
      <c r="O71" s="199" t="s">
        <v>400</v>
      </c>
      <c r="P71" s="197"/>
      <c r="Q71" s="199" t="s">
        <v>400</v>
      </c>
      <c r="R71" s="199" t="s">
        <v>400</v>
      </c>
      <c r="S71" s="197"/>
      <c r="T71" s="197"/>
      <c r="U71" s="199" t="s">
        <v>302</v>
      </c>
      <c r="V71" s="199" t="s">
        <v>400</v>
      </c>
      <c r="W71" s="197"/>
      <c r="X71" s="197"/>
      <c r="Y71" s="197"/>
    </row>
    <row r="72" spans="1:25" ht="16" x14ac:dyDescent="0.2">
      <c r="A72" s="197"/>
      <c r="B72" s="198">
        <f t="shared" si="1"/>
        <v>66</v>
      </c>
      <c r="C72" s="197"/>
      <c r="D72" s="197"/>
      <c r="E72" s="197"/>
      <c r="F72" s="199" t="s">
        <v>293</v>
      </c>
      <c r="G72" s="197"/>
      <c r="H72" s="199" t="s">
        <v>293</v>
      </c>
      <c r="I72" s="197"/>
      <c r="J72" s="197"/>
      <c r="K72" s="197"/>
      <c r="L72" s="197"/>
      <c r="M72" s="197"/>
      <c r="N72" s="197"/>
      <c r="O72" s="199" t="s">
        <v>400</v>
      </c>
      <c r="P72" s="197"/>
      <c r="Q72" s="199" t="s">
        <v>400</v>
      </c>
      <c r="R72" s="199" t="s">
        <v>400</v>
      </c>
      <c r="S72" s="197"/>
      <c r="T72" s="197"/>
      <c r="U72" s="199" t="s">
        <v>302</v>
      </c>
      <c r="V72" s="199" t="s">
        <v>400</v>
      </c>
      <c r="W72" s="197"/>
      <c r="X72" s="197"/>
      <c r="Y72" s="197"/>
    </row>
    <row r="73" spans="1:25" ht="16" x14ac:dyDescent="0.2">
      <c r="A73" s="197"/>
      <c r="B73" s="198">
        <f t="shared" si="1"/>
        <v>67</v>
      </c>
      <c r="C73" s="197"/>
      <c r="D73" s="197"/>
      <c r="E73" s="197"/>
      <c r="F73" s="199" t="s">
        <v>293</v>
      </c>
      <c r="G73" s="197"/>
      <c r="H73" s="199" t="s">
        <v>293</v>
      </c>
      <c r="I73" s="197"/>
      <c r="J73" s="197"/>
      <c r="K73" s="197"/>
      <c r="L73" s="197"/>
      <c r="M73" s="197"/>
      <c r="N73" s="197"/>
      <c r="O73" s="199" t="s">
        <v>400</v>
      </c>
      <c r="P73" s="197"/>
      <c r="Q73" s="199" t="s">
        <v>400</v>
      </c>
      <c r="R73" s="199" t="s">
        <v>400</v>
      </c>
      <c r="S73" s="197"/>
      <c r="T73" s="197"/>
      <c r="U73" s="199" t="s">
        <v>302</v>
      </c>
      <c r="V73" s="199" t="s">
        <v>400</v>
      </c>
      <c r="W73" s="197"/>
      <c r="X73" s="197"/>
      <c r="Y73" s="197"/>
    </row>
    <row r="74" spans="1:25" ht="16" x14ac:dyDescent="0.2">
      <c r="A74" s="197"/>
      <c r="B74" s="198">
        <f t="shared" si="1"/>
        <v>68</v>
      </c>
      <c r="C74" s="197"/>
      <c r="D74" s="197"/>
      <c r="E74" s="197"/>
      <c r="F74" s="199" t="s">
        <v>293</v>
      </c>
      <c r="G74" s="197"/>
      <c r="H74" s="199" t="s">
        <v>293</v>
      </c>
      <c r="I74" s="197"/>
      <c r="J74" s="197"/>
      <c r="K74" s="197"/>
      <c r="L74" s="197"/>
      <c r="M74" s="197"/>
      <c r="N74" s="197"/>
      <c r="O74" s="199" t="s">
        <v>400</v>
      </c>
      <c r="P74" s="197"/>
      <c r="Q74" s="199" t="s">
        <v>400</v>
      </c>
      <c r="R74" s="199" t="s">
        <v>400</v>
      </c>
      <c r="S74" s="197"/>
      <c r="T74" s="197"/>
      <c r="U74" s="199" t="s">
        <v>302</v>
      </c>
      <c r="V74" s="199" t="s">
        <v>400</v>
      </c>
      <c r="W74" s="197"/>
      <c r="X74" s="197"/>
      <c r="Y74" s="197"/>
    </row>
    <row r="75" spans="1:25" ht="16" x14ac:dyDescent="0.2">
      <c r="A75" s="197"/>
      <c r="B75" s="198">
        <f t="shared" si="1"/>
        <v>69</v>
      </c>
      <c r="C75" s="197"/>
      <c r="D75" s="197"/>
      <c r="E75" s="197"/>
      <c r="F75" s="199" t="s">
        <v>293</v>
      </c>
      <c r="G75" s="197"/>
      <c r="H75" s="199" t="s">
        <v>293</v>
      </c>
      <c r="I75" s="197"/>
      <c r="J75" s="197"/>
      <c r="K75" s="197"/>
      <c r="L75" s="197"/>
      <c r="M75" s="197"/>
      <c r="N75" s="197"/>
      <c r="O75" s="199" t="s">
        <v>400</v>
      </c>
      <c r="P75" s="197"/>
      <c r="Q75" s="199" t="s">
        <v>400</v>
      </c>
      <c r="R75" s="199" t="s">
        <v>400</v>
      </c>
      <c r="S75" s="197"/>
      <c r="T75" s="197"/>
      <c r="U75" s="199" t="s">
        <v>302</v>
      </c>
      <c r="V75" s="199" t="s">
        <v>400</v>
      </c>
      <c r="W75" s="197"/>
      <c r="X75" s="197"/>
      <c r="Y75" s="197"/>
    </row>
    <row r="76" spans="1:25" ht="16" x14ac:dyDescent="0.2">
      <c r="A76" s="197"/>
      <c r="B76" s="198">
        <f t="shared" si="1"/>
        <v>70</v>
      </c>
      <c r="C76" s="197"/>
      <c r="D76" s="197"/>
      <c r="E76" s="197"/>
      <c r="F76" s="199" t="s">
        <v>293</v>
      </c>
      <c r="G76" s="197"/>
      <c r="H76" s="199" t="s">
        <v>293</v>
      </c>
      <c r="I76" s="197"/>
      <c r="J76" s="197"/>
      <c r="K76" s="197"/>
      <c r="L76" s="197"/>
      <c r="M76" s="197"/>
      <c r="N76" s="197"/>
      <c r="O76" s="199" t="s">
        <v>400</v>
      </c>
      <c r="P76" s="197"/>
      <c r="Q76" s="199" t="s">
        <v>400</v>
      </c>
      <c r="R76" s="199" t="s">
        <v>400</v>
      </c>
      <c r="S76" s="197"/>
      <c r="T76" s="197"/>
      <c r="U76" s="199" t="s">
        <v>302</v>
      </c>
      <c r="V76" s="199" t="s">
        <v>400</v>
      </c>
      <c r="W76" s="197"/>
      <c r="X76" s="197"/>
      <c r="Y76" s="197"/>
    </row>
    <row r="77" spans="1:25" ht="16" x14ac:dyDescent="0.2">
      <c r="A77" s="197"/>
      <c r="B77" s="198">
        <f t="shared" si="1"/>
        <v>71</v>
      </c>
      <c r="C77" s="197"/>
      <c r="D77" s="197"/>
      <c r="E77" s="197"/>
      <c r="F77" s="199" t="s">
        <v>293</v>
      </c>
      <c r="G77" s="197"/>
      <c r="H77" s="199" t="s">
        <v>293</v>
      </c>
      <c r="I77" s="197"/>
      <c r="J77" s="197"/>
      <c r="K77" s="197"/>
      <c r="L77" s="197"/>
      <c r="M77" s="197"/>
      <c r="N77" s="197"/>
      <c r="O77" s="199" t="s">
        <v>400</v>
      </c>
      <c r="P77" s="197"/>
      <c r="Q77" s="199" t="s">
        <v>400</v>
      </c>
      <c r="R77" s="199" t="s">
        <v>400</v>
      </c>
      <c r="S77" s="197"/>
      <c r="T77" s="197"/>
      <c r="U77" s="199" t="s">
        <v>302</v>
      </c>
      <c r="V77" s="199" t="s">
        <v>400</v>
      </c>
      <c r="W77" s="197"/>
      <c r="X77" s="197"/>
      <c r="Y77" s="197"/>
    </row>
    <row r="78" spans="1:25" ht="16" x14ac:dyDescent="0.2">
      <c r="A78" s="197"/>
      <c r="B78" s="198">
        <f t="shared" si="1"/>
        <v>72</v>
      </c>
      <c r="C78" s="197"/>
      <c r="D78" s="197"/>
      <c r="E78" s="197"/>
      <c r="F78" s="199" t="s">
        <v>293</v>
      </c>
      <c r="G78" s="197"/>
      <c r="H78" s="199" t="s">
        <v>293</v>
      </c>
      <c r="I78" s="197"/>
      <c r="J78" s="197"/>
      <c r="K78" s="197"/>
      <c r="L78" s="197"/>
      <c r="M78" s="197"/>
      <c r="N78" s="197"/>
      <c r="O78" s="199" t="s">
        <v>400</v>
      </c>
      <c r="P78" s="197"/>
      <c r="Q78" s="199" t="s">
        <v>400</v>
      </c>
      <c r="R78" s="199" t="s">
        <v>400</v>
      </c>
      <c r="S78" s="197"/>
      <c r="T78" s="197"/>
      <c r="U78" s="199" t="s">
        <v>302</v>
      </c>
      <c r="V78" s="199" t="s">
        <v>400</v>
      </c>
      <c r="W78" s="197"/>
      <c r="X78" s="197"/>
      <c r="Y78" s="197"/>
    </row>
    <row r="79" spans="1:25" ht="16" x14ac:dyDescent="0.2">
      <c r="A79" s="197"/>
      <c r="B79" s="198">
        <f t="shared" si="1"/>
        <v>73</v>
      </c>
      <c r="C79" s="197"/>
      <c r="D79" s="197"/>
      <c r="E79" s="197"/>
      <c r="F79" s="199" t="s">
        <v>293</v>
      </c>
      <c r="G79" s="197"/>
      <c r="H79" s="199" t="s">
        <v>293</v>
      </c>
      <c r="I79" s="197"/>
      <c r="J79" s="197"/>
      <c r="K79" s="197"/>
      <c r="L79" s="197"/>
      <c r="M79" s="197"/>
      <c r="N79" s="197"/>
      <c r="O79" s="199" t="s">
        <v>400</v>
      </c>
      <c r="P79" s="197"/>
      <c r="Q79" s="199" t="s">
        <v>400</v>
      </c>
      <c r="R79" s="199" t="s">
        <v>400</v>
      </c>
      <c r="S79" s="197"/>
      <c r="T79" s="197"/>
      <c r="U79" s="199" t="s">
        <v>302</v>
      </c>
      <c r="V79" s="199" t="s">
        <v>400</v>
      </c>
      <c r="W79" s="197"/>
      <c r="X79" s="197"/>
      <c r="Y79" s="197"/>
    </row>
    <row r="80" spans="1:25" ht="16" x14ac:dyDescent="0.2">
      <c r="A80" s="197"/>
      <c r="B80" s="198">
        <f t="shared" si="1"/>
        <v>74</v>
      </c>
      <c r="C80" s="197"/>
      <c r="D80" s="197"/>
      <c r="E80" s="197"/>
      <c r="F80" s="199" t="s">
        <v>293</v>
      </c>
      <c r="G80" s="197"/>
      <c r="H80" s="199" t="s">
        <v>293</v>
      </c>
      <c r="I80" s="197"/>
      <c r="J80" s="197"/>
      <c r="K80" s="197"/>
      <c r="L80" s="197"/>
      <c r="M80" s="197"/>
      <c r="N80" s="197"/>
      <c r="O80" s="199" t="s">
        <v>400</v>
      </c>
      <c r="P80" s="197"/>
      <c r="Q80" s="199" t="s">
        <v>400</v>
      </c>
      <c r="R80" s="199" t="s">
        <v>400</v>
      </c>
      <c r="S80" s="197"/>
      <c r="T80" s="197"/>
      <c r="U80" s="199" t="s">
        <v>302</v>
      </c>
      <c r="V80" s="199" t="s">
        <v>400</v>
      </c>
      <c r="W80" s="197"/>
      <c r="X80" s="197"/>
      <c r="Y80" s="197"/>
    </row>
    <row r="81" spans="1:25" ht="16" x14ac:dyDescent="0.2">
      <c r="A81" s="197"/>
      <c r="B81" s="198">
        <f t="shared" si="1"/>
        <v>75</v>
      </c>
      <c r="C81" s="197"/>
      <c r="D81" s="197"/>
      <c r="E81" s="197"/>
      <c r="F81" s="199" t="s">
        <v>293</v>
      </c>
      <c r="G81" s="197"/>
      <c r="H81" s="199" t="s">
        <v>293</v>
      </c>
      <c r="I81" s="197"/>
      <c r="J81" s="197"/>
      <c r="K81" s="197"/>
      <c r="L81" s="197"/>
      <c r="M81" s="197"/>
      <c r="N81" s="197"/>
      <c r="O81" s="199" t="s">
        <v>400</v>
      </c>
      <c r="P81" s="197"/>
      <c r="Q81" s="199" t="s">
        <v>400</v>
      </c>
      <c r="R81" s="199" t="s">
        <v>400</v>
      </c>
      <c r="S81" s="197"/>
      <c r="T81" s="197"/>
      <c r="U81" s="199" t="s">
        <v>302</v>
      </c>
      <c r="V81" s="199" t="s">
        <v>400</v>
      </c>
      <c r="W81" s="197"/>
      <c r="X81" s="197"/>
      <c r="Y81" s="197"/>
    </row>
    <row r="82" spans="1:25" ht="16" x14ac:dyDescent="0.2">
      <c r="A82" s="197"/>
      <c r="B82" s="198">
        <f t="shared" si="1"/>
        <v>76</v>
      </c>
      <c r="C82" s="197"/>
      <c r="D82" s="197"/>
      <c r="E82" s="197"/>
      <c r="F82" s="199" t="s">
        <v>293</v>
      </c>
      <c r="G82" s="197"/>
      <c r="H82" s="199" t="s">
        <v>293</v>
      </c>
      <c r="I82" s="197"/>
      <c r="J82" s="197"/>
      <c r="K82" s="197"/>
      <c r="L82" s="197"/>
      <c r="M82" s="197"/>
      <c r="N82" s="197"/>
      <c r="O82" s="199" t="s">
        <v>400</v>
      </c>
      <c r="P82" s="197"/>
      <c r="Q82" s="199" t="s">
        <v>400</v>
      </c>
      <c r="R82" s="199" t="s">
        <v>400</v>
      </c>
      <c r="S82" s="197"/>
      <c r="T82" s="197"/>
      <c r="U82" s="199" t="s">
        <v>302</v>
      </c>
      <c r="V82" s="199" t="s">
        <v>400</v>
      </c>
      <c r="W82" s="197"/>
      <c r="X82" s="197"/>
      <c r="Y82" s="197"/>
    </row>
    <row r="83" spans="1:25" ht="16" x14ac:dyDescent="0.2">
      <c r="A83" s="197"/>
      <c r="B83" s="198">
        <f t="shared" si="1"/>
        <v>77</v>
      </c>
      <c r="C83" s="197"/>
      <c r="D83" s="197"/>
      <c r="E83" s="197"/>
      <c r="F83" s="199" t="s">
        <v>293</v>
      </c>
      <c r="G83" s="197"/>
      <c r="H83" s="199" t="s">
        <v>293</v>
      </c>
      <c r="I83" s="197"/>
      <c r="J83" s="197"/>
      <c r="K83" s="197"/>
      <c r="L83" s="197"/>
      <c r="M83" s="197"/>
      <c r="N83" s="197"/>
      <c r="O83" s="199" t="s">
        <v>400</v>
      </c>
      <c r="P83" s="197"/>
      <c r="Q83" s="199" t="s">
        <v>400</v>
      </c>
      <c r="R83" s="199" t="s">
        <v>400</v>
      </c>
      <c r="S83" s="197"/>
      <c r="T83" s="197"/>
      <c r="U83" s="199" t="s">
        <v>302</v>
      </c>
      <c r="V83" s="199" t="s">
        <v>400</v>
      </c>
      <c r="W83" s="197"/>
      <c r="X83" s="197"/>
      <c r="Y83" s="197"/>
    </row>
    <row r="84" spans="1:25" ht="16" x14ac:dyDescent="0.2">
      <c r="A84" s="197"/>
      <c r="B84" s="198">
        <f t="shared" si="1"/>
        <v>78</v>
      </c>
      <c r="C84" s="197"/>
      <c r="D84" s="197"/>
      <c r="E84" s="197"/>
      <c r="F84" s="199" t="s">
        <v>293</v>
      </c>
      <c r="G84" s="197"/>
      <c r="H84" s="199" t="s">
        <v>293</v>
      </c>
      <c r="I84" s="197"/>
      <c r="J84" s="197"/>
      <c r="K84" s="197"/>
      <c r="L84" s="197"/>
      <c r="M84" s="197"/>
      <c r="N84" s="197"/>
      <c r="O84" s="199" t="s">
        <v>400</v>
      </c>
      <c r="P84" s="197"/>
      <c r="Q84" s="199" t="s">
        <v>400</v>
      </c>
      <c r="R84" s="199" t="s">
        <v>400</v>
      </c>
      <c r="S84" s="197"/>
      <c r="T84" s="197"/>
      <c r="U84" s="199" t="s">
        <v>302</v>
      </c>
      <c r="V84" s="199" t="s">
        <v>400</v>
      </c>
      <c r="W84" s="197"/>
      <c r="X84" s="197"/>
      <c r="Y84" s="197"/>
    </row>
    <row r="85" spans="1:25" ht="16" x14ac:dyDescent="0.2">
      <c r="A85" s="197"/>
      <c r="B85" s="198">
        <f t="shared" si="1"/>
        <v>79</v>
      </c>
      <c r="C85" s="197"/>
      <c r="D85" s="197"/>
      <c r="E85" s="197"/>
      <c r="F85" s="199" t="s">
        <v>293</v>
      </c>
      <c r="G85" s="197"/>
      <c r="H85" s="199" t="s">
        <v>293</v>
      </c>
      <c r="I85" s="197"/>
      <c r="J85" s="197"/>
      <c r="K85" s="197"/>
      <c r="L85" s="197"/>
      <c r="M85" s="197"/>
      <c r="N85" s="197"/>
      <c r="O85" s="199" t="s">
        <v>400</v>
      </c>
      <c r="P85" s="197"/>
      <c r="Q85" s="199" t="s">
        <v>400</v>
      </c>
      <c r="R85" s="199" t="s">
        <v>400</v>
      </c>
      <c r="S85" s="197"/>
      <c r="T85" s="197"/>
      <c r="U85" s="199" t="s">
        <v>302</v>
      </c>
      <c r="V85" s="199" t="s">
        <v>400</v>
      </c>
      <c r="W85" s="197"/>
      <c r="X85" s="197"/>
      <c r="Y85" s="197"/>
    </row>
    <row r="86" spans="1:25" ht="16" x14ac:dyDescent="0.2">
      <c r="A86" s="197"/>
      <c r="B86" s="198">
        <f t="shared" si="1"/>
        <v>80</v>
      </c>
      <c r="C86" s="197"/>
      <c r="D86" s="197"/>
      <c r="E86" s="197"/>
      <c r="F86" s="199" t="s">
        <v>293</v>
      </c>
      <c r="G86" s="197"/>
      <c r="H86" s="199" t="s">
        <v>293</v>
      </c>
      <c r="I86" s="197"/>
      <c r="J86" s="197"/>
      <c r="K86" s="197"/>
      <c r="L86" s="197"/>
      <c r="M86" s="197"/>
      <c r="N86" s="197"/>
      <c r="O86" s="199" t="s">
        <v>400</v>
      </c>
      <c r="P86" s="197"/>
      <c r="Q86" s="199" t="s">
        <v>400</v>
      </c>
      <c r="R86" s="199" t="s">
        <v>400</v>
      </c>
      <c r="S86" s="197"/>
      <c r="T86" s="197"/>
      <c r="U86" s="199" t="s">
        <v>302</v>
      </c>
      <c r="V86" s="199" t="s">
        <v>400</v>
      </c>
      <c r="W86" s="197"/>
      <c r="X86" s="197"/>
      <c r="Y86" s="197"/>
    </row>
    <row r="87" spans="1:25" ht="16" x14ac:dyDescent="0.2">
      <c r="A87" s="197"/>
      <c r="B87" s="198">
        <f t="shared" si="1"/>
        <v>81</v>
      </c>
      <c r="C87" s="197"/>
      <c r="D87" s="197"/>
      <c r="E87" s="197"/>
      <c r="F87" s="199" t="s">
        <v>293</v>
      </c>
      <c r="G87" s="197"/>
      <c r="H87" s="199" t="s">
        <v>293</v>
      </c>
      <c r="I87" s="197"/>
      <c r="J87" s="197"/>
      <c r="K87" s="197"/>
      <c r="L87" s="197"/>
      <c r="M87" s="197"/>
      <c r="N87" s="197"/>
      <c r="O87" s="199" t="s">
        <v>400</v>
      </c>
      <c r="P87" s="197"/>
      <c r="Q87" s="199" t="s">
        <v>400</v>
      </c>
      <c r="R87" s="199" t="s">
        <v>400</v>
      </c>
      <c r="S87" s="197"/>
      <c r="T87" s="197"/>
      <c r="U87" s="199" t="s">
        <v>302</v>
      </c>
      <c r="V87" s="199" t="s">
        <v>400</v>
      </c>
      <c r="W87" s="197"/>
      <c r="X87" s="197"/>
      <c r="Y87" s="197"/>
    </row>
    <row r="88" spans="1:25" ht="16" x14ac:dyDescent="0.2">
      <c r="A88" s="197"/>
      <c r="B88" s="198">
        <f t="shared" si="1"/>
        <v>82</v>
      </c>
      <c r="C88" s="197"/>
      <c r="D88" s="197"/>
      <c r="E88" s="197"/>
      <c r="F88" s="199" t="s">
        <v>293</v>
      </c>
      <c r="G88" s="197"/>
      <c r="H88" s="199" t="s">
        <v>293</v>
      </c>
      <c r="I88" s="197"/>
      <c r="J88" s="197"/>
      <c r="K88" s="197"/>
      <c r="L88" s="197"/>
      <c r="M88" s="197"/>
      <c r="N88" s="197"/>
      <c r="O88" s="199" t="s">
        <v>400</v>
      </c>
      <c r="P88" s="197"/>
      <c r="Q88" s="199" t="s">
        <v>400</v>
      </c>
      <c r="R88" s="199" t="s">
        <v>400</v>
      </c>
      <c r="S88" s="197"/>
      <c r="T88" s="197"/>
      <c r="U88" s="199" t="s">
        <v>302</v>
      </c>
      <c r="V88" s="199" t="s">
        <v>400</v>
      </c>
      <c r="W88" s="197"/>
      <c r="X88" s="197"/>
      <c r="Y88" s="197"/>
    </row>
    <row r="89" spans="1:25" ht="16" x14ac:dyDescent="0.2">
      <c r="A89" s="197"/>
      <c r="B89" s="198">
        <f t="shared" si="1"/>
        <v>83</v>
      </c>
      <c r="C89" s="197"/>
      <c r="D89" s="197"/>
      <c r="E89" s="197"/>
      <c r="F89" s="199" t="s">
        <v>293</v>
      </c>
      <c r="G89" s="197"/>
      <c r="H89" s="199" t="s">
        <v>293</v>
      </c>
      <c r="I89" s="197"/>
      <c r="J89" s="197"/>
      <c r="K89" s="197"/>
      <c r="L89" s="197"/>
      <c r="M89" s="197"/>
      <c r="N89" s="197"/>
      <c r="O89" s="199" t="s">
        <v>400</v>
      </c>
      <c r="P89" s="197"/>
      <c r="Q89" s="199" t="s">
        <v>400</v>
      </c>
      <c r="R89" s="199" t="s">
        <v>400</v>
      </c>
      <c r="S89" s="197"/>
      <c r="T89" s="197"/>
      <c r="U89" s="199" t="s">
        <v>302</v>
      </c>
      <c r="V89" s="199" t="s">
        <v>400</v>
      </c>
      <c r="W89" s="197"/>
      <c r="X89" s="197"/>
      <c r="Y89" s="197"/>
    </row>
    <row r="90" spans="1:25" ht="16" x14ac:dyDescent="0.2">
      <c r="A90" s="197"/>
      <c r="B90" s="198">
        <f t="shared" si="1"/>
        <v>84</v>
      </c>
      <c r="C90" s="197"/>
      <c r="D90" s="197"/>
      <c r="E90" s="197"/>
      <c r="F90" s="199" t="s">
        <v>293</v>
      </c>
      <c r="G90" s="197"/>
      <c r="H90" s="199" t="s">
        <v>293</v>
      </c>
      <c r="I90" s="197"/>
      <c r="J90" s="197"/>
      <c r="K90" s="197"/>
      <c r="L90" s="197"/>
      <c r="M90" s="197"/>
      <c r="N90" s="197"/>
      <c r="O90" s="199" t="s">
        <v>400</v>
      </c>
      <c r="P90" s="197"/>
      <c r="Q90" s="199" t="s">
        <v>400</v>
      </c>
      <c r="R90" s="199" t="s">
        <v>400</v>
      </c>
      <c r="S90" s="197"/>
      <c r="T90" s="197"/>
      <c r="U90" s="199" t="s">
        <v>302</v>
      </c>
      <c r="V90" s="199" t="s">
        <v>400</v>
      </c>
      <c r="W90" s="197"/>
      <c r="X90" s="197"/>
      <c r="Y90" s="197"/>
    </row>
    <row r="91" spans="1:25" ht="16" x14ac:dyDescent="0.2">
      <c r="A91" s="197"/>
      <c r="B91" s="198">
        <f t="shared" si="1"/>
        <v>85</v>
      </c>
      <c r="C91" s="197"/>
      <c r="D91" s="197"/>
      <c r="E91" s="197"/>
      <c r="F91" s="199" t="s">
        <v>293</v>
      </c>
      <c r="G91" s="197"/>
      <c r="H91" s="199" t="s">
        <v>293</v>
      </c>
      <c r="I91" s="197"/>
      <c r="J91" s="197"/>
      <c r="K91" s="197"/>
      <c r="L91" s="197"/>
      <c r="M91" s="197"/>
      <c r="N91" s="197"/>
      <c r="O91" s="199" t="s">
        <v>400</v>
      </c>
      <c r="P91" s="197"/>
      <c r="Q91" s="199" t="s">
        <v>400</v>
      </c>
      <c r="R91" s="199" t="s">
        <v>400</v>
      </c>
      <c r="S91" s="197"/>
      <c r="T91" s="197"/>
      <c r="U91" s="199" t="s">
        <v>302</v>
      </c>
      <c r="V91" s="199" t="s">
        <v>400</v>
      </c>
      <c r="W91" s="197"/>
      <c r="X91" s="197"/>
      <c r="Y91" s="197"/>
    </row>
    <row r="92" spans="1:25" ht="16" x14ac:dyDescent="0.2">
      <c r="A92" s="197"/>
      <c r="B92" s="198">
        <f t="shared" si="1"/>
        <v>86</v>
      </c>
      <c r="C92" s="197"/>
      <c r="D92" s="197"/>
      <c r="E92" s="197"/>
      <c r="F92" s="199" t="s">
        <v>293</v>
      </c>
      <c r="G92" s="197"/>
      <c r="H92" s="199" t="s">
        <v>293</v>
      </c>
      <c r="I92" s="197"/>
      <c r="J92" s="197"/>
      <c r="K92" s="197"/>
      <c r="L92" s="197"/>
      <c r="M92" s="197"/>
      <c r="N92" s="197"/>
      <c r="O92" s="199" t="s">
        <v>400</v>
      </c>
      <c r="P92" s="197"/>
      <c r="Q92" s="199" t="s">
        <v>400</v>
      </c>
      <c r="R92" s="199" t="s">
        <v>400</v>
      </c>
      <c r="S92" s="197"/>
      <c r="T92" s="197"/>
      <c r="U92" s="199" t="s">
        <v>302</v>
      </c>
      <c r="V92" s="199" t="s">
        <v>400</v>
      </c>
      <c r="W92" s="197"/>
      <c r="X92" s="197"/>
      <c r="Y92" s="197"/>
    </row>
    <row r="93" spans="1:25" ht="16" x14ac:dyDescent="0.2">
      <c r="A93" s="197"/>
      <c r="B93" s="198">
        <f t="shared" si="1"/>
        <v>87</v>
      </c>
      <c r="C93" s="197"/>
      <c r="D93" s="197"/>
      <c r="E93" s="197"/>
      <c r="F93" s="199" t="s">
        <v>293</v>
      </c>
      <c r="G93" s="197"/>
      <c r="H93" s="199" t="s">
        <v>293</v>
      </c>
      <c r="I93" s="197"/>
      <c r="J93" s="197"/>
      <c r="K93" s="197"/>
      <c r="L93" s="197"/>
      <c r="M93" s="197"/>
      <c r="N93" s="197"/>
      <c r="O93" s="199" t="s">
        <v>400</v>
      </c>
      <c r="P93" s="197"/>
      <c r="Q93" s="199" t="s">
        <v>400</v>
      </c>
      <c r="R93" s="199" t="s">
        <v>400</v>
      </c>
      <c r="S93" s="197"/>
      <c r="T93" s="197"/>
      <c r="U93" s="199" t="s">
        <v>302</v>
      </c>
      <c r="V93" s="199" t="s">
        <v>400</v>
      </c>
      <c r="W93" s="197"/>
      <c r="X93" s="197"/>
      <c r="Y93" s="197"/>
    </row>
    <row r="94" spans="1:25" ht="16" x14ac:dyDescent="0.2">
      <c r="A94" s="197"/>
      <c r="B94" s="198">
        <f t="shared" si="1"/>
        <v>88</v>
      </c>
      <c r="C94" s="197"/>
      <c r="D94" s="197"/>
      <c r="E94" s="197"/>
      <c r="F94" s="199" t="s">
        <v>293</v>
      </c>
      <c r="G94" s="197"/>
      <c r="H94" s="199" t="s">
        <v>293</v>
      </c>
      <c r="I94" s="197"/>
      <c r="J94" s="197"/>
      <c r="K94" s="197"/>
      <c r="L94" s="197"/>
      <c r="M94" s="197"/>
      <c r="N94" s="197"/>
      <c r="O94" s="199" t="s">
        <v>400</v>
      </c>
      <c r="P94" s="197"/>
      <c r="Q94" s="199" t="s">
        <v>400</v>
      </c>
      <c r="R94" s="199" t="s">
        <v>400</v>
      </c>
      <c r="S94" s="197"/>
      <c r="T94" s="197"/>
      <c r="U94" s="199" t="s">
        <v>302</v>
      </c>
      <c r="V94" s="199" t="s">
        <v>400</v>
      </c>
      <c r="W94" s="197"/>
      <c r="X94" s="197"/>
      <c r="Y94" s="197"/>
    </row>
    <row r="95" spans="1:25" ht="16" x14ac:dyDescent="0.2">
      <c r="A95" s="197"/>
      <c r="B95" s="198">
        <f t="shared" si="1"/>
        <v>89</v>
      </c>
      <c r="C95" s="197"/>
      <c r="D95" s="197"/>
      <c r="E95" s="197"/>
      <c r="F95" s="199" t="s">
        <v>293</v>
      </c>
      <c r="G95" s="197"/>
      <c r="H95" s="199" t="s">
        <v>293</v>
      </c>
      <c r="I95" s="197"/>
      <c r="J95" s="197"/>
      <c r="K95" s="197"/>
      <c r="L95" s="197"/>
      <c r="M95" s="197"/>
      <c r="N95" s="197"/>
      <c r="O95" s="199" t="s">
        <v>400</v>
      </c>
      <c r="P95" s="197"/>
      <c r="Q95" s="199" t="s">
        <v>400</v>
      </c>
      <c r="R95" s="199" t="s">
        <v>400</v>
      </c>
      <c r="S95" s="197"/>
      <c r="T95" s="197"/>
      <c r="U95" s="199" t="s">
        <v>302</v>
      </c>
      <c r="V95" s="199" t="s">
        <v>400</v>
      </c>
      <c r="W95" s="197"/>
      <c r="X95" s="197"/>
      <c r="Y95" s="197"/>
    </row>
    <row r="96" spans="1:25" ht="16" x14ac:dyDescent="0.2">
      <c r="A96" s="197"/>
      <c r="B96" s="198">
        <f t="shared" si="1"/>
        <v>90</v>
      </c>
      <c r="C96" s="197"/>
      <c r="D96" s="197"/>
      <c r="E96" s="197"/>
      <c r="F96" s="199" t="s">
        <v>293</v>
      </c>
      <c r="G96" s="197"/>
      <c r="H96" s="199" t="s">
        <v>293</v>
      </c>
      <c r="I96" s="197"/>
      <c r="J96" s="197"/>
      <c r="K96" s="197"/>
      <c r="L96" s="197"/>
      <c r="M96" s="197"/>
      <c r="N96" s="197"/>
      <c r="O96" s="199" t="s">
        <v>400</v>
      </c>
      <c r="P96" s="197"/>
      <c r="Q96" s="199" t="s">
        <v>400</v>
      </c>
      <c r="R96" s="199" t="s">
        <v>400</v>
      </c>
      <c r="S96" s="197"/>
      <c r="T96" s="197"/>
      <c r="U96" s="199" t="s">
        <v>302</v>
      </c>
      <c r="V96" s="199" t="s">
        <v>400</v>
      </c>
      <c r="W96" s="197"/>
      <c r="X96" s="197"/>
      <c r="Y96" s="197"/>
    </row>
    <row r="97" spans="1:25" ht="16" x14ac:dyDescent="0.2">
      <c r="A97" s="197"/>
      <c r="B97" s="198">
        <f t="shared" si="1"/>
        <v>91</v>
      </c>
      <c r="C97" s="197"/>
      <c r="D97" s="197"/>
      <c r="E97" s="197"/>
      <c r="F97" s="199" t="s">
        <v>293</v>
      </c>
      <c r="G97" s="197"/>
      <c r="H97" s="199" t="s">
        <v>293</v>
      </c>
      <c r="I97" s="197"/>
      <c r="J97" s="197"/>
      <c r="K97" s="197"/>
      <c r="L97" s="197"/>
      <c r="M97" s="197"/>
      <c r="N97" s="197"/>
      <c r="O97" s="199" t="s">
        <v>400</v>
      </c>
      <c r="P97" s="197"/>
      <c r="Q97" s="199" t="s">
        <v>400</v>
      </c>
      <c r="R97" s="199" t="s">
        <v>400</v>
      </c>
      <c r="S97" s="197"/>
      <c r="T97" s="197"/>
      <c r="U97" s="199" t="s">
        <v>302</v>
      </c>
      <c r="V97" s="199" t="s">
        <v>400</v>
      </c>
      <c r="W97" s="197"/>
      <c r="X97" s="197"/>
      <c r="Y97" s="197"/>
    </row>
    <row r="98" spans="1:25" ht="16" x14ac:dyDescent="0.2">
      <c r="A98" s="197"/>
      <c r="B98" s="198">
        <f t="shared" si="1"/>
        <v>92</v>
      </c>
      <c r="C98" s="197"/>
      <c r="D98" s="197"/>
      <c r="E98" s="197"/>
      <c r="F98" s="199" t="s">
        <v>293</v>
      </c>
      <c r="G98" s="197"/>
      <c r="H98" s="199" t="s">
        <v>293</v>
      </c>
      <c r="I98" s="197"/>
      <c r="J98" s="197"/>
      <c r="K98" s="197"/>
      <c r="L98" s="197"/>
      <c r="M98" s="197"/>
      <c r="N98" s="197"/>
      <c r="O98" s="199" t="s">
        <v>400</v>
      </c>
      <c r="P98" s="197"/>
      <c r="Q98" s="199" t="s">
        <v>400</v>
      </c>
      <c r="R98" s="199" t="s">
        <v>400</v>
      </c>
      <c r="S98" s="197"/>
      <c r="T98" s="197"/>
      <c r="U98" s="199" t="s">
        <v>302</v>
      </c>
      <c r="V98" s="199" t="s">
        <v>400</v>
      </c>
      <c r="W98" s="197"/>
      <c r="X98" s="197"/>
      <c r="Y98" s="197"/>
    </row>
    <row r="99" spans="1:25" ht="16" x14ac:dyDescent="0.2">
      <c r="A99" s="197"/>
      <c r="B99" s="198">
        <f t="shared" si="1"/>
        <v>93</v>
      </c>
      <c r="C99" s="197"/>
      <c r="D99" s="197"/>
      <c r="E99" s="197"/>
      <c r="F99" s="199" t="s">
        <v>293</v>
      </c>
      <c r="G99" s="197"/>
      <c r="H99" s="199" t="s">
        <v>293</v>
      </c>
      <c r="I99" s="197"/>
      <c r="J99" s="197"/>
      <c r="K99" s="197"/>
      <c r="L99" s="197"/>
      <c r="M99" s="197"/>
      <c r="N99" s="197"/>
      <c r="O99" s="199" t="s">
        <v>400</v>
      </c>
      <c r="P99" s="197"/>
      <c r="Q99" s="199" t="s">
        <v>400</v>
      </c>
      <c r="R99" s="199" t="s">
        <v>400</v>
      </c>
      <c r="S99" s="197"/>
      <c r="T99" s="197"/>
      <c r="U99" s="199" t="s">
        <v>302</v>
      </c>
      <c r="V99" s="199" t="s">
        <v>400</v>
      </c>
      <c r="W99" s="197"/>
      <c r="X99" s="197"/>
      <c r="Y99" s="197"/>
    </row>
    <row r="100" spans="1:25" ht="16" x14ac:dyDescent="0.2">
      <c r="A100" s="197"/>
      <c r="B100" s="198">
        <f t="shared" si="1"/>
        <v>94</v>
      </c>
      <c r="C100" s="197"/>
      <c r="D100" s="197"/>
      <c r="E100" s="197"/>
      <c r="F100" s="199" t="s">
        <v>293</v>
      </c>
      <c r="G100" s="197"/>
      <c r="H100" s="199" t="s">
        <v>293</v>
      </c>
      <c r="I100" s="197"/>
      <c r="J100" s="197"/>
      <c r="K100" s="197"/>
      <c r="L100" s="197"/>
      <c r="M100" s="197"/>
      <c r="N100" s="197"/>
      <c r="O100" s="199" t="s">
        <v>400</v>
      </c>
      <c r="P100" s="197"/>
      <c r="Q100" s="199" t="s">
        <v>400</v>
      </c>
      <c r="R100" s="199" t="s">
        <v>400</v>
      </c>
      <c r="S100" s="197"/>
      <c r="T100" s="197"/>
      <c r="U100" s="199" t="s">
        <v>302</v>
      </c>
      <c r="V100" s="199" t="s">
        <v>400</v>
      </c>
      <c r="W100" s="197"/>
      <c r="X100" s="197"/>
      <c r="Y100" s="197"/>
    </row>
    <row r="101" spans="1:25" ht="16" x14ac:dyDescent="0.2">
      <c r="A101" s="197"/>
      <c r="B101" s="198">
        <f t="shared" si="1"/>
        <v>95</v>
      </c>
      <c r="C101" s="197"/>
      <c r="D101" s="197"/>
      <c r="E101" s="197"/>
      <c r="F101" s="199" t="s">
        <v>293</v>
      </c>
      <c r="G101" s="197"/>
      <c r="H101" s="199" t="s">
        <v>293</v>
      </c>
      <c r="I101" s="197"/>
      <c r="J101" s="197"/>
      <c r="K101" s="197"/>
      <c r="L101" s="197"/>
      <c r="M101" s="197"/>
      <c r="N101" s="197"/>
      <c r="O101" s="199" t="s">
        <v>400</v>
      </c>
      <c r="P101" s="197"/>
      <c r="Q101" s="199" t="s">
        <v>400</v>
      </c>
      <c r="R101" s="199" t="s">
        <v>400</v>
      </c>
      <c r="S101" s="197"/>
      <c r="T101" s="197"/>
      <c r="U101" s="199" t="s">
        <v>302</v>
      </c>
      <c r="V101" s="199" t="s">
        <v>400</v>
      </c>
      <c r="W101" s="197"/>
      <c r="X101" s="197"/>
      <c r="Y101" s="197"/>
    </row>
    <row r="102" spans="1:25" ht="16" x14ac:dyDescent="0.2">
      <c r="A102" s="197"/>
      <c r="B102" s="198">
        <f t="shared" si="1"/>
        <v>96</v>
      </c>
      <c r="C102" s="197"/>
      <c r="D102" s="197"/>
      <c r="E102" s="197"/>
      <c r="F102" s="199" t="s">
        <v>293</v>
      </c>
      <c r="G102" s="197"/>
      <c r="H102" s="199" t="s">
        <v>293</v>
      </c>
      <c r="I102" s="197"/>
      <c r="J102" s="197"/>
      <c r="K102" s="197"/>
      <c r="L102" s="197"/>
      <c r="M102" s="197"/>
      <c r="N102" s="197"/>
      <c r="O102" s="199" t="s">
        <v>400</v>
      </c>
      <c r="P102" s="197"/>
      <c r="Q102" s="199" t="s">
        <v>400</v>
      </c>
      <c r="R102" s="199" t="s">
        <v>400</v>
      </c>
      <c r="S102" s="197"/>
      <c r="T102" s="197"/>
      <c r="U102" s="199" t="s">
        <v>302</v>
      </c>
      <c r="V102" s="199" t="s">
        <v>400</v>
      </c>
      <c r="W102" s="197"/>
      <c r="X102" s="197"/>
      <c r="Y102" s="197"/>
    </row>
    <row r="103" spans="1:25" ht="16" x14ac:dyDescent="0.2">
      <c r="A103" s="197"/>
      <c r="B103" s="198">
        <f t="shared" si="1"/>
        <v>97</v>
      </c>
      <c r="C103" s="197"/>
      <c r="D103" s="197"/>
      <c r="E103" s="197"/>
      <c r="F103" s="199" t="s">
        <v>293</v>
      </c>
      <c r="G103" s="197"/>
      <c r="H103" s="199" t="s">
        <v>293</v>
      </c>
      <c r="I103" s="197"/>
      <c r="J103" s="197"/>
      <c r="K103" s="197"/>
      <c r="L103" s="197"/>
      <c r="M103" s="197"/>
      <c r="N103" s="197"/>
      <c r="O103" s="199" t="s">
        <v>400</v>
      </c>
      <c r="P103" s="197"/>
      <c r="Q103" s="199" t="s">
        <v>400</v>
      </c>
      <c r="R103" s="199" t="s">
        <v>400</v>
      </c>
      <c r="S103" s="197"/>
      <c r="T103" s="197"/>
      <c r="U103" s="199" t="s">
        <v>302</v>
      </c>
      <c r="V103" s="199" t="s">
        <v>400</v>
      </c>
      <c r="W103" s="197"/>
      <c r="X103" s="197"/>
      <c r="Y103" s="197"/>
    </row>
    <row r="104" spans="1:25" x14ac:dyDescent="0.2">
      <c r="A104" s="193"/>
      <c r="B104" s="200" t="s">
        <v>453</v>
      </c>
      <c r="C104" s="193"/>
      <c r="D104" s="201"/>
      <c r="E104" s="193"/>
      <c r="F104" s="194"/>
      <c r="G104" s="193"/>
      <c r="H104" s="194"/>
      <c r="I104" s="193"/>
      <c r="J104" s="193"/>
      <c r="K104" s="193"/>
      <c r="L104" s="193"/>
      <c r="M104" s="193"/>
      <c r="N104" s="193"/>
      <c r="O104" s="194"/>
      <c r="P104" s="194"/>
      <c r="Q104" s="195"/>
      <c r="R104" s="193"/>
      <c r="S104" s="193"/>
      <c r="T104" s="193"/>
      <c r="U104" s="194"/>
      <c r="V104" s="194"/>
      <c r="W104" s="193"/>
      <c r="X104" s="193"/>
      <c r="Y104" s="193"/>
    </row>
    <row r="106" spans="1:25" x14ac:dyDescent="0.2">
      <c r="A106" s="193"/>
      <c r="B106" s="194"/>
      <c r="C106" s="193"/>
      <c r="D106" s="193"/>
      <c r="E106" s="193"/>
      <c r="F106" s="194"/>
      <c r="G106" s="193"/>
      <c r="H106" s="194"/>
      <c r="I106" s="193"/>
      <c r="J106" s="193"/>
      <c r="K106" s="193"/>
      <c r="L106" s="193"/>
      <c r="M106" s="193"/>
      <c r="N106" s="193"/>
      <c r="O106" s="194"/>
      <c r="P106" s="194"/>
      <c r="Q106" s="195"/>
      <c r="R106" s="193"/>
      <c r="S106" s="193"/>
      <c r="T106" s="193"/>
      <c r="U106" s="194"/>
      <c r="V106" s="194"/>
      <c r="W106" s="193"/>
      <c r="X106" s="193"/>
      <c r="Y106" s="193"/>
    </row>
  </sheetData>
  <autoFilter ref="A6:Y104" xr:uid="{00000000-0009-0000-0000-000004000000}"/>
  <dataConsolidate/>
  <mergeCells count="2">
    <mergeCell ref="L3:M3"/>
    <mergeCell ref="B5:E5"/>
  </mergeCells>
  <conditionalFormatting sqref="A38:Y103">
    <cfRule type="containsText" dxfId="1065" priority="324" operator="containsText" text="check">
      <formula>NOT(ISERROR(SEARCH("check",A38)))</formula>
    </cfRule>
    <cfRule type="cellIs" dxfId="1064" priority="325" operator="equal">
      <formula>"???"</formula>
    </cfRule>
  </conditionalFormatting>
  <conditionalFormatting sqref="F38:F103">
    <cfRule type="cellIs" dxfId="1063" priority="323" operator="equal">
      <formula>"Yes"</formula>
    </cfRule>
  </conditionalFormatting>
  <conditionalFormatting sqref="H38:H103">
    <cfRule type="cellIs" dxfId="1062" priority="322" operator="equal">
      <formula>"Yes"</formula>
    </cfRule>
  </conditionalFormatting>
  <conditionalFormatting sqref="Q38:Q103">
    <cfRule type="containsText" dxfId="1061" priority="321" operator="containsText" text="SI">
      <formula>NOT(ISERROR(SEARCH("SI",Q38)))</formula>
    </cfRule>
  </conditionalFormatting>
  <conditionalFormatting sqref="G13 A24:H24 A33:D33 L13:Y13 A13:C13 L18:Y18 O16:P17 R16:Y17 A16:H19 O19:Y19 A20:F20 L20:Y20 O22:Y22 A22:D22 F22:H22 P24:Y24 A28:D28 F28:H28 O28:Y28 F33:H33 O33:Y33 A7:K7 O7:Y7 A8:Y9 A34:H35 L34:Y35 A10:H10 L10:Y10">
    <cfRule type="containsText" dxfId="1060" priority="319" operator="containsText" text="check">
      <formula>NOT(ISERROR(SEARCH("check",A7)))</formula>
    </cfRule>
    <cfRule type="cellIs" dxfId="1059" priority="320" operator="equal">
      <formula>"???"</formula>
    </cfRule>
  </conditionalFormatting>
  <conditionalFormatting sqref="F7:F10 H7:H10 H28 F33:F35 H33:H35 F24 H24 F16:F20 H16:H19 F28 H22 F22">
    <cfRule type="cellIs" dxfId="1058" priority="318" operator="equal">
      <formula>"Yes"</formula>
    </cfRule>
  </conditionalFormatting>
  <conditionalFormatting sqref="Q7:Q10 Q28 Q33:Q35 Q13 Q24 Q18:Q20 Q22">
    <cfRule type="containsText" dxfId="1057" priority="317" operator="containsText" text="SI">
      <formula>NOT(ISERROR(SEARCH("SI",Q7)))</formula>
    </cfRule>
  </conditionalFormatting>
  <conditionalFormatting sqref="A11:D12 G11:G12 O11:Y12">
    <cfRule type="containsText" dxfId="1056" priority="315" operator="containsText" text="check">
      <formula>NOT(ISERROR(SEARCH("check",A11)))</formula>
    </cfRule>
    <cfRule type="cellIs" dxfId="1055" priority="316" operator="equal">
      <formula>"???"</formula>
    </cfRule>
  </conditionalFormatting>
  <conditionalFormatting sqref="Q11:Q12">
    <cfRule type="containsText" dxfId="1054" priority="314" operator="containsText" text="SI">
      <formula>NOT(ISERROR(SEARCH("SI",Q11)))</formula>
    </cfRule>
  </conditionalFormatting>
  <conditionalFormatting sqref="D13">
    <cfRule type="containsText" dxfId="1053" priority="312" operator="containsText" text="check">
      <formula>NOT(ISERROR(SEARCH("check",D13)))</formula>
    </cfRule>
    <cfRule type="cellIs" dxfId="1052" priority="313" operator="equal">
      <formula>"???"</formula>
    </cfRule>
  </conditionalFormatting>
  <conditionalFormatting sqref="F11:F13">
    <cfRule type="containsText" dxfId="1051" priority="310" operator="containsText" text="check">
      <formula>NOT(ISERROR(SEARCH("check",F11)))</formula>
    </cfRule>
    <cfRule type="cellIs" dxfId="1050" priority="311" operator="equal">
      <formula>"???"</formula>
    </cfRule>
  </conditionalFormatting>
  <conditionalFormatting sqref="F11:F13">
    <cfRule type="cellIs" dxfId="1049" priority="309" operator="equal">
      <formula>"Yes"</formula>
    </cfRule>
  </conditionalFormatting>
  <conditionalFormatting sqref="H11:H13">
    <cfRule type="containsText" dxfId="1048" priority="307" operator="containsText" text="check">
      <formula>NOT(ISERROR(SEARCH("check",H11)))</formula>
    </cfRule>
    <cfRule type="cellIs" dxfId="1047" priority="308" operator="equal">
      <formula>"???"</formula>
    </cfRule>
  </conditionalFormatting>
  <conditionalFormatting sqref="H11:H13">
    <cfRule type="cellIs" dxfId="1046" priority="306" operator="equal">
      <formula>"Yes"</formula>
    </cfRule>
  </conditionalFormatting>
  <conditionalFormatting sqref="A23:Y23">
    <cfRule type="containsText" dxfId="1045" priority="304" operator="containsText" text="check">
      <formula>NOT(ISERROR(SEARCH("check",A23)))</formula>
    </cfRule>
    <cfRule type="cellIs" dxfId="1044" priority="305" operator="equal">
      <formula>"???"</formula>
    </cfRule>
  </conditionalFormatting>
  <conditionalFormatting sqref="H23 F23">
    <cfRule type="cellIs" dxfId="1043" priority="303" operator="equal">
      <formula>"Yes"</formula>
    </cfRule>
  </conditionalFormatting>
  <conditionalFormatting sqref="Q23">
    <cfRule type="containsText" dxfId="1042" priority="302" operator="containsText" text="SI">
      <formula>NOT(ISERROR(SEARCH("SI",Q23)))</formula>
    </cfRule>
  </conditionalFormatting>
  <conditionalFormatting sqref="A25:Y25">
    <cfRule type="containsText" dxfId="1041" priority="300" operator="containsText" text="check">
      <formula>NOT(ISERROR(SEARCH("check",A25)))</formula>
    </cfRule>
    <cfRule type="cellIs" dxfId="1040" priority="301" operator="equal">
      <formula>"???"</formula>
    </cfRule>
  </conditionalFormatting>
  <conditionalFormatting sqref="F25 H25">
    <cfRule type="cellIs" dxfId="1039" priority="299" operator="equal">
      <formula>"Yes"</formula>
    </cfRule>
  </conditionalFormatting>
  <conditionalFormatting sqref="Q25">
    <cfRule type="containsText" dxfId="1038" priority="298" operator="containsText" text="SI">
      <formula>NOT(ISERROR(SEARCH("SI",Q25)))</formula>
    </cfRule>
  </conditionalFormatting>
  <conditionalFormatting sqref="A26:H26 L26 P26:Y26">
    <cfRule type="containsText" dxfId="1037" priority="296" operator="containsText" text="check">
      <formula>NOT(ISERROR(SEARCH("check",A26)))</formula>
    </cfRule>
    <cfRule type="cellIs" dxfId="1036" priority="297" operator="equal">
      <formula>"???"</formula>
    </cfRule>
  </conditionalFormatting>
  <conditionalFormatting sqref="F26 H26">
    <cfRule type="cellIs" dxfId="1035" priority="295" operator="equal">
      <formula>"Yes"</formula>
    </cfRule>
  </conditionalFormatting>
  <conditionalFormatting sqref="Q26">
    <cfRule type="containsText" dxfId="1034" priority="294" operator="containsText" text="SI">
      <formula>NOT(ISERROR(SEARCH("SI",Q26)))</formula>
    </cfRule>
  </conditionalFormatting>
  <conditionalFormatting sqref="A15:C15 E15:H15 L15:P15 W15:Y15 R15:U15">
    <cfRule type="containsText" dxfId="1033" priority="288" operator="containsText" text="check">
      <formula>NOT(ISERROR(SEARCH("check",A15)))</formula>
    </cfRule>
    <cfRule type="cellIs" dxfId="1032" priority="289" operator="equal">
      <formula>"???"</formula>
    </cfRule>
  </conditionalFormatting>
  <conditionalFormatting sqref="H15 F15">
    <cfRule type="cellIs" dxfId="1031" priority="287" operator="equal">
      <formula>"Yes"</formula>
    </cfRule>
  </conditionalFormatting>
  <conditionalFormatting sqref="D15">
    <cfRule type="containsText" dxfId="1030" priority="285" operator="containsText" text="check">
      <formula>NOT(ISERROR(SEARCH("check",D15)))</formula>
    </cfRule>
    <cfRule type="cellIs" dxfId="1029" priority="286" operator="equal">
      <formula>"???"</formula>
    </cfRule>
  </conditionalFormatting>
  <conditionalFormatting sqref="A30:C30 P30:Y30">
    <cfRule type="containsText" dxfId="1028" priority="283" operator="containsText" text="check">
      <formula>NOT(ISERROR(SEARCH("check",A30)))</formula>
    </cfRule>
    <cfRule type="cellIs" dxfId="1027" priority="284" operator="equal">
      <formula>"???"</formula>
    </cfRule>
  </conditionalFormatting>
  <conditionalFormatting sqref="Q30">
    <cfRule type="containsText" dxfId="1026" priority="282" operator="containsText" text="SI">
      <formula>NOT(ISERROR(SEARCH("SI",Q30)))</formula>
    </cfRule>
  </conditionalFormatting>
  <conditionalFormatting sqref="A31:C31 I31:Y31">
    <cfRule type="containsText" dxfId="1025" priority="280" operator="containsText" text="check">
      <formula>NOT(ISERROR(SEARCH("check",A31)))</formula>
    </cfRule>
    <cfRule type="cellIs" dxfId="1024" priority="281" operator="equal">
      <formula>"???"</formula>
    </cfRule>
  </conditionalFormatting>
  <conditionalFormatting sqref="Q31">
    <cfRule type="containsText" dxfId="1023" priority="279" operator="containsText" text="SI">
      <formula>NOT(ISERROR(SEARCH("SI",Q31)))</formula>
    </cfRule>
  </conditionalFormatting>
  <conditionalFormatting sqref="D30">
    <cfRule type="containsText" dxfId="1022" priority="277" operator="containsText" text="check">
      <formula>NOT(ISERROR(SEARCH("check",D30)))</formula>
    </cfRule>
    <cfRule type="cellIs" dxfId="1021" priority="278" operator="equal">
      <formula>"???"</formula>
    </cfRule>
  </conditionalFormatting>
  <conditionalFormatting sqref="F30:H30">
    <cfRule type="containsText" dxfId="1020" priority="275" operator="containsText" text="check">
      <formula>NOT(ISERROR(SEARCH("check",F30)))</formula>
    </cfRule>
    <cfRule type="cellIs" dxfId="1019" priority="276" operator="equal">
      <formula>"???"</formula>
    </cfRule>
  </conditionalFormatting>
  <conditionalFormatting sqref="H30 F30">
    <cfRule type="cellIs" dxfId="1018" priority="274" operator="equal">
      <formula>"Yes"</formula>
    </cfRule>
  </conditionalFormatting>
  <conditionalFormatting sqref="E31:H31">
    <cfRule type="containsText" dxfId="1017" priority="272" operator="containsText" text="check">
      <formula>NOT(ISERROR(SEARCH("check",E31)))</formula>
    </cfRule>
    <cfRule type="cellIs" dxfId="1016" priority="273" operator="equal">
      <formula>"???"</formula>
    </cfRule>
  </conditionalFormatting>
  <conditionalFormatting sqref="F31 H31">
    <cfRule type="cellIs" dxfId="1015" priority="271" operator="equal">
      <formula>"Yes"</formula>
    </cfRule>
  </conditionalFormatting>
  <conditionalFormatting sqref="A32:K32 O32:Y32">
    <cfRule type="containsText" dxfId="1014" priority="269" operator="containsText" text="check">
      <formula>NOT(ISERROR(SEARCH("check",A32)))</formula>
    </cfRule>
    <cfRule type="cellIs" dxfId="1013" priority="270" operator="equal">
      <formula>"???"</formula>
    </cfRule>
  </conditionalFormatting>
  <conditionalFormatting sqref="F32 H32">
    <cfRule type="cellIs" dxfId="1012" priority="268" operator="equal">
      <formula>"Yes"</formula>
    </cfRule>
  </conditionalFormatting>
  <conditionalFormatting sqref="Q32">
    <cfRule type="containsText" dxfId="1011" priority="267" operator="containsText" text="SI">
      <formula>NOT(ISERROR(SEARCH("SI",Q32)))</formula>
    </cfRule>
  </conditionalFormatting>
  <conditionalFormatting sqref="E33">
    <cfRule type="containsText" dxfId="1010" priority="265" operator="containsText" text="check">
      <formula>NOT(ISERROR(SEARCH("check",E33)))</formula>
    </cfRule>
    <cfRule type="cellIs" dxfId="1009" priority="266" operator="equal">
      <formula>"???"</formula>
    </cfRule>
  </conditionalFormatting>
  <conditionalFormatting sqref="L11:N11">
    <cfRule type="containsText" dxfId="1008" priority="259" operator="containsText" text="check">
      <formula>NOT(ISERROR(SEARCH("check",L11)))</formula>
    </cfRule>
    <cfRule type="cellIs" dxfId="1007" priority="260" operator="equal">
      <formula>"???"</formula>
    </cfRule>
  </conditionalFormatting>
  <conditionalFormatting sqref="L12:N12">
    <cfRule type="containsText" dxfId="1006" priority="257" operator="containsText" text="check">
      <formula>NOT(ISERROR(SEARCH("check",L12)))</formula>
    </cfRule>
    <cfRule type="cellIs" dxfId="1005" priority="258" operator="equal">
      <formula>"???"</formula>
    </cfRule>
  </conditionalFormatting>
  <conditionalFormatting sqref="E11:E13">
    <cfRule type="containsText" dxfId="1004" priority="255" operator="containsText" text="check">
      <formula>NOT(ISERROR(SEARCH("check",E11)))</formula>
    </cfRule>
    <cfRule type="cellIs" dxfId="1003" priority="256" operator="equal">
      <formula>"???"</formula>
    </cfRule>
  </conditionalFormatting>
  <conditionalFormatting sqref="G21">
    <cfRule type="containsText" dxfId="1002" priority="215" operator="containsText" text="check">
      <formula>NOT(ISERROR(SEARCH("check",G21)))</formula>
    </cfRule>
    <cfRule type="cellIs" dxfId="1001" priority="216" operator="equal">
      <formula>"???"</formula>
    </cfRule>
  </conditionalFormatting>
  <conditionalFormatting sqref="L24:O24">
    <cfRule type="containsText" dxfId="1000" priority="211" operator="containsText" text="check">
      <formula>NOT(ISERROR(SEARCH("check",L24)))</formula>
    </cfRule>
    <cfRule type="cellIs" dxfId="999" priority="212" operator="equal">
      <formula>"???"</formula>
    </cfRule>
  </conditionalFormatting>
  <conditionalFormatting sqref="V15">
    <cfRule type="containsText" dxfId="998" priority="239" operator="containsText" text="check">
      <formula>NOT(ISERROR(SEARCH("check",V15)))</formula>
    </cfRule>
    <cfRule type="cellIs" dxfId="997" priority="240" operator="equal">
      <formula>"???"</formula>
    </cfRule>
  </conditionalFormatting>
  <conditionalFormatting sqref="Q15:Q17">
    <cfRule type="containsText" dxfId="996" priority="237" operator="containsText" text="check">
      <formula>NOT(ISERROR(SEARCH("check",Q15)))</formula>
    </cfRule>
    <cfRule type="cellIs" dxfId="995" priority="238" operator="equal">
      <formula>"???"</formula>
    </cfRule>
  </conditionalFormatting>
  <conditionalFormatting sqref="Q15:Q17">
    <cfRule type="containsText" dxfId="994" priority="236" operator="containsText" text="SI">
      <formula>NOT(ISERROR(SEARCH("SI",Q15)))</formula>
    </cfRule>
  </conditionalFormatting>
  <conditionalFormatting sqref="I19:K19">
    <cfRule type="containsText" dxfId="993" priority="232" operator="containsText" text="check">
      <formula>NOT(ISERROR(SEARCH("check",I19)))</formula>
    </cfRule>
    <cfRule type="cellIs" dxfId="992" priority="233" operator="equal">
      <formula>"???"</formula>
    </cfRule>
  </conditionalFormatting>
  <conditionalFormatting sqref="G20:H20">
    <cfRule type="containsText" dxfId="991" priority="230" operator="containsText" text="check">
      <formula>NOT(ISERROR(SEARCH("check",G20)))</formula>
    </cfRule>
    <cfRule type="cellIs" dxfId="990" priority="231" operator="equal">
      <formula>"???"</formula>
    </cfRule>
  </conditionalFormatting>
  <conditionalFormatting sqref="H20">
    <cfRule type="cellIs" dxfId="989" priority="229" operator="equal">
      <formula>"Yes"</formula>
    </cfRule>
  </conditionalFormatting>
  <conditionalFormatting sqref="I20:K20">
    <cfRule type="containsText" dxfId="988" priority="227" operator="containsText" text="check">
      <formula>NOT(ISERROR(SEARCH("check",I20)))</formula>
    </cfRule>
    <cfRule type="cellIs" dxfId="987" priority="228" operator="equal">
      <formula>"???"</formula>
    </cfRule>
  </conditionalFormatting>
  <conditionalFormatting sqref="A21:F21 H21 L21:Y21">
    <cfRule type="containsText" dxfId="986" priority="225" operator="containsText" text="check">
      <formula>NOT(ISERROR(SEARCH("check",A21)))</formula>
    </cfRule>
    <cfRule type="cellIs" dxfId="985" priority="226" operator="equal">
      <formula>"???"</formula>
    </cfRule>
  </conditionalFormatting>
  <conditionalFormatting sqref="F21 H21">
    <cfRule type="cellIs" dxfId="984" priority="224" operator="equal">
      <formula>"Yes"</formula>
    </cfRule>
  </conditionalFormatting>
  <conditionalFormatting sqref="Q21">
    <cfRule type="containsText" dxfId="983" priority="223" operator="containsText" text="SI">
      <formula>NOT(ISERROR(SEARCH("SI",Q21)))</formula>
    </cfRule>
  </conditionalFormatting>
  <conditionalFormatting sqref="E30">
    <cfRule type="containsText" dxfId="982" priority="193" operator="containsText" text="check">
      <formula>NOT(ISERROR(SEARCH("check",E30)))</formula>
    </cfRule>
    <cfRule type="cellIs" dxfId="981" priority="194" operator="equal">
      <formula>"???"</formula>
    </cfRule>
  </conditionalFormatting>
  <conditionalFormatting sqref="E22">
    <cfRule type="containsText" dxfId="980" priority="219" operator="containsText" text="check">
      <formula>NOT(ISERROR(SEARCH("check",E22)))</formula>
    </cfRule>
    <cfRule type="cellIs" dxfId="979" priority="220" operator="equal">
      <formula>"???"</formula>
    </cfRule>
  </conditionalFormatting>
  <conditionalFormatting sqref="L22:N22">
    <cfRule type="containsText" dxfId="978" priority="217" operator="containsText" text="check">
      <formula>NOT(ISERROR(SEARCH("check",L22)))</formula>
    </cfRule>
    <cfRule type="cellIs" dxfId="977" priority="218" operator="equal">
      <formula>"???"</formula>
    </cfRule>
  </conditionalFormatting>
  <conditionalFormatting sqref="O26">
    <cfRule type="containsText" dxfId="976" priority="205" operator="containsText" text="check">
      <formula>NOT(ISERROR(SEARCH("check",O26)))</formula>
    </cfRule>
    <cfRule type="cellIs" dxfId="975" priority="206" operator="equal">
      <formula>"???"</formula>
    </cfRule>
  </conditionalFormatting>
  <conditionalFormatting sqref="O30">
    <cfRule type="containsText" dxfId="974" priority="187" operator="containsText" text="check">
      <formula>NOT(ISERROR(SEARCH("check",O30)))</formula>
    </cfRule>
    <cfRule type="cellIs" dxfId="973" priority="188" operator="equal">
      <formula>"???"</formula>
    </cfRule>
  </conditionalFormatting>
  <conditionalFormatting sqref="M26:N26">
    <cfRule type="containsText" dxfId="972" priority="207" operator="containsText" text="check">
      <formula>NOT(ISERROR(SEARCH("check",M26)))</formula>
    </cfRule>
    <cfRule type="cellIs" dxfId="971" priority="208" operator="equal">
      <formula>"???"</formula>
    </cfRule>
  </conditionalFormatting>
  <conditionalFormatting sqref="L33:N33">
    <cfRule type="containsText" dxfId="970" priority="181" operator="containsText" text="check">
      <formula>NOT(ISERROR(SEARCH("check",L33)))</formula>
    </cfRule>
    <cfRule type="cellIs" dxfId="969" priority="182" operator="equal">
      <formula>"???"</formula>
    </cfRule>
  </conditionalFormatting>
  <conditionalFormatting sqref="E28">
    <cfRule type="containsText" dxfId="968" priority="199" operator="containsText" text="check">
      <formula>NOT(ISERROR(SEARCH("check",E28)))</formula>
    </cfRule>
    <cfRule type="cellIs" dxfId="967" priority="200" operator="equal">
      <formula>"???"</formula>
    </cfRule>
  </conditionalFormatting>
  <conditionalFormatting sqref="I16:K16">
    <cfRule type="containsText" dxfId="966" priority="145" operator="containsText" text="check">
      <formula>NOT(ISERROR(SEARCH("check",I16)))</formula>
    </cfRule>
    <cfRule type="cellIs" dxfId="965" priority="146" operator="equal">
      <formula>"???"</formula>
    </cfRule>
  </conditionalFormatting>
  <conditionalFormatting sqref="L32:N32">
    <cfRule type="containsText" dxfId="964" priority="183" operator="containsText" text="check">
      <formula>NOT(ISERROR(SEARCH("check",L32)))</formula>
    </cfRule>
    <cfRule type="cellIs" dxfId="963" priority="184" operator="equal">
      <formula>"???"</formula>
    </cfRule>
  </conditionalFormatting>
  <conditionalFormatting sqref="L7:N7">
    <cfRule type="containsText" dxfId="962" priority="179" operator="containsText" text="check">
      <formula>NOT(ISERROR(SEARCH("check",L7)))</formula>
    </cfRule>
    <cfRule type="cellIs" dxfId="961" priority="180" operator="equal">
      <formula>"???"</formula>
    </cfRule>
  </conditionalFormatting>
  <conditionalFormatting sqref="I26:K26 I28:K28">
    <cfRule type="containsText" dxfId="960" priority="135" operator="containsText" text="check">
      <formula>NOT(ISERROR(SEARCH("check",I26)))</formula>
    </cfRule>
    <cfRule type="cellIs" dxfId="959" priority="136" operator="equal">
      <formula>"???"</formula>
    </cfRule>
  </conditionalFormatting>
  <conditionalFormatting sqref="A36:H36 M36:Y36">
    <cfRule type="containsText" dxfId="958" priority="165" operator="containsText" text="check">
      <formula>NOT(ISERROR(SEARCH("check",A36)))</formula>
    </cfRule>
    <cfRule type="cellIs" dxfId="957" priority="166" operator="equal">
      <formula>"???"</formula>
    </cfRule>
  </conditionalFormatting>
  <conditionalFormatting sqref="F36 H36">
    <cfRule type="cellIs" dxfId="956" priority="164" operator="equal">
      <formula>"Yes"</formula>
    </cfRule>
  </conditionalFormatting>
  <conditionalFormatting sqref="Q36">
    <cfRule type="containsText" dxfId="955" priority="163" operator="containsText" text="SI">
      <formula>NOT(ISERROR(SEARCH("SI",Q36)))</formula>
    </cfRule>
  </conditionalFormatting>
  <conditionalFormatting sqref="I15:K15">
    <cfRule type="containsText" dxfId="954" priority="155" operator="containsText" text="check">
      <formula>NOT(ISERROR(SEARCH("check",I15)))</formula>
    </cfRule>
    <cfRule type="cellIs" dxfId="953" priority="156" operator="equal">
      <formula>"???"</formula>
    </cfRule>
  </conditionalFormatting>
  <conditionalFormatting sqref="I30:K30">
    <cfRule type="containsText" dxfId="952" priority="157" operator="containsText" text="check">
      <formula>NOT(ISERROR(SEARCH("check",I30)))</formula>
    </cfRule>
    <cfRule type="cellIs" dxfId="951" priority="158" operator="equal">
      <formula>"???"</formula>
    </cfRule>
  </conditionalFormatting>
  <conditionalFormatting sqref="I33:K33">
    <cfRule type="containsText" dxfId="950" priority="153" operator="containsText" text="check">
      <formula>NOT(ISERROR(SEARCH("check",I33)))</formula>
    </cfRule>
    <cfRule type="cellIs" dxfId="949" priority="154" operator="equal">
      <formula>"???"</formula>
    </cfRule>
  </conditionalFormatting>
  <conditionalFormatting sqref="L16:N16">
    <cfRule type="containsText" dxfId="948" priority="127" operator="containsText" text="check">
      <formula>NOT(ISERROR(SEARCH("check",L16)))</formula>
    </cfRule>
    <cfRule type="cellIs" dxfId="947" priority="128" operator="equal">
      <formula>"???"</formula>
    </cfRule>
  </conditionalFormatting>
  <conditionalFormatting sqref="L17:N17">
    <cfRule type="containsText" dxfId="946" priority="149" operator="containsText" text="check">
      <formula>NOT(ISERROR(SEARCH("check",L17)))</formula>
    </cfRule>
    <cfRule type="cellIs" dxfId="945" priority="150" operator="equal">
      <formula>"???"</formula>
    </cfRule>
  </conditionalFormatting>
  <conditionalFormatting sqref="L19:N19">
    <cfRule type="containsText" dxfId="944" priority="147" operator="containsText" text="check">
      <formula>NOT(ISERROR(SEARCH("check",L19)))</formula>
    </cfRule>
    <cfRule type="cellIs" dxfId="943" priority="148" operator="equal">
      <formula>"???"</formula>
    </cfRule>
  </conditionalFormatting>
  <conditionalFormatting sqref="I18:K18">
    <cfRule type="containsText" dxfId="942" priority="143" operator="containsText" text="check">
      <formula>NOT(ISERROR(SEARCH("check",I18)))</formula>
    </cfRule>
    <cfRule type="cellIs" dxfId="941" priority="144" operator="equal">
      <formula>"???"</formula>
    </cfRule>
  </conditionalFormatting>
  <conditionalFormatting sqref="I21:K21">
    <cfRule type="containsText" dxfId="940" priority="141" operator="containsText" text="check">
      <formula>NOT(ISERROR(SEARCH("check",I21)))</formula>
    </cfRule>
    <cfRule type="cellIs" dxfId="939" priority="142" operator="equal">
      <formula>"???"</formula>
    </cfRule>
  </conditionalFormatting>
  <conditionalFormatting sqref="I24:K24">
    <cfRule type="containsText" dxfId="938" priority="139" operator="containsText" text="check">
      <formula>NOT(ISERROR(SEARCH("check",I24)))</formula>
    </cfRule>
    <cfRule type="cellIs" dxfId="937" priority="140" operator="equal">
      <formula>"???"</formula>
    </cfRule>
  </conditionalFormatting>
  <conditionalFormatting sqref="I34:K34">
    <cfRule type="containsText" dxfId="936" priority="133" operator="containsText" text="check">
      <formula>NOT(ISERROR(SEARCH("check",I34)))</formula>
    </cfRule>
    <cfRule type="cellIs" dxfId="935" priority="134" operator="equal">
      <formula>"???"</formula>
    </cfRule>
  </conditionalFormatting>
  <conditionalFormatting sqref="I35:K35">
    <cfRule type="containsText" dxfId="934" priority="131" operator="containsText" text="check">
      <formula>NOT(ISERROR(SEARCH("check",I35)))</formula>
    </cfRule>
    <cfRule type="cellIs" dxfId="933" priority="132" operator="equal">
      <formula>"???"</formula>
    </cfRule>
  </conditionalFormatting>
  <conditionalFormatting sqref="I10:K13">
    <cfRule type="containsText" dxfId="932" priority="129" operator="containsText" text="check">
      <formula>NOT(ISERROR(SEARCH("check",I10)))</formula>
    </cfRule>
    <cfRule type="cellIs" dxfId="931" priority="130" operator="equal">
      <formula>"???"</formula>
    </cfRule>
  </conditionalFormatting>
  <conditionalFormatting sqref="D31">
    <cfRule type="containsText" dxfId="930" priority="113" operator="containsText" text="check">
      <formula>NOT(ISERROR(SEARCH("check",D31)))</formula>
    </cfRule>
    <cfRule type="cellIs" dxfId="929" priority="114" operator="equal">
      <formula>"???"</formula>
    </cfRule>
  </conditionalFormatting>
  <conditionalFormatting sqref="I17:K17">
    <cfRule type="containsText" dxfId="928" priority="125" operator="containsText" text="check">
      <formula>NOT(ISERROR(SEARCH("check",I17)))</formula>
    </cfRule>
    <cfRule type="cellIs" dxfId="927" priority="126" operator="equal">
      <formula>"???"</formula>
    </cfRule>
  </conditionalFormatting>
  <conditionalFormatting sqref="L28:N28">
    <cfRule type="containsText" dxfId="926" priority="123" operator="containsText" text="check">
      <formula>NOT(ISERROR(SEARCH("check",L28)))</formula>
    </cfRule>
    <cfRule type="cellIs" dxfId="925" priority="124" operator="equal">
      <formula>"???"</formula>
    </cfRule>
  </conditionalFormatting>
  <conditionalFormatting sqref="L30:N30">
    <cfRule type="containsText" dxfId="924" priority="121" operator="containsText" text="check">
      <formula>NOT(ISERROR(SEARCH("check",L30)))</formula>
    </cfRule>
    <cfRule type="cellIs" dxfId="923" priority="122" operator="equal">
      <formula>"???"</formula>
    </cfRule>
  </conditionalFormatting>
  <conditionalFormatting sqref="I36:K36">
    <cfRule type="containsText" dxfId="922" priority="119" operator="containsText" text="check">
      <formula>NOT(ISERROR(SEARCH("check",I36)))</formula>
    </cfRule>
    <cfRule type="cellIs" dxfId="921" priority="120" operator="equal">
      <formula>"???"</formula>
    </cfRule>
  </conditionalFormatting>
  <conditionalFormatting sqref="L36">
    <cfRule type="containsText" dxfId="920" priority="115" operator="containsText" text="check">
      <formula>NOT(ISERROR(SEARCH("check",L36)))</formula>
    </cfRule>
    <cfRule type="cellIs" dxfId="919" priority="116" operator="equal">
      <formula>"???"</formula>
    </cfRule>
  </conditionalFormatting>
  <conditionalFormatting sqref="A37:H37 Y37">
    <cfRule type="containsText" dxfId="918" priority="111" operator="containsText" text="check">
      <formula>NOT(ISERROR(SEARCH("check",A37)))</formula>
    </cfRule>
    <cfRule type="cellIs" dxfId="917" priority="112" operator="equal">
      <formula>"???"</formula>
    </cfRule>
  </conditionalFormatting>
  <conditionalFormatting sqref="H37 F37">
    <cfRule type="cellIs" dxfId="916" priority="110" operator="equal">
      <formula>"Yes"</formula>
    </cfRule>
  </conditionalFormatting>
  <conditionalFormatting sqref="O37:X37">
    <cfRule type="containsText" dxfId="915" priority="108" operator="containsText" text="check">
      <formula>NOT(ISERROR(SEARCH("check",O37)))</formula>
    </cfRule>
    <cfRule type="cellIs" dxfId="914" priority="109" operator="equal">
      <formula>"???"</formula>
    </cfRule>
  </conditionalFormatting>
  <conditionalFormatting sqref="Q37">
    <cfRule type="containsText" dxfId="913" priority="107" operator="containsText" text="SI">
      <formula>NOT(ISERROR(SEARCH("SI",Q37)))</formula>
    </cfRule>
  </conditionalFormatting>
  <conditionalFormatting sqref="I37:K37">
    <cfRule type="containsText" dxfId="912" priority="101" operator="containsText" text="check">
      <formula>NOT(ISERROR(SEARCH("check",I37)))</formula>
    </cfRule>
    <cfRule type="cellIs" dxfId="911" priority="102" operator="equal">
      <formula>"???"</formula>
    </cfRule>
  </conditionalFormatting>
  <conditionalFormatting sqref="L37:N37">
    <cfRule type="containsText" dxfId="910" priority="103" operator="containsText" text="check">
      <formula>NOT(ISERROR(SEARCH("check",L37)))</formula>
    </cfRule>
    <cfRule type="cellIs" dxfId="909" priority="104" operator="equal">
      <formula>"???"</formula>
    </cfRule>
  </conditionalFormatting>
  <conditionalFormatting sqref="A14:D14 O14:P14 R14:Y14 F14:H14">
    <cfRule type="containsText" dxfId="908" priority="49" operator="containsText" text="check">
      <formula>NOT(ISERROR(SEARCH("check",A14)))</formula>
    </cfRule>
    <cfRule type="cellIs" dxfId="907" priority="50" operator="equal">
      <formula>"???"</formula>
    </cfRule>
  </conditionalFormatting>
  <conditionalFormatting sqref="I22:K22">
    <cfRule type="containsText" dxfId="906" priority="51" operator="containsText" text="check">
      <formula>NOT(ISERROR(SEARCH("check",I22)))</formula>
    </cfRule>
    <cfRule type="cellIs" dxfId="905" priority="52" operator="equal">
      <formula>"???"</formula>
    </cfRule>
  </conditionalFormatting>
  <conditionalFormatting sqref="H14 F14">
    <cfRule type="cellIs" dxfId="904" priority="48" operator="equal">
      <formula>"Yes"</formula>
    </cfRule>
  </conditionalFormatting>
  <conditionalFormatting sqref="Q14">
    <cfRule type="containsText" dxfId="903" priority="46" operator="containsText" text="check">
      <formula>NOT(ISERROR(SEARCH("check",Q14)))</formula>
    </cfRule>
    <cfRule type="cellIs" dxfId="902" priority="47" operator="equal">
      <formula>"???"</formula>
    </cfRule>
  </conditionalFormatting>
  <conditionalFormatting sqref="Q14">
    <cfRule type="containsText" dxfId="901" priority="45" operator="containsText" text="SI">
      <formula>NOT(ISERROR(SEARCH("SI",Q14)))</formula>
    </cfRule>
  </conditionalFormatting>
  <conditionalFormatting sqref="E14">
    <cfRule type="containsText" dxfId="900" priority="43" operator="containsText" text="check">
      <formula>NOT(ISERROR(SEARCH("check",E14)))</formula>
    </cfRule>
    <cfRule type="cellIs" dxfId="899" priority="44" operator="equal">
      <formula>"???"</formula>
    </cfRule>
  </conditionalFormatting>
  <conditionalFormatting sqref="A27:C27 O27:Y27 E27:F27 H27">
    <cfRule type="containsText" dxfId="898" priority="37" operator="containsText" text="check">
      <formula>NOT(ISERROR(SEARCH("check",A27)))</formula>
    </cfRule>
    <cfRule type="cellIs" dxfId="897" priority="38" operator="equal">
      <formula>"???"</formula>
    </cfRule>
  </conditionalFormatting>
  <conditionalFormatting sqref="F27 H27">
    <cfRule type="cellIs" dxfId="896" priority="36" operator="equal">
      <formula>"Yes"</formula>
    </cfRule>
  </conditionalFormatting>
  <conditionalFormatting sqref="Q27">
    <cfRule type="containsText" dxfId="895" priority="35" operator="containsText" text="SI">
      <formula>NOT(ISERROR(SEARCH("SI",Q27)))</formula>
    </cfRule>
  </conditionalFormatting>
  <conditionalFormatting sqref="D27">
    <cfRule type="containsText" dxfId="894" priority="33" operator="containsText" text="check">
      <formula>NOT(ISERROR(SEARCH("check",D27)))</formula>
    </cfRule>
    <cfRule type="cellIs" dxfId="893" priority="34" operator="equal">
      <formula>"???"</formula>
    </cfRule>
  </conditionalFormatting>
  <conditionalFormatting sqref="G27">
    <cfRule type="containsText" dxfId="892" priority="31" operator="containsText" text="check">
      <formula>NOT(ISERROR(SEARCH("check",G27)))</formula>
    </cfRule>
    <cfRule type="cellIs" dxfId="891" priority="32" operator="equal">
      <formula>"???"</formula>
    </cfRule>
  </conditionalFormatting>
  <conditionalFormatting sqref="A29:D29 P29:Y29 F29 H29">
    <cfRule type="containsText" dxfId="890" priority="25" operator="containsText" text="check">
      <formula>NOT(ISERROR(SEARCH("check",A29)))</formula>
    </cfRule>
    <cfRule type="cellIs" dxfId="889" priority="26" operator="equal">
      <formula>"???"</formula>
    </cfRule>
  </conditionalFormatting>
  <conditionalFormatting sqref="F29 H29">
    <cfRule type="cellIs" dxfId="888" priority="24" operator="equal">
      <formula>"Yes"</formula>
    </cfRule>
  </conditionalFormatting>
  <conditionalFormatting sqref="Q29">
    <cfRule type="containsText" dxfId="887" priority="23" operator="containsText" text="SI">
      <formula>NOT(ISERROR(SEARCH("SI",Q29)))</formula>
    </cfRule>
  </conditionalFormatting>
  <conditionalFormatting sqref="O29">
    <cfRule type="containsText" dxfId="886" priority="13" operator="containsText" text="check">
      <formula>NOT(ISERROR(SEARCH("check",O29)))</formula>
    </cfRule>
    <cfRule type="cellIs" dxfId="885" priority="14" operator="equal">
      <formula>"???"</formula>
    </cfRule>
  </conditionalFormatting>
  <conditionalFormatting sqref="G29">
    <cfRule type="containsText" dxfId="884" priority="19" operator="containsText" text="check">
      <formula>NOT(ISERROR(SEARCH("check",G29)))</formula>
    </cfRule>
    <cfRule type="cellIs" dxfId="883" priority="20" operator="equal">
      <formula>"???"</formula>
    </cfRule>
  </conditionalFormatting>
  <conditionalFormatting sqref="E29">
    <cfRule type="containsText" dxfId="882" priority="21" operator="containsText" text="check">
      <formula>NOT(ISERROR(SEARCH("check",E29)))</formula>
    </cfRule>
    <cfRule type="cellIs" dxfId="881" priority="22" operator="equal">
      <formula>"???"</formula>
    </cfRule>
  </conditionalFormatting>
  <conditionalFormatting sqref="I14:K14">
    <cfRule type="containsText" dxfId="880" priority="11" operator="containsText" text="check">
      <formula>NOT(ISERROR(SEARCH("check",I14)))</formula>
    </cfRule>
    <cfRule type="cellIs" dxfId="879" priority="12" operator="equal">
      <formula>"???"</formula>
    </cfRule>
  </conditionalFormatting>
  <conditionalFormatting sqref="L14:N14">
    <cfRule type="containsText" dxfId="878" priority="9" operator="containsText" text="check">
      <formula>NOT(ISERROR(SEARCH("check",L14)))</formula>
    </cfRule>
    <cfRule type="cellIs" dxfId="877" priority="10" operator="equal">
      <formula>"???"</formula>
    </cfRule>
  </conditionalFormatting>
  <conditionalFormatting sqref="I27:K27">
    <cfRule type="containsText" dxfId="876" priority="7" operator="containsText" text="check">
      <formula>NOT(ISERROR(SEARCH("check",I27)))</formula>
    </cfRule>
    <cfRule type="cellIs" dxfId="875" priority="8" operator="equal">
      <formula>"???"</formula>
    </cfRule>
  </conditionalFormatting>
  <conditionalFormatting sqref="L27:N27">
    <cfRule type="containsText" dxfId="874" priority="5" operator="containsText" text="check">
      <formula>NOT(ISERROR(SEARCH("check",L27)))</formula>
    </cfRule>
    <cfRule type="cellIs" dxfId="873" priority="6" operator="equal">
      <formula>"???"</formula>
    </cfRule>
  </conditionalFormatting>
  <conditionalFormatting sqref="I29:K29">
    <cfRule type="containsText" dxfId="872" priority="3" operator="containsText" text="check">
      <formula>NOT(ISERROR(SEARCH("check",I29)))</formula>
    </cfRule>
    <cfRule type="cellIs" dxfId="871" priority="4" operator="equal">
      <formula>"???"</formula>
    </cfRule>
  </conditionalFormatting>
  <conditionalFormatting sqref="L29:N29">
    <cfRule type="containsText" dxfId="870" priority="1" operator="containsText" text="check">
      <formula>NOT(ISERROR(SEARCH("check",L29)))</formula>
    </cfRule>
    <cfRule type="cellIs" dxfId="869" priority="2" operator="equal">
      <formula>"???"</formula>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3000000}">
          <x14:formula1>
            <xm:f>Tables!$C$7:$C$70</xm:f>
          </x14:formula1>
          <xm:sqref>O7:O23 O25:O103</xm:sqref>
        </x14:dataValidation>
        <x14:dataValidation type="list" allowBlank="1" showInputMessage="1" showErrorMessage="1" xr:uid="{00000000-0002-0000-0400-000000000000}">
          <x14:formula1>
            <xm:f>Tables!$D$7:$D$10</xm:f>
          </x14:formula1>
          <xm:sqref>R7:R103</xm:sqref>
        </x14:dataValidation>
        <x14:dataValidation type="list" allowBlank="1" showInputMessage="1" showErrorMessage="1" xr:uid="{00000000-0002-0000-0400-000001000000}">
          <x14:formula1>
            <xm:f>Tables!$E$7:$E$11</xm:f>
          </x14:formula1>
          <xm:sqref>V7:V103</xm:sqref>
        </x14:dataValidation>
        <x14:dataValidation type="list" allowBlank="1" showInputMessage="1" showErrorMessage="1" xr:uid="{00000000-0002-0000-0400-000002000000}">
          <x14:formula1>
            <xm:f>Tables!$G$7:$G$11</xm:f>
          </x14:formula1>
          <xm:sqref>U7:U103</xm:sqref>
        </x14:dataValidation>
        <x14:dataValidation type="list" allowBlank="1" showInputMessage="1" showErrorMessage="1" xr:uid="{00000000-0002-0000-0400-000004000000}">
          <x14:formula1>
            <xm:f>Tables!$J$7:$J$19</xm:f>
          </x14:formula1>
          <xm:sqref>Q7:Q103</xm:sqref>
        </x14:dataValidation>
        <x14:dataValidation type="list" allowBlank="1" showInputMessage="1" showErrorMessage="1" xr:uid="{00000000-0002-0000-0400-000005000000}">
          <x14:formula1>
            <xm:f>Tables!$B$7:$B$10</xm:f>
          </x14:formula1>
          <xm:sqref>F7:F103 H7:H103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4">
    <tabColor rgb="FF7030A0"/>
  </sheetPr>
  <dimension ref="A1:Y118"/>
  <sheetViews>
    <sheetView zoomScale="90" zoomScaleNormal="90" workbookViewId="0">
      <pane ySplit="6" topLeftCell="A25" activePane="bottomLeft" state="frozen"/>
      <selection pane="bottomLeft" activeCell="L28" sqref="L28"/>
    </sheetView>
  </sheetViews>
  <sheetFormatPr baseColWidth="10" defaultColWidth="9.1640625" defaultRowHeight="15" outlineLevelRow="1" outlineLevelCol="1" x14ac:dyDescent="0.2"/>
  <cols>
    <col min="1" max="1" width="17.6640625" style="2" customWidth="1"/>
    <col min="2" max="2" width="4.6640625" style="10" customWidth="1"/>
    <col min="3" max="3" width="5.83203125" style="2" customWidth="1"/>
    <col min="4" max="4" width="32.33203125" style="10" customWidth="1"/>
    <col min="5" max="5" width="19.5" style="2" customWidth="1"/>
    <col min="6" max="6" width="6.5" style="2" customWidth="1"/>
    <col min="7" max="7" width="16.5" style="2" customWidth="1"/>
    <col min="8" max="8" width="6.33203125" style="2" customWidth="1"/>
    <col min="9" max="9" width="18.5" style="2" customWidth="1"/>
    <col min="10" max="10" width="16" style="2" customWidth="1"/>
    <col min="11" max="11" width="20.33203125" style="2" customWidth="1"/>
    <col min="12" max="12" width="17.5" style="2" customWidth="1"/>
    <col min="13" max="13" width="18.5" style="2" customWidth="1"/>
    <col min="14" max="14" width="13.6640625" style="2" customWidth="1"/>
    <col min="15" max="15" width="20" style="10" customWidth="1"/>
    <col min="16" max="16" width="13.1640625" style="10" customWidth="1"/>
    <col min="17" max="17" width="13.5" style="48" customWidth="1"/>
    <col min="18" max="18" width="19.1640625" style="2" customWidth="1"/>
    <col min="19" max="19" width="16.83203125" style="2" hidden="1" customWidth="1" outlineLevel="1"/>
    <col min="20" max="20" width="16.5" style="2" hidden="1" customWidth="1" outlineLevel="1"/>
    <col min="21" max="21" width="15" style="10" hidden="1" customWidth="1" outlineLevel="1"/>
    <col min="22" max="22" width="22" style="10" customWidth="1" collapsed="1"/>
    <col min="23" max="23" width="35.5" style="2" customWidth="1"/>
    <col min="24" max="24" width="46.6640625" style="2" bestFit="1" customWidth="1"/>
    <col min="25" max="25" width="27.6640625" style="2" bestFit="1" customWidth="1"/>
    <col min="26" max="26" width="12.33203125" style="2" customWidth="1"/>
    <col min="27" max="16384" width="9.1640625" style="2"/>
  </cols>
  <sheetData>
    <row r="1" spans="1:25" outlineLevel="1" x14ac:dyDescent="0.2"/>
    <row r="2" spans="1:25" ht="29" outlineLevel="1" x14ac:dyDescent="0.2">
      <c r="B2" s="8"/>
      <c r="C2" s="5"/>
      <c r="D2" s="8"/>
      <c r="E2" s="5"/>
      <c r="F2" s="5"/>
      <c r="G2" s="5"/>
      <c r="H2" s="5"/>
      <c r="I2" s="56" t="s">
        <v>263</v>
      </c>
      <c r="J2" s="5"/>
      <c r="K2" s="5"/>
      <c r="L2" s="5"/>
      <c r="M2" s="5"/>
      <c r="N2" s="5"/>
      <c r="O2" s="8"/>
      <c r="P2" s="8"/>
      <c r="Q2" s="49"/>
      <c r="R2" s="5"/>
      <c r="S2" s="5"/>
      <c r="T2" s="5"/>
      <c r="U2" s="8"/>
      <c r="V2" s="8"/>
      <c r="W2" s="5"/>
      <c r="X2" s="5"/>
      <c r="Y2" s="5"/>
    </row>
    <row r="3" spans="1:25" ht="24" outlineLevel="1" x14ac:dyDescent="0.3">
      <c r="B3" s="8"/>
      <c r="C3" s="5"/>
      <c r="D3" s="8"/>
      <c r="E3" s="115" t="s">
        <v>264</v>
      </c>
      <c r="F3" s="5" t="str">
        <f>Versioning!F29</f>
        <v>2.01</v>
      </c>
      <c r="G3" s="5"/>
      <c r="H3" s="5"/>
      <c r="I3" s="11" t="s">
        <v>265</v>
      </c>
      <c r="J3" s="5"/>
      <c r="K3" s="5"/>
      <c r="L3" s="231" t="str">
        <f>Versioning!G6</f>
        <v>DIM-Infosphere</v>
      </c>
      <c r="M3" s="232"/>
      <c r="N3" s="5"/>
      <c r="O3" s="8"/>
      <c r="P3" s="8"/>
      <c r="Q3" s="49"/>
      <c r="R3" s="5"/>
      <c r="S3" s="5"/>
      <c r="T3" s="5"/>
      <c r="U3" s="8"/>
      <c r="V3" s="8"/>
      <c r="W3" s="5"/>
      <c r="X3" s="5"/>
      <c r="Y3" s="5"/>
    </row>
    <row r="4" spans="1:25" outlineLevel="1" x14ac:dyDescent="0.2">
      <c r="B4" s="8"/>
      <c r="C4" s="5"/>
      <c r="D4" s="8"/>
      <c r="E4" s="5"/>
      <c r="F4" s="5"/>
      <c r="G4" s="5"/>
      <c r="H4" s="5"/>
      <c r="I4" s="33" t="s">
        <v>266</v>
      </c>
      <c r="J4" s="5"/>
      <c r="K4" s="5"/>
      <c r="L4" s="41" t="s">
        <v>267</v>
      </c>
      <c r="M4" s="5"/>
      <c r="N4" s="5"/>
      <c r="O4" s="8"/>
      <c r="P4" s="8"/>
      <c r="Q4" s="49"/>
      <c r="R4" s="5"/>
      <c r="S4" s="5"/>
      <c r="T4" s="5"/>
      <c r="U4" s="8"/>
      <c r="V4" s="8"/>
      <c r="W4" s="5"/>
      <c r="X4" s="5"/>
      <c r="Y4" s="5"/>
    </row>
    <row r="5" spans="1:25" outlineLevel="1" x14ac:dyDescent="0.2">
      <c r="B5" s="238"/>
      <c r="C5" s="238"/>
      <c r="D5" s="238"/>
      <c r="E5" s="238"/>
      <c r="F5" s="77"/>
      <c r="K5" s="19"/>
      <c r="L5" s="19"/>
      <c r="M5" s="19"/>
      <c r="N5" s="22"/>
      <c r="O5" s="22"/>
      <c r="P5" s="2"/>
    </row>
    <row r="6" spans="1:25" ht="72" x14ac:dyDescent="0.2">
      <c r="A6" s="87" t="s">
        <v>268</v>
      </c>
      <c r="B6" s="98" t="s">
        <v>145</v>
      </c>
      <c r="C6" s="1" t="s">
        <v>269</v>
      </c>
      <c r="D6" s="27" t="s">
        <v>270</v>
      </c>
      <c r="E6" s="1" t="s">
        <v>604</v>
      </c>
      <c r="F6" s="27" t="s">
        <v>272</v>
      </c>
      <c r="G6" s="74" t="s">
        <v>273</v>
      </c>
      <c r="H6" s="75" t="s">
        <v>272</v>
      </c>
      <c r="I6" s="1" t="s">
        <v>274</v>
      </c>
      <c r="J6" s="1" t="s">
        <v>275</v>
      </c>
      <c r="K6" s="1" t="s">
        <v>276</v>
      </c>
      <c r="L6" s="81" t="s">
        <v>277</v>
      </c>
      <c r="M6" s="83" t="s">
        <v>278</v>
      </c>
      <c r="N6" s="82" t="s">
        <v>279</v>
      </c>
      <c r="O6" s="21" t="s">
        <v>280</v>
      </c>
      <c r="P6" s="21" t="s">
        <v>281</v>
      </c>
      <c r="Q6" s="73" t="s">
        <v>282</v>
      </c>
      <c r="R6" s="78" t="s">
        <v>283</v>
      </c>
      <c r="S6" s="1" t="s">
        <v>284</v>
      </c>
      <c r="T6" s="1" t="s">
        <v>285</v>
      </c>
      <c r="U6" s="27" t="s">
        <v>286</v>
      </c>
      <c r="V6" s="73" t="s">
        <v>287</v>
      </c>
      <c r="W6" s="80" t="s">
        <v>202</v>
      </c>
      <c r="X6" s="80" t="s">
        <v>288</v>
      </c>
      <c r="Y6" s="79" t="s">
        <v>289</v>
      </c>
    </row>
    <row r="7" spans="1:25" ht="16" x14ac:dyDescent="0.2">
      <c r="A7" s="61" t="s">
        <v>605</v>
      </c>
      <c r="B7" s="123">
        <f t="shared" ref="B7:B36" si="0" xml:space="preserve"> ROW(B7) - 6</f>
        <v>1</v>
      </c>
      <c r="C7" s="61">
        <v>1</v>
      </c>
      <c r="D7" s="61" t="s">
        <v>291</v>
      </c>
      <c r="E7" s="61" t="s">
        <v>292</v>
      </c>
      <c r="F7" s="76" t="s">
        <v>293</v>
      </c>
      <c r="G7" s="61" t="s">
        <v>294</v>
      </c>
      <c r="H7" s="76" t="s">
        <v>293</v>
      </c>
      <c r="I7" s="61" t="s">
        <v>295</v>
      </c>
      <c r="J7" s="61" t="s">
        <v>296</v>
      </c>
      <c r="K7" s="61"/>
      <c r="L7" s="61" t="s">
        <v>606</v>
      </c>
      <c r="M7" s="61" t="s">
        <v>607</v>
      </c>
      <c r="N7" s="61" t="s">
        <v>608</v>
      </c>
      <c r="O7" s="76" t="s">
        <v>300</v>
      </c>
      <c r="P7" s="61"/>
      <c r="Q7" s="76" t="s">
        <v>293</v>
      </c>
      <c r="R7" s="76" t="s">
        <v>301</v>
      </c>
      <c r="S7" s="61"/>
      <c r="T7" s="61"/>
      <c r="U7" s="76" t="s">
        <v>302</v>
      </c>
      <c r="V7" s="76" t="s">
        <v>303</v>
      </c>
      <c r="W7" s="61"/>
      <c r="X7" s="61"/>
      <c r="Y7" s="61"/>
    </row>
    <row r="8" spans="1:25" ht="32" x14ac:dyDescent="0.2">
      <c r="A8" s="61" t="s">
        <v>609</v>
      </c>
      <c r="B8" s="123">
        <f t="shared" si="0"/>
        <v>2</v>
      </c>
      <c r="C8" s="61">
        <v>2</v>
      </c>
      <c r="D8" s="61" t="s">
        <v>305</v>
      </c>
      <c r="E8" s="61" t="s">
        <v>292</v>
      </c>
      <c r="F8" s="76" t="s">
        <v>293</v>
      </c>
      <c r="G8" s="61" t="s">
        <v>306</v>
      </c>
      <c r="H8" s="76" t="s">
        <v>293</v>
      </c>
      <c r="I8" s="61" t="s">
        <v>295</v>
      </c>
      <c r="J8" s="61" t="s">
        <v>296</v>
      </c>
      <c r="K8" s="61"/>
      <c r="L8" s="61" t="s">
        <v>610</v>
      </c>
      <c r="M8" s="61" t="s">
        <v>611</v>
      </c>
      <c r="N8" s="61" t="s">
        <v>612</v>
      </c>
      <c r="O8" s="76" t="s">
        <v>300</v>
      </c>
      <c r="P8" s="61"/>
      <c r="Q8" s="76" t="s">
        <v>293</v>
      </c>
      <c r="R8" s="76" t="s">
        <v>310</v>
      </c>
      <c r="S8" s="61"/>
      <c r="T8" s="61"/>
      <c r="U8" s="76" t="s">
        <v>302</v>
      </c>
      <c r="V8" s="76" t="s">
        <v>303</v>
      </c>
      <c r="W8" s="61"/>
      <c r="X8" s="61"/>
      <c r="Y8" s="61"/>
    </row>
    <row r="9" spans="1:25" ht="32" x14ac:dyDescent="0.2">
      <c r="A9" s="61" t="s">
        <v>613</v>
      </c>
      <c r="B9" s="123">
        <f t="shared" si="0"/>
        <v>3</v>
      </c>
      <c r="C9" s="61">
        <v>3</v>
      </c>
      <c r="D9" s="61" t="s">
        <v>312</v>
      </c>
      <c r="E9" s="61" t="s">
        <v>313</v>
      </c>
      <c r="F9" s="76" t="s">
        <v>293</v>
      </c>
      <c r="G9" s="61" t="s">
        <v>306</v>
      </c>
      <c r="H9" s="76" t="s">
        <v>293</v>
      </c>
      <c r="I9" s="61" t="s">
        <v>614</v>
      </c>
      <c r="J9" s="61" t="s">
        <v>615</v>
      </c>
      <c r="K9" s="61" t="s">
        <v>616</v>
      </c>
      <c r="L9" s="61" t="s">
        <v>610</v>
      </c>
      <c r="M9" s="61" t="s">
        <v>611</v>
      </c>
      <c r="N9" s="61" t="s">
        <v>612</v>
      </c>
      <c r="O9" s="76" t="s">
        <v>317</v>
      </c>
      <c r="P9" s="61"/>
      <c r="Q9" s="76" t="s">
        <v>293</v>
      </c>
      <c r="R9" s="76" t="s">
        <v>310</v>
      </c>
      <c r="S9" s="61"/>
      <c r="T9" s="61"/>
      <c r="U9" s="76" t="s">
        <v>302</v>
      </c>
      <c r="V9" s="76" t="s">
        <v>318</v>
      </c>
      <c r="W9" s="61" t="s">
        <v>617</v>
      </c>
      <c r="X9" s="61"/>
      <c r="Y9" s="61"/>
    </row>
    <row r="10" spans="1:25" ht="48" x14ac:dyDescent="0.2">
      <c r="A10" s="61" t="s">
        <v>618</v>
      </c>
      <c r="B10" s="123">
        <f t="shared" si="0"/>
        <v>4</v>
      </c>
      <c r="C10" s="61">
        <v>4</v>
      </c>
      <c r="D10" s="61" t="s">
        <v>321</v>
      </c>
      <c r="E10" s="61" t="s">
        <v>313</v>
      </c>
      <c r="F10" s="76" t="s">
        <v>293</v>
      </c>
      <c r="G10" s="61" t="s">
        <v>322</v>
      </c>
      <c r="H10" s="76" t="s">
        <v>293</v>
      </c>
      <c r="I10" s="61" t="s">
        <v>614</v>
      </c>
      <c r="J10" s="61" t="s">
        <v>615</v>
      </c>
      <c r="K10" s="61" t="s">
        <v>616</v>
      </c>
      <c r="L10" s="61" t="s">
        <v>619</v>
      </c>
      <c r="M10" s="61" t="s">
        <v>620</v>
      </c>
      <c r="N10" s="61" t="s">
        <v>621</v>
      </c>
      <c r="O10" s="76" t="s">
        <v>326</v>
      </c>
      <c r="P10" s="61"/>
      <c r="Q10" s="76" t="s">
        <v>293</v>
      </c>
      <c r="R10" s="76" t="s">
        <v>310</v>
      </c>
      <c r="S10" s="61"/>
      <c r="T10" s="61"/>
      <c r="U10" s="76" t="s">
        <v>302</v>
      </c>
      <c r="V10" s="76" t="s">
        <v>318</v>
      </c>
      <c r="W10" s="61" t="s">
        <v>327</v>
      </c>
      <c r="X10" s="61"/>
      <c r="Y10" s="61"/>
    </row>
    <row r="11" spans="1:25" ht="32" x14ac:dyDescent="0.2">
      <c r="A11" s="61" t="s">
        <v>622</v>
      </c>
      <c r="B11" s="123">
        <f t="shared" si="0"/>
        <v>5</v>
      </c>
      <c r="C11" s="61">
        <v>5</v>
      </c>
      <c r="D11" s="61" t="s">
        <v>329</v>
      </c>
      <c r="E11" s="61" t="s">
        <v>313</v>
      </c>
      <c r="F11" s="76" t="s">
        <v>293</v>
      </c>
      <c r="G11" s="61" t="s">
        <v>330</v>
      </c>
      <c r="H11" s="76" t="s">
        <v>293</v>
      </c>
      <c r="I11" s="61" t="s">
        <v>614</v>
      </c>
      <c r="J11" s="61" t="s">
        <v>615</v>
      </c>
      <c r="K11" s="61" t="s">
        <v>616</v>
      </c>
      <c r="L11" s="61" t="s">
        <v>623</v>
      </c>
      <c r="M11" s="61" t="s">
        <v>624</v>
      </c>
      <c r="N11" s="61" t="s">
        <v>625</v>
      </c>
      <c r="O11" s="76" t="s">
        <v>334</v>
      </c>
      <c r="P11" s="61">
        <v>31538</v>
      </c>
      <c r="Q11" s="76" t="s">
        <v>293</v>
      </c>
      <c r="R11" s="76" t="s">
        <v>301</v>
      </c>
      <c r="S11" s="61"/>
      <c r="T11" s="61"/>
      <c r="U11" s="76" t="s">
        <v>302</v>
      </c>
      <c r="V11" s="76" t="s">
        <v>318</v>
      </c>
      <c r="W11" s="61"/>
      <c r="X11" s="61"/>
      <c r="Y11" s="61"/>
    </row>
    <row r="12" spans="1:25" ht="32" x14ac:dyDescent="0.2">
      <c r="A12" s="61" t="s">
        <v>626</v>
      </c>
      <c r="B12" s="123">
        <f t="shared" si="0"/>
        <v>6</v>
      </c>
      <c r="C12" s="61">
        <v>6</v>
      </c>
      <c r="D12" s="61" t="s">
        <v>336</v>
      </c>
      <c r="E12" s="61" t="s">
        <v>313</v>
      </c>
      <c r="F12" s="76" t="s">
        <v>293</v>
      </c>
      <c r="G12" s="61" t="s">
        <v>337</v>
      </c>
      <c r="H12" s="76" t="s">
        <v>293</v>
      </c>
      <c r="I12" s="61" t="s">
        <v>614</v>
      </c>
      <c r="J12" s="61" t="s">
        <v>615</v>
      </c>
      <c r="K12" s="61" t="s">
        <v>616</v>
      </c>
      <c r="L12" s="61" t="s">
        <v>627</v>
      </c>
      <c r="M12" s="61" t="s">
        <v>628</v>
      </c>
      <c r="N12" s="61" t="s">
        <v>629</v>
      </c>
      <c r="O12" s="76" t="s">
        <v>334</v>
      </c>
      <c r="P12" s="61">
        <v>9443</v>
      </c>
      <c r="Q12" s="76" t="s">
        <v>293</v>
      </c>
      <c r="R12" s="76" t="s">
        <v>301</v>
      </c>
      <c r="S12" s="61"/>
      <c r="T12" s="61"/>
      <c r="U12" s="76" t="s">
        <v>302</v>
      </c>
      <c r="V12" s="76" t="s">
        <v>318</v>
      </c>
      <c r="W12" s="61"/>
      <c r="X12" s="61"/>
      <c r="Y12" s="61"/>
    </row>
    <row r="13" spans="1:25" ht="32" x14ac:dyDescent="0.2">
      <c r="A13" s="61" t="s">
        <v>630</v>
      </c>
      <c r="B13" s="123">
        <f t="shared" si="0"/>
        <v>7</v>
      </c>
      <c r="C13" s="61">
        <v>7</v>
      </c>
      <c r="D13" s="61" t="s">
        <v>342</v>
      </c>
      <c r="E13" s="61" t="s">
        <v>313</v>
      </c>
      <c r="F13" s="76" t="s">
        <v>293</v>
      </c>
      <c r="G13" s="61" t="s">
        <v>294</v>
      </c>
      <c r="H13" s="76" t="s">
        <v>293</v>
      </c>
      <c r="I13" s="61" t="s">
        <v>614</v>
      </c>
      <c r="J13" s="61" t="s">
        <v>615</v>
      </c>
      <c r="K13" s="61" t="s">
        <v>616</v>
      </c>
      <c r="L13" s="61" t="s">
        <v>606</v>
      </c>
      <c r="M13" s="61" t="s">
        <v>607</v>
      </c>
      <c r="N13" s="61" t="s">
        <v>608</v>
      </c>
      <c r="O13" s="76" t="s">
        <v>334</v>
      </c>
      <c r="P13" s="61">
        <v>443</v>
      </c>
      <c r="Q13" s="76" t="s">
        <v>293</v>
      </c>
      <c r="R13" s="76" t="s">
        <v>301</v>
      </c>
      <c r="S13" s="61"/>
      <c r="T13" s="61"/>
      <c r="U13" s="76" t="s">
        <v>302</v>
      </c>
      <c r="V13" s="76" t="s">
        <v>318</v>
      </c>
      <c r="W13" s="61"/>
      <c r="X13" s="61"/>
      <c r="Y13" s="61"/>
    </row>
    <row r="14" spans="1:25" ht="32" x14ac:dyDescent="0.2">
      <c r="A14" s="61" t="s">
        <v>631</v>
      </c>
      <c r="B14" s="123">
        <f t="shared" si="0"/>
        <v>8</v>
      </c>
      <c r="C14" s="61">
        <v>8</v>
      </c>
      <c r="D14" s="61" t="s">
        <v>344</v>
      </c>
      <c r="E14" s="61" t="s">
        <v>337</v>
      </c>
      <c r="F14" s="76" t="s">
        <v>293</v>
      </c>
      <c r="G14" s="61" t="s">
        <v>306</v>
      </c>
      <c r="H14" s="76" t="s">
        <v>293</v>
      </c>
      <c r="I14" s="61" t="s">
        <v>623</v>
      </c>
      <c r="J14" s="61" t="s">
        <v>624</v>
      </c>
      <c r="K14" s="61" t="s">
        <v>625</v>
      </c>
      <c r="L14" s="61" t="s">
        <v>610</v>
      </c>
      <c r="M14" s="61" t="s">
        <v>611</v>
      </c>
      <c r="N14" s="61" t="s">
        <v>612</v>
      </c>
      <c r="O14" s="76" t="s">
        <v>345</v>
      </c>
      <c r="P14" s="61">
        <v>19443</v>
      </c>
      <c r="Q14" s="76" t="s">
        <v>293</v>
      </c>
      <c r="R14" s="76" t="s">
        <v>310</v>
      </c>
      <c r="S14" s="61"/>
      <c r="T14" s="61"/>
      <c r="U14" s="76" t="s">
        <v>302</v>
      </c>
      <c r="V14" s="76" t="s">
        <v>318</v>
      </c>
      <c r="W14" s="61"/>
      <c r="X14" s="61"/>
      <c r="Y14" s="61"/>
    </row>
    <row r="15" spans="1:25" ht="16" x14ac:dyDescent="0.2">
      <c r="A15" s="61" t="s">
        <v>632</v>
      </c>
      <c r="B15" s="123">
        <f xml:space="preserve"> ROW(B15) - 6</f>
        <v>9</v>
      </c>
      <c r="C15" s="61">
        <v>9</v>
      </c>
      <c r="D15" s="61" t="s">
        <v>347</v>
      </c>
      <c r="E15" s="61" t="s">
        <v>633</v>
      </c>
      <c r="F15" s="76" t="s">
        <v>293</v>
      </c>
      <c r="G15" s="61" t="s">
        <v>348</v>
      </c>
      <c r="H15" s="76" t="s">
        <v>293</v>
      </c>
      <c r="I15" s="61" t="s">
        <v>610</v>
      </c>
      <c r="J15" s="61" t="s">
        <v>611</v>
      </c>
      <c r="K15" s="61" t="s">
        <v>612</v>
      </c>
      <c r="L15" s="61" t="s">
        <v>634</v>
      </c>
      <c r="M15" s="61" t="s">
        <v>635</v>
      </c>
      <c r="N15" s="61" t="s">
        <v>636</v>
      </c>
      <c r="O15" s="76" t="s">
        <v>352</v>
      </c>
      <c r="P15" s="61"/>
      <c r="Q15" s="76" t="s">
        <v>293</v>
      </c>
      <c r="R15" s="76" t="s">
        <v>301</v>
      </c>
      <c r="S15" s="61"/>
      <c r="T15" s="61"/>
      <c r="U15" s="76" t="s">
        <v>302</v>
      </c>
      <c r="V15" s="76" t="s">
        <v>318</v>
      </c>
      <c r="W15" s="61"/>
      <c r="X15" s="61"/>
      <c r="Y15" s="61"/>
    </row>
    <row r="16" spans="1:25" ht="16" x14ac:dyDescent="0.2">
      <c r="A16" s="61" t="s">
        <v>637</v>
      </c>
      <c r="B16" s="123">
        <f xml:space="preserve"> ROW(B16) - 6</f>
        <v>10</v>
      </c>
      <c r="C16" s="61" t="s">
        <v>354</v>
      </c>
      <c r="D16" s="61" t="s">
        <v>355</v>
      </c>
      <c r="E16" s="61" t="s">
        <v>330</v>
      </c>
      <c r="F16" s="76" t="s">
        <v>293</v>
      </c>
      <c r="G16" s="61" t="s">
        <v>348</v>
      </c>
      <c r="H16" s="76" t="s">
        <v>293</v>
      </c>
      <c r="I16" s="61" t="s">
        <v>623</v>
      </c>
      <c r="J16" s="61" t="s">
        <v>624</v>
      </c>
      <c r="K16" s="61" t="s">
        <v>625</v>
      </c>
      <c r="L16" s="61" t="s">
        <v>634</v>
      </c>
      <c r="M16" s="61" t="s">
        <v>635</v>
      </c>
      <c r="N16" s="61" t="s">
        <v>636</v>
      </c>
      <c r="O16" s="76" t="s">
        <v>352</v>
      </c>
      <c r="P16" s="61"/>
      <c r="Q16" s="76" t="s">
        <v>293</v>
      </c>
      <c r="R16" s="76" t="s">
        <v>301</v>
      </c>
      <c r="S16" s="61"/>
      <c r="T16" s="61"/>
      <c r="U16" s="76" t="s">
        <v>302</v>
      </c>
      <c r="V16" s="76" t="s">
        <v>318</v>
      </c>
      <c r="W16" s="61"/>
      <c r="X16" s="61"/>
      <c r="Y16" s="61"/>
    </row>
    <row r="17" spans="1:25" ht="48" x14ac:dyDescent="0.2">
      <c r="A17" s="61" t="s">
        <v>638</v>
      </c>
      <c r="B17" s="123">
        <f t="shared" si="0"/>
        <v>11</v>
      </c>
      <c r="C17" s="61" t="s">
        <v>357</v>
      </c>
      <c r="D17" s="61" t="s">
        <v>358</v>
      </c>
      <c r="E17" s="61" t="s">
        <v>348</v>
      </c>
      <c r="F17" s="76" t="s">
        <v>293</v>
      </c>
      <c r="G17" s="61" t="s">
        <v>330</v>
      </c>
      <c r="H17" s="76" t="s">
        <v>293</v>
      </c>
      <c r="I17" s="61" t="s">
        <v>634</v>
      </c>
      <c r="J17" s="61" t="s">
        <v>635</v>
      </c>
      <c r="K17" s="61" t="s">
        <v>636</v>
      </c>
      <c r="L17" s="61" t="s">
        <v>623</v>
      </c>
      <c r="M17" s="61" t="s">
        <v>624</v>
      </c>
      <c r="N17" s="61" t="s">
        <v>625</v>
      </c>
      <c r="O17" s="76" t="s">
        <v>359</v>
      </c>
      <c r="P17" s="61" t="s">
        <v>360</v>
      </c>
      <c r="Q17" s="76" t="s">
        <v>293</v>
      </c>
      <c r="R17" s="76" t="s">
        <v>301</v>
      </c>
      <c r="S17" s="61"/>
      <c r="T17" s="61"/>
      <c r="U17" s="76" t="s">
        <v>302</v>
      </c>
      <c r="V17" s="76" t="s">
        <v>318</v>
      </c>
      <c r="W17" s="61"/>
      <c r="X17" s="61"/>
      <c r="Y17" s="61"/>
    </row>
    <row r="18" spans="1:25" ht="32" x14ac:dyDescent="0.2">
      <c r="A18" s="61" t="s">
        <v>639</v>
      </c>
      <c r="B18" s="123">
        <f t="shared" si="0"/>
        <v>12</v>
      </c>
      <c r="C18" s="61" t="s">
        <v>362</v>
      </c>
      <c r="D18" s="61" t="s">
        <v>554</v>
      </c>
      <c r="E18" s="61" t="s">
        <v>330</v>
      </c>
      <c r="F18" s="76" t="s">
        <v>293</v>
      </c>
      <c r="G18" s="61" t="s">
        <v>555</v>
      </c>
      <c r="H18" s="76" t="s">
        <v>293</v>
      </c>
      <c r="I18" s="61" t="s">
        <v>623</v>
      </c>
      <c r="J18" s="61" t="s">
        <v>624</v>
      </c>
      <c r="K18" s="61" t="s">
        <v>625</v>
      </c>
      <c r="L18" s="61" t="s">
        <v>640</v>
      </c>
      <c r="M18" s="61" t="s">
        <v>641</v>
      </c>
      <c r="N18" s="61" t="s">
        <v>642</v>
      </c>
      <c r="O18" s="76" t="s">
        <v>559</v>
      </c>
      <c r="P18" s="61"/>
      <c r="Q18" s="76" t="s">
        <v>560</v>
      </c>
      <c r="R18" s="76" t="s">
        <v>301</v>
      </c>
      <c r="S18" s="61"/>
      <c r="T18" s="61"/>
      <c r="U18" s="76" t="s">
        <v>302</v>
      </c>
      <c r="V18" s="76" t="s">
        <v>318</v>
      </c>
      <c r="W18" s="61"/>
      <c r="X18" s="61" t="s">
        <v>561</v>
      </c>
      <c r="Y18" s="61"/>
    </row>
    <row r="19" spans="1:25" ht="32" x14ac:dyDescent="0.2">
      <c r="A19" s="61" t="s">
        <v>643</v>
      </c>
      <c r="B19" s="123">
        <f t="shared" si="0"/>
        <v>13</v>
      </c>
      <c r="C19" s="61" t="s">
        <v>366</v>
      </c>
      <c r="D19" s="61" t="s">
        <v>563</v>
      </c>
      <c r="E19" s="61" t="s">
        <v>555</v>
      </c>
      <c r="F19" s="76" t="s">
        <v>293</v>
      </c>
      <c r="G19" s="61" t="s">
        <v>330</v>
      </c>
      <c r="H19" s="76" t="s">
        <v>293</v>
      </c>
      <c r="I19" s="61" t="s">
        <v>644</v>
      </c>
      <c r="J19" s="61" t="s">
        <v>645</v>
      </c>
      <c r="K19" s="61" t="s">
        <v>646</v>
      </c>
      <c r="L19" s="61" t="s">
        <v>623</v>
      </c>
      <c r="M19" s="61" t="s">
        <v>624</v>
      </c>
      <c r="N19" s="61" t="s">
        <v>625</v>
      </c>
      <c r="O19" s="76" t="s">
        <v>559</v>
      </c>
      <c r="P19" s="61"/>
      <c r="Q19" s="76" t="s">
        <v>560</v>
      </c>
      <c r="R19" s="76" t="s">
        <v>301</v>
      </c>
      <c r="S19" s="61"/>
      <c r="T19" s="61"/>
      <c r="U19" s="76" t="s">
        <v>302</v>
      </c>
      <c r="V19" s="76" t="s">
        <v>318</v>
      </c>
      <c r="W19" s="61" t="s">
        <v>567</v>
      </c>
      <c r="X19" s="61"/>
      <c r="Y19" s="61"/>
    </row>
    <row r="20" spans="1:25" ht="32" x14ac:dyDescent="0.2">
      <c r="A20" s="61" t="s">
        <v>647</v>
      </c>
      <c r="B20" s="123">
        <f t="shared" si="0"/>
        <v>14</v>
      </c>
      <c r="C20" s="61">
        <v>12</v>
      </c>
      <c r="D20" s="61" t="s">
        <v>369</v>
      </c>
      <c r="E20" s="61" t="s">
        <v>330</v>
      </c>
      <c r="F20" s="76" t="s">
        <v>293</v>
      </c>
      <c r="G20" s="61"/>
      <c r="H20" s="76" t="s">
        <v>293</v>
      </c>
      <c r="I20" s="61"/>
      <c r="J20" s="61"/>
      <c r="K20" s="61"/>
      <c r="L20" s="61"/>
      <c r="M20" s="61"/>
      <c r="N20" s="61"/>
      <c r="O20" s="76"/>
      <c r="P20" s="61"/>
      <c r="Q20" s="76"/>
      <c r="R20" s="76"/>
      <c r="S20" s="61"/>
      <c r="T20" s="61"/>
      <c r="U20" s="76"/>
      <c r="V20" s="76"/>
      <c r="W20" s="61"/>
      <c r="X20" s="61"/>
      <c r="Y20" s="61"/>
    </row>
    <row r="21" spans="1:25" ht="48" x14ac:dyDescent="0.2">
      <c r="A21" s="61" t="s">
        <v>648</v>
      </c>
      <c r="B21" s="123">
        <f t="shared" si="0"/>
        <v>15</v>
      </c>
      <c r="C21" s="61" t="s">
        <v>371</v>
      </c>
      <c r="D21" s="61" t="s">
        <v>570</v>
      </c>
      <c r="E21" s="61" t="s">
        <v>330</v>
      </c>
      <c r="F21" s="76" t="s">
        <v>293</v>
      </c>
      <c r="G21" s="61" t="s">
        <v>571</v>
      </c>
      <c r="H21" s="76" t="s">
        <v>293</v>
      </c>
      <c r="I21" s="61" t="s">
        <v>623</v>
      </c>
      <c r="J21" s="61" t="s">
        <v>624</v>
      </c>
      <c r="K21" s="61" t="s">
        <v>625</v>
      </c>
      <c r="L21" s="61" t="s">
        <v>649</v>
      </c>
      <c r="M21" s="61" t="s">
        <v>649</v>
      </c>
      <c r="N21" s="61" t="s">
        <v>650</v>
      </c>
      <c r="O21" s="76" t="s">
        <v>334</v>
      </c>
      <c r="P21" s="61" t="s">
        <v>574</v>
      </c>
      <c r="Q21" s="76" t="s">
        <v>293</v>
      </c>
      <c r="R21" s="76" t="s">
        <v>400</v>
      </c>
      <c r="S21" s="61"/>
      <c r="T21" s="61"/>
      <c r="U21" s="76" t="s">
        <v>302</v>
      </c>
      <c r="V21" s="76" t="s">
        <v>575</v>
      </c>
      <c r="W21" s="61"/>
      <c r="X21" s="61"/>
      <c r="Y21" s="61"/>
    </row>
    <row r="22" spans="1:25" ht="64" x14ac:dyDescent="0.2">
      <c r="A22" s="61" t="s">
        <v>651</v>
      </c>
      <c r="B22" s="123">
        <f t="shared" si="0"/>
        <v>16</v>
      </c>
      <c r="C22" s="61" t="s">
        <v>374</v>
      </c>
      <c r="D22" s="61" t="s">
        <v>577</v>
      </c>
      <c r="E22" s="61" t="s">
        <v>571</v>
      </c>
      <c r="F22" s="76" t="s">
        <v>293</v>
      </c>
      <c r="G22" s="61" t="s">
        <v>330</v>
      </c>
      <c r="H22" s="76" t="s">
        <v>293</v>
      </c>
      <c r="I22" s="61" t="s">
        <v>649</v>
      </c>
      <c r="J22" s="61" t="s">
        <v>649</v>
      </c>
      <c r="K22" s="61" t="s">
        <v>652</v>
      </c>
      <c r="L22" s="61" t="s">
        <v>623</v>
      </c>
      <c r="M22" s="61" t="s">
        <v>624</v>
      </c>
      <c r="N22" s="61" t="s">
        <v>625</v>
      </c>
      <c r="O22" s="76" t="s">
        <v>334</v>
      </c>
      <c r="P22" s="61">
        <v>34243</v>
      </c>
      <c r="Q22" s="76" t="s">
        <v>293</v>
      </c>
      <c r="R22" s="76" t="s">
        <v>400</v>
      </c>
      <c r="S22" s="61"/>
      <c r="T22" s="61"/>
      <c r="U22" s="76" t="s">
        <v>302</v>
      </c>
      <c r="V22" s="76" t="s">
        <v>575</v>
      </c>
      <c r="W22" s="61"/>
      <c r="X22" s="61"/>
      <c r="Y22" s="61"/>
    </row>
    <row r="23" spans="1:25" ht="16" x14ac:dyDescent="0.2">
      <c r="A23" s="61" t="s">
        <v>653</v>
      </c>
      <c r="B23" s="123">
        <f t="shared" si="0"/>
        <v>17</v>
      </c>
      <c r="C23" s="61">
        <v>14</v>
      </c>
      <c r="D23" s="61" t="s">
        <v>579</v>
      </c>
      <c r="E23" s="61" t="s">
        <v>330</v>
      </c>
      <c r="F23" s="76" t="s">
        <v>293</v>
      </c>
      <c r="G23" s="61"/>
      <c r="H23" s="76"/>
      <c r="I23" s="61"/>
      <c r="J23" s="61"/>
      <c r="K23" s="61"/>
      <c r="L23" s="61"/>
      <c r="M23" s="61"/>
      <c r="N23" s="61"/>
      <c r="O23" s="76"/>
      <c r="P23" s="61"/>
      <c r="Q23" s="76"/>
      <c r="R23" s="76"/>
      <c r="S23" s="61"/>
      <c r="T23" s="61"/>
      <c r="U23" s="76"/>
      <c r="V23" s="76"/>
      <c r="W23" s="61"/>
      <c r="X23" s="61"/>
      <c r="Y23" s="61"/>
    </row>
    <row r="24" spans="1:25" ht="32" x14ac:dyDescent="0.2">
      <c r="A24" s="61" t="s">
        <v>654</v>
      </c>
      <c r="B24" s="123">
        <f t="shared" si="0"/>
        <v>18</v>
      </c>
      <c r="C24" s="61">
        <v>15</v>
      </c>
      <c r="D24" s="61" t="s">
        <v>379</v>
      </c>
      <c r="E24" s="61" t="s">
        <v>330</v>
      </c>
      <c r="F24" s="76" t="s">
        <v>293</v>
      </c>
      <c r="G24" s="61" t="s">
        <v>380</v>
      </c>
      <c r="H24" s="76" t="s">
        <v>293</v>
      </c>
      <c r="I24" s="61" t="s">
        <v>623</v>
      </c>
      <c r="J24" s="61" t="s">
        <v>624</v>
      </c>
      <c r="K24" s="61" t="s">
        <v>625</v>
      </c>
      <c r="L24" s="61" t="s">
        <v>381</v>
      </c>
      <c r="M24" s="61" t="s">
        <v>382</v>
      </c>
      <c r="N24" s="61"/>
      <c r="O24" s="76" t="s">
        <v>383</v>
      </c>
      <c r="P24" s="61"/>
      <c r="Q24" s="76" t="s">
        <v>293</v>
      </c>
      <c r="R24" s="76" t="s">
        <v>301</v>
      </c>
      <c r="S24" s="61"/>
      <c r="T24" s="61"/>
      <c r="U24" s="76" t="s">
        <v>302</v>
      </c>
      <c r="V24" s="76" t="s">
        <v>303</v>
      </c>
      <c r="W24" s="61"/>
      <c r="X24" s="61"/>
      <c r="Y24" s="61"/>
    </row>
    <row r="25" spans="1:25" ht="32" x14ac:dyDescent="0.2">
      <c r="A25" s="61" t="s">
        <v>655</v>
      </c>
      <c r="B25" s="123">
        <f t="shared" si="0"/>
        <v>19</v>
      </c>
      <c r="C25" s="61">
        <v>16</v>
      </c>
      <c r="D25" s="61" t="s">
        <v>656</v>
      </c>
      <c r="E25" s="61" t="s">
        <v>364</v>
      </c>
      <c r="F25" s="76" t="s">
        <v>293</v>
      </c>
      <c r="G25" s="61" t="s">
        <v>364</v>
      </c>
      <c r="H25" s="76" t="s">
        <v>293</v>
      </c>
      <c r="I25" s="61"/>
      <c r="J25" s="61"/>
      <c r="K25" s="61"/>
      <c r="L25" s="61"/>
      <c r="M25" s="61"/>
      <c r="N25" s="61"/>
      <c r="O25" s="76"/>
      <c r="P25" s="61"/>
      <c r="Q25" s="76"/>
      <c r="R25" s="76"/>
      <c r="S25" s="61"/>
      <c r="T25" s="61"/>
      <c r="U25" s="76" t="s">
        <v>302</v>
      </c>
      <c r="V25" s="76"/>
      <c r="W25" s="61"/>
      <c r="X25" s="61"/>
      <c r="Y25" s="61"/>
    </row>
    <row r="26" spans="1:25" ht="16" x14ac:dyDescent="0.2">
      <c r="A26" s="61" t="s">
        <v>657</v>
      </c>
      <c r="B26" s="123">
        <f t="shared" si="0"/>
        <v>20</v>
      </c>
      <c r="C26" s="61">
        <v>17</v>
      </c>
      <c r="D26" s="61" t="s">
        <v>393</v>
      </c>
      <c r="E26" s="61" t="s">
        <v>394</v>
      </c>
      <c r="F26" s="76" t="s">
        <v>293</v>
      </c>
      <c r="G26" s="61" t="s">
        <v>395</v>
      </c>
      <c r="H26" s="76" t="s">
        <v>293</v>
      </c>
      <c r="I26" s="61" t="s">
        <v>627</v>
      </c>
      <c r="J26" s="61" t="s">
        <v>628</v>
      </c>
      <c r="K26" s="61" t="s">
        <v>629</v>
      </c>
      <c r="L26" s="61"/>
      <c r="M26" s="61" t="s">
        <v>396</v>
      </c>
      <c r="N26" s="61"/>
      <c r="O26" s="76" t="s">
        <v>397</v>
      </c>
      <c r="P26" s="61"/>
      <c r="Q26" s="76" t="s">
        <v>293</v>
      </c>
      <c r="R26" s="76" t="s">
        <v>391</v>
      </c>
      <c r="S26" s="61"/>
      <c r="T26" s="61"/>
      <c r="U26" s="76" t="s">
        <v>302</v>
      </c>
      <c r="V26" s="76" t="s">
        <v>303</v>
      </c>
      <c r="W26" s="61"/>
      <c r="X26" s="61"/>
      <c r="Y26" s="61"/>
    </row>
    <row r="27" spans="1:25" ht="16" x14ac:dyDescent="0.2">
      <c r="A27" s="61" t="s">
        <v>658</v>
      </c>
      <c r="B27" s="123">
        <f t="shared" si="0"/>
        <v>21</v>
      </c>
      <c r="C27" s="61">
        <v>18</v>
      </c>
      <c r="D27" s="61" t="s">
        <v>399</v>
      </c>
      <c r="E27" s="61" t="s">
        <v>394</v>
      </c>
      <c r="F27" s="76" t="s">
        <v>293</v>
      </c>
      <c r="G27" s="61" t="s">
        <v>294</v>
      </c>
      <c r="H27" s="76" t="s">
        <v>293</v>
      </c>
      <c r="I27" s="61" t="s">
        <v>627</v>
      </c>
      <c r="J27" s="61" t="s">
        <v>628</v>
      </c>
      <c r="K27" s="61" t="s">
        <v>629</v>
      </c>
      <c r="L27" s="61" t="s">
        <v>606</v>
      </c>
      <c r="M27" s="61" t="s">
        <v>607</v>
      </c>
      <c r="N27" s="61" t="s">
        <v>608</v>
      </c>
      <c r="O27" s="76" t="s">
        <v>345</v>
      </c>
      <c r="P27" s="61">
        <v>2181</v>
      </c>
      <c r="Q27" s="76" t="s">
        <v>293</v>
      </c>
      <c r="R27" s="76" t="s">
        <v>400</v>
      </c>
      <c r="S27" s="61"/>
      <c r="T27" s="61"/>
      <c r="U27" s="76" t="s">
        <v>302</v>
      </c>
      <c r="V27" s="76" t="s">
        <v>318</v>
      </c>
      <c r="W27" s="61"/>
      <c r="X27" s="61"/>
      <c r="Y27" s="61"/>
    </row>
    <row r="28" spans="1:25" ht="16" x14ac:dyDescent="0.2">
      <c r="A28" s="61" t="s">
        <v>659</v>
      </c>
      <c r="B28" s="123">
        <f t="shared" si="0"/>
        <v>22</v>
      </c>
      <c r="C28" s="61">
        <v>19</v>
      </c>
      <c r="D28" s="61" t="s">
        <v>402</v>
      </c>
      <c r="E28" s="61" t="s">
        <v>394</v>
      </c>
      <c r="F28" s="76" t="s">
        <v>293</v>
      </c>
      <c r="G28" s="61" t="s">
        <v>348</v>
      </c>
      <c r="H28" s="76" t="s">
        <v>293</v>
      </c>
      <c r="I28" s="61" t="s">
        <v>627</v>
      </c>
      <c r="J28" s="61" t="s">
        <v>628</v>
      </c>
      <c r="K28" s="61" t="s">
        <v>629</v>
      </c>
      <c r="L28" s="61" t="s">
        <v>634</v>
      </c>
      <c r="M28" s="61" t="s">
        <v>635</v>
      </c>
      <c r="N28" s="61" t="s">
        <v>636</v>
      </c>
      <c r="O28" s="76" t="s">
        <v>352</v>
      </c>
      <c r="P28" s="61"/>
      <c r="Q28" s="76" t="s">
        <v>293</v>
      </c>
      <c r="R28" s="76" t="s">
        <v>301</v>
      </c>
      <c r="S28" s="61"/>
      <c r="T28" s="61"/>
      <c r="U28" s="76" t="s">
        <v>302</v>
      </c>
      <c r="V28" s="76" t="s">
        <v>318</v>
      </c>
      <c r="W28" s="61"/>
      <c r="X28" s="61"/>
      <c r="Y28" s="61"/>
    </row>
    <row r="29" spans="1:25" ht="32" x14ac:dyDescent="0.2">
      <c r="A29" s="61" t="s">
        <v>660</v>
      </c>
      <c r="B29" s="123">
        <f t="shared" si="0"/>
        <v>23</v>
      </c>
      <c r="C29" s="61">
        <v>20</v>
      </c>
      <c r="D29" s="61" t="s">
        <v>404</v>
      </c>
      <c r="E29" s="61" t="s">
        <v>337</v>
      </c>
      <c r="F29" s="76" t="s">
        <v>293</v>
      </c>
      <c r="G29" s="61" t="s">
        <v>294</v>
      </c>
      <c r="H29" s="76" t="s">
        <v>293</v>
      </c>
      <c r="I29" s="61" t="s">
        <v>661</v>
      </c>
      <c r="J29" s="61" t="s">
        <v>662</v>
      </c>
      <c r="K29" s="61" t="s">
        <v>663</v>
      </c>
      <c r="L29" s="61" t="s">
        <v>606</v>
      </c>
      <c r="M29" s="61" t="s">
        <v>607</v>
      </c>
      <c r="N29" s="61" t="s">
        <v>608</v>
      </c>
      <c r="O29" s="76" t="s">
        <v>345</v>
      </c>
      <c r="P29" s="61">
        <v>9092</v>
      </c>
      <c r="Q29" s="76" t="s">
        <v>293</v>
      </c>
      <c r="R29" s="76" t="s">
        <v>400</v>
      </c>
      <c r="S29" s="61"/>
      <c r="T29" s="61"/>
      <c r="U29" s="76" t="s">
        <v>302</v>
      </c>
      <c r="V29" s="76" t="s">
        <v>318</v>
      </c>
      <c r="W29" s="61"/>
      <c r="X29" s="61"/>
      <c r="Y29" s="61"/>
    </row>
    <row r="30" spans="1:25" ht="16" x14ac:dyDescent="0.2">
      <c r="A30" s="61" t="s">
        <v>664</v>
      </c>
      <c r="B30" s="123"/>
      <c r="C30" s="61">
        <v>21</v>
      </c>
      <c r="D30" s="61" t="s">
        <v>409</v>
      </c>
      <c r="E30" s="61" t="s">
        <v>294</v>
      </c>
      <c r="F30" s="76" t="s">
        <v>293</v>
      </c>
      <c r="G30" s="61" t="s">
        <v>348</v>
      </c>
      <c r="H30" s="76" t="s">
        <v>293</v>
      </c>
      <c r="I30" s="61" t="s">
        <v>606</v>
      </c>
      <c r="J30" s="61" t="s">
        <v>607</v>
      </c>
      <c r="K30" s="61" t="s">
        <v>608</v>
      </c>
      <c r="L30" s="61" t="s">
        <v>634</v>
      </c>
      <c r="M30" s="61" t="s">
        <v>635</v>
      </c>
      <c r="N30" s="61" t="s">
        <v>636</v>
      </c>
      <c r="O30" s="76" t="s">
        <v>352</v>
      </c>
      <c r="P30" s="61"/>
      <c r="Q30" s="76" t="s">
        <v>293</v>
      </c>
      <c r="R30" s="76" t="s">
        <v>301</v>
      </c>
      <c r="S30" s="61"/>
      <c r="T30" s="61"/>
      <c r="U30" s="76"/>
      <c r="V30" s="76" t="s">
        <v>318</v>
      </c>
      <c r="W30" s="61"/>
      <c r="X30" s="61"/>
      <c r="Y30" s="61"/>
    </row>
    <row r="31" spans="1:25" ht="48" x14ac:dyDescent="0.2">
      <c r="A31" s="61" t="s">
        <v>665</v>
      </c>
      <c r="B31" s="123">
        <f t="shared" si="0"/>
        <v>25</v>
      </c>
      <c r="C31" s="61">
        <v>22</v>
      </c>
      <c r="D31" s="133" t="s">
        <v>411</v>
      </c>
      <c r="E31" s="61" t="s">
        <v>394</v>
      </c>
      <c r="F31" s="76" t="s">
        <v>293</v>
      </c>
      <c r="G31" s="61" t="s">
        <v>395</v>
      </c>
      <c r="H31" s="76" t="s">
        <v>293</v>
      </c>
      <c r="I31" s="61"/>
      <c r="J31" s="61"/>
      <c r="K31" s="61"/>
      <c r="L31" s="61"/>
      <c r="M31" s="61"/>
      <c r="N31" s="61"/>
      <c r="O31" s="76"/>
      <c r="P31" s="61"/>
      <c r="Q31" s="76"/>
      <c r="R31" s="76"/>
      <c r="S31" s="61"/>
      <c r="T31" s="61"/>
      <c r="U31" s="76" t="s">
        <v>302</v>
      </c>
      <c r="V31" s="76"/>
      <c r="W31" s="61"/>
      <c r="X31" s="61"/>
      <c r="Y31" s="61"/>
    </row>
    <row r="32" spans="1:25" ht="64" x14ac:dyDescent="0.2">
      <c r="A32" s="61" t="s">
        <v>666</v>
      </c>
      <c r="B32" s="123">
        <f t="shared" si="0"/>
        <v>26</v>
      </c>
      <c r="C32" s="61" t="s">
        <v>414</v>
      </c>
      <c r="D32" s="61" t="s">
        <v>667</v>
      </c>
      <c r="E32" s="61" t="s">
        <v>595</v>
      </c>
      <c r="F32" s="76" t="s">
        <v>293</v>
      </c>
      <c r="G32" s="61" t="s">
        <v>416</v>
      </c>
      <c r="H32" s="76" t="s">
        <v>293</v>
      </c>
      <c r="I32" s="61" t="s">
        <v>417</v>
      </c>
      <c r="J32" s="61" t="s">
        <v>418</v>
      </c>
      <c r="K32" s="61" t="s">
        <v>419</v>
      </c>
      <c r="L32" s="61" t="s">
        <v>668</v>
      </c>
      <c r="M32" s="61" t="s">
        <v>669</v>
      </c>
      <c r="N32" s="61" t="s">
        <v>670</v>
      </c>
      <c r="O32" s="76" t="s">
        <v>326</v>
      </c>
      <c r="P32" s="61"/>
      <c r="Q32" s="76" t="s">
        <v>293</v>
      </c>
      <c r="R32" s="76" t="s">
        <v>310</v>
      </c>
      <c r="S32" s="61"/>
      <c r="T32" s="61"/>
      <c r="U32" s="76"/>
      <c r="V32" s="76" t="s">
        <v>318</v>
      </c>
      <c r="W32" s="61" t="s">
        <v>420</v>
      </c>
      <c r="X32" s="61"/>
      <c r="Y32" s="61"/>
    </row>
    <row r="33" spans="1:25" ht="48" x14ac:dyDescent="0.2">
      <c r="A33" s="61" t="s">
        <v>671</v>
      </c>
      <c r="B33" s="123">
        <f t="shared" si="0"/>
        <v>27</v>
      </c>
      <c r="C33" s="61" t="s">
        <v>422</v>
      </c>
      <c r="D33" s="61" t="s">
        <v>672</v>
      </c>
      <c r="E33" s="61" t="s">
        <v>416</v>
      </c>
      <c r="F33" s="76" t="s">
        <v>293</v>
      </c>
      <c r="G33" s="61" t="s">
        <v>348</v>
      </c>
      <c r="H33" s="76" t="s">
        <v>293</v>
      </c>
      <c r="I33" s="61" t="s">
        <v>619</v>
      </c>
      <c r="J33" s="61" t="s">
        <v>620</v>
      </c>
      <c r="K33" s="61" t="s">
        <v>621</v>
      </c>
      <c r="L33" s="61" t="s">
        <v>417</v>
      </c>
      <c r="M33" s="61" t="s">
        <v>418</v>
      </c>
      <c r="N33" s="61" t="s">
        <v>419</v>
      </c>
      <c r="O33" s="76" t="s">
        <v>326</v>
      </c>
      <c r="P33" s="61"/>
      <c r="Q33" s="76" t="s">
        <v>293</v>
      </c>
      <c r="R33" s="76" t="s">
        <v>310</v>
      </c>
      <c r="S33" s="61"/>
      <c r="T33" s="61"/>
      <c r="U33" s="76"/>
      <c r="V33" s="76" t="s">
        <v>318</v>
      </c>
      <c r="W33" s="61" t="s">
        <v>424</v>
      </c>
      <c r="X33" s="61"/>
      <c r="Y33" s="61"/>
    </row>
    <row r="34" spans="1:25" ht="64" x14ac:dyDescent="0.2">
      <c r="A34" s="61" t="s">
        <v>673</v>
      </c>
      <c r="B34" s="123">
        <f t="shared" si="0"/>
        <v>28</v>
      </c>
      <c r="C34" s="61">
        <v>24</v>
      </c>
      <c r="D34" s="61" t="s">
        <v>426</v>
      </c>
      <c r="E34" s="61" t="s">
        <v>427</v>
      </c>
      <c r="F34" s="76" t="s">
        <v>293</v>
      </c>
      <c r="G34" s="61" t="s">
        <v>428</v>
      </c>
      <c r="H34" s="76" t="s">
        <v>293</v>
      </c>
      <c r="I34" s="61" t="s">
        <v>674</v>
      </c>
      <c r="J34" s="61" t="s">
        <v>675</v>
      </c>
      <c r="K34" s="61" t="s">
        <v>676</v>
      </c>
      <c r="L34" s="61" t="s">
        <v>432</v>
      </c>
      <c r="M34" s="61" t="s">
        <v>433</v>
      </c>
      <c r="N34" s="61" t="s">
        <v>434</v>
      </c>
      <c r="O34" s="76" t="s">
        <v>435</v>
      </c>
      <c r="P34" s="61"/>
      <c r="Q34" s="76" t="s">
        <v>293</v>
      </c>
      <c r="R34" s="76" t="s">
        <v>310</v>
      </c>
      <c r="S34" s="61"/>
      <c r="T34" s="61"/>
      <c r="U34" s="76" t="s">
        <v>302</v>
      </c>
      <c r="V34" s="76" t="s">
        <v>318</v>
      </c>
      <c r="W34" s="61"/>
      <c r="X34" s="61"/>
      <c r="Y34" s="61"/>
    </row>
    <row r="35" spans="1:25" ht="64" x14ac:dyDescent="0.2">
      <c r="A35" s="61" t="s">
        <v>677</v>
      </c>
      <c r="B35" s="123">
        <f xml:space="preserve"> ROW(B35) - 6</f>
        <v>29</v>
      </c>
      <c r="C35" s="61">
        <v>25</v>
      </c>
      <c r="D35" s="61" t="s">
        <v>678</v>
      </c>
      <c r="E35" s="61" t="s">
        <v>438</v>
      </c>
      <c r="F35" s="76" t="s">
        <v>293</v>
      </c>
      <c r="G35" s="61" t="s">
        <v>439</v>
      </c>
      <c r="H35" s="76" t="s">
        <v>293</v>
      </c>
      <c r="I35" s="61" t="s">
        <v>674</v>
      </c>
      <c r="J35" s="61" t="s">
        <v>675</v>
      </c>
      <c r="K35" s="61" t="s">
        <v>676</v>
      </c>
      <c r="L35" s="61" t="s">
        <v>440</v>
      </c>
      <c r="M35" s="61" t="s">
        <v>441</v>
      </c>
      <c r="N35" s="61" t="s">
        <v>442</v>
      </c>
      <c r="O35" s="76" t="s">
        <v>334</v>
      </c>
      <c r="P35" s="61" t="s">
        <v>443</v>
      </c>
      <c r="Q35" s="76" t="s">
        <v>293</v>
      </c>
      <c r="R35" s="76" t="s">
        <v>391</v>
      </c>
      <c r="S35" s="61"/>
      <c r="T35" s="61"/>
      <c r="U35" s="76" t="s">
        <v>302</v>
      </c>
      <c r="V35" s="76" t="s">
        <v>318</v>
      </c>
      <c r="W35" s="61"/>
      <c r="X35" s="61"/>
      <c r="Y35" s="61"/>
    </row>
    <row r="36" spans="1:25" ht="16" x14ac:dyDescent="0.2">
      <c r="A36" s="61" t="s">
        <v>679</v>
      </c>
      <c r="B36" s="123">
        <f t="shared" si="0"/>
        <v>30</v>
      </c>
      <c r="C36" s="61">
        <v>26</v>
      </c>
      <c r="D36" s="131" t="s">
        <v>680</v>
      </c>
      <c r="E36" s="61" t="s">
        <v>446</v>
      </c>
      <c r="F36" s="76" t="s">
        <v>293</v>
      </c>
      <c r="G36" s="61" t="s">
        <v>447</v>
      </c>
      <c r="H36" s="76" t="s">
        <v>293</v>
      </c>
      <c r="I36" s="61" t="s">
        <v>634</v>
      </c>
      <c r="J36" s="61" t="s">
        <v>635</v>
      </c>
      <c r="K36" s="61" t="s">
        <v>636</v>
      </c>
      <c r="L36" s="61" t="s">
        <v>681</v>
      </c>
      <c r="M36" s="61" t="s">
        <v>682</v>
      </c>
      <c r="N36" s="61" t="s">
        <v>683</v>
      </c>
      <c r="O36" s="76" t="s">
        <v>352</v>
      </c>
      <c r="P36" s="61"/>
      <c r="Q36" s="76" t="s">
        <v>293</v>
      </c>
      <c r="R36" s="76" t="s">
        <v>391</v>
      </c>
      <c r="S36" s="61"/>
      <c r="T36" s="61"/>
      <c r="U36" s="76" t="s">
        <v>302</v>
      </c>
      <c r="V36" s="76" t="s">
        <v>318</v>
      </c>
      <c r="W36" s="61" t="s">
        <v>684</v>
      </c>
      <c r="X36" s="61"/>
      <c r="Y36" s="61"/>
    </row>
    <row r="37" spans="1:25" ht="32" x14ac:dyDescent="0.2">
      <c r="A37" s="61" t="s">
        <v>685</v>
      </c>
      <c r="B37" s="123">
        <f t="shared" ref="B37:B115" si="1" xml:space="preserve"> ROW(B37) - 6</f>
        <v>31</v>
      </c>
      <c r="C37" s="61">
        <v>27</v>
      </c>
      <c r="D37" s="61" t="s">
        <v>451</v>
      </c>
      <c r="E37" s="61" t="s">
        <v>306</v>
      </c>
      <c r="F37" s="76" t="s">
        <v>293</v>
      </c>
      <c r="G37" s="61" t="s">
        <v>452</v>
      </c>
      <c r="H37" s="76" t="s">
        <v>293</v>
      </c>
      <c r="I37" s="61" t="s">
        <v>610</v>
      </c>
      <c r="J37" s="61" t="s">
        <v>611</v>
      </c>
      <c r="K37" s="61" t="s">
        <v>612</v>
      </c>
      <c r="L37" s="61" t="s">
        <v>627</v>
      </c>
      <c r="M37" s="61" t="s">
        <v>628</v>
      </c>
      <c r="N37" s="61" t="s">
        <v>629</v>
      </c>
      <c r="O37" s="76" t="s">
        <v>334</v>
      </c>
      <c r="P37" s="61">
        <v>9443</v>
      </c>
      <c r="Q37" s="76" t="s">
        <v>293</v>
      </c>
      <c r="R37" s="76" t="s">
        <v>301</v>
      </c>
      <c r="S37" s="61"/>
      <c r="T37" s="61"/>
      <c r="U37" s="76" t="s">
        <v>302</v>
      </c>
      <c r="V37" s="76" t="s">
        <v>318</v>
      </c>
      <c r="W37" s="61"/>
      <c r="X37" s="61"/>
      <c r="Y37" s="61"/>
    </row>
    <row r="38" spans="1:25" ht="16" x14ac:dyDescent="0.2">
      <c r="A38" s="61"/>
      <c r="B38" s="123">
        <f t="shared" si="1"/>
        <v>32</v>
      </c>
      <c r="C38" s="61"/>
      <c r="D38" s="61"/>
      <c r="E38" s="61"/>
      <c r="F38" s="76" t="s">
        <v>293</v>
      </c>
      <c r="G38" s="61"/>
      <c r="H38" s="76" t="s">
        <v>293</v>
      </c>
      <c r="I38" s="61"/>
      <c r="J38" s="61"/>
      <c r="K38" s="61"/>
      <c r="L38" s="61"/>
      <c r="M38" s="61"/>
      <c r="N38" s="61"/>
      <c r="O38" s="76" t="s">
        <v>400</v>
      </c>
      <c r="P38" s="61"/>
      <c r="Q38" s="76" t="s">
        <v>400</v>
      </c>
      <c r="R38" s="76" t="s">
        <v>400</v>
      </c>
      <c r="S38" s="61"/>
      <c r="T38" s="61"/>
      <c r="U38" s="76" t="s">
        <v>302</v>
      </c>
      <c r="V38" s="76" t="s">
        <v>400</v>
      </c>
      <c r="W38" s="61"/>
      <c r="X38" s="61"/>
      <c r="Y38" s="61"/>
    </row>
    <row r="39" spans="1:25" ht="16" x14ac:dyDescent="0.2">
      <c r="A39" s="61"/>
      <c r="B39" s="123">
        <f t="shared" si="1"/>
        <v>33</v>
      </c>
      <c r="C39" s="61"/>
      <c r="D39" s="61"/>
      <c r="E39" s="61"/>
      <c r="F39" s="76" t="s">
        <v>293</v>
      </c>
      <c r="G39" s="61"/>
      <c r="H39" s="76" t="s">
        <v>293</v>
      </c>
      <c r="I39" s="61"/>
      <c r="J39" s="61"/>
      <c r="K39" s="61"/>
      <c r="L39" s="61"/>
      <c r="M39" s="61"/>
      <c r="N39" s="61"/>
      <c r="O39" s="76" t="s">
        <v>400</v>
      </c>
      <c r="P39" s="61"/>
      <c r="Q39" s="76" t="s">
        <v>400</v>
      </c>
      <c r="R39" s="76" t="s">
        <v>400</v>
      </c>
      <c r="S39" s="61"/>
      <c r="T39" s="61"/>
      <c r="U39" s="76" t="s">
        <v>302</v>
      </c>
      <c r="V39" s="76" t="s">
        <v>400</v>
      </c>
      <c r="W39" s="61"/>
      <c r="X39" s="61"/>
      <c r="Y39" s="61"/>
    </row>
    <row r="40" spans="1:25" ht="16" x14ac:dyDescent="0.2">
      <c r="A40" s="61"/>
      <c r="B40" s="123">
        <f t="shared" si="1"/>
        <v>34</v>
      </c>
      <c r="C40" s="61"/>
      <c r="D40" s="61"/>
      <c r="E40" s="61"/>
      <c r="F40" s="76" t="s">
        <v>293</v>
      </c>
      <c r="G40" s="61"/>
      <c r="H40" s="76" t="s">
        <v>293</v>
      </c>
      <c r="I40" s="61"/>
      <c r="J40" s="61"/>
      <c r="K40" s="61"/>
      <c r="L40" s="61"/>
      <c r="M40" s="61"/>
      <c r="N40" s="61"/>
      <c r="O40" s="76" t="s">
        <v>400</v>
      </c>
      <c r="P40" s="61"/>
      <c r="Q40" s="76" t="s">
        <v>400</v>
      </c>
      <c r="R40" s="76" t="s">
        <v>400</v>
      </c>
      <c r="S40" s="61"/>
      <c r="T40" s="61"/>
      <c r="U40" s="76" t="s">
        <v>302</v>
      </c>
      <c r="V40" s="76" t="s">
        <v>400</v>
      </c>
      <c r="W40" s="61"/>
      <c r="X40" s="61"/>
      <c r="Y40" s="61"/>
    </row>
    <row r="41" spans="1:25" ht="16" x14ac:dyDescent="0.2">
      <c r="A41" s="61"/>
      <c r="B41" s="123">
        <f t="shared" si="1"/>
        <v>35</v>
      </c>
      <c r="C41" s="61"/>
      <c r="D41" s="61"/>
      <c r="E41" s="61"/>
      <c r="F41" s="76" t="s">
        <v>293</v>
      </c>
      <c r="G41" s="61"/>
      <c r="H41" s="76" t="s">
        <v>293</v>
      </c>
      <c r="I41" s="61"/>
      <c r="J41" s="61"/>
      <c r="K41" s="61"/>
      <c r="L41" s="61"/>
      <c r="M41" s="61"/>
      <c r="N41" s="61"/>
      <c r="O41" s="76" t="s">
        <v>400</v>
      </c>
      <c r="P41" s="61"/>
      <c r="Q41" s="76" t="s">
        <v>400</v>
      </c>
      <c r="R41" s="76" t="s">
        <v>400</v>
      </c>
      <c r="S41" s="61"/>
      <c r="T41" s="61"/>
      <c r="U41" s="76" t="s">
        <v>302</v>
      </c>
      <c r="V41" s="76" t="s">
        <v>400</v>
      </c>
      <c r="W41" s="61"/>
      <c r="X41" s="61"/>
      <c r="Y41" s="61"/>
    </row>
    <row r="42" spans="1:25" ht="16" x14ac:dyDescent="0.2">
      <c r="A42" s="61"/>
      <c r="B42" s="123">
        <f xml:space="preserve"> ROW(B42) - 6</f>
        <v>36</v>
      </c>
      <c r="C42" s="61"/>
      <c r="D42" s="61"/>
      <c r="E42" s="61"/>
      <c r="F42" s="76" t="s">
        <v>293</v>
      </c>
      <c r="G42" s="61"/>
      <c r="H42" s="76" t="s">
        <v>293</v>
      </c>
      <c r="I42" s="61"/>
      <c r="J42" s="61"/>
      <c r="K42" s="61"/>
      <c r="L42" s="61"/>
      <c r="M42" s="61"/>
      <c r="N42" s="61"/>
      <c r="O42" s="76" t="s">
        <v>400</v>
      </c>
      <c r="P42" s="61"/>
      <c r="Q42" s="76" t="s">
        <v>400</v>
      </c>
      <c r="R42" s="76" t="s">
        <v>400</v>
      </c>
      <c r="S42" s="61"/>
      <c r="T42" s="61"/>
      <c r="U42" s="76" t="s">
        <v>302</v>
      </c>
      <c r="V42" s="76" t="s">
        <v>400</v>
      </c>
      <c r="W42" s="61"/>
      <c r="X42" s="61"/>
      <c r="Y42" s="61"/>
    </row>
    <row r="43" spans="1:25" ht="16" x14ac:dyDescent="0.2">
      <c r="A43" s="61"/>
      <c r="B43" s="123">
        <f t="shared" si="1"/>
        <v>37</v>
      </c>
      <c r="C43" s="61"/>
      <c r="D43" s="61"/>
      <c r="E43" s="61"/>
      <c r="F43" s="76" t="s">
        <v>293</v>
      </c>
      <c r="G43" s="61"/>
      <c r="H43" s="76" t="s">
        <v>293</v>
      </c>
      <c r="I43" s="61"/>
      <c r="J43" s="61"/>
      <c r="K43" s="61"/>
      <c r="L43" s="61"/>
      <c r="M43" s="61"/>
      <c r="N43" s="61"/>
      <c r="O43" s="76" t="s">
        <v>400</v>
      </c>
      <c r="P43" s="61"/>
      <c r="Q43" s="76" t="s">
        <v>400</v>
      </c>
      <c r="R43" s="76" t="s">
        <v>400</v>
      </c>
      <c r="S43" s="61"/>
      <c r="T43" s="61"/>
      <c r="U43" s="76" t="s">
        <v>302</v>
      </c>
      <c r="V43" s="76" t="s">
        <v>400</v>
      </c>
      <c r="W43" s="61"/>
      <c r="X43" s="61"/>
      <c r="Y43" s="61"/>
    </row>
    <row r="44" spans="1:25" ht="16" x14ac:dyDescent="0.2">
      <c r="A44" s="61"/>
      <c r="B44" s="123">
        <f t="shared" si="1"/>
        <v>38</v>
      </c>
      <c r="C44" s="61"/>
      <c r="D44" s="61"/>
      <c r="E44" s="61"/>
      <c r="F44" s="76" t="s">
        <v>293</v>
      </c>
      <c r="G44" s="61"/>
      <c r="H44" s="76" t="s">
        <v>293</v>
      </c>
      <c r="I44" s="61"/>
      <c r="J44" s="61"/>
      <c r="K44" s="61"/>
      <c r="L44" s="61"/>
      <c r="M44" s="61"/>
      <c r="N44" s="61"/>
      <c r="O44" s="76" t="s">
        <v>400</v>
      </c>
      <c r="P44" s="61"/>
      <c r="Q44" s="76" t="s">
        <v>400</v>
      </c>
      <c r="R44" s="76" t="s">
        <v>400</v>
      </c>
      <c r="S44" s="61"/>
      <c r="T44" s="61"/>
      <c r="U44" s="76" t="s">
        <v>302</v>
      </c>
      <c r="V44" s="76" t="s">
        <v>400</v>
      </c>
      <c r="W44" s="61"/>
      <c r="X44" s="61"/>
      <c r="Y44" s="61"/>
    </row>
    <row r="45" spans="1:25" ht="16" x14ac:dyDescent="0.2">
      <c r="A45" s="61"/>
      <c r="B45" s="123">
        <f t="shared" si="1"/>
        <v>39</v>
      </c>
      <c r="C45" s="61"/>
      <c r="D45" s="61"/>
      <c r="E45" s="61"/>
      <c r="F45" s="76" t="s">
        <v>293</v>
      </c>
      <c r="G45" s="61"/>
      <c r="H45" s="76" t="s">
        <v>293</v>
      </c>
      <c r="I45" s="61"/>
      <c r="J45" s="61"/>
      <c r="K45" s="61"/>
      <c r="L45" s="61"/>
      <c r="M45" s="61"/>
      <c r="N45" s="61"/>
      <c r="O45" s="76" t="s">
        <v>400</v>
      </c>
      <c r="P45" s="61"/>
      <c r="Q45" s="76" t="s">
        <v>400</v>
      </c>
      <c r="R45" s="76" t="s">
        <v>400</v>
      </c>
      <c r="S45" s="61"/>
      <c r="T45" s="61"/>
      <c r="U45" s="76" t="s">
        <v>302</v>
      </c>
      <c r="V45" s="76" t="s">
        <v>400</v>
      </c>
      <c r="W45" s="61"/>
      <c r="X45" s="61"/>
      <c r="Y45" s="61"/>
    </row>
    <row r="46" spans="1:25" ht="16" x14ac:dyDescent="0.2">
      <c r="A46" s="61"/>
      <c r="B46" s="123">
        <f t="shared" si="1"/>
        <v>40</v>
      </c>
      <c r="C46" s="61"/>
      <c r="D46" s="61"/>
      <c r="E46" s="61"/>
      <c r="F46" s="76" t="s">
        <v>293</v>
      </c>
      <c r="G46" s="61"/>
      <c r="H46" s="76" t="s">
        <v>293</v>
      </c>
      <c r="I46" s="61"/>
      <c r="J46" s="61"/>
      <c r="K46" s="61"/>
      <c r="L46" s="61"/>
      <c r="M46" s="61"/>
      <c r="N46" s="61"/>
      <c r="O46" s="76" t="s">
        <v>400</v>
      </c>
      <c r="P46" s="61"/>
      <c r="Q46" s="76" t="s">
        <v>400</v>
      </c>
      <c r="R46" s="76" t="s">
        <v>400</v>
      </c>
      <c r="S46" s="61"/>
      <c r="T46" s="61"/>
      <c r="U46" s="76" t="s">
        <v>302</v>
      </c>
      <c r="V46" s="76" t="s">
        <v>400</v>
      </c>
      <c r="W46" s="61"/>
      <c r="X46" s="61"/>
      <c r="Y46" s="61"/>
    </row>
    <row r="47" spans="1:25" ht="16" x14ac:dyDescent="0.2">
      <c r="A47" s="61"/>
      <c r="B47" s="123">
        <f t="shared" si="1"/>
        <v>41</v>
      </c>
      <c r="C47" s="61"/>
      <c r="D47" s="61"/>
      <c r="E47" s="61"/>
      <c r="F47" s="76" t="s">
        <v>293</v>
      </c>
      <c r="G47" s="61"/>
      <c r="H47" s="76" t="s">
        <v>293</v>
      </c>
      <c r="I47" s="61"/>
      <c r="J47" s="61"/>
      <c r="K47" s="61"/>
      <c r="L47" s="61"/>
      <c r="M47" s="61"/>
      <c r="N47" s="61"/>
      <c r="O47" s="76" t="s">
        <v>400</v>
      </c>
      <c r="P47" s="61"/>
      <c r="Q47" s="76" t="s">
        <v>400</v>
      </c>
      <c r="R47" s="76" t="s">
        <v>400</v>
      </c>
      <c r="S47" s="61"/>
      <c r="T47" s="61"/>
      <c r="U47" s="76" t="s">
        <v>302</v>
      </c>
      <c r="V47" s="76" t="s">
        <v>400</v>
      </c>
      <c r="W47" s="61"/>
      <c r="X47" s="61"/>
      <c r="Y47" s="61"/>
    </row>
    <row r="48" spans="1:25" ht="16" x14ac:dyDescent="0.2">
      <c r="A48" s="61"/>
      <c r="B48" s="123">
        <f t="shared" si="1"/>
        <v>42</v>
      </c>
      <c r="C48" s="61"/>
      <c r="D48" s="61"/>
      <c r="E48" s="61"/>
      <c r="F48" s="76" t="s">
        <v>293</v>
      </c>
      <c r="G48" s="61"/>
      <c r="H48" s="76" t="s">
        <v>293</v>
      </c>
      <c r="I48" s="61"/>
      <c r="J48" s="61"/>
      <c r="K48" s="61"/>
      <c r="L48" s="61"/>
      <c r="M48" s="61"/>
      <c r="N48" s="61"/>
      <c r="O48" s="76" t="s">
        <v>400</v>
      </c>
      <c r="P48" s="61"/>
      <c r="Q48" s="76" t="s">
        <v>400</v>
      </c>
      <c r="R48" s="76" t="s">
        <v>400</v>
      </c>
      <c r="S48" s="61"/>
      <c r="T48" s="61"/>
      <c r="U48" s="76" t="s">
        <v>302</v>
      </c>
      <c r="V48" s="76" t="s">
        <v>400</v>
      </c>
      <c r="W48" s="61"/>
      <c r="X48" s="61"/>
      <c r="Y48" s="61"/>
    </row>
    <row r="49" spans="1:25" ht="16" x14ac:dyDescent="0.2">
      <c r="A49" s="61"/>
      <c r="B49" s="123">
        <f t="shared" si="1"/>
        <v>43</v>
      </c>
      <c r="C49" s="61"/>
      <c r="D49" s="61"/>
      <c r="E49" s="61"/>
      <c r="F49" s="76" t="s">
        <v>293</v>
      </c>
      <c r="G49" s="61"/>
      <c r="H49" s="76" t="s">
        <v>293</v>
      </c>
      <c r="I49" s="61"/>
      <c r="J49" s="61"/>
      <c r="K49" s="61"/>
      <c r="L49" s="61"/>
      <c r="M49" s="61"/>
      <c r="N49" s="61"/>
      <c r="O49" s="76" t="s">
        <v>400</v>
      </c>
      <c r="P49" s="61"/>
      <c r="Q49" s="76" t="s">
        <v>400</v>
      </c>
      <c r="R49" s="76" t="s">
        <v>400</v>
      </c>
      <c r="S49" s="61"/>
      <c r="T49" s="61"/>
      <c r="U49" s="76" t="s">
        <v>302</v>
      </c>
      <c r="V49" s="76" t="s">
        <v>400</v>
      </c>
      <c r="W49" s="61"/>
      <c r="X49" s="61"/>
      <c r="Y49" s="61"/>
    </row>
    <row r="50" spans="1:25" ht="16" x14ac:dyDescent="0.2">
      <c r="A50" s="61"/>
      <c r="B50" s="123">
        <f t="shared" si="1"/>
        <v>44</v>
      </c>
      <c r="C50" s="61"/>
      <c r="D50" s="61"/>
      <c r="E50" s="61"/>
      <c r="F50" s="76" t="s">
        <v>293</v>
      </c>
      <c r="G50" s="61"/>
      <c r="H50" s="76" t="s">
        <v>293</v>
      </c>
      <c r="I50" s="61"/>
      <c r="J50" s="61"/>
      <c r="K50" s="61"/>
      <c r="L50" s="61"/>
      <c r="M50" s="61"/>
      <c r="N50" s="61"/>
      <c r="O50" s="76" t="s">
        <v>400</v>
      </c>
      <c r="P50" s="61"/>
      <c r="Q50" s="76" t="s">
        <v>400</v>
      </c>
      <c r="R50" s="76" t="s">
        <v>400</v>
      </c>
      <c r="S50" s="61"/>
      <c r="T50" s="61"/>
      <c r="U50" s="76" t="s">
        <v>302</v>
      </c>
      <c r="V50" s="76" t="s">
        <v>400</v>
      </c>
      <c r="W50" s="61"/>
      <c r="X50" s="61"/>
      <c r="Y50" s="61"/>
    </row>
    <row r="51" spans="1:25" ht="16" x14ac:dyDescent="0.2">
      <c r="A51" s="61"/>
      <c r="B51" s="123">
        <f t="shared" si="1"/>
        <v>45</v>
      </c>
      <c r="C51" s="61"/>
      <c r="D51" s="61"/>
      <c r="E51" s="61"/>
      <c r="F51" s="76" t="s">
        <v>293</v>
      </c>
      <c r="G51" s="61"/>
      <c r="H51" s="76" t="s">
        <v>293</v>
      </c>
      <c r="I51" s="61"/>
      <c r="J51" s="61"/>
      <c r="K51" s="61"/>
      <c r="L51" s="61"/>
      <c r="M51" s="61"/>
      <c r="N51" s="61"/>
      <c r="O51" s="76" t="s">
        <v>400</v>
      </c>
      <c r="P51" s="61"/>
      <c r="Q51" s="76" t="s">
        <v>400</v>
      </c>
      <c r="R51" s="76" t="s">
        <v>400</v>
      </c>
      <c r="S51" s="61"/>
      <c r="T51" s="61"/>
      <c r="U51" s="76" t="s">
        <v>302</v>
      </c>
      <c r="V51" s="76" t="s">
        <v>400</v>
      </c>
      <c r="W51" s="61"/>
      <c r="X51" s="61"/>
      <c r="Y51" s="61"/>
    </row>
    <row r="52" spans="1:25" ht="16" x14ac:dyDescent="0.2">
      <c r="A52" s="61"/>
      <c r="B52" s="123">
        <f t="shared" si="1"/>
        <v>46</v>
      </c>
      <c r="C52" s="61"/>
      <c r="D52" s="61"/>
      <c r="E52" s="61"/>
      <c r="F52" s="76" t="s">
        <v>293</v>
      </c>
      <c r="G52" s="61"/>
      <c r="H52" s="76" t="s">
        <v>293</v>
      </c>
      <c r="I52" s="61"/>
      <c r="J52" s="61"/>
      <c r="K52" s="61"/>
      <c r="L52" s="61"/>
      <c r="M52" s="61"/>
      <c r="N52" s="61"/>
      <c r="O52" s="76" t="s">
        <v>400</v>
      </c>
      <c r="P52" s="61"/>
      <c r="Q52" s="76" t="s">
        <v>400</v>
      </c>
      <c r="R52" s="76" t="s">
        <v>400</v>
      </c>
      <c r="S52" s="61"/>
      <c r="T52" s="61"/>
      <c r="U52" s="76" t="s">
        <v>302</v>
      </c>
      <c r="V52" s="76" t="s">
        <v>400</v>
      </c>
      <c r="W52" s="61"/>
      <c r="X52" s="61"/>
      <c r="Y52" s="61"/>
    </row>
    <row r="53" spans="1:25" ht="16" x14ac:dyDescent="0.2">
      <c r="A53" s="61"/>
      <c r="B53" s="123">
        <f t="shared" si="1"/>
        <v>47</v>
      </c>
      <c r="C53" s="61"/>
      <c r="D53" s="61"/>
      <c r="E53" s="61"/>
      <c r="F53" s="76" t="s">
        <v>293</v>
      </c>
      <c r="G53" s="61"/>
      <c r="H53" s="76" t="s">
        <v>293</v>
      </c>
      <c r="I53" s="61"/>
      <c r="J53" s="61"/>
      <c r="K53" s="61"/>
      <c r="L53" s="61"/>
      <c r="M53" s="61"/>
      <c r="N53" s="61"/>
      <c r="O53" s="76" t="s">
        <v>400</v>
      </c>
      <c r="P53" s="61"/>
      <c r="Q53" s="76" t="s">
        <v>400</v>
      </c>
      <c r="R53" s="76" t="s">
        <v>400</v>
      </c>
      <c r="S53" s="61"/>
      <c r="T53" s="61"/>
      <c r="U53" s="76" t="s">
        <v>302</v>
      </c>
      <c r="V53" s="76" t="s">
        <v>400</v>
      </c>
      <c r="W53" s="61"/>
      <c r="X53" s="61"/>
      <c r="Y53" s="61"/>
    </row>
    <row r="54" spans="1:25" ht="16" x14ac:dyDescent="0.2">
      <c r="A54" s="61"/>
      <c r="B54" s="123">
        <f t="shared" si="1"/>
        <v>48</v>
      </c>
      <c r="C54" s="61"/>
      <c r="D54" s="61"/>
      <c r="E54" s="61"/>
      <c r="F54" s="76" t="s">
        <v>293</v>
      </c>
      <c r="G54" s="61"/>
      <c r="H54" s="76" t="s">
        <v>293</v>
      </c>
      <c r="I54" s="61"/>
      <c r="J54" s="61"/>
      <c r="K54" s="61"/>
      <c r="L54" s="61"/>
      <c r="M54" s="61"/>
      <c r="N54" s="61"/>
      <c r="O54" s="76" t="s">
        <v>400</v>
      </c>
      <c r="P54" s="61"/>
      <c r="Q54" s="76" t="s">
        <v>400</v>
      </c>
      <c r="R54" s="76" t="s">
        <v>400</v>
      </c>
      <c r="S54" s="61"/>
      <c r="T54" s="61"/>
      <c r="U54" s="76" t="s">
        <v>302</v>
      </c>
      <c r="V54" s="76" t="s">
        <v>400</v>
      </c>
      <c r="W54" s="61"/>
      <c r="X54" s="61"/>
      <c r="Y54" s="61"/>
    </row>
    <row r="55" spans="1:25" ht="16" x14ac:dyDescent="0.2">
      <c r="A55" s="61"/>
      <c r="B55" s="123">
        <f t="shared" si="1"/>
        <v>49</v>
      </c>
      <c r="C55" s="61"/>
      <c r="D55" s="61"/>
      <c r="E55" s="61"/>
      <c r="F55" s="76" t="s">
        <v>293</v>
      </c>
      <c r="G55" s="61"/>
      <c r="H55" s="76" t="s">
        <v>293</v>
      </c>
      <c r="I55" s="61"/>
      <c r="J55" s="61"/>
      <c r="K55" s="61"/>
      <c r="L55" s="61"/>
      <c r="M55" s="61"/>
      <c r="N55" s="61"/>
      <c r="O55" s="76" t="s">
        <v>400</v>
      </c>
      <c r="P55" s="61"/>
      <c r="Q55" s="76" t="s">
        <v>400</v>
      </c>
      <c r="R55" s="76" t="s">
        <v>400</v>
      </c>
      <c r="S55" s="61"/>
      <c r="T55" s="61"/>
      <c r="U55" s="76" t="s">
        <v>302</v>
      </c>
      <c r="V55" s="76" t="s">
        <v>400</v>
      </c>
      <c r="W55" s="61"/>
      <c r="X55" s="61"/>
      <c r="Y55" s="61"/>
    </row>
    <row r="56" spans="1:25" ht="16" x14ac:dyDescent="0.2">
      <c r="A56" s="61"/>
      <c r="B56" s="123">
        <f t="shared" si="1"/>
        <v>50</v>
      </c>
      <c r="C56" s="61"/>
      <c r="D56" s="61"/>
      <c r="E56" s="61"/>
      <c r="F56" s="76" t="s">
        <v>293</v>
      </c>
      <c r="G56" s="61"/>
      <c r="H56" s="76" t="s">
        <v>293</v>
      </c>
      <c r="I56" s="61"/>
      <c r="J56" s="61"/>
      <c r="K56" s="61"/>
      <c r="L56" s="61"/>
      <c r="M56" s="61"/>
      <c r="N56" s="61"/>
      <c r="O56" s="76" t="s">
        <v>400</v>
      </c>
      <c r="P56" s="61"/>
      <c r="Q56" s="76" t="s">
        <v>400</v>
      </c>
      <c r="R56" s="76" t="s">
        <v>400</v>
      </c>
      <c r="S56" s="61"/>
      <c r="T56" s="61"/>
      <c r="U56" s="76" t="s">
        <v>302</v>
      </c>
      <c r="V56" s="76" t="s">
        <v>400</v>
      </c>
      <c r="W56" s="61"/>
      <c r="X56" s="61"/>
      <c r="Y56" s="61"/>
    </row>
    <row r="57" spans="1:25" ht="16" x14ac:dyDescent="0.2">
      <c r="A57" s="61"/>
      <c r="B57" s="123">
        <f t="shared" si="1"/>
        <v>51</v>
      </c>
      <c r="C57" s="61"/>
      <c r="D57" s="61"/>
      <c r="E57" s="61"/>
      <c r="F57" s="76" t="s">
        <v>293</v>
      </c>
      <c r="G57" s="61"/>
      <c r="H57" s="76" t="s">
        <v>293</v>
      </c>
      <c r="I57" s="61"/>
      <c r="J57" s="61"/>
      <c r="K57" s="61"/>
      <c r="L57" s="61"/>
      <c r="M57" s="61"/>
      <c r="N57" s="61"/>
      <c r="O57" s="76" t="s">
        <v>400</v>
      </c>
      <c r="P57" s="61"/>
      <c r="Q57" s="76" t="s">
        <v>400</v>
      </c>
      <c r="R57" s="76" t="s">
        <v>400</v>
      </c>
      <c r="S57" s="61"/>
      <c r="T57" s="61"/>
      <c r="U57" s="76" t="s">
        <v>302</v>
      </c>
      <c r="V57" s="76" t="s">
        <v>400</v>
      </c>
      <c r="W57" s="61"/>
      <c r="X57" s="61"/>
      <c r="Y57" s="61"/>
    </row>
    <row r="58" spans="1:25" ht="16" x14ac:dyDescent="0.2">
      <c r="A58" s="61"/>
      <c r="B58" s="123">
        <f t="shared" si="1"/>
        <v>52</v>
      </c>
      <c r="C58" s="61"/>
      <c r="D58" s="61"/>
      <c r="E58" s="61"/>
      <c r="F58" s="76" t="s">
        <v>293</v>
      </c>
      <c r="G58" s="61"/>
      <c r="H58" s="76" t="s">
        <v>293</v>
      </c>
      <c r="I58" s="61"/>
      <c r="J58" s="61"/>
      <c r="K58" s="61"/>
      <c r="L58" s="61"/>
      <c r="M58" s="61"/>
      <c r="N58" s="61"/>
      <c r="O58" s="76" t="s">
        <v>400</v>
      </c>
      <c r="P58" s="61"/>
      <c r="Q58" s="76" t="s">
        <v>400</v>
      </c>
      <c r="R58" s="76" t="s">
        <v>400</v>
      </c>
      <c r="S58" s="61"/>
      <c r="T58" s="61"/>
      <c r="U58" s="76" t="s">
        <v>302</v>
      </c>
      <c r="V58" s="76" t="s">
        <v>400</v>
      </c>
      <c r="W58" s="61"/>
      <c r="X58" s="61"/>
      <c r="Y58" s="61"/>
    </row>
    <row r="59" spans="1:25" ht="16" x14ac:dyDescent="0.2">
      <c r="A59" s="61"/>
      <c r="B59" s="123">
        <f t="shared" si="1"/>
        <v>53</v>
      </c>
      <c r="C59" s="61"/>
      <c r="D59" s="61"/>
      <c r="E59" s="61"/>
      <c r="F59" s="76" t="s">
        <v>293</v>
      </c>
      <c r="G59" s="61"/>
      <c r="H59" s="76" t="s">
        <v>293</v>
      </c>
      <c r="I59" s="61"/>
      <c r="J59" s="61"/>
      <c r="K59" s="61"/>
      <c r="L59" s="61"/>
      <c r="M59" s="61"/>
      <c r="N59" s="61"/>
      <c r="O59" s="76" t="s">
        <v>400</v>
      </c>
      <c r="P59" s="61"/>
      <c r="Q59" s="76" t="s">
        <v>400</v>
      </c>
      <c r="R59" s="76" t="s">
        <v>400</v>
      </c>
      <c r="S59" s="61"/>
      <c r="T59" s="61"/>
      <c r="U59" s="76" t="s">
        <v>302</v>
      </c>
      <c r="V59" s="76" t="s">
        <v>400</v>
      </c>
      <c r="W59" s="61"/>
      <c r="X59" s="61"/>
      <c r="Y59" s="61"/>
    </row>
    <row r="60" spans="1:25" ht="16" x14ac:dyDescent="0.2">
      <c r="A60" s="61"/>
      <c r="B60" s="123">
        <f t="shared" si="1"/>
        <v>54</v>
      </c>
      <c r="C60" s="61"/>
      <c r="D60" s="61"/>
      <c r="E60" s="61"/>
      <c r="F60" s="76" t="s">
        <v>293</v>
      </c>
      <c r="G60" s="61"/>
      <c r="H60" s="76" t="s">
        <v>293</v>
      </c>
      <c r="I60" s="61"/>
      <c r="J60" s="61"/>
      <c r="K60" s="61"/>
      <c r="L60" s="61"/>
      <c r="M60" s="61"/>
      <c r="N60" s="61"/>
      <c r="O60" s="76" t="s">
        <v>400</v>
      </c>
      <c r="P60" s="61"/>
      <c r="Q60" s="76" t="s">
        <v>400</v>
      </c>
      <c r="R60" s="76" t="s">
        <v>400</v>
      </c>
      <c r="S60" s="61"/>
      <c r="T60" s="61"/>
      <c r="U60" s="76" t="s">
        <v>302</v>
      </c>
      <c r="V60" s="76" t="s">
        <v>400</v>
      </c>
      <c r="W60" s="61"/>
      <c r="X60" s="61"/>
      <c r="Y60" s="61"/>
    </row>
    <row r="61" spans="1:25" ht="16" x14ac:dyDescent="0.2">
      <c r="A61" s="61"/>
      <c r="B61" s="123">
        <f t="shared" si="1"/>
        <v>55</v>
      </c>
      <c r="C61" s="61"/>
      <c r="D61" s="61"/>
      <c r="E61" s="61"/>
      <c r="F61" s="76" t="s">
        <v>293</v>
      </c>
      <c r="G61" s="61"/>
      <c r="H61" s="76" t="s">
        <v>293</v>
      </c>
      <c r="I61" s="61"/>
      <c r="J61" s="61"/>
      <c r="K61" s="61"/>
      <c r="L61" s="61"/>
      <c r="M61" s="61"/>
      <c r="N61" s="61"/>
      <c r="O61" s="76" t="s">
        <v>400</v>
      </c>
      <c r="P61" s="61"/>
      <c r="Q61" s="76" t="s">
        <v>400</v>
      </c>
      <c r="R61" s="76" t="s">
        <v>400</v>
      </c>
      <c r="S61" s="61"/>
      <c r="T61" s="61"/>
      <c r="U61" s="76" t="s">
        <v>302</v>
      </c>
      <c r="V61" s="76" t="s">
        <v>400</v>
      </c>
      <c r="W61" s="61"/>
      <c r="X61" s="61"/>
      <c r="Y61" s="61"/>
    </row>
    <row r="62" spans="1:25" ht="16" x14ac:dyDescent="0.2">
      <c r="A62" s="61"/>
      <c r="B62" s="123">
        <f t="shared" si="1"/>
        <v>56</v>
      </c>
      <c r="C62" s="61"/>
      <c r="D62" s="61"/>
      <c r="E62" s="61"/>
      <c r="F62" s="76" t="s">
        <v>293</v>
      </c>
      <c r="G62" s="61"/>
      <c r="H62" s="76" t="s">
        <v>293</v>
      </c>
      <c r="I62" s="61"/>
      <c r="J62" s="61"/>
      <c r="K62" s="61"/>
      <c r="L62" s="61"/>
      <c r="M62" s="61"/>
      <c r="N62" s="61"/>
      <c r="O62" s="76" t="s">
        <v>400</v>
      </c>
      <c r="P62" s="61"/>
      <c r="Q62" s="76" t="s">
        <v>400</v>
      </c>
      <c r="R62" s="76" t="s">
        <v>400</v>
      </c>
      <c r="S62" s="61"/>
      <c r="T62" s="61"/>
      <c r="U62" s="76" t="s">
        <v>302</v>
      </c>
      <c r="V62" s="76" t="s">
        <v>400</v>
      </c>
      <c r="W62" s="61"/>
      <c r="X62" s="61"/>
      <c r="Y62" s="61"/>
    </row>
    <row r="63" spans="1:25" ht="16" x14ac:dyDescent="0.2">
      <c r="A63" s="61"/>
      <c r="B63" s="123">
        <f t="shared" si="1"/>
        <v>57</v>
      </c>
      <c r="C63" s="61"/>
      <c r="D63" s="61"/>
      <c r="E63" s="61"/>
      <c r="F63" s="76" t="s">
        <v>293</v>
      </c>
      <c r="G63" s="61"/>
      <c r="H63" s="76" t="s">
        <v>293</v>
      </c>
      <c r="I63" s="61"/>
      <c r="J63" s="61"/>
      <c r="K63" s="61"/>
      <c r="L63" s="61"/>
      <c r="M63" s="61"/>
      <c r="N63" s="61"/>
      <c r="O63" s="76" t="s">
        <v>400</v>
      </c>
      <c r="P63" s="61"/>
      <c r="Q63" s="76" t="s">
        <v>400</v>
      </c>
      <c r="R63" s="76" t="s">
        <v>400</v>
      </c>
      <c r="S63" s="61"/>
      <c r="T63" s="61"/>
      <c r="U63" s="76" t="s">
        <v>302</v>
      </c>
      <c r="V63" s="76" t="s">
        <v>400</v>
      </c>
      <c r="W63" s="61"/>
      <c r="X63" s="61"/>
      <c r="Y63" s="61"/>
    </row>
    <row r="64" spans="1:25" ht="16" x14ac:dyDescent="0.2">
      <c r="A64" s="61"/>
      <c r="B64" s="123">
        <f t="shared" si="1"/>
        <v>58</v>
      </c>
      <c r="C64" s="61"/>
      <c r="D64" s="61"/>
      <c r="E64" s="61"/>
      <c r="F64" s="76" t="s">
        <v>293</v>
      </c>
      <c r="G64" s="61"/>
      <c r="H64" s="76" t="s">
        <v>293</v>
      </c>
      <c r="I64" s="61"/>
      <c r="J64" s="61"/>
      <c r="K64" s="61"/>
      <c r="L64" s="61"/>
      <c r="M64" s="61"/>
      <c r="N64" s="61"/>
      <c r="O64" s="76" t="s">
        <v>400</v>
      </c>
      <c r="P64" s="61"/>
      <c r="Q64" s="76" t="s">
        <v>400</v>
      </c>
      <c r="R64" s="76" t="s">
        <v>400</v>
      </c>
      <c r="S64" s="61"/>
      <c r="T64" s="61"/>
      <c r="U64" s="76" t="s">
        <v>302</v>
      </c>
      <c r="V64" s="76" t="s">
        <v>400</v>
      </c>
      <c r="W64" s="61"/>
      <c r="X64" s="61"/>
      <c r="Y64" s="61"/>
    </row>
    <row r="65" spans="1:25" ht="16" x14ac:dyDescent="0.2">
      <c r="A65" s="61"/>
      <c r="B65" s="123">
        <f t="shared" si="1"/>
        <v>59</v>
      </c>
      <c r="C65" s="61"/>
      <c r="D65" s="61"/>
      <c r="E65" s="61"/>
      <c r="F65" s="76" t="s">
        <v>293</v>
      </c>
      <c r="G65" s="61"/>
      <c r="H65" s="76" t="s">
        <v>293</v>
      </c>
      <c r="I65" s="61"/>
      <c r="J65" s="61"/>
      <c r="K65" s="61"/>
      <c r="L65" s="61"/>
      <c r="M65" s="61"/>
      <c r="N65" s="61"/>
      <c r="O65" s="76" t="s">
        <v>400</v>
      </c>
      <c r="P65" s="61"/>
      <c r="Q65" s="76" t="s">
        <v>400</v>
      </c>
      <c r="R65" s="76" t="s">
        <v>400</v>
      </c>
      <c r="S65" s="61"/>
      <c r="T65" s="61"/>
      <c r="U65" s="76" t="s">
        <v>302</v>
      </c>
      <c r="V65" s="76" t="s">
        <v>400</v>
      </c>
      <c r="W65" s="61"/>
      <c r="X65" s="61"/>
      <c r="Y65" s="61"/>
    </row>
    <row r="66" spans="1:25" ht="16" x14ac:dyDescent="0.2">
      <c r="A66" s="61"/>
      <c r="B66" s="123">
        <f t="shared" si="1"/>
        <v>60</v>
      </c>
      <c r="C66" s="61"/>
      <c r="D66" s="61"/>
      <c r="E66" s="61"/>
      <c r="F66" s="76" t="s">
        <v>293</v>
      </c>
      <c r="G66" s="61"/>
      <c r="H66" s="76" t="s">
        <v>293</v>
      </c>
      <c r="I66" s="61"/>
      <c r="J66" s="61"/>
      <c r="K66" s="61"/>
      <c r="L66" s="61"/>
      <c r="M66" s="61"/>
      <c r="N66" s="61"/>
      <c r="O66" s="76" t="s">
        <v>400</v>
      </c>
      <c r="P66" s="61"/>
      <c r="Q66" s="76" t="s">
        <v>400</v>
      </c>
      <c r="R66" s="76" t="s">
        <v>400</v>
      </c>
      <c r="S66" s="61"/>
      <c r="T66" s="61"/>
      <c r="U66" s="76" t="s">
        <v>302</v>
      </c>
      <c r="V66" s="76" t="s">
        <v>400</v>
      </c>
      <c r="W66" s="61"/>
      <c r="X66" s="61"/>
      <c r="Y66" s="61"/>
    </row>
    <row r="67" spans="1:25" ht="16" x14ac:dyDescent="0.2">
      <c r="A67" s="61"/>
      <c r="B67" s="123">
        <f t="shared" si="1"/>
        <v>61</v>
      </c>
      <c r="C67" s="61"/>
      <c r="D67" s="61"/>
      <c r="E67" s="61"/>
      <c r="F67" s="76" t="s">
        <v>293</v>
      </c>
      <c r="G67" s="61"/>
      <c r="H67" s="76" t="s">
        <v>293</v>
      </c>
      <c r="I67" s="61"/>
      <c r="J67" s="61"/>
      <c r="K67" s="61"/>
      <c r="L67" s="61"/>
      <c r="M67" s="61"/>
      <c r="N67" s="61"/>
      <c r="O67" s="76" t="s">
        <v>400</v>
      </c>
      <c r="P67" s="61"/>
      <c r="Q67" s="76" t="s">
        <v>400</v>
      </c>
      <c r="R67" s="76" t="s">
        <v>400</v>
      </c>
      <c r="S67" s="61"/>
      <c r="T67" s="61"/>
      <c r="U67" s="76" t="s">
        <v>302</v>
      </c>
      <c r="V67" s="76" t="s">
        <v>400</v>
      </c>
      <c r="W67" s="61"/>
      <c r="X67" s="61"/>
      <c r="Y67" s="61"/>
    </row>
    <row r="68" spans="1:25" ht="16" x14ac:dyDescent="0.2">
      <c r="A68" s="61"/>
      <c r="B68" s="123">
        <f t="shared" si="1"/>
        <v>62</v>
      </c>
      <c r="C68" s="61"/>
      <c r="D68" s="61"/>
      <c r="E68" s="61"/>
      <c r="F68" s="76" t="s">
        <v>293</v>
      </c>
      <c r="G68" s="61"/>
      <c r="H68" s="76" t="s">
        <v>293</v>
      </c>
      <c r="I68" s="61"/>
      <c r="J68" s="61"/>
      <c r="K68" s="61"/>
      <c r="L68" s="61"/>
      <c r="M68" s="61"/>
      <c r="N68" s="61"/>
      <c r="O68" s="76" t="s">
        <v>400</v>
      </c>
      <c r="P68" s="61"/>
      <c r="Q68" s="76" t="s">
        <v>400</v>
      </c>
      <c r="R68" s="76" t="s">
        <v>400</v>
      </c>
      <c r="S68" s="61"/>
      <c r="T68" s="61"/>
      <c r="U68" s="76" t="s">
        <v>302</v>
      </c>
      <c r="V68" s="76" t="s">
        <v>400</v>
      </c>
      <c r="W68" s="61"/>
      <c r="X68" s="61"/>
      <c r="Y68" s="61"/>
    </row>
    <row r="69" spans="1:25" ht="16" x14ac:dyDescent="0.2">
      <c r="A69" s="61"/>
      <c r="B69" s="123">
        <f t="shared" si="1"/>
        <v>63</v>
      </c>
      <c r="C69" s="61"/>
      <c r="D69" s="61"/>
      <c r="E69" s="61"/>
      <c r="F69" s="76" t="s">
        <v>293</v>
      </c>
      <c r="G69" s="61"/>
      <c r="H69" s="76" t="s">
        <v>293</v>
      </c>
      <c r="I69" s="61"/>
      <c r="J69" s="61"/>
      <c r="K69" s="61"/>
      <c r="L69" s="61"/>
      <c r="M69" s="61"/>
      <c r="N69" s="61"/>
      <c r="O69" s="76" t="s">
        <v>400</v>
      </c>
      <c r="P69" s="61"/>
      <c r="Q69" s="76" t="s">
        <v>400</v>
      </c>
      <c r="R69" s="76" t="s">
        <v>400</v>
      </c>
      <c r="S69" s="61"/>
      <c r="T69" s="61"/>
      <c r="U69" s="76" t="s">
        <v>302</v>
      </c>
      <c r="V69" s="76" t="s">
        <v>400</v>
      </c>
      <c r="W69" s="61"/>
      <c r="X69" s="61"/>
      <c r="Y69" s="61"/>
    </row>
    <row r="70" spans="1:25" ht="16" x14ac:dyDescent="0.2">
      <c r="A70" s="61"/>
      <c r="B70" s="123">
        <f t="shared" si="1"/>
        <v>64</v>
      </c>
      <c r="C70" s="61"/>
      <c r="D70" s="61"/>
      <c r="E70" s="61"/>
      <c r="F70" s="76" t="s">
        <v>293</v>
      </c>
      <c r="G70" s="61"/>
      <c r="H70" s="76" t="s">
        <v>293</v>
      </c>
      <c r="I70" s="61"/>
      <c r="J70" s="61"/>
      <c r="K70" s="61"/>
      <c r="L70" s="61"/>
      <c r="M70" s="61"/>
      <c r="N70" s="61"/>
      <c r="O70" s="76" t="s">
        <v>400</v>
      </c>
      <c r="P70" s="61"/>
      <c r="Q70" s="76" t="s">
        <v>400</v>
      </c>
      <c r="R70" s="76" t="s">
        <v>400</v>
      </c>
      <c r="S70" s="61"/>
      <c r="T70" s="61"/>
      <c r="U70" s="76" t="s">
        <v>302</v>
      </c>
      <c r="V70" s="76" t="s">
        <v>400</v>
      </c>
      <c r="W70" s="61"/>
      <c r="X70" s="61"/>
      <c r="Y70" s="61"/>
    </row>
    <row r="71" spans="1:25" ht="16" x14ac:dyDescent="0.2">
      <c r="A71" s="61"/>
      <c r="B71" s="123">
        <f t="shared" si="1"/>
        <v>65</v>
      </c>
      <c r="C71" s="61"/>
      <c r="D71" s="61"/>
      <c r="E71" s="61"/>
      <c r="F71" s="76" t="s">
        <v>293</v>
      </c>
      <c r="G71" s="61"/>
      <c r="H71" s="76" t="s">
        <v>293</v>
      </c>
      <c r="I71" s="61"/>
      <c r="J71" s="61"/>
      <c r="K71" s="61"/>
      <c r="L71" s="61"/>
      <c r="M71" s="61"/>
      <c r="N71" s="61"/>
      <c r="O71" s="76" t="s">
        <v>400</v>
      </c>
      <c r="P71" s="61"/>
      <c r="Q71" s="76" t="s">
        <v>400</v>
      </c>
      <c r="R71" s="76" t="s">
        <v>400</v>
      </c>
      <c r="S71" s="61"/>
      <c r="T71" s="61"/>
      <c r="U71" s="76" t="s">
        <v>302</v>
      </c>
      <c r="V71" s="76" t="s">
        <v>400</v>
      </c>
      <c r="W71" s="61"/>
      <c r="X71" s="61"/>
      <c r="Y71" s="61"/>
    </row>
    <row r="72" spans="1:25" ht="16" x14ac:dyDescent="0.2">
      <c r="A72" s="61"/>
      <c r="B72" s="123">
        <f xml:space="preserve"> ROW(B72) - 6</f>
        <v>66</v>
      </c>
      <c r="C72" s="61"/>
      <c r="D72" s="61"/>
      <c r="E72" s="61"/>
      <c r="F72" s="76" t="s">
        <v>293</v>
      </c>
      <c r="G72" s="61"/>
      <c r="H72" s="76" t="s">
        <v>293</v>
      </c>
      <c r="I72" s="61"/>
      <c r="J72" s="61"/>
      <c r="K72" s="61"/>
      <c r="L72" s="61"/>
      <c r="M72" s="61"/>
      <c r="N72" s="61"/>
      <c r="O72" s="76" t="s">
        <v>400</v>
      </c>
      <c r="P72" s="61"/>
      <c r="Q72" s="76" t="s">
        <v>400</v>
      </c>
      <c r="R72" s="76" t="s">
        <v>400</v>
      </c>
      <c r="S72" s="61"/>
      <c r="T72" s="61"/>
      <c r="U72" s="76" t="s">
        <v>302</v>
      </c>
      <c r="V72" s="76" t="s">
        <v>400</v>
      </c>
      <c r="W72" s="61"/>
      <c r="X72" s="61"/>
      <c r="Y72" s="61"/>
    </row>
    <row r="73" spans="1:25" ht="16" x14ac:dyDescent="0.2">
      <c r="A73" s="61"/>
      <c r="B73" s="123">
        <f t="shared" si="1"/>
        <v>67</v>
      </c>
      <c r="C73" s="61"/>
      <c r="D73" s="61"/>
      <c r="E73" s="61"/>
      <c r="F73" s="76" t="s">
        <v>293</v>
      </c>
      <c r="G73" s="61"/>
      <c r="H73" s="76" t="s">
        <v>293</v>
      </c>
      <c r="I73" s="61"/>
      <c r="J73" s="61"/>
      <c r="K73" s="61"/>
      <c r="L73" s="61"/>
      <c r="M73" s="61"/>
      <c r="N73" s="61"/>
      <c r="O73" s="76" t="s">
        <v>400</v>
      </c>
      <c r="P73" s="61"/>
      <c r="Q73" s="76" t="s">
        <v>400</v>
      </c>
      <c r="R73" s="76" t="s">
        <v>400</v>
      </c>
      <c r="S73" s="61"/>
      <c r="T73" s="61"/>
      <c r="U73" s="76" t="s">
        <v>302</v>
      </c>
      <c r="V73" s="76" t="s">
        <v>400</v>
      </c>
      <c r="W73" s="61"/>
      <c r="X73" s="61"/>
      <c r="Y73" s="61"/>
    </row>
    <row r="74" spans="1:25" ht="16" x14ac:dyDescent="0.2">
      <c r="A74" s="61"/>
      <c r="B74" s="123">
        <f t="shared" si="1"/>
        <v>68</v>
      </c>
      <c r="C74" s="61"/>
      <c r="D74" s="61"/>
      <c r="E74" s="61"/>
      <c r="F74" s="76" t="s">
        <v>293</v>
      </c>
      <c r="G74" s="61"/>
      <c r="H74" s="76" t="s">
        <v>293</v>
      </c>
      <c r="I74" s="61"/>
      <c r="J74" s="61"/>
      <c r="K74" s="61"/>
      <c r="L74" s="61"/>
      <c r="M74" s="61"/>
      <c r="N74" s="61"/>
      <c r="O74" s="76" t="s">
        <v>400</v>
      </c>
      <c r="P74" s="61"/>
      <c r="Q74" s="76" t="s">
        <v>400</v>
      </c>
      <c r="R74" s="76" t="s">
        <v>400</v>
      </c>
      <c r="S74" s="61"/>
      <c r="T74" s="61"/>
      <c r="U74" s="76" t="s">
        <v>302</v>
      </c>
      <c r="V74" s="76" t="s">
        <v>400</v>
      </c>
      <c r="W74" s="61"/>
      <c r="X74" s="61"/>
      <c r="Y74" s="61"/>
    </row>
    <row r="75" spans="1:25" ht="16" x14ac:dyDescent="0.2">
      <c r="A75" s="61"/>
      <c r="B75" s="123">
        <f t="shared" si="1"/>
        <v>69</v>
      </c>
      <c r="C75" s="61"/>
      <c r="D75" s="61"/>
      <c r="E75" s="61"/>
      <c r="F75" s="76" t="s">
        <v>293</v>
      </c>
      <c r="G75" s="61"/>
      <c r="H75" s="76" t="s">
        <v>293</v>
      </c>
      <c r="I75" s="61"/>
      <c r="J75" s="61"/>
      <c r="K75" s="61"/>
      <c r="L75" s="61"/>
      <c r="M75" s="61"/>
      <c r="N75" s="61"/>
      <c r="O75" s="76" t="s">
        <v>400</v>
      </c>
      <c r="P75" s="61"/>
      <c r="Q75" s="76" t="s">
        <v>400</v>
      </c>
      <c r="R75" s="76" t="s">
        <v>400</v>
      </c>
      <c r="S75" s="61"/>
      <c r="T75" s="61"/>
      <c r="U75" s="76" t="s">
        <v>302</v>
      </c>
      <c r="V75" s="76" t="s">
        <v>400</v>
      </c>
      <c r="W75" s="61"/>
      <c r="X75" s="61"/>
      <c r="Y75" s="61"/>
    </row>
    <row r="76" spans="1:25" ht="16" x14ac:dyDescent="0.2">
      <c r="A76" s="61"/>
      <c r="B76" s="123">
        <f t="shared" si="1"/>
        <v>70</v>
      </c>
      <c r="C76" s="61"/>
      <c r="D76" s="61"/>
      <c r="E76" s="61"/>
      <c r="F76" s="76" t="s">
        <v>293</v>
      </c>
      <c r="G76" s="61"/>
      <c r="H76" s="76" t="s">
        <v>293</v>
      </c>
      <c r="I76" s="61"/>
      <c r="J76" s="61"/>
      <c r="K76" s="61"/>
      <c r="L76" s="61"/>
      <c r="M76" s="61"/>
      <c r="N76" s="61"/>
      <c r="O76" s="76" t="s">
        <v>400</v>
      </c>
      <c r="P76" s="61"/>
      <c r="Q76" s="76" t="s">
        <v>400</v>
      </c>
      <c r="R76" s="76" t="s">
        <v>400</v>
      </c>
      <c r="S76" s="61"/>
      <c r="T76" s="61"/>
      <c r="U76" s="76" t="s">
        <v>302</v>
      </c>
      <c r="V76" s="76" t="s">
        <v>400</v>
      </c>
      <c r="W76" s="61"/>
      <c r="X76" s="61"/>
      <c r="Y76" s="61"/>
    </row>
    <row r="77" spans="1:25" ht="16" x14ac:dyDescent="0.2">
      <c r="A77" s="61"/>
      <c r="B77" s="123">
        <f t="shared" si="1"/>
        <v>71</v>
      </c>
      <c r="C77" s="61"/>
      <c r="D77" s="61"/>
      <c r="E77" s="61"/>
      <c r="F77" s="76" t="s">
        <v>293</v>
      </c>
      <c r="G77" s="61"/>
      <c r="H77" s="76" t="s">
        <v>293</v>
      </c>
      <c r="I77" s="61"/>
      <c r="J77" s="61"/>
      <c r="K77" s="61"/>
      <c r="L77" s="61"/>
      <c r="M77" s="61"/>
      <c r="N77" s="61"/>
      <c r="O77" s="76" t="s">
        <v>400</v>
      </c>
      <c r="P77" s="61"/>
      <c r="Q77" s="76" t="s">
        <v>400</v>
      </c>
      <c r="R77" s="76" t="s">
        <v>400</v>
      </c>
      <c r="S77" s="61"/>
      <c r="T77" s="61"/>
      <c r="U77" s="76" t="s">
        <v>302</v>
      </c>
      <c r="V77" s="76" t="s">
        <v>400</v>
      </c>
      <c r="W77" s="61"/>
      <c r="X77" s="61"/>
      <c r="Y77" s="61"/>
    </row>
    <row r="78" spans="1:25" ht="16" x14ac:dyDescent="0.2">
      <c r="A78" s="61"/>
      <c r="B78" s="123">
        <f t="shared" si="1"/>
        <v>72</v>
      </c>
      <c r="C78" s="61"/>
      <c r="D78" s="61"/>
      <c r="E78" s="61"/>
      <c r="F78" s="76" t="s">
        <v>293</v>
      </c>
      <c r="G78" s="61"/>
      <c r="H78" s="76" t="s">
        <v>293</v>
      </c>
      <c r="I78" s="61"/>
      <c r="J78" s="61"/>
      <c r="K78" s="61"/>
      <c r="L78" s="61"/>
      <c r="M78" s="61"/>
      <c r="N78" s="61"/>
      <c r="O78" s="76" t="s">
        <v>400</v>
      </c>
      <c r="P78" s="61"/>
      <c r="Q78" s="76" t="s">
        <v>400</v>
      </c>
      <c r="R78" s="76" t="s">
        <v>400</v>
      </c>
      <c r="S78" s="61"/>
      <c r="T78" s="61"/>
      <c r="U78" s="76" t="s">
        <v>302</v>
      </c>
      <c r="V78" s="76" t="s">
        <v>400</v>
      </c>
      <c r="W78" s="61"/>
      <c r="X78" s="61"/>
      <c r="Y78" s="61"/>
    </row>
    <row r="79" spans="1:25" ht="16" x14ac:dyDescent="0.2">
      <c r="A79" s="61"/>
      <c r="B79" s="123">
        <f t="shared" si="1"/>
        <v>73</v>
      </c>
      <c r="C79" s="61"/>
      <c r="D79" s="61"/>
      <c r="E79" s="61"/>
      <c r="F79" s="76" t="s">
        <v>293</v>
      </c>
      <c r="G79" s="61"/>
      <c r="H79" s="76" t="s">
        <v>293</v>
      </c>
      <c r="I79" s="61"/>
      <c r="J79" s="61"/>
      <c r="K79" s="61"/>
      <c r="L79" s="61"/>
      <c r="M79" s="61"/>
      <c r="N79" s="61"/>
      <c r="O79" s="76" t="s">
        <v>400</v>
      </c>
      <c r="P79" s="61"/>
      <c r="Q79" s="76" t="s">
        <v>400</v>
      </c>
      <c r="R79" s="76" t="s">
        <v>400</v>
      </c>
      <c r="S79" s="61"/>
      <c r="T79" s="61"/>
      <c r="U79" s="76" t="s">
        <v>302</v>
      </c>
      <c r="V79" s="76" t="s">
        <v>400</v>
      </c>
      <c r="W79" s="61"/>
      <c r="X79" s="61"/>
      <c r="Y79" s="61"/>
    </row>
    <row r="80" spans="1:25" ht="16" x14ac:dyDescent="0.2">
      <c r="A80" s="61"/>
      <c r="B80" s="123">
        <f t="shared" si="1"/>
        <v>74</v>
      </c>
      <c r="C80" s="61"/>
      <c r="D80" s="61"/>
      <c r="E80" s="61"/>
      <c r="F80" s="76" t="s">
        <v>293</v>
      </c>
      <c r="G80" s="61"/>
      <c r="H80" s="76" t="s">
        <v>293</v>
      </c>
      <c r="I80" s="61"/>
      <c r="J80" s="61"/>
      <c r="K80" s="61"/>
      <c r="L80" s="61"/>
      <c r="M80" s="61"/>
      <c r="N80" s="61"/>
      <c r="O80" s="76" t="s">
        <v>400</v>
      </c>
      <c r="P80" s="61"/>
      <c r="Q80" s="76" t="s">
        <v>400</v>
      </c>
      <c r="R80" s="76" t="s">
        <v>400</v>
      </c>
      <c r="S80" s="61"/>
      <c r="T80" s="61"/>
      <c r="U80" s="76" t="s">
        <v>302</v>
      </c>
      <c r="V80" s="76" t="s">
        <v>400</v>
      </c>
      <c r="W80" s="61"/>
      <c r="X80" s="61"/>
      <c r="Y80" s="61"/>
    </row>
    <row r="81" spans="1:25" ht="16" x14ac:dyDescent="0.2">
      <c r="A81" s="61"/>
      <c r="B81" s="123">
        <f t="shared" si="1"/>
        <v>75</v>
      </c>
      <c r="C81" s="61"/>
      <c r="D81" s="61"/>
      <c r="E81" s="61"/>
      <c r="F81" s="76" t="s">
        <v>293</v>
      </c>
      <c r="G81" s="61"/>
      <c r="H81" s="76" t="s">
        <v>293</v>
      </c>
      <c r="I81" s="61"/>
      <c r="J81" s="61"/>
      <c r="K81" s="61"/>
      <c r="L81" s="61"/>
      <c r="M81" s="61"/>
      <c r="N81" s="61"/>
      <c r="O81" s="76" t="s">
        <v>400</v>
      </c>
      <c r="P81" s="61"/>
      <c r="Q81" s="76" t="s">
        <v>400</v>
      </c>
      <c r="R81" s="76" t="s">
        <v>400</v>
      </c>
      <c r="S81" s="61"/>
      <c r="T81" s="61"/>
      <c r="U81" s="76" t="s">
        <v>302</v>
      </c>
      <c r="V81" s="76" t="s">
        <v>400</v>
      </c>
      <c r="W81" s="61"/>
      <c r="X81" s="61"/>
      <c r="Y81" s="61"/>
    </row>
    <row r="82" spans="1:25" ht="16" x14ac:dyDescent="0.2">
      <c r="A82" s="61"/>
      <c r="B82" s="123">
        <f t="shared" si="1"/>
        <v>76</v>
      </c>
      <c r="C82" s="61"/>
      <c r="D82" s="61"/>
      <c r="E82" s="61"/>
      <c r="F82" s="76" t="s">
        <v>293</v>
      </c>
      <c r="G82" s="61"/>
      <c r="H82" s="76" t="s">
        <v>293</v>
      </c>
      <c r="I82" s="61"/>
      <c r="J82" s="61"/>
      <c r="K82" s="61"/>
      <c r="L82" s="61"/>
      <c r="M82" s="61"/>
      <c r="N82" s="61"/>
      <c r="O82" s="76" t="s">
        <v>400</v>
      </c>
      <c r="P82" s="61"/>
      <c r="Q82" s="76" t="s">
        <v>400</v>
      </c>
      <c r="R82" s="76" t="s">
        <v>400</v>
      </c>
      <c r="S82" s="61"/>
      <c r="T82" s="61"/>
      <c r="U82" s="76" t="s">
        <v>302</v>
      </c>
      <c r="V82" s="76" t="s">
        <v>400</v>
      </c>
      <c r="W82" s="61"/>
      <c r="X82" s="61"/>
      <c r="Y82" s="61"/>
    </row>
    <row r="83" spans="1:25" ht="16" x14ac:dyDescent="0.2">
      <c r="A83" s="61"/>
      <c r="B83" s="123">
        <f t="shared" si="1"/>
        <v>77</v>
      </c>
      <c r="C83" s="61"/>
      <c r="D83" s="61"/>
      <c r="E83" s="61"/>
      <c r="F83" s="76" t="s">
        <v>293</v>
      </c>
      <c r="G83" s="61"/>
      <c r="H83" s="76" t="s">
        <v>293</v>
      </c>
      <c r="I83" s="61"/>
      <c r="J83" s="61"/>
      <c r="K83" s="61"/>
      <c r="L83" s="61"/>
      <c r="M83" s="61"/>
      <c r="N83" s="61"/>
      <c r="O83" s="76" t="s">
        <v>400</v>
      </c>
      <c r="P83" s="61"/>
      <c r="Q83" s="76" t="s">
        <v>400</v>
      </c>
      <c r="R83" s="76" t="s">
        <v>400</v>
      </c>
      <c r="S83" s="61"/>
      <c r="T83" s="61"/>
      <c r="U83" s="76" t="s">
        <v>302</v>
      </c>
      <c r="V83" s="76" t="s">
        <v>400</v>
      </c>
      <c r="W83" s="61"/>
      <c r="X83" s="61"/>
      <c r="Y83" s="61"/>
    </row>
    <row r="84" spans="1:25" ht="16" x14ac:dyDescent="0.2">
      <c r="A84" s="61"/>
      <c r="B84" s="123">
        <f t="shared" si="1"/>
        <v>78</v>
      </c>
      <c r="C84" s="61"/>
      <c r="D84" s="61"/>
      <c r="E84" s="61"/>
      <c r="F84" s="76" t="s">
        <v>293</v>
      </c>
      <c r="G84" s="61"/>
      <c r="H84" s="76" t="s">
        <v>293</v>
      </c>
      <c r="I84" s="61"/>
      <c r="J84" s="61"/>
      <c r="K84" s="61"/>
      <c r="L84" s="61"/>
      <c r="M84" s="61"/>
      <c r="N84" s="61"/>
      <c r="O84" s="76" t="s">
        <v>400</v>
      </c>
      <c r="P84" s="61"/>
      <c r="Q84" s="76" t="s">
        <v>400</v>
      </c>
      <c r="R84" s="76" t="s">
        <v>400</v>
      </c>
      <c r="S84" s="61"/>
      <c r="T84" s="61"/>
      <c r="U84" s="76" t="s">
        <v>302</v>
      </c>
      <c r="V84" s="76" t="s">
        <v>400</v>
      </c>
      <c r="W84" s="61"/>
      <c r="X84" s="61"/>
      <c r="Y84" s="61"/>
    </row>
    <row r="85" spans="1:25" ht="16" x14ac:dyDescent="0.2">
      <c r="A85" s="61"/>
      <c r="B85" s="123">
        <f t="shared" si="1"/>
        <v>79</v>
      </c>
      <c r="C85" s="61"/>
      <c r="D85" s="61"/>
      <c r="E85" s="61"/>
      <c r="F85" s="76" t="s">
        <v>293</v>
      </c>
      <c r="G85" s="61"/>
      <c r="H85" s="76" t="s">
        <v>293</v>
      </c>
      <c r="I85" s="61"/>
      <c r="J85" s="61"/>
      <c r="K85" s="61"/>
      <c r="L85" s="61"/>
      <c r="M85" s="61"/>
      <c r="N85" s="61"/>
      <c r="O85" s="76" t="s">
        <v>400</v>
      </c>
      <c r="P85" s="61"/>
      <c r="Q85" s="76" t="s">
        <v>400</v>
      </c>
      <c r="R85" s="76" t="s">
        <v>400</v>
      </c>
      <c r="S85" s="61"/>
      <c r="T85" s="61"/>
      <c r="U85" s="76" t="s">
        <v>302</v>
      </c>
      <c r="V85" s="76" t="s">
        <v>400</v>
      </c>
      <c r="W85" s="61"/>
      <c r="X85" s="61"/>
      <c r="Y85" s="61"/>
    </row>
    <row r="86" spans="1:25" ht="16" x14ac:dyDescent="0.2">
      <c r="A86" s="61"/>
      <c r="B86" s="123">
        <f t="shared" si="1"/>
        <v>80</v>
      </c>
      <c r="C86" s="61"/>
      <c r="D86" s="61"/>
      <c r="E86" s="61"/>
      <c r="F86" s="76" t="s">
        <v>293</v>
      </c>
      <c r="G86" s="61"/>
      <c r="H86" s="76" t="s">
        <v>293</v>
      </c>
      <c r="I86" s="61"/>
      <c r="J86" s="61"/>
      <c r="K86" s="61"/>
      <c r="L86" s="61"/>
      <c r="M86" s="61"/>
      <c r="N86" s="61"/>
      <c r="O86" s="76" t="s">
        <v>400</v>
      </c>
      <c r="P86" s="61"/>
      <c r="Q86" s="76" t="s">
        <v>400</v>
      </c>
      <c r="R86" s="76" t="s">
        <v>400</v>
      </c>
      <c r="S86" s="61"/>
      <c r="T86" s="61"/>
      <c r="U86" s="76" t="s">
        <v>302</v>
      </c>
      <c r="V86" s="76" t="s">
        <v>400</v>
      </c>
      <c r="W86" s="61"/>
      <c r="X86" s="61"/>
      <c r="Y86" s="61"/>
    </row>
    <row r="87" spans="1:25" ht="16" x14ac:dyDescent="0.2">
      <c r="A87" s="61"/>
      <c r="B87" s="123">
        <f t="shared" si="1"/>
        <v>81</v>
      </c>
      <c r="C87" s="61"/>
      <c r="D87" s="61"/>
      <c r="E87" s="61"/>
      <c r="F87" s="76" t="s">
        <v>293</v>
      </c>
      <c r="G87" s="61"/>
      <c r="H87" s="76" t="s">
        <v>293</v>
      </c>
      <c r="I87" s="61"/>
      <c r="J87" s="61"/>
      <c r="K87" s="61"/>
      <c r="L87" s="61"/>
      <c r="M87" s="61"/>
      <c r="N87" s="61"/>
      <c r="O87" s="76" t="s">
        <v>400</v>
      </c>
      <c r="P87" s="61"/>
      <c r="Q87" s="76" t="s">
        <v>400</v>
      </c>
      <c r="R87" s="76" t="s">
        <v>400</v>
      </c>
      <c r="S87" s="61"/>
      <c r="T87" s="61"/>
      <c r="U87" s="76" t="s">
        <v>302</v>
      </c>
      <c r="V87" s="76" t="s">
        <v>400</v>
      </c>
      <c r="W87" s="61"/>
      <c r="X87" s="61"/>
      <c r="Y87" s="61"/>
    </row>
    <row r="88" spans="1:25" ht="16" x14ac:dyDescent="0.2">
      <c r="A88" s="61"/>
      <c r="B88" s="123">
        <f t="shared" si="1"/>
        <v>82</v>
      </c>
      <c r="C88" s="61"/>
      <c r="D88" s="61"/>
      <c r="E88" s="61"/>
      <c r="F88" s="76" t="s">
        <v>293</v>
      </c>
      <c r="G88" s="61"/>
      <c r="H88" s="76" t="s">
        <v>293</v>
      </c>
      <c r="I88" s="61"/>
      <c r="J88" s="61"/>
      <c r="K88" s="61"/>
      <c r="L88" s="61"/>
      <c r="M88" s="61"/>
      <c r="N88" s="61"/>
      <c r="O88" s="76" t="s">
        <v>400</v>
      </c>
      <c r="P88" s="61"/>
      <c r="Q88" s="76" t="s">
        <v>400</v>
      </c>
      <c r="R88" s="76" t="s">
        <v>400</v>
      </c>
      <c r="S88" s="61"/>
      <c r="T88" s="61"/>
      <c r="U88" s="76" t="s">
        <v>302</v>
      </c>
      <c r="V88" s="76" t="s">
        <v>400</v>
      </c>
      <c r="W88" s="61"/>
      <c r="X88" s="61"/>
      <c r="Y88" s="61"/>
    </row>
    <row r="89" spans="1:25" ht="16" x14ac:dyDescent="0.2">
      <c r="A89" s="61"/>
      <c r="B89" s="123">
        <f t="shared" si="1"/>
        <v>83</v>
      </c>
      <c r="C89" s="61"/>
      <c r="D89" s="61"/>
      <c r="E89" s="61"/>
      <c r="F89" s="76" t="s">
        <v>293</v>
      </c>
      <c r="G89" s="61"/>
      <c r="H89" s="76" t="s">
        <v>293</v>
      </c>
      <c r="I89" s="61"/>
      <c r="J89" s="61"/>
      <c r="K89" s="61"/>
      <c r="L89" s="61"/>
      <c r="M89" s="61"/>
      <c r="N89" s="61"/>
      <c r="O89" s="76" t="s">
        <v>400</v>
      </c>
      <c r="P89" s="61"/>
      <c r="Q89" s="76" t="s">
        <v>400</v>
      </c>
      <c r="R89" s="76" t="s">
        <v>400</v>
      </c>
      <c r="S89" s="61"/>
      <c r="T89" s="61"/>
      <c r="U89" s="76" t="s">
        <v>302</v>
      </c>
      <c r="V89" s="76" t="s">
        <v>400</v>
      </c>
      <c r="W89" s="61"/>
      <c r="X89" s="61"/>
      <c r="Y89" s="61"/>
    </row>
    <row r="90" spans="1:25" ht="16" x14ac:dyDescent="0.2">
      <c r="A90" s="61"/>
      <c r="B90" s="123">
        <f t="shared" si="1"/>
        <v>84</v>
      </c>
      <c r="C90" s="61"/>
      <c r="D90" s="61"/>
      <c r="E90" s="61"/>
      <c r="F90" s="76" t="s">
        <v>293</v>
      </c>
      <c r="G90" s="61"/>
      <c r="H90" s="76" t="s">
        <v>293</v>
      </c>
      <c r="I90" s="61"/>
      <c r="J90" s="61"/>
      <c r="K90" s="61"/>
      <c r="L90" s="61"/>
      <c r="M90" s="61"/>
      <c r="N90" s="61"/>
      <c r="O90" s="76" t="s">
        <v>400</v>
      </c>
      <c r="P90" s="61"/>
      <c r="Q90" s="76" t="s">
        <v>400</v>
      </c>
      <c r="R90" s="76" t="s">
        <v>400</v>
      </c>
      <c r="S90" s="61"/>
      <c r="T90" s="61"/>
      <c r="U90" s="76" t="s">
        <v>302</v>
      </c>
      <c r="V90" s="76" t="s">
        <v>400</v>
      </c>
      <c r="W90" s="61"/>
      <c r="X90" s="61"/>
      <c r="Y90" s="61"/>
    </row>
    <row r="91" spans="1:25" ht="16" x14ac:dyDescent="0.2">
      <c r="A91" s="61"/>
      <c r="B91" s="123">
        <f t="shared" si="1"/>
        <v>85</v>
      </c>
      <c r="C91" s="61"/>
      <c r="D91" s="61"/>
      <c r="E91" s="61"/>
      <c r="F91" s="76" t="s">
        <v>293</v>
      </c>
      <c r="G91" s="61"/>
      <c r="H91" s="76" t="s">
        <v>293</v>
      </c>
      <c r="I91" s="61"/>
      <c r="J91" s="61"/>
      <c r="K91" s="61"/>
      <c r="L91" s="61"/>
      <c r="M91" s="61"/>
      <c r="N91" s="61"/>
      <c r="O91" s="76" t="s">
        <v>400</v>
      </c>
      <c r="P91" s="61"/>
      <c r="Q91" s="76" t="s">
        <v>400</v>
      </c>
      <c r="R91" s="76" t="s">
        <v>400</v>
      </c>
      <c r="S91" s="61"/>
      <c r="T91" s="61"/>
      <c r="U91" s="76" t="s">
        <v>302</v>
      </c>
      <c r="V91" s="76" t="s">
        <v>400</v>
      </c>
      <c r="W91" s="61"/>
      <c r="X91" s="61"/>
      <c r="Y91" s="61"/>
    </row>
    <row r="92" spans="1:25" ht="16" x14ac:dyDescent="0.2">
      <c r="A92" s="61"/>
      <c r="B92" s="123">
        <f xml:space="preserve"> ROW(B92) - 6</f>
        <v>86</v>
      </c>
      <c r="C92" s="61"/>
      <c r="D92" s="61"/>
      <c r="E92" s="61"/>
      <c r="F92" s="76" t="s">
        <v>293</v>
      </c>
      <c r="G92" s="61"/>
      <c r="H92" s="76" t="s">
        <v>293</v>
      </c>
      <c r="I92" s="61"/>
      <c r="J92" s="61"/>
      <c r="K92" s="61"/>
      <c r="L92" s="61"/>
      <c r="M92" s="61"/>
      <c r="N92" s="61"/>
      <c r="O92" s="76" t="s">
        <v>400</v>
      </c>
      <c r="P92" s="61"/>
      <c r="Q92" s="76" t="s">
        <v>400</v>
      </c>
      <c r="R92" s="76" t="s">
        <v>400</v>
      </c>
      <c r="S92" s="61"/>
      <c r="T92" s="61"/>
      <c r="U92" s="76" t="s">
        <v>302</v>
      </c>
      <c r="V92" s="76" t="s">
        <v>400</v>
      </c>
      <c r="W92" s="61"/>
      <c r="X92" s="61"/>
      <c r="Y92" s="61"/>
    </row>
    <row r="93" spans="1:25" ht="16" x14ac:dyDescent="0.2">
      <c r="A93" s="61"/>
      <c r="B93" s="123">
        <f t="shared" si="1"/>
        <v>87</v>
      </c>
      <c r="C93" s="61"/>
      <c r="D93" s="61"/>
      <c r="E93" s="61"/>
      <c r="F93" s="76" t="s">
        <v>293</v>
      </c>
      <c r="G93" s="61"/>
      <c r="H93" s="76" t="s">
        <v>293</v>
      </c>
      <c r="I93" s="61"/>
      <c r="J93" s="61"/>
      <c r="K93" s="61"/>
      <c r="L93" s="61"/>
      <c r="M93" s="61"/>
      <c r="N93" s="61"/>
      <c r="O93" s="76" t="s">
        <v>400</v>
      </c>
      <c r="P93" s="61"/>
      <c r="Q93" s="76" t="s">
        <v>400</v>
      </c>
      <c r="R93" s="76" t="s">
        <v>400</v>
      </c>
      <c r="S93" s="61"/>
      <c r="T93" s="61"/>
      <c r="U93" s="76" t="s">
        <v>302</v>
      </c>
      <c r="V93" s="76" t="s">
        <v>400</v>
      </c>
      <c r="W93" s="61"/>
      <c r="X93" s="61"/>
      <c r="Y93" s="61"/>
    </row>
    <row r="94" spans="1:25" ht="16" x14ac:dyDescent="0.2">
      <c r="A94" s="61"/>
      <c r="B94" s="123">
        <f t="shared" si="1"/>
        <v>88</v>
      </c>
      <c r="C94" s="61"/>
      <c r="D94" s="61"/>
      <c r="E94" s="61"/>
      <c r="F94" s="76" t="s">
        <v>293</v>
      </c>
      <c r="G94" s="61"/>
      <c r="H94" s="76" t="s">
        <v>293</v>
      </c>
      <c r="I94" s="61"/>
      <c r="J94" s="61"/>
      <c r="K94" s="61"/>
      <c r="L94" s="61"/>
      <c r="M94" s="61"/>
      <c r="N94" s="61"/>
      <c r="O94" s="76" t="s">
        <v>400</v>
      </c>
      <c r="P94" s="61"/>
      <c r="Q94" s="76" t="s">
        <v>400</v>
      </c>
      <c r="R94" s="76" t="s">
        <v>400</v>
      </c>
      <c r="S94" s="61"/>
      <c r="T94" s="61"/>
      <c r="U94" s="76" t="s">
        <v>302</v>
      </c>
      <c r="V94" s="76" t="s">
        <v>400</v>
      </c>
      <c r="W94" s="61"/>
      <c r="X94" s="61"/>
      <c r="Y94" s="61"/>
    </row>
    <row r="95" spans="1:25" ht="16" x14ac:dyDescent="0.2">
      <c r="A95" s="61"/>
      <c r="B95" s="123">
        <f t="shared" si="1"/>
        <v>89</v>
      </c>
      <c r="C95" s="61"/>
      <c r="D95" s="61"/>
      <c r="E95" s="61"/>
      <c r="F95" s="76" t="s">
        <v>293</v>
      </c>
      <c r="G95" s="61"/>
      <c r="H95" s="76" t="s">
        <v>293</v>
      </c>
      <c r="I95" s="61"/>
      <c r="J95" s="61"/>
      <c r="K95" s="61"/>
      <c r="L95" s="61"/>
      <c r="M95" s="61"/>
      <c r="N95" s="61"/>
      <c r="O95" s="76" t="s">
        <v>400</v>
      </c>
      <c r="P95" s="61"/>
      <c r="Q95" s="76" t="s">
        <v>400</v>
      </c>
      <c r="R95" s="76" t="s">
        <v>400</v>
      </c>
      <c r="S95" s="61"/>
      <c r="T95" s="61"/>
      <c r="U95" s="76" t="s">
        <v>302</v>
      </c>
      <c r="V95" s="76" t="s">
        <v>400</v>
      </c>
      <c r="W95" s="61"/>
      <c r="X95" s="61"/>
      <c r="Y95" s="61"/>
    </row>
    <row r="96" spans="1:25" ht="16" x14ac:dyDescent="0.2">
      <c r="A96" s="61"/>
      <c r="B96" s="123">
        <f t="shared" si="1"/>
        <v>90</v>
      </c>
      <c r="C96" s="61"/>
      <c r="D96" s="61"/>
      <c r="E96" s="61"/>
      <c r="F96" s="76" t="s">
        <v>293</v>
      </c>
      <c r="G96" s="61"/>
      <c r="H96" s="76" t="s">
        <v>293</v>
      </c>
      <c r="I96" s="61"/>
      <c r="J96" s="61"/>
      <c r="K96" s="61"/>
      <c r="L96" s="61"/>
      <c r="M96" s="61"/>
      <c r="N96" s="61"/>
      <c r="O96" s="76" t="s">
        <v>400</v>
      </c>
      <c r="P96" s="61"/>
      <c r="Q96" s="76" t="s">
        <v>400</v>
      </c>
      <c r="R96" s="76" t="s">
        <v>400</v>
      </c>
      <c r="S96" s="61"/>
      <c r="T96" s="61"/>
      <c r="U96" s="76" t="s">
        <v>302</v>
      </c>
      <c r="V96" s="76" t="s">
        <v>400</v>
      </c>
      <c r="W96" s="61"/>
      <c r="X96" s="61"/>
      <c r="Y96" s="61"/>
    </row>
    <row r="97" spans="1:25" ht="16" x14ac:dyDescent="0.2">
      <c r="A97" s="61"/>
      <c r="B97" s="123">
        <f t="shared" si="1"/>
        <v>91</v>
      </c>
      <c r="C97" s="61"/>
      <c r="D97" s="61"/>
      <c r="E97" s="61"/>
      <c r="F97" s="76" t="s">
        <v>293</v>
      </c>
      <c r="G97" s="61"/>
      <c r="H97" s="76" t="s">
        <v>293</v>
      </c>
      <c r="I97" s="61"/>
      <c r="J97" s="61"/>
      <c r="K97" s="61"/>
      <c r="L97" s="61"/>
      <c r="M97" s="61"/>
      <c r="N97" s="61"/>
      <c r="O97" s="76" t="s">
        <v>400</v>
      </c>
      <c r="P97" s="61"/>
      <c r="Q97" s="76" t="s">
        <v>400</v>
      </c>
      <c r="R97" s="76" t="s">
        <v>400</v>
      </c>
      <c r="S97" s="61"/>
      <c r="T97" s="61"/>
      <c r="U97" s="76" t="s">
        <v>302</v>
      </c>
      <c r="V97" s="76" t="s">
        <v>400</v>
      </c>
      <c r="W97" s="61"/>
      <c r="X97" s="61"/>
      <c r="Y97" s="61"/>
    </row>
    <row r="98" spans="1:25" ht="16" x14ac:dyDescent="0.2">
      <c r="A98" s="61"/>
      <c r="B98" s="123">
        <f t="shared" si="1"/>
        <v>92</v>
      </c>
      <c r="C98" s="61"/>
      <c r="D98" s="61"/>
      <c r="E98" s="61"/>
      <c r="F98" s="76" t="s">
        <v>293</v>
      </c>
      <c r="G98" s="61"/>
      <c r="H98" s="76" t="s">
        <v>293</v>
      </c>
      <c r="I98" s="61"/>
      <c r="J98" s="61"/>
      <c r="K98" s="61"/>
      <c r="L98" s="61"/>
      <c r="M98" s="61"/>
      <c r="N98" s="61"/>
      <c r="O98" s="76" t="s">
        <v>400</v>
      </c>
      <c r="P98" s="61"/>
      <c r="Q98" s="76" t="s">
        <v>400</v>
      </c>
      <c r="R98" s="76" t="s">
        <v>400</v>
      </c>
      <c r="S98" s="61"/>
      <c r="T98" s="61"/>
      <c r="U98" s="76" t="s">
        <v>302</v>
      </c>
      <c r="V98" s="76" t="s">
        <v>400</v>
      </c>
      <c r="W98" s="61"/>
      <c r="X98" s="61"/>
      <c r="Y98" s="61"/>
    </row>
    <row r="99" spans="1:25" ht="16" x14ac:dyDescent="0.2">
      <c r="A99" s="61"/>
      <c r="B99" s="123">
        <f t="shared" si="1"/>
        <v>93</v>
      </c>
      <c r="C99" s="61"/>
      <c r="D99" s="61"/>
      <c r="E99" s="61"/>
      <c r="F99" s="76" t="s">
        <v>293</v>
      </c>
      <c r="G99" s="61"/>
      <c r="H99" s="76" t="s">
        <v>293</v>
      </c>
      <c r="I99" s="61"/>
      <c r="J99" s="61"/>
      <c r="K99" s="61"/>
      <c r="L99" s="61"/>
      <c r="M99" s="61"/>
      <c r="N99" s="61"/>
      <c r="O99" s="76" t="s">
        <v>400</v>
      </c>
      <c r="P99" s="61"/>
      <c r="Q99" s="76" t="s">
        <v>400</v>
      </c>
      <c r="R99" s="76" t="s">
        <v>400</v>
      </c>
      <c r="S99" s="61"/>
      <c r="T99" s="61"/>
      <c r="U99" s="76" t="s">
        <v>302</v>
      </c>
      <c r="V99" s="76" t="s">
        <v>400</v>
      </c>
      <c r="W99" s="61"/>
      <c r="X99" s="61"/>
      <c r="Y99" s="61"/>
    </row>
    <row r="100" spans="1:25" ht="16" x14ac:dyDescent="0.2">
      <c r="A100" s="61"/>
      <c r="B100" s="123">
        <f t="shared" si="1"/>
        <v>94</v>
      </c>
      <c r="C100" s="61"/>
      <c r="D100" s="61"/>
      <c r="E100" s="61"/>
      <c r="F100" s="76" t="s">
        <v>293</v>
      </c>
      <c r="G100" s="61"/>
      <c r="H100" s="76" t="s">
        <v>293</v>
      </c>
      <c r="I100" s="61"/>
      <c r="J100" s="61"/>
      <c r="K100" s="61"/>
      <c r="L100" s="61"/>
      <c r="M100" s="61"/>
      <c r="N100" s="61"/>
      <c r="O100" s="76" t="s">
        <v>400</v>
      </c>
      <c r="P100" s="61"/>
      <c r="Q100" s="76" t="s">
        <v>400</v>
      </c>
      <c r="R100" s="76" t="s">
        <v>400</v>
      </c>
      <c r="S100" s="61"/>
      <c r="T100" s="61"/>
      <c r="U100" s="76" t="s">
        <v>302</v>
      </c>
      <c r="V100" s="76" t="s">
        <v>400</v>
      </c>
      <c r="W100" s="61"/>
      <c r="X100" s="61"/>
      <c r="Y100" s="61"/>
    </row>
    <row r="101" spans="1:25" ht="16" x14ac:dyDescent="0.2">
      <c r="A101" s="61"/>
      <c r="B101" s="123">
        <f t="shared" si="1"/>
        <v>95</v>
      </c>
      <c r="C101" s="61"/>
      <c r="D101" s="61"/>
      <c r="E101" s="61"/>
      <c r="F101" s="76" t="s">
        <v>293</v>
      </c>
      <c r="G101" s="61"/>
      <c r="H101" s="76" t="s">
        <v>293</v>
      </c>
      <c r="I101" s="61"/>
      <c r="J101" s="61"/>
      <c r="K101" s="61"/>
      <c r="L101" s="61"/>
      <c r="M101" s="61"/>
      <c r="N101" s="61"/>
      <c r="O101" s="76" t="s">
        <v>400</v>
      </c>
      <c r="P101" s="61"/>
      <c r="Q101" s="76" t="s">
        <v>400</v>
      </c>
      <c r="R101" s="76" t="s">
        <v>400</v>
      </c>
      <c r="S101" s="61"/>
      <c r="T101" s="61"/>
      <c r="U101" s="76" t="s">
        <v>302</v>
      </c>
      <c r="V101" s="76" t="s">
        <v>400</v>
      </c>
      <c r="W101" s="61"/>
      <c r="X101" s="61"/>
      <c r="Y101" s="61"/>
    </row>
    <row r="102" spans="1:25" ht="16" x14ac:dyDescent="0.2">
      <c r="A102" s="61"/>
      <c r="B102" s="123">
        <f t="shared" si="1"/>
        <v>96</v>
      </c>
      <c r="C102" s="61"/>
      <c r="D102" s="61"/>
      <c r="E102" s="61"/>
      <c r="F102" s="76" t="s">
        <v>293</v>
      </c>
      <c r="G102" s="61"/>
      <c r="H102" s="76" t="s">
        <v>293</v>
      </c>
      <c r="I102" s="61"/>
      <c r="J102" s="61"/>
      <c r="K102" s="61"/>
      <c r="L102" s="61"/>
      <c r="M102" s="61"/>
      <c r="N102" s="61"/>
      <c r="O102" s="76" t="s">
        <v>400</v>
      </c>
      <c r="P102" s="61"/>
      <c r="Q102" s="76" t="s">
        <v>400</v>
      </c>
      <c r="R102" s="76" t="s">
        <v>400</v>
      </c>
      <c r="S102" s="61"/>
      <c r="T102" s="61"/>
      <c r="U102" s="76" t="s">
        <v>302</v>
      </c>
      <c r="V102" s="76" t="s">
        <v>400</v>
      </c>
      <c r="W102" s="61"/>
      <c r="X102" s="61"/>
      <c r="Y102" s="61"/>
    </row>
    <row r="103" spans="1:25" ht="16" x14ac:dyDescent="0.2">
      <c r="A103" s="61"/>
      <c r="B103" s="123">
        <f t="shared" si="1"/>
        <v>97</v>
      </c>
      <c r="C103" s="61"/>
      <c r="D103" s="61"/>
      <c r="E103" s="61"/>
      <c r="F103" s="76" t="s">
        <v>293</v>
      </c>
      <c r="G103" s="61"/>
      <c r="H103" s="76" t="s">
        <v>293</v>
      </c>
      <c r="I103" s="61"/>
      <c r="J103" s="61"/>
      <c r="K103" s="61"/>
      <c r="L103" s="61"/>
      <c r="M103" s="61"/>
      <c r="N103" s="61"/>
      <c r="O103" s="76" t="s">
        <v>400</v>
      </c>
      <c r="P103" s="61"/>
      <c r="Q103" s="76" t="s">
        <v>400</v>
      </c>
      <c r="R103" s="76" t="s">
        <v>400</v>
      </c>
      <c r="S103" s="61"/>
      <c r="T103" s="61"/>
      <c r="U103" s="76" t="s">
        <v>302</v>
      </c>
      <c r="V103" s="76" t="s">
        <v>400</v>
      </c>
      <c r="W103" s="61"/>
      <c r="X103" s="61"/>
      <c r="Y103" s="61"/>
    </row>
    <row r="104" spans="1:25" ht="16" x14ac:dyDescent="0.2">
      <c r="A104" s="61"/>
      <c r="B104" s="123">
        <f t="shared" si="1"/>
        <v>98</v>
      </c>
      <c r="C104" s="61"/>
      <c r="D104" s="61"/>
      <c r="E104" s="61"/>
      <c r="F104" s="76" t="s">
        <v>293</v>
      </c>
      <c r="G104" s="61"/>
      <c r="H104" s="76" t="s">
        <v>293</v>
      </c>
      <c r="I104" s="61"/>
      <c r="J104" s="61"/>
      <c r="K104" s="61"/>
      <c r="L104" s="61"/>
      <c r="M104" s="61"/>
      <c r="N104" s="61"/>
      <c r="O104" s="76" t="s">
        <v>400</v>
      </c>
      <c r="P104" s="61"/>
      <c r="Q104" s="76" t="s">
        <v>400</v>
      </c>
      <c r="R104" s="76" t="s">
        <v>400</v>
      </c>
      <c r="S104" s="61"/>
      <c r="T104" s="61"/>
      <c r="U104" s="76" t="s">
        <v>302</v>
      </c>
      <c r="V104" s="76" t="s">
        <v>400</v>
      </c>
      <c r="W104" s="61"/>
      <c r="X104" s="61"/>
      <c r="Y104" s="61"/>
    </row>
    <row r="105" spans="1:25" ht="16" x14ac:dyDescent="0.2">
      <c r="A105" s="61"/>
      <c r="B105" s="123">
        <f t="shared" si="1"/>
        <v>99</v>
      </c>
      <c r="C105" s="61"/>
      <c r="D105" s="61"/>
      <c r="E105" s="61"/>
      <c r="F105" s="76" t="s">
        <v>293</v>
      </c>
      <c r="G105" s="61"/>
      <c r="H105" s="76" t="s">
        <v>293</v>
      </c>
      <c r="I105" s="61"/>
      <c r="J105" s="61"/>
      <c r="K105" s="61"/>
      <c r="L105" s="61"/>
      <c r="M105" s="61"/>
      <c r="N105" s="61"/>
      <c r="O105" s="76" t="s">
        <v>400</v>
      </c>
      <c r="P105" s="61"/>
      <c r="Q105" s="76" t="s">
        <v>400</v>
      </c>
      <c r="R105" s="76" t="s">
        <v>400</v>
      </c>
      <c r="S105" s="61"/>
      <c r="T105" s="61"/>
      <c r="U105" s="76" t="s">
        <v>302</v>
      </c>
      <c r="V105" s="76" t="s">
        <v>400</v>
      </c>
      <c r="W105" s="61"/>
      <c r="X105" s="61"/>
      <c r="Y105" s="61"/>
    </row>
    <row r="106" spans="1:25" ht="16" x14ac:dyDescent="0.2">
      <c r="A106" s="61"/>
      <c r="B106" s="123">
        <f t="shared" si="1"/>
        <v>100</v>
      </c>
      <c r="C106" s="61"/>
      <c r="D106" s="61"/>
      <c r="E106" s="61"/>
      <c r="F106" s="76" t="s">
        <v>293</v>
      </c>
      <c r="G106" s="61"/>
      <c r="H106" s="76" t="s">
        <v>293</v>
      </c>
      <c r="I106" s="61"/>
      <c r="J106" s="61"/>
      <c r="K106" s="61"/>
      <c r="L106" s="61"/>
      <c r="M106" s="61"/>
      <c r="N106" s="61"/>
      <c r="O106" s="76" t="s">
        <v>400</v>
      </c>
      <c r="P106" s="61"/>
      <c r="Q106" s="76" t="s">
        <v>400</v>
      </c>
      <c r="R106" s="76" t="s">
        <v>400</v>
      </c>
      <c r="S106" s="61"/>
      <c r="T106" s="61"/>
      <c r="U106" s="76" t="s">
        <v>302</v>
      </c>
      <c r="V106" s="76" t="s">
        <v>400</v>
      </c>
      <c r="W106" s="61"/>
      <c r="X106" s="61"/>
      <c r="Y106" s="61"/>
    </row>
    <row r="107" spans="1:25" ht="16" x14ac:dyDescent="0.2">
      <c r="A107" s="61"/>
      <c r="B107" s="123">
        <f t="shared" si="1"/>
        <v>101</v>
      </c>
      <c r="C107" s="61"/>
      <c r="D107" s="61"/>
      <c r="E107" s="61"/>
      <c r="F107" s="76" t="s">
        <v>293</v>
      </c>
      <c r="G107" s="61"/>
      <c r="H107" s="76" t="s">
        <v>293</v>
      </c>
      <c r="I107" s="61"/>
      <c r="J107" s="61"/>
      <c r="K107" s="61"/>
      <c r="L107" s="61"/>
      <c r="M107" s="61"/>
      <c r="N107" s="61"/>
      <c r="O107" s="76" t="s">
        <v>400</v>
      </c>
      <c r="P107" s="61"/>
      <c r="Q107" s="76" t="s">
        <v>400</v>
      </c>
      <c r="R107" s="76" t="s">
        <v>400</v>
      </c>
      <c r="S107" s="61"/>
      <c r="T107" s="61"/>
      <c r="U107" s="76" t="s">
        <v>302</v>
      </c>
      <c r="V107" s="76" t="s">
        <v>400</v>
      </c>
      <c r="W107" s="61"/>
      <c r="X107" s="61"/>
      <c r="Y107" s="61"/>
    </row>
    <row r="108" spans="1:25" ht="16" x14ac:dyDescent="0.2">
      <c r="A108" s="61"/>
      <c r="B108" s="123">
        <f t="shared" si="1"/>
        <v>102</v>
      </c>
      <c r="C108" s="61"/>
      <c r="D108" s="61"/>
      <c r="E108" s="61"/>
      <c r="F108" s="76" t="s">
        <v>293</v>
      </c>
      <c r="G108" s="61"/>
      <c r="H108" s="76" t="s">
        <v>293</v>
      </c>
      <c r="I108" s="61"/>
      <c r="J108" s="61"/>
      <c r="K108" s="61"/>
      <c r="L108" s="61"/>
      <c r="M108" s="61"/>
      <c r="N108" s="61"/>
      <c r="O108" s="76" t="s">
        <v>400</v>
      </c>
      <c r="P108" s="61"/>
      <c r="Q108" s="76" t="s">
        <v>400</v>
      </c>
      <c r="R108" s="76" t="s">
        <v>400</v>
      </c>
      <c r="S108" s="61"/>
      <c r="T108" s="61"/>
      <c r="U108" s="76" t="s">
        <v>302</v>
      </c>
      <c r="V108" s="76" t="s">
        <v>400</v>
      </c>
      <c r="W108" s="61"/>
      <c r="X108" s="61"/>
      <c r="Y108" s="61"/>
    </row>
    <row r="109" spans="1:25" ht="16" x14ac:dyDescent="0.2">
      <c r="A109" s="61"/>
      <c r="B109" s="123">
        <f t="shared" si="1"/>
        <v>103</v>
      </c>
      <c r="C109" s="61"/>
      <c r="D109" s="61"/>
      <c r="E109" s="61"/>
      <c r="F109" s="76" t="s">
        <v>293</v>
      </c>
      <c r="G109" s="61"/>
      <c r="H109" s="76" t="s">
        <v>293</v>
      </c>
      <c r="I109" s="61"/>
      <c r="J109" s="61"/>
      <c r="K109" s="61"/>
      <c r="L109" s="61"/>
      <c r="M109" s="61"/>
      <c r="N109" s="61"/>
      <c r="O109" s="76" t="s">
        <v>400</v>
      </c>
      <c r="P109" s="61"/>
      <c r="Q109" s="76" t="s">
        <v>400</v>
      </c>
      <c r="R109" s="76" t="s">
        <v>400</v>
      </c>
      <c r="S109" s="61"/>
      <c r="T109" s="61"/>
      <c r="U109" s="76" t="s">
        <v>302</v>
      </c>
      <c r="V109" s="76" t="s">
        <v>400</v>
      </c>
      <c r="W109" s="61"/>
      <c r="X109" s="61"/>
      <c r="Y109" s="61"/>
    </row>
    <row r="110" spans="1:25" ht="16" x14ac:dyDescent="0.2">
      <c r="A110" s="61"/>
      <c r="B110" s="123">
        <f t="shared" si="1"/>
        <v>104</v>
      </c>
      <c r="C110" s="61"/>
      <c r="D110" s="61"/>
      <c r="E110" s="61"/>
      <c r="F110" s="76" t="s">
        <v>293</v>
      </c>
      <c r="G110" s="61"/>
      <c r="H110" s="76" t="s">
        <v>293</v>
      </c>
      <c r="I110" s="61"/>
      <c r="J110" s="61"/>
      <c r="K110" s="61"/>
      <c r="L110" s="61"/>
      <c r="M110" s="61"/>
      <c r="N110" s="61"/>
      <c r="O110" s="76" t="s">
        <v>400</v>
      </c>
      <c r="P110" s="61"/>
      <c r="Q110" s="76" t="s">
        <v>400</v>
      </c>
      <c r="R110" s="76" t="s">
        <v>400</v>
      </c>
      <c r="S110" s="61"/>
      <c r="T110" s="61"/>
      <c r="U110" s="76" t="s">
        <v>302</v>
      </c>
      <c r="V110" s="76" t="s">
        <v>400</v>
      </c>
      <c r="W110" s="61"/>
      <c r="X110" s="61"/>
      <c r="Y110" s="61"/>
    </row>
    <row r="111" spans="1:25" ht="16" x14ac:dyDescent="0.2">
      <c r="A111" s="61"/>
      <c r="B111" s="123">
        <f t="shared" si="1"/>
        <v>105</v>
      </c>
      <c r="C111" s="61"/>
      <c r="D111" s="61"/>
      <c r="E111" s="61"/>
      <c r="F111" s="76" t="s">
        <v>293</v>
      </c>
      <c r="G111" s="61"/>
      <c r="H111" s="76" t="s">
        <v>293</v>
      </c>
      <c r="I111" s="61"/>
      <c r="J111" s="61"/>
      <c r="K111" s="61"/>
      <c r="L111" s="61"/>
      <c r="M111" s="61"/>
      <c r="N111" s="61"/>
      <c r="O111" s="76" t="s">
        <v>400</v>
      </c>
      <c r="P111" s="61"/>
      <c r="Q111" s="76" t="s">
        <v>400</v>
      </c>
      <c r="R111" s="76" t="s">
        <v>400</v>
      </c>
      <c r="S111" s="61"/>
      <c r="T111" s="61"/>
      <c r="U111" s="76" t="s">
        <v>302</v>
      </c>
      <c r="V111" s="76" t="s">
        <v>400</v>
      </c>
      <c r="W111" s="61"/>
      <c r="X111" s="61"/>
      <c r="Y111" s="61"/>
    </row>
    <row r="112" spans="1:25" ht="16" x14ac:dyDescent="0.2">
      <c r="A112" s="61"/>
      <c r="B112" s="123">
        <f t="shared" si="1"/>
        <v>106</v>
      </c>
      <c r="C112" s="61"/>
      <c r="D112" s="61"/>
      <c r="E112" s="61"/>
      <c r="F112" s="76" t="s">
        <v>293</v>
      </c>
      <c r="G112" s="61"/>
      <c r="H112" s="76" t="s">
        <v>293</v>
      </c>
      <c r="I112" s="61"/>
      <c r="J112" s="61"/>
      <c r="K112" s="61"/>
      <c r="L112" s="61"/>
      <c r="M112" s="61"/>
      <c r="N112" s="61"/>
      <c r="O112" s="76" t="s">
        <v>400</v>
      </c>
      <c r="P112" s="61"/>
      <c r="Q112" s="76" t="s">
        <v>400</v>
      </c>
      <c r="R112" s="76" t="s">
        <v>400</v>
      </c>
      <c r="S112" s="61"/>
      <c r="T112" s="61"/>
      <c r="U112" s="76" t="s">
        <v>302</v>
      </c>
      <c r="V112" s="76" t="s">
        <v>400</v>
      </c>
      <c r="W112" s="61"/>
      <c r="X112" s="61"/>
      <c r="Y112" s="61"/>
    </row>
    <row r="113" spans="1:25" ht="16" x14ac:dyDescent="0.2">
      <c r="A113" s="61"/>
      <c r="B113" s="123">
        <f t="shared" si="1"/>
        <v>107</v>
      </c>
      <c r="C113" s="61"/>
      <c r="D113" s="61"/>
      <c r="E113" s="61"/>
      <c r="F113" s="76" t="s">
        <v>293</v>
      </c>
      <c r="G113" s="61"/>
      <c r="H113" s="76" t="s">
        <v>293</v>
      </c>
      <c r="I113" s="61"/>
      <c r="J113" s="61"/>
      <c r="K113" s="61"/>
      <c r="L113" s="61"/>
      <c r="M113" s="61"/>
      <c r="N113" s="61"/>
      <c r="O113" s="76" t="s">
        <v>400</v>
      </c>
      <c r="P113" s="61"/>
      <c r="Q113" s="76" t="s">
        <v>400</v>
      </c>
      <c r="R113" s="76" t="s">
        <v>400</v>
      </c>
      <c r="S113" s="61"/>
      <c r="T113" s="61"/>
      <c r="U113" s="76" t="s">
        <v>302</v>
      </c>
      <c r="V113" s="76" t="s">
        <v>400</v>
      </c>
      <c r="W113" s="61"/>
      <c r="X113" s="61"/>
      <c r="Y113" s="61"/>
    </row>
    <row r="114" spans="1:25" ht="16" x14ac:dyDescent="0.2">
      <c r="A114" s="61"/>
      <c r="B114" s="123">
        <f t="shared" si="1"/>
        <v>108</v>
      </c>
      <c r="C114" s="61"/>
      <c r="D114" s="61"/>
      <c r="E114" s="61"/>
      <c r="F114" s="76" t="s">
        <v>293</v>
      </c>
      <c r="G114" s="61"/>
      <c r="H114" s="76" t="s">
        <v>293</v>
      </c>
      <c r="I114" s="61"/>
      <c r="J114" s="61"/>
      <c r="K114" s="61"/>
      <c r="L114" s="61"/>
      <c r="M114" s="61"/>
      <c r="N114" s="61"/>
      <c r="O114" s="76" t="s">
        <v>400</v>
      </c>
      <c r="P114" s="61"/>
      <c r="Q114" s="76" t="s">
        <v>400</v>
      </c>
      <c r="R114" s="76" t="s">
        <v>400</v>
      </c>
      <c r="S114" s="61"/>
      <c r="T114" s="61"/>
      <c r="U114" s="76" t="s">
        <v>302</v>
      </c>
      <c r="V114" s="76" t="s">
        <v>400</v>
      </c>
      <c r="W114" s="61"/>
      <c r="X114" s="61"/>
      <c r="Y114" s="61"/>
    </row>
    <row r="115" spans="1:25" ht="16" x14ac:dyDescent="0.2">
      <c r="A115" s="61"/>
      <c r="B115" s="123">
        <f t="shared" si="1"/>
        <v>109</v>
      </c>
      <c r="C115" s="61"/>
      <c r="D115" s="61"/>
      <c r="E115" s="61"/>
      <c r="F115" s="76" t="s">
        <v>293</v>
      </c>
      <c r="G115" s="61"/>
      <c r="H115" s="76" t="s">
        <v>293</v>
      </c>
      <c r="I115" s="61"/>
      <c r="J115" s="61"/>
      <c r="K115" s="61"/>
      <c r="L115" s="61"/>
      <c r="M115" s="61"/>
      <c r="N115" s="61"/>
      <c r="O115" s="76" t="s">
        <v>400</v>
      </c>
      <c r="P115" s="61"/>
      <c r="Q115" s="76" t="s">
        <v>400</v>
      </c>
      <c r="R115" s="76" t="s">
        <v>400</v>
      </c>
      <c r="S115" s="61"/>
      <c r="T115" s="61"/>
      <c r="U115" s="76" t="s">
        <v>302</v>
      </c>
      <c r="V115" s="76" t="s">
        <v>400</v>
      </c>
      <c r="W115" s="61"/>
      <c r="X115" s="61"/>
      <c r="Y115" s="61"/>
    </row>
    <row r="116" spans="1:25" x14ac:dyDescent="0.2">
      <c r="B116" s="50" t="s">
        <v>453</v>
      </c>
    </row>
    <row r="118" spans="1:25" x14ac:dyDescent="0.2">
      <c r="D118" s="2"/>
    </row>
  </sheetData>
  <autoFilter ref="A6:Y116" xr:uid="{00000000-0009-0000-0000-000005000000}"/>
  <mergeCells count="2">
    <mergeCell ref="L3:M3"/>
    <mergeCell ref="B5:E5"/>
  </mergeCells>
  <conditionalFormatting sqref="A13:C13 G13 A24:H24 A33:D33 I13:Y13 A14:D14 L18:Y18 O16:P17 O14:P14 R14:Y14 R16:Y17 A16:H19 O19:Y19 A20:F20 L20:Y20 O22:Y22 A22:D22 F22:H22 P24:Y24 F28:H28 O28:Y28 A28:D29 F33:H33 O33:Y33 A34:Y34 A7:K7 O7:Y7 A8:Y10 A38:Y115 A37:K37 Y37 P29:Y29 F29 H29 F14:H14 A35:C35 E35:Y35">
    <cfRule type="containsText" dxfId="868" priority="245" operator="containsText" text="check">
      <formula>NOT(ISERROR(SEARCH("check",A7)))</formula>
    </cfRule>
    <cfRule type="cellIs" dxfId="867" priority="246" operator="equal">
      <formula>"???"</formula>
    </cfRule>
  </conditionalFormatting>
  <conditionalFormatting sqref="F7:F10 H7:H10 F33:F35 H33:H35 H14 F14 F24 H24 F16:F20 H16:H19 H22 F22 H37:H115 F37:F115 F28:F29 H28:H29">
    <cfRule type="cellIs" dxfId="866" priority="244" operator="equal">
      <formula>"Yes"</formula>
    </cfRule>
  </conditionalFormatting>
  <conditionalFormatting sqref="Q7:Q10 Q33:Q35 Q13 Q24 Q18:Q20 Q22 Q38:Q115 Q28:Q29">
    <cfRule type="containsText" dxfId="865" priority="242" operator="containsText" text="SI">
      <formula>NOT(ISERROR(SEARCH("SI",Q7)))</formula>
    </cfRule>
  </conditionalFormatting>
  <conditionalFormatting sqref="A11:D12 G11:G12 O11:Y12">
    <cfRule type="containsText" dxfId="864" priority="232" operator="containsText" text="check">
      <formula>NOT(ISERROR(SEARCH("check",A11)))</formula>
    </cfRule>
    <cfRule type="cellIs" dxfId="863" priority="233" operator="equal">
      <formula>"???"</formula>
    </cfRule>
  </conditionalFormatting>
  <conditionalFormatting sqref="Q11:Q12">
    <cfRule type="containsText" dxfId="862" priority="230" operator="containsText" text="SI">
      <formula>NOT(ISERROR(SEARCH("SI",Q11)))</formula>
    </cfRule>
  </conditionalFormatting>
  <conditionalFormatting sqref="D13">
    <cfRule type="containsText" dxfId="861" priority="228" operator="containsText" text="check">
      <formula>NOT(ISERROR(SEARCH("check",D13)))</formula>
    </cfRule>
    <cfRule type="cellIs" dxfId="860" priority="229" operator="equal">
      <formula>"???"</formula>
    </cfRule>
  </conditionalFormatting>
  <conditionalFormatting sqref="F11:F13">
    <cfRule type="containsText" dxfId="859" priority="226" operator="containsText" text="check">
      <formula>NOT(ISERROR(SEARCH("check",F11)))</formula>
    </cfRule>
    <cfRule type="cellIs" dxfId="858" priority="227" operator="equal">
      <formula>"???"</formula>
    </cfRule>
  </conditionalFormatting>
  <conditionalFormatting sqref="F11:F13">
    <cfRule type="cellIs" dxfId="857" priority="225" operator="equal">
      <formula>"Yes"</formula>
    </cfRule>
  </conditionalFormatting>
  <conditionalFormatting sqref="H11:H13">
    <cfRule type="containsText" dxfId="856" priority="223" operator="containsText" text="check">
      <formula>NOT(ISERROR(SEARCH("check",H11)))</formula>
    </cfRule>
    <cfRule type="cellIs" dxfId="855" priority="224" operator="equal">
      <formula>"???"</formula>
    </cfRule>
  </conditionalFormatting>
  <conditionalFormatting sqref="H11:H13">
    <cfRule type="cellIs" dxfId="854" priority="222" operator="equal">
      <formula>"Yes"</formula>
    </cfRule>
  </conditionalFormatting>
  <conditionalFormatting sqref="A23:Y23">
    <cfRule type="containsText" dxfId="853" priority="220" operator="containsText" text="check">
      <formula>NOT(ISERROR(SEARCH("check",A23)))</formula>
    </cfRule>
    <cfRule type="cellIs" dxfId="852" priority="221" operator="equal">
      <formula>"???"</formula>
    </cfRule>
  </conditionalFormatting>
  <conditionalFormatting sqref="H23 F23">
    <cfRule type="cellIs" dxfId="851" priority="219" operator="equal">
      <formula>"Yes"</formula>
    </cfRule>
  </conditionalFormatting>
  <conditionalFormatting sqref="Q23">
    <cfRule type="containsText" dxfId="850" priority="218" operator="containsText" text="SI">
      <formula>NOT(ISERROR(SEARCH("SI",Q23)))</formula>
    </cfRule>
  </conditionalFormatting>
  <conditionalFormatting sqref="A25:Y25">
    <cfRule type="containsText" dxfId="849" priority="212" operator="containsText" text="check">
      <formula>NOT(ISERROR(SEARCH("check",A25)))</formula>
    </cfRule>
    <cfRule type="cellIs" dxfId="848" priority="213" operator="equal">
      <formula>"???"</formula>
    </cfRule>
  </conditionalFormatting>
  <conditionalFormatting sqref="F25 H25">
    <cfRule type="cellIs" dxfId="847" priority="211" operator="equal">
      <formula>"Yes"</formula>
    </cfRule>
  </conditionalFormatting>
  <conditionalFormatting sqref="Q25">
    <cfRule type="containsText" dxfId="846" priority="210" operator="containsText" text="SI">
      <formula>NOT(ISERROR(SEARCH("SI",Q25)))</formula>
    </cfRule>
  </conditionalFormatting>
  <conditionalFormatting sqref="A26:H26 L26 P26:Y26">
    <cfRule type="containsText" dxfId="845" priority="208" operator="containsText" text="check">
      <formula>NOT(ISERROR(SEARCH("check",A26)))</formula>
    </cfRule>
    <cfRule type="cellIs" dxfId="844" priority="209" operator="equal">
      <formula>"???"</formula>
    </cfRule>
  </conditionalFormatting>
  <conditionalFormatting sqref="F26 H26">
    <cfRule type="cellIs" dxfId="843" priority="207" operator="equal">
      <formula>"Yes"</formula>
    </cfRule>
  </conditionalFormatting>
  <conditionalFormatting sqref="Q26">
    <cfRule type="containsText" dxfId="842" priority="206" operator="containsText" text="SI">
      <formula>NOT(ISERROR(SEARCH("SI",Q26)))</formula>
    </cfRule>
  </conditionalFormatting>
  <conditionalFormatting sqref="A15:C15 E15:H15 L15:P15 W15:Y15 R15:U15">
    <cfRule type="containsText" dxfId="841" priority="200" operator="containsText" text="check">
      <formula>NOT(ISERROR(SEARCH("check",A15)))</formula>
    </cfRule>
    <cfRule type="cellIs" dxfId="840" priority="201" operator="equal">
      <formula>"???"</formula>
    </cfRule>
  </conditionalFormatting>
  <conditionalFormatting sqref="H15 F15">
    <cfRule type="cellIs" dxfId="839" priority="199" operator="equal">
      <formula>"Yes"</formula>
    </cfRule>
  </conditionalFormatting>
  <conditionalFormatting sqref="D15">
    <cfRule type="containsText" dxfId="838" priority="196" operator="containsText" text="check">
      <formula>NOT(ISERROR(SEARCH("check",D15)))</formula>
    </cfRule>
    <cfRule type="cellIs" dxfId="837" priority="197" operator="equal">
      <formula>"???"</formula>
    </cfRule>
  </conditionalFormatting>
  <conditionalFormatting sqref="A30:C30 P30:Y30">
    <cfRule type="containsText" dxfId="836" priority="194" operator="containsText" text="check">
      <formula>NOT(ISERROR(SEARCH("check",A30)))</formula>
    </cfRule>
    <cfRule type="cellIs" dxfId="835" priority="195" operator="equal">
      <formula>"???"</formula>
    </cfRule>
  </conditionalFormatting>
  <conditionalFormatting sqref="Q30">
    <cfRule type="containsText" dxfId="834" priority="192" operator="containsText" text="SI">
      <formula>NOT(ISERROR(SEARCH("SI",Q30)))</formula>
    </cfRule>
  </conditionalFormatting>
  <conditionalFormatting sqref="A31:C31 I31:Y31">
    <cfRule type="containsText" dxfId="833" priority="190" operator="containsText" text="check">
      <formula>NOT(ISERROR(SEARCH("check",A31)))</formula>
    </cfRule>
    <cfRule type="cellIs" dxfId="832" priority="191" operator="equal">
      <formula>"???"</formula>
    </cfRule>
  </conditionalFormatting>
  <conditionalFormatting sqref="Q31">
    <cfRule type="containsText" dxfId="831" priority="188" operator="containsText" text="SI">
      <formula>NOT(ISERROR(SEARCH("SI",Q31)))</formula>
    </cfRule>
  </conditionalFormatting>
  <conditionalFormatting sqref="D30">
    <cfRule type="containsText" dxfId="830" priority="186" operator="containsText" text="check">
      <formula>NOT(ISERROR(SEARCH("check",D30)))</formula>
    </cfRule>
    <cfRule type="cellIs" dxfId="829" priority="187" operator="equal">
      <formula>"???"</formula>
    </cfRule>
  </conditionalFormatting>
  <conditionalFormatting sqref="F30:H30">
    <cfRule type="containsText" dxfId="828" priority="182" operator="containsText" text="check">
      <formula>NOT(ISERROR(SEARCH("check",F30)))</formula>
    </cfRule>
    <cfRule type="cellIs" dxfId="827" priority="183" operator="equal">
      <formula>"???"</formula>
    </cfRule>
  </conditionalFormatting>
  <conditionalFormatting sqref="H30 F30">
    <cfRule type="cellIs" dxfId="826" priority="181" operator="equal">
      <formula>"Yes"</formula>
    </cfRule>
  </conditionalFormatting>
  <conditionalFormatting sqref="E31:H31">
    <cfRule type="containsText" dxfId="825" priority="179" operator="containsText" text="check">
      <formula>NOT(ISERROR(SEARCH("check",E31)))</formula>
    </cfRule>
    <cfRule type="cellIs" dxfId="824" priority="180" operator="equal">
      <formula>"???"</formula>
    </cfRule>
  </conditionalFormatting>
  <conditionalFormatting sqref="F31 H31">
    <cfRule type="cellIs" dxfId="823" priority="178" operator="equal">
      <formula>"Yes"</formula>
    </cfRule>
  </conditionalFormatting>
  <conditionalFormatting sqref="A32:K32 O32:Y32">
    <cfRule type="containsText" dxfId="822" priority="176" operator="containsText" text="check">
      <formula>NOT(ISERROR(SEARCH("check",A32)))</formula>
    </cfRule>
    <cfRule type="cellIs" dxfId="821" priority="177" operator="equal">
      <formula>"???"</formula>
    </cfRule>
  </conditionalFormatting>
  <conditionalFormatting sqref="F32 H32">
    <cfRule type="cellIs" dxfId="820" priority="175" operator="equal">
      <formula>"Yes"</formula>
    </cfRule>
  </conditionalFormatting>
  <conditionalFormatting sqref="Q32">
    <cfRule type="containsText" dxfId="819" priority="174" operator="containsText" text="SI">
      <formula>NOT(ISERROR(SEARCH("SI",Q32)))</formula>
    </cfRule>
  </conditionalFormatting>
  <conditionalFormatting sqref="E33">
    <cfRule type="containsText" dxfId="818" priority="172" operator="containsText" text="check">
      <formula>NOT(ISERROR(SEARCH("check",E33)))</formula>
    </cfRule>
    <cfRule type="cellIs" dxfId="817" priority="173" operator="equal">
      <formula>"???"</formula>
    </cfRule>
  </conditionalFormatting>
  <conditionalFormatting sqref="I11:K11">
    <cfRule type="containsText" dxfId="816" priority="170" operator="containsText" text="check">
      <formula>NOT(ISERROR(SEARCH("check",I11)))</formula>
    </cfRule>
    <cfRule type="cellIs" dxfId="815" priority="171" operator="equal">
      <formula>"???"</formula>
    </cfRule>
  </conditionalFormatting>
  <conditionalFormatting sqref="I12:K12">
    <cfRule type="containsText" dxfId="814" priority="168" operator="containsText" text="check">
      <formula>NOT(ISERROR(SEARCH("check",I12)))</formula>
    </cfRule>
    <cfRule type="cellIs" dxfId="813" priority="169" operator="equal">
      <formula>"???"</formula>
    </cfRule>
  </conditionalFormatting>
  <conditionalFormatting sqref="L11:N11">
    <cfRule type="containsText" dxfId="812" priority="166" operator="containsText" text="check">
      <formula>NOT(ISERROR(SEARCH("check",L11)))</formula>
    </cfRule>
    <cfRule type="cellIs" dxfId="811" priority="167" operator="equal">
      <formula>"???"</formula>
    </cfRule>
  </conditionalFormatting>
  <conditionalFormatting sqref="L12:N12">
    <cfRule type="containsText" dxfId="810" priority="164" operator="containsText" text="check">
      <formula>NOT(ISERROR(SEARCH("check",L12)))</formula>
    </cfRule>
    <cfRule type="cellIs" dxfId="809" priority="165" operator="equal">
      <formula>"???"</formula>
    </cfRule>
  </conditionalFormatting>
  <conditionalFormatting sqref="E11:E13">
    <cfRule type="containsText" dxfId="808" priority="162" operator="containsText" text="check">
      <formula>NOT(ISERROR(SEARCH("check",E11)))</formula>
    </cfRule>
    <cfRule type="cellIs" dxfId="807" priority="163" operator="equal">
      <formula>"???"</formula>
    </cfRule>
  </conditionalFormatting>
  <conditionalFormatting sqref="L16:N16">
    <cfRule type="containsText" dxfId="806" priority="156" operator="containsText" text="check">
      <formula>NOT(ISERROR(SEARCH("check",L16)))</formula>
    </cfRule>
    <cfRule type="cellIs" dxfId="805" priority="157" operator="equal">
      <formula>"???"</formula>
    </cfRule>
  </conditionalFormatting>
  <conditionalFormatting sqref="I15:K15">
    <cfRule type="containsText" dxfId="804" priority="158" operator="containsText" text="check">
      <formula>NOT(ISERROR(SEARCH("check",I15)))</formula>
    </cfRule>
    <cfRule type="cellIs" dxfId="803" priority="159" operator="equal">
      <formula>"???"</formula>
    </cfRule>
  </conditionalFormatting>
  <conditionalFormatting sqref="I18:K18">
    <cfRule type="containsText" dxfId="802" priority="148" operator="containsText" text="check">
      <formula>NOT(ISERROR(SEARCH("check",I18)))</formula>
    </cfRule>
    <cfRule type="cellIs" dxfId="801" priority="149" operator="equal">
      <formula>"???"</formula>
    </cfRule>
  </conditionalFormatting>
  <conditionalFormatting sqref="I16:K16">
    <cfRule type="containsText" dxfId="800" priority="154" operator="containsText" text="check">
      <formula>NOT(ISERROR(SEARCH("check",I16)))</formula>
    </cfRule>
    <cfRule type="cellIs" dxfId="799" priority="155" operator="equal">
      <formula>"???"</formula>
    </cfRule>
  </conditionalFormatting>
  <conditionalFormatting sqref="L17:N17">
    <cfRule type="containsText" dxfId="798" priority="152" operator="containsText" text="check">
      <formula>NOT(ISERROR(SEARCH("check",L17)))</formula>
    </cfRule>
    <cfRule type="cellIs" dxfId="797" priority="153" operator="equal">
      <formula>"???"</formula>
    </cfRule>
  </conditionalFormatting>
  <conditionalFormatting sqref="I17:K17">
    <cfRule type="containsText" dxfId="796" priority="150" operator="containsText" text="check">
      <formula>NOT(ISERROR(SEARCH("check",I17)))</formula>
    </cfRule>
    <cfRule type="cellIs" dxfId="795" priority="151" operator="equal">
      <formula>"???"</formula>
    </cfRule>
  </conditionalFormatting>
  <conditionalFormatting sqref="V15">
    <cfRule type="containsText" dxfId="794" priority="146" operator="containsText" text="check">
      <formula>NOT(ISERROR(SEARCH("check",V15)))</formula>
    </cfRule>
    <cfRule type="cellIs" dxfId="793" priority="147" operator="equal">
      <formula>"???"</formula>
    </cfRule>
  </conditionalFormatting>
  <conditionalFormatting sqref="Q14:Q17">
    <cfRule type="containsText" dxfId="792" priority="144" operator="containsText" text="check">
      <formula>NOT(ISERROR(SEARCH("check",Q14)))</formula>
    </cfRule>
    <cfRule type="cellIs" dxfId="791" priority="145" operator="equal">
      <formula>"???"</formula>
    </cfRule>
  </conditionalFormatting>
  <conditionalFormatting sqref="Q14:Q17">
    <cfRule type="containsText" dxfId="790" priority="143" operator="containsText" text="SI">
      <formula>NOT(ISERROR(SEARCH("SI",Q14)))</formula>
    </cfRule>
  </conditionalFormatting>
  <conditionalFormatting sqref="L19:N19">
    <cfRule type="containsText" dxfId="789" priority="141" operator="containsText" text="check">
      <formula>NOT(ISERROR(SEARCH("check",L19)))</formula>
    </cfRule>
    <cfRule type="cellIs" dxfId="788" priority="142" operator="equal">
      <formula>"???"</formula>
    </cfRule>
  </conditionalFormatting>
  <conditionalFormatting sqref="I19:K19">
    <cfRule type="containsText" dxfId="787" priority="139" operator="containsText" text="check">
      <formula>NOT(ISERROR(SEARCH("check",I19)))</formula>
    </cfRule>
    <cfRule type="cellIs" dxfId="786" priority="140" operator="equal">
      <formula>"???"</formula>
    </cfRule>
  </conditionalFormatting>
  <conditionalFormatting sqref="G20:H20">
    <cfRule type="containsText" dxfId="785" priority="135" operator="containsText" text="check">
      <formula>NOT(ISERROR(SEARCH("check",G20)))</formula>
    </cfRule>
    <cfRule type="cellIs" dxfId="784" priority="136" operator="equal">
      <formula>"???"</formula>
    </cfRule>
  </conditionalFormatting>
  <conditionalFormatting sqref="H20">
    <cfRule type="cellIs" dxfId="783" priority="134" operator="equal">
      <formula>"Yes"</formula>
    </cfRule>
  </conditionalFormatting>
  <conditionalFormatting sqref="I20:K20">
    <cfRule type="containsText" dxfId="782" priority="132" operator="containsText" text="check">
      <formula>NOT(ISERROR(SEARCH("check",I20)))</formula>
    </cfRule>
    <cfRule type="cellIs" dxfId="781" priority="133" operator="equal">
      <formula>"???"</formula>
    </cfRule>
  </conditionalFormatting>
  <conditionalFormatting sqref="A21:F21 H21 L21:Y21">
    <cfRule type="containsText" dxfId="780" priority="130" operator="containsText" text="check">
      <formula>NOT(ISERROR(SEARCH("check",A21)))</formula>
    </cfRule>
    <cfRule type="cellIs" dxfId="779" priority="131" operator="equal">
      <formula>"???"</formula>
    </cfRule>
  </conditionalFormatting>
  <conditionalFormatting sqref="F21 H21">
    <cfRule type="cellIs" dxfId="778" priority="129" operator="equal">
      <formula>"Yes"</formula>
    </cfRule>
  </conditionalFormatting>
  <conditionalFormatting sqref="Q21">
    <cfRule type="containsText" dxfId="777" priority="128" operator="containsText" text="SI">
      <formula>NOT(ISERROR(SEARCH("SI",Q21)))</formula>
    </cfRule>
  </conditionalFormatting>
  <conditionalFormatting sqref="I21:K21">
    <cfRule type="containsText" dxfId="776" priority="126" operator="containsText" text="check">
      <formula>NOT(ISERROR(SEARCH("check",I21)))</formula>
    </cfRule>
    <cfRule type="cellIs" dxfId="775" priority="127" operator="equal">
      <formula>"???"</formula>
    </cfRule>
  </conditionalFormatting>
  <conditionalFormatting sqref="E22">
    <cfRule type="containsText" dxfId="774" priority="124" operator="containsText" text="check">
      <formula>NOT(ISERROR(SEARCH("check",E22)))</formula>
    </cfRule>
    <cfRule type="cellIs" dxfId="773" priority="125" operator="equal">
      <formula>"???"</formula>
    </cfRule>
  </conditionalFormatting>
  <conditionalFormatting sqref="L22:N22">
    <cfRule type="containsText" dxfId="772" priority="122" operator="containsText" text="check">
      <formula>NOT(ISERROR(SEARCH("check",L22)))</formula>
    </cfRule>
    <cfRule type="cellIs" dxfId="771" priority="123" operator="equal">
      <formula>"???"</formula>
    </cfRule>
  </conditionalFormatting>
  <conditionalFormatting sqref="O26">
    <cfRule type="containsText" dxfId="770" priority="108" operator="containsText" text="check">
      <formula>NOT(ISERROR(SEARCH("check",O26)))</formula>
    </cfRule>
    <cfRule type="cellIs" dxfId="769" priority="109" operator="equal">
      <formula>"???"</formula>
    </cfRule>
  </conditionalFormatting>
  <conditionalFormatting sqref="G21">
    <cfRule type="containsText" dxfId="768" priority="118" operator="containsText" text="check">
      <formula>NOT(ISERROR(SEARCH("check",G21)))</formula>
    </cfRule>
    <cfRule type="cellIs" dxfId="767" priority="119" operator="equal">
      <formula>"???"</formula>
    </cfRule>
  </conditionalFormatting>
  <conditionalFormatting sqref="I24:K24">
    <cfRule type="containsText" dxfId="766" priority="116" operator="containsText" text="check">
      <formula>NOT(ISERROR(SEARCH("check",I24)))</formula>
    </cfRule>
    <cfRule type="cellIs" dxfId="765" priority="117" operator="equal">
      <formula>"???"</formula>
    </cfRule>
  </conditionalFormatting>
  <conditionalFormatting sqref="L24:O24">
    <cfRule type="containsText" dxfId="764" priority="114" operator="containsText" text="check">
      <formula>NOT(ISERROR(SEARCH("check",L24)))</formula>
    </cfRule>
    <cfRule type="cellIs" dxfId="763" priority="115" operator="equal">
      <formula>"???"</formula>
    </cfRule>
  </conditionalFormatting>
  <conditionalFormatting sqref="I26:K26">
    <cfRule type="containsText" dxfId="762" priority="112" operator="containsText" text="check">
      <formula>NOT(ISERROR(SEARCH("check",I26)))</formula>
    </cfRule>
    <cfRule type="cellIs" dxfId="761" priority="113" operator="equal">
      <formula>"???"</formula>
    </cfRule>
  </conditionalFormatting>
  <conditionalFormatting sqref="M26:N26">
    <cfRule type="containsText" dxfId="760" priority="110" operator="containsText" text="check">
      <formula>NOT(ISERROR(SEARCH("check",M26)))</formula>
    </cfRule>
    <cfRule type="cellIs" dxfId="759" priority="111" operator="equal">
      <formula>"???"</formula>
    </cfRule>
  </conditionalFormatting>
  <conditionalFormatting sqref="I28:K28">
    <cfRule type="containsText" dxfId="758" priority="100" operator="containsText" text="check">
      <formula>NOT(ISERROR(SEARCH("check",I28)))</formula>
    </cfRule>
    <cfRule type="cellIs" dxfId="757" priority="101" operator="equal">
      <formula>"???"</formula>
    </cfRule>
  </conditionalFormatting>
  <conditionalFormatting sqref="L33:N33">
    <cfRule type="containsText" dxfId="756" priority="84" operator="containsText" text="check">
      <formula>NOT(ISERROR(SEARCH("check",L33)))</formula>
    </cfRule>
    <cfRule type="cellIs" dxfId="755" priority="85" operator="equal">
      <formula>"???"</formula>
    </cfRule>
  </conditionalFormatting>
  <conditionalFormatting sqref="I22:K22">
    <cfRule type="containsText" dxfId="754" priority="80" operator="containsText" text="check">
      <formula>NOT(ISERROR(SEARCH("check",I22)))</formula>
    </cfRule>
    <cfRule type="cellIs" dxfId="753" priority="81" operator="equal">
      <formula>"???"</formula>
    </cfRule>
  </conditionalFormatting>
  <conditionalFormatting sqref="E28">
    <cfRule type="containsText" dxfId="752" priority="102" operator="containsText" text="check">
      <formula>NOT(ISERROR(SEARCH("check",E28)))</formula>
    </cfRule>
    <cfRule type="cellIs" dxfId="751" priority="103" operator="equal">
      <formula>"???"</formula>
    </cfRule>
  </conditionalFormatting>
  <conditionalFormatting sqref="L28:N28">
    <cfRule type="containsText" dxfId="750" priority="98" operator="containsText" text="check">
      <formula>NOT(ISERROR(SEARCH("check",L28)))</formula>
    </cfRule>
    <cfRule type="cellIs" dxfId="749" priority="99" operator="equal">
      <formula>"???"</formula>
    </cfRule>
  </conditionalFormatting>
  <conditionalFormatting sqref="E30">
    <cfRule type="containsText" dxfId="748" priority="96" operator="containsText" text="check">
      <formula>NOT(ISERROR(SEARCH("check",E30)))</formula>
    </cfRule>
    <cfRule type="cellIs" dxfId="747" priority="97" operator="equal">
      <formula>"???"</formula>
    </cfRule>
  </conditionalFormatting>
  <conditionalFormatting sqref="I30:K30">
    <cfRule type="containsText" dxfId="746" priority="92" operator="containsText" text="check">
      <formula>NOT(ISERROR(SEARCH("check",I30)))</formula>
    </cfRule>
    <cfRule type="cellIs" dxfId="745" priority="93" operator="equal">
      <formula>"???"</formula>
    </cfRule>
  </conditionalFormatting>
  <conditionalFormatting sqref="O30">
    <cfRule type="containsText" dxfId="744" priority="90" operator="containsText" text="check">
      <formula>NOT(ISERROR(SEARCH("check",O30)))</formula>
    </cfRule>
    <cfRule type="cellIs" dxfId="743" priority="91" operator="equal">
      <formula>"???"</formula>
    </cfRule>
  </conditionalFormatting>
  <conditionalFormatting sqref="L30:N30">
    <cfRule type="containsText" dxfId="742" priority="88" operator="containsText" text="check">
      <formula>NOT(ISERROR(SEARCH("check",L30)))</formula>
    </cfRule>
    <cfRule type="cellIs" dxfId="741" priority="89" operator="equal">
      <formula>"???"</formula>
    </cfRule>
  </conditionalFormatting>
  <conditionalFormatting sqref="L32:N32">
    <cfRule type="containsText" dxfId="740" priority="86" operator="containsText" text="check">
      <formula>NOT(ISERROR(SEARCH("check",L32)))</formula>
    </cfRule>
    <cfRule type="cellIs" dxfId="739" priority="87" operator="equal">
      <formula>"???"</formula>
    </cfRule>
  </conditionalFormatting>
  <conditionalFormatting sqref="L7:N7">
    <cfRule type="containsText" dxfId="738" priority="82" operator="containsText" text="check">
      <formula>NOT(ISERROR(SEARCH("check",L7)))</formula>
    </cfRule>
    <cfRule type="cellIs" dxfId="737" priority="83" operator="equal">
      <formula>"???"</formula>
    </cfRule>
  </conditionalFormatting>
  <conditionalFormatting sqref="I33:K33">
    <cfRule type="containsText" dxfId="736" priority="78" operator="containsText" text="check">
      <formula>NOT(ISERROR(SEARCH("check",I33)))</formula>
    </cfRule>
    <cfRule type="cellIs" dxfId="735" priority="79" operator="equal">
      <formula>"???"</formula>
    </cfRule>
  </conditionalFormatting>
  <conditionalFormatting sqref="A36:H36 L36:Y36">
    <cfRule type="containsText" dxfId="734" priority="68" operator="containsText" text="check">
      <formula>NOT(ISERROR(SEARCH("check",A36)))</formula>
    </cfRule>
    <cfRule type="cellIs" dxfId="733" priority="69" operator="equal">
      <formula>"???"</formula>
    </cfRule>
  </conditionalFormatting>
  <conditionalFormatting sqref="F36 H36">
    <cfRule type="cellIs" dxfId="732" priority="67" operator="equal">
      <formula>"Yes"</formula>
    </cfRule>
  </conditionalFormatting>
  <conditionalFormatting sqref="Q36">
    <cfRule type="containsText" dxfId="731" priority="66" operator="containsText" text="SI">
      <formula>NOT(ISERROR(SEARCH("SI",Q36)))</formula>
    </cfRule>
  </conditionalFormatting>
  <conditionalFormatting sqref="I36:K36">
    <cfRule type="containsText" dxfId="730" priority="62" operator="containsText" text="check">
      <formula>NOT(ISERROR(SEARCH("check",I36)))</formula>
    </cfRule>
    <cfRule type="cellIs" dxfId="729" priority="63" operator="equal">
      <formula>"???"</formula>
    </cfRule>
  </conditionalFormatting>
  <conditionalFormatting sqref="D31">
    <cfRule type="containsText" dxfId="728" priority="60" operator="containsText" text="check">
      <formula>NOT(ISERROR(SEARCH("check",D31)))</formula>
    </cfRule>
    <cfRule type="cellIs" dxfId="727" priority="61" operator="equal">
      <formula>"???"</formula>
    </cfRule>
  </conditionalFormatting>
  <conditionalFormatting sqref="L37:N37">
    <cfRule type="containsText" dxfId="726" priority="53" operator="containsText" text="check">
      <formula>NOT(ISERROR(SEARCH("check",L37)))</formula>
    </cfRule>
    <cfRule type="cellIs" dxfId="725" priority="54" operator="equal">
      <formula>"???"</formula>
    </cfRule>
  </conditionalFormatting>
  <conditionalFormatting sqref="O37:X37">
    <cfRule type="containsText" dxfId="724" priority="56" operator="containsText" text="check">
      <formula>NOT(ISERROR(SEARCH("check",O37)))</formula>
    </cfRule>
    <cfRule type="cellIs" dxfId="723" priority="57" operator="equal">
      <formula>"???"</formula>
    </cfRule>
  </conditionalFormatting>
  <conditionalFormatting sqref="Q37">
    <cfRule type="containsText" dxfId="722" priority="55" operator="containsText" text="SI">
      <formula>NOT(ISERROR(SEARCH("SI",Q37)))</formula>
    </cfRule>
  </conditionalFormatting>
  <conditionalFormatting sqref="A27:C27 O27:Y27 E27:F27 H27">
    <cfRule type="containsText" dxfId="721" priority="51" operator="containsText" text="check">
      <formula>NOT(ISERROR(SEARCH("check",A27)))</formula>
    </cfRule>
    <cfRule type="cellIs" dxfId="720" priority="52" operator="equal">
      <formula>"???"</formula>
    </cfRule>
  </conditionalFormatting>
  <conditionalFormatting sqref="F27 H27">
    <cfRule type="cellIs" dxfId="719" priority="50" operator="equal">
      <formula>"Yes"</formula>
    </cfRule>
  </conditionalFormatting>
  <conditionalFormatting sqref="Q27">
    <cfRule type="containsText" dxfId="718" priority="49" operator="containsText" text="SI">
      <formula>NOT(ISERROR(SEARCH("SI",Q27)))</formula>
    </cfRule>
  </conditionalFormatting>
  <conditionalFormatting sqref="O29">
    <cfRule type="containsText" dxfId="717" priority="17" operator="containsText" text="check">
      <formula>NOT(ISERROR(SEARCH("check",O29)))</formula>
    </cfRule>
    <cfRule type="cellIs" dxfId="716" priority="18" operator="equal">
      <formula>"???"</formula>
    </cfRule>
  </conditionalFormatting>
  <conditionalFormatting sqref="G29">
    <cfRule type="containsText" dxfId="715" priority="27" operator="containsText" text="check">
      <formula>NOT(ISERROR(SEARCH("check",G29)))</formula>
    </cfRule>
    <cfRule type="cellIs" dxfId="714" priority="28" operator="equal">
      <formula>"???"</formula>
    </cfRule>
  </conditionalFormatting>
  <conditionalFormatting sqref="I29:K29">
    <cfRule type="containsText" dxfId="713" priority="23" operator="containsText" text="check">
      <formula>NOT(ISERROR(SEARCH("check",I29)))</formula>
    </cfRule>
    <cfRule type="cellIs" dxfId="712" priority="24" operator="equal">
      <formula>"???"</formula>
    </cfRule>
  </conditionalFormatting>
  <conditionalFormatting sqref="E29">
    <cfRule type="containsText" dxfId="711" priority="29" operator="containsText" text="check">
      <formula>NOT(ISERROR(SEARCH("check",E29)))</formula>
    </cfRule>
    <cfRule type="cellIs" dxfId="710" priority="30" operator="equal">
      <formula>"???"</formula>
    </cfRule>
  </conditionalFormatting>
  <conditionalFormatting sqref="L29:N29">
    <cfRule type="containsText" dxfId="709" priority="25" operator="containsText" text="check">
      <formula>NOT(ISERROR(SEARCH("check",L29)))</formula>
    </cfRule>
    <cfRule type="cellIs" dxfId="708" priority="26" operator="equal">
      <formula>"???"</formula>
    </cfRule>
  </conditionalFormatting>
  <conditionalFormatting sqref="I14:K14">
    <cfRule type="containsText" dxfId="707" priority="11" operator="containsText" text="check">
      <formula>NOT(ISERROR(SEARCH("check",I14)))</formula>
    </cfRule>
    <cfRule type="cellIs" dxfId="706" priority="12" operator="equal">
      <formula>"???"</formula>
    </cfRule>
  </conditionalFormatting>
  <conditionalFormatting sqref="E14">
    <cfRule type="containsText" dxfId="705" priority="15" operator="containsText" text="check">
      <formula>NOT(ISERROR(SEARCH("check",E14)))</formula>
    </cfRule>
    <cfRule type="cellIs" dxfId="704" priority="16" operator="equal">
      <formula>"???"</formula>
    </cfRule>
  </conditionalFormatting>
  <conditionalFormatting sqref="L14:N14">
    <cfRule type="containsText" dxfId="703" priority="13" operator="containsText" text="check">
      <formula>NOT(ISERROR(SEARCH("check",L14)))</formula>
    </cfRule>
    <cfRule type="cellIs" dxfId="702" priority="14" operator="equal">
      <formula>"???"</formula>
    </cfRule>
  </conditionalFormatting>
  <conditionalFormatting sqref="D27">
    <cfRule type="containsText" dxfId="701" priority="9" operator="containsText" text="check">
      <formula>NOT(ISERROR(SEARCH("check",D27)))</formula>
    </cfRule>
    <cfRule type="cellIs" dxfId="700" priority="10" operator="equal">
      <formula>"???"</formula>
    </cfRule>
  </conditionalFormatting>
  <conditionalFormatting sqref="G27">
    <cfRule type="containsText" dxfId="699" priority="7" operator="containsText" text="check">
      <formula>NOT(ISERROR(SEARCH("check",G27)))</formula>
    </cfRule>
    <cfRule type="cellIs" dxfId="698" priority="8" operator="equal">
      <formula>"???"</formula>
    </cfRule>
  </conditionalFormatting>
  <conditionalFormatting sqref="I27:K27">
    <cfRule type="containsText" dxfId="697" priority="5" operator="containsText" text="check">
      <formula>NOT(ISERROR(SEARCH("check",I27)))</formula>
    </cfRule>
    <cfRule type="cellIs" dxfId="696" priority="6" operator="equal">
      <formula>"???"</formula>
    </cfRule>
  </conditionalFormatting>
  <conditionalFormatting sqref="L27:N27">
    <cfRule type="containsText" dxfId="695" priority="3" operator="containsText" text="check">
      <formula>NOT(ISERROR(SEARCH("check",L27)))</formula>
    </cfRule>
    <cfRule type="cellIs" dxfId="694" priority="4" operator="equal">
      <formula>"???"</formula>
    </cfRule>
  </conditionalFormatting>
  <conditionalFormatting sqref="D35">
    <cfRule type="containsText" dxfId="693" priority="1" operator="containsText" text="check">
      <formula>NOT(ISERROR(SEARCH("check",D35)))</formula>
    </cfRule>
    <cfRule type="cellIs" dxfId="692" priority="2" operator="equal">
      <formula>"???"</formula>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3000000}">
          <x14:formula1>
            <xm:f>Tables!$C$7:$C$70</xm:f>
          </x14:formula1>
          <xm:sqref>O7:O23 O25:O115</xm:sqref>
        </x14:dataValidation>
        <x14:dataValidation type="list" allowBlank="1" showInputMessage="1" showErrorMessage="1" xr:uid="{00000000-0002-0000-0500-000000000000}">
          <x14:formula1>
            <xm:f>Tables!$E$7:$E$11</xm:f>
          </x14:formula1>
          <xm:sqref>V7:V115</xm:sqref>
        </x14:dataValidation>
        <x14:dataValidation type="list" allowBlank="1" showInputMessage="1" showErrorMessage="1" xr:uid="{00000000-0002-0000-0500-000001000000}">
          <x14:formula1>
            <xm:f>Tables!$D$7:$D$10</xm:f>
          </x14:formula1>
          <xm:sqref>R7:R115</xm:sqref>
        </x14:dataValidation>
        <x14:dataValidation type="list" allowBlank="1" showInputMessage="1" showErrorMessage="1" xr:uid="{00000000-0002-0000-0500-000002000000}">
          <x14:formula1>
            <xm:f>Tables!$G$7:$G$11</xm:f>
          </x14:formula1>
          <xm:sqref>U7:U115</xm:sqref>
        </x14:dataValidation>
        <x14:dataValidation type="list" allowBlank="1" showInputMessage="1" showErrorMessage="1" xr:uid="{00000000-0002-0000-0500-000004000000}">
          <x14:formula1>
            <xm:f>Tables!$J$7:$J$19</xm:f>
          </x14:formula1>
          <xm:sqref>Q7:Q115</xm:sqref>
        </x14:dataValidation>
        <x14:dataValidation type="list" allowBlank="1" showInputMessage="1" showErrorMessage="1" xr:uid="{00000000-0002-0000-0500-000005000000}">
          <x14:formula1>
            <xm:f>Tables!$B$7:$B$10</xm:f>
          </x14:formula1>
          <xm:sqref>F7:F115 H7:H115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2F8EB-1A0A-462E-8161-4A8CC559BF25}">
  <sheetPr codeName="Blad17">
    <tabColor theme="4" tint="-0.499984740745262"/>
  </sheetPr>
  <dimension ref="A1:AB87"/>
  <sheetViews>
    <sheetView tabSelected="1" topLeftCell="A40" zoomScale="90" zoomScaleNormal="90" workbookViewId="0">
      <selection activeCell="AA50" sqref="AA50"/>
    </sheetView>
  </sheetViews>
  <sheetFormatPr baseColWidth="10" defaultColWidth="9.1640625" defaultRowHeight="15" outlineLevelRow="1" outlineLevelCol="1" x14ac:dyDescent="0.2"/>
  <cols>
    <col min="1" max="1" width="12.33203125" style="2" customWidth="1"/>
    <col min="2" max="2" width="8.1640625" style="48" customWidth="1"/>
    <col min="3" max="3" width="10" style="10" customWidth="1"/>
    <col min="4" max="4" width="32.33203125" style="10" customWidth="1"/>
    <col min="5" max="5" width="16.33203125" style="25" customWidth="1"/>
    <col min="6" max="6" width="16.33203125" style="2" customWidth="1"/>
    <col min="7" max="7" width="16.5" style="2" customWidth="1"/>
    <col min="8" max="9" width="22.83203125" style="2" customWidth="1"/>
    <col min="10" max="10" width="20.33203125" style="2" customWidth="1"/>
    <col min="11" max="11" width="22.33203125" style="2" bestFit="1" customWidth="1"/>
    <col min="12" max="12" width="22.33203125" style="2" customWidth="1"/>
    <col min="13" max="13" width="24.33203125" style="2" bestFit="1" customWidth="1"/>
    <col min="14" max="14" width="34.5" style="2" customWidth="1"/>
    <col min="15" max="15" width="33.1640625" style="2" customWidth="1"/>
    <col min="16" max="16" width="16.33203125" style="10" customWidth="1"/>
    <col min="17" max="17" width="26.6640625" style="10" customWidth="1"/>
    <col min="18" max="18" width="14.83203125" style="15" customWidth="1"/>
    <col min="19" max="19" width="19.1640625" style="2" customWidth="1"/>
    <col min="20" max="20" width="11.33203125" style="10" customWidth="1"/>
    <col min="21" max="21" width="19.1640625" style="10" customWidth="1"/>
    <col min="22" max="22" width="16.83203125" style="2" customWidth="1" outlineLevel="1"/>
    <col min="23" max="23" width="16.5" style="2" customWidth="1" outlineLevel="1"/>
    <col min="24" max="24" width="15" style="10" customWidth="1" outlineLevel="1"/>
    <col min="25" max="25" width="22" style="10" customWidth="1"/>
    <col min="26" max="26" width="21" style="2" customWidth="1"/>
    <col min="27" max="27" width="41.83203125" style="2" customWidth="1"/>
    <col min="28" max="28" width="72.5" style="2" customWidth="1"/>
    <col min="29" max="16384" width="9.1640625" style="2"/>
  </cols>
  <sheetData>
    <row r="1" spans="1:28" outlineLevel="1" x14ac:dyDescent="0.2"/>
    <row r="2" spans="1:28" ht="24.75" customHeight="1" outlineLevel="1" x14ac:dyDescent="0.2">
      <c r="B2" s="49"/>
      <c r="C2" s="8"/>
      <c r="D2" s="8"/>
      <c r="E2" s="24"/>
      <c r="F2" s="5"/>
      <c r="G2" s="5"/>
      <c r="H2" s="57" t="s">
        <v>686</v>
      </c>
      <c r="I2" s="57"/>
      <c r="J2" s="5"/>
      <c r="K2" s="5"/>
      <c r="L2" s="5"/>
      <c r="M2" s="5"/>
      <c r="N2" s="5"/>
      <c r="O2" s="5" t="s">
        <v>687</v>
      </c>
      <c r="P2" s="8"/>
      <c r="Q2" s="8"/>
      <c r="R2" s="14"/>
      <c r="S2" s="5"/>
      <c r="T2" s="8"/>
      <c r="U2" s="8"/>
      <c r="V2" s="5"/>
      <c r="W2" s="5"/>
      <c r="X2" s="8"/>
      <c r="Y2" s="8"/>
      <c r="Z2" s="5"/>
      <c r="AA2" s="5"/>
      <c r="AB2" s="5"/>
    </row>
    <row r="3" spans="1:28" ht="24" outlineLevel="1" x14ac:dyDescent="0.3">
      <c r="B3" s="49"/>
      <c r="C3" s="8"/>
      <c r="D3" s="29"/>
      <c r="E3" s="24"/>
      <c r="F3" s="5" t="s">
        <v>264</v>
      </c>
      <c r="G3" s="5" t="str">
        <f>Versioning!F29</f>
        <v>2.01</v>
      </c>
      <c r="H3" s="11" t="s">
        <v>265</v>
      </c>
      <c r="I3" s="11"/>
      <c r="J3" s="5"/>
      <c r="K3" s="5"/>
      <c r="L3" s="231" t="str">
        <f>Versioning!G6</f>
        <v>DIM-Infosphere</v>
      </c>
      <c r="M3" s="231"/>
      <c r="N3" s="8"/>
      <c r="O3" s="95" t="s">
        <v>109</v>
      </c>
      <c r="P3" s="8"/>
      <c r="Q3" s="8"/>
      <c r="R3" s="8"/>
      <c r="S3" s="5"/>
      <c r="T3" s="8"/>
      <c r="U3" s="8"/>
      <c r="V3" s="5"/>
      <c r="W3" s="5"/>
      <c r="X3" s="8"/>
      <c r="Y3" s="8"/>
      <c r="Z3" s="5"/>
      <c r="AA3" s="5"/>
      <c r="AB3" s="5"/>
    </row>
    <row r="4" spans="1:28" ht="16.5" customHeight="1" outlineLevel="1" x14ac:dyDescent="0.2">
      <c r="B4" s="49"/>
      <c r="C4" s="8"/>
      <c r="D4" s="8"/>
      <c r="E4" s="24"/>
      <c r="F4" s="5"/>
      <c r="G4" s="5"/>
      <c r="H4" s="33" t="s">
        <v>266</v>
      </c>
      <c r="I4" s="33"/>
      <c r="J4" s="5"/>
      <c r="K4" s="5"/>
      <c r="L4" s="41" t="s">
        <v>267</v>
      </c>
      <c r="M4" s="5"/>
      <c r="N4" s="41"/>
      <c r="O4" s="5"/>
      <c r="P4" s="8"/>
      <c r="Q4" s="8"/>
      <c r="R4" s="14"/>
      <c r="S4" s="5"/>
      <c r="T4" s="8"/>
      <c r="U4" s="8"/>
      <c r="V4" s="5"/>
      <c r="W4" s="5"/>
      <c r="X4" s="8"/>
      <c r="Y4" s="8"/>
      <c r="Z4" s="5"/>
      <c r="AA4" s="5"/>
      <c r="AB4" s="5"/>
    </row>
    <row r="5" spans="1:28" outlineLevel="1" x14ac:dyDescent="0.2">
      <c r="B5" s="238"/>
      <c r="C5" s="238"/>
      <c r="D5" s="238"/>
      <c r="E5" s="238"/>
      <c r="F5" s="238"/>
      <c r="J5" s="19"/>
      <c r="K5" s="19"/>
      <c r="L5" s="19"/>
      <c r="M5" s="22"/>
      <c r="N5" s="22"/>
      <c r="O5" s="22"/>
      <c r="P5" s="22"/>
      <c r="Q5" s="2"/>
    </row>
    <row r="6" spans="1:28" ht="69" customHeight="1" x14ac:dyDescent="0.2">
      <c r="A6" s="87" t="s">
        <v>688</v>
      </c>
      <c r="B6" s="89" t="s">
        <v>145</v>
      </c>
      <c r="C6" s="27" t="s">
        <v>689</v>
      </c>
      <c r="D6" s="27" t="s">
        <v>270</v>
      </c>
      <c r="E6" s="92" t="s">
        <v>690</v>
      </c>
      <c r="F6" s="1" t="s">
        <v>604</v>
      </c>
      <c r="G6" s="40" t="s">
        <v>273</v>
      </c>
      <c r="H6" s="1" t="s">
        <v>691</v>
      </c>
      <c r="I6" s="1" t="s">
        <v>692</v>
      </c>
      <c r="J6" s="1" t="s">
        <v>693</v>
      </c>
      <c r="K6" s="91" t="s">
        <v>694</v>
      </c>
      <c r="L6" s="85" t="s">
        <v>695</v>
      </c>
      <c r="M6" s="86" t="s">
        <v>279</v>
      </c>
      <c r="N6" s="20" t="s">
        <v>696</v>
      </c>
      <c r="O6" s="20" t="s">
        <v>697</v>
      </c>
      <c r="P6" s="21" t="s">
        <v>280</v>
      </c>
      <c r="Q6" s="21" t="s">
        <v>281</v>
      </c>
      <c r="R6" s="87" t="s">
        <v>698</v>
      </c>
      <c r="S6" s="80" t="s">
        <v>283</v>
      </c>
      <c r="T6" s="88" t="s">
        <v>699</v>
      </c>
      <c r="U6" s="89" t="s">
        <v>700</v>
      </c>
      <c r="V6" s="1" t="s">
        <v>284</v>
      </c>
      <c r="W6" s="1" t="s">
        <v>285</v>
      </c>
      <c r="X6" s="27" t="s">
        <v>286</v>
      </c>
      <c r="Y6" s="87" t="s">
        <v>287</v>
      </c>
      <c r="Z6" s="90" t="s">
        <v>202</v>
      </c>
      <c r="AA6" s="80" t="s">
        <v>701</v>
      </c>
      <c r="AB6" s="79" t="s">
        <v>288</v>
      </c>
    </row>
    <row r="7" spans="1:28" ht="32" x14ac:dyDescent="0.2">
      <c r="A7" s="61" t="s">
        <v>605</v>
      </c>
      <c r="B7" s="54">
        <v>1</v>
      </c>
      <c r="C7" s="76" t="s">
        <v>205</v>
      </c>
      <c r="D7" s="133" t="s">
        <v>291</v>
      </c>
      <c r="E7" s="76" t="s">
        <v>702</v>
      </c>
      <c r="F7" s="61" t="s">
        <v>292</v>
      </c>
      <c r="G7" s="133" t="s">
        <v>703</v>
      </c>
      <c r="H7" s="61" t="s">
        <v>704</v>
      </c>
      <c r="I7" s="61" t="s">
        <v>296</v>
      </c>
      <c r="J7" s="104" t="s">
        <v>705</v>
      </c>
      <c r="K7" s="133" t="s">
        <v>455</v>
      </c>
      <c r="L7" s="133" t="s">
        <v>706</v>
      </c>
      <c r="M7" s="169" t="s">
        <v>707</v>
      </c>
      <c r="N7" s="104" t="e">
        <f xml:space="preserve"> RetrieveZone( J7 )</f>
        <v>#VALUE!</v>
      </c>
      <c r="O7" s="104" t="str">
        <f t="shared" ref="O7:O33" si="0" xml:space="preserve"> RetrieveZone( M7 )</f>
        <v xml:space="preserve">PRIVCLOUD OTAP BO SEC-ZONE
</v>
      </c>
      <c r="P7" s="76" t="s">
        <v>300</v>
      </c>
      <c r="Q7" s="61"/>
      <c r="R7" s="76" t="s">
        <v>293</v>
      </c>
      <c r="S7" s="76" t="s">
        <v>301</v>
      </c>
      <c r="T7" s="76" t="s">
        <v>293</v>
      </c>
      <c r="U7" s="61"/>
      <c r="V7" s="61"/>
      <c r="W7" s="61"/>
      <c r="X7" s="76" t="s">
        <v>302</v>
      </c>
      <c r="Y7" s="76" t="s">
        <v>303</v>
      </c>
      <c r="Z7" s="61" t="s">
        <v>708</v>
      </c>
      <c r="AA7" s="61" t="s">
        <v>709</v>
      </c>
      <c r="AB7" s="61"/>
    </row>
    <row r="8" spans="1:28" ht="48" x14ac:dyDescent="0.2">
      <c r="A8" s="61" t="s">
        <v>609</v>
      </c>
      <c r="B8" s="54">
        <v>2</v>
      </c>
      <c r="C8" s="76" t="s">
        <v>400</v>
      </c>
      <c r="D8" s="133" t="s">
        <v>305</v>
      </c>
      <c r="E8" s="76" t="s">
        <v>710</v>
      </c>
      <c r="F8" s="61" t="s">
        <v>292</v>
      </c>
      <c r="G8" s="133" t="s">
        <v>711</v>
      </c>
      <c r="H8" s="61" t="s">
        <v>704</v>
      </c>
      <c r="I8" s="61" t="s">
        <v>296</v>
      </c>
      <c r="J8" s="104" t="s">
        <v>705</v>
      </c>
      <c r="K8" s="133" t="s">
        <v>459</v>
      </c>
      <c r="L8" s="133" t="s">
        <v>712</v>
      </c>
      <c r="M8" s="169" t="s">
        <v>713</v>
      </c>
      <c r="N8" s="104" t="e">
        <f xml:space="preserve"> RetrieveZone( J8 )</f>
        <v>#VALUE!</v>
      </c>
      <c r="O8" s="104" t="str">
        <f t="shared" si="0"/>
        <v xml:space="preserve">PRIVCLOUD OTAP BO SEC-ZONE
PRIVCLOUD OTAP BO SEC-ZONE
</v>
      </c>
      <c r="P8" s="76" t="s">
        <v>300</v>
      </c>
      <c r="Q8" s="61"/>
      <c r="R8" s="76" t="s">
        <v>293</v>
      </c>
      <c r="S8" s="76" t="s">
        <v>310</v>
      </c>
      <c r="T8" s="76" t="s">
        <v>293</v>
      </c>
      <c r="U8" s="61"/>
      <c r="V8" s="61"/>
      <c r="W8" s="61"/>
      <c r="X8" s="76" t="s">
        <v>302</v>
      </c>
      <c r="Y8" s="76" t="s">
        <v>303</v>
      </c>
      <c r="Z8" s="61" t="s">
        <v>708</v>
      </c>
      <c r="AA8" s="61"/>
      <c r="AB8" s="61"/>
    </row>
    <row r="9" spans="1:28" ht="48" x14ac:dyDescent="0.2">
      <c r="A9" s="61" t="s">
        <v>613</v>
      </c>
      <c r="B9" s="54">
        <v>3</v>
      </c>
      <c r="C9" s="76" t="s">
        <v>205</v>
      </c>
      <c r="D9" s="133" t="s">
        <v>312</v>
      </c>
      <c r="E9" s="76" t="s">
        <v>702</v>
      </c>
      <c r="F9" s="61" t="s">
        <v>313</v>
      </c>
      <c r="G9" s="133" t="s">
        <v>711</v>
      </c>
      <c r="H9" s="133" t="s">
        <v>463</v>
      </c>
      <c r="I9" s="133" t="s">
        <v>714</v>
      </c>
      <c r="J9" s="169" t="s">
        <v>715</v>
      </c>
      <c r="K9" s="133" t="s">
        <v>459</v>
      </c>
      <c r="L9" s="133" t="s">
        <v>712</v>
      </c>
      <c r="M9" s="169" t="s">
        <v>713</v>
      </c>
      <c r="N9" s="104" t="str">
        <f xml:space="preserve"> RetrieveZone( J9 )</f>
        <v xml:space="preserve">PRIVCLOUD OTAP FO SEC-ZONE
PRIVCLOUD OTAP FO SEC-ZONE
</v>
      </c>
      <c r="O9" s="104" t="str">
        <f t="shared" si="0"/>
        <v xml:space="preserve">PRIVCLOUD OTAP BO SEC-ZONE
PRIVCLOUD OTAP BO SEC-ZONE
</v>
      </c>
      <c r="P9" s="76" t="s">
        <v>317</v>
      </c>
      <c r="Q9" s="61"/>
      <c r="R9" s="76" t="s">
        <v>293</v>
      </c>
      <c r="S9" s="76" t="s">
        <v>310</v>
      </c>
      <c r="T9" s="76" t="s">
        <v>293</v>
      </c>
      <c r="U9" s="61"/>
      <c r="V9" s="61"/>
      <c r="W9" s="61"/>
      <c r="X9" s="76" t="s">
        <v>302</v>
      </c>
      <c r="Y9" s="76" t="s">
        <v>575</v>
      </c>
      <c r="Z9" s="61" t="s">
        <v>319</v>
      </c>
      <c r="AA9" s="61" t="s">
        <v>709</v>
      </c>
      <c r="AB9" s="61"/>
    </row>
    <row r="10" spans="1:28" ht="112" x14ac:dyDescent="0.2">
      <c r="A10" s="61" t="s">
        <v>618</v>
      </c>
      <c r="B10" s="54">
        <v>4</v>
      </c>
      <c r="C10" s="76" t="s">
        <v>205</v>
      </c>
      <c r="D10" s="133" t="s">
        <v>321</v>
      </c>
      <c r="E10" s="76" t="s">
        <v>702</v>
      </c>
      <c r="F10" s="61" t="s">
        <v>313</v>
      </c>
      <c r="G10" s="61" t="s">
        <v>716</v>
      </c>
      <c r="H10" s="133" t="s">
        <v>463</v>
      </c>
      <c r="I10" s="133" t="s">
        <v>714</v>
      </c>
      <c r="J10" s="169" t="s">
        <v>715</v>
      </c>
      <c r="K10" s="133" t="s">
        <v>467</v>
      </c>
      <c r="L10" s="133" t="s">
        <v>717</v>
      </c>
      <c r="M10" s="169" t="s">
        <v>718</v>
      </c>
      <c r="N10" s="104" t="str">
        <f t="shared" ref="N10:N16" si="1" xml:space="preserve"> RetrieveZone( J10 )</f>
        <v xml:space="preserve">PRIVCLOUD OTAP FO SEC-ZONE
PRIVCLOUD OTAP FO SEC-ZONE
</v>
      </c>
      <c r="O10" s="104" t="str">
        <f t="shared" si="0"/>
        <v>PRIVCLOUD OTAP BO SEC-ZONE
PRIVCLOUD OTAP BO SEC-ZONE
PRIVCLOUD OTAP BO SEC-ZONE
[** NO ZONE **]
PRIVCLOUD OTAP BO SEC-ZONE
Check: inconsistent zones</v>
      </c>
      <c r="P10" s="76" t="s">
        <v>326</v>
      </c>
      <c r="Q10" s="61"/>
      <c r="R10" s="76" t="s">
        <v>293</v>
      </c>
      <c r="S10" s="76" t="s">
        <v>310</v>
      </c>
      <c r="T10" s="76" t="s">
        <v>293</v>
      </c>
      <c r="U10" s="61"/>
      <c r="V10" s="61"/>
      <c r="W10" s="61"/>
      <c r="X10" s="76" t="s">
        <v>302</v>
      </c>
      <c r="Y10" s="76" t="s">
        <v>575</v>
      </c>
      <c r="Z10" s="61" t="s">
        <v>327</v>
      </c>
      <c r="AA10" s="61" t="s">
        <v>709</v>
      </c>
      <c r="AB10" s="61"/>
    </row>
    <row r="11" spans="1:28" ht="48" x14ac:dyDescent="0.2">
      <c r="A11" s="61" t="s">
        <v>618</v>
      </c>
      <c r="B11" s="54" t="s">
        <v>719</v>
      </c>
      <c r="C11" s="76" t="s">
        <v>205</v>
      </c>
      <c r="D11" s="133" t="s">
        <v>321</v>
      </c>
      <c r="E11" s="76" t="s">
        <v>702</v>
      </c>
      <c r="F11" s="61" t="s">
        <v>720</v>
      </c>
      <c r="G11" s="61" t="s">
        <v>721</v>
      </c>
      <c r="H11" s="133" t="s">
        <v>463</v>
      </c>
      <c r="I11" s="133" t="s">
        <v>714</v>
      </c>
      <c r="J11" s="169" t="s">
        <v>715</v>
      </c>
      <c r="K11" s="133" t="s">
        <v>467</v>
      </c>
      <c r="L11" s="133" t="s">
        <v>722</v>
      </c>
      <c r="M11" s="169" t="s">
        <v>723</v>
      </c>
      <c r="N11" s="104" t="str">
        <f t="shared" ref="N11" si="2" xml:space="preserve"> RetrieveZone( J11 )</f>
        <v xml:space="preserve">PRIVCLOUD OTAP FO SEC-ZONE
PRIVCLOUD OTAP FO SEC-ZONE
</v>
      </c>
      <c r="O11" s="104" t="str">
        <f xml:space="preserve"> RetrieveZone( M11 )</f>
        <v>[** NO ZONE **]
Check: inconsistent zones</v>
      </c>
      <c r="P11" s="76" t="s">
        <v>724</v>
      </c>
      <c r="Q11" s="61">
        <v>1526</v>
      </c>
      <c r="R11" s="76" t="s">
        <v>293</v>
      </c>
      <c r="S11" s="76" t="s">
        <v>310</v>
      </c>
      <c r="T11" s="76" t="s">
        <v>293</v>
      </c>
      <c r="U11" s="61"/>
      <c r="V11" s="61"/>
      <c r="W11" s="61"/>
      <c r="X11" s="76" t="s">
        <v>302</v>
      </c>
      <c r="Y11" s="76" t="s">
        <v>575</v>
      </c>
      <c r="Z11" s="61"/>
      <c r="AA11" s="61" t="s">
        <v>725</v>
      </c>
      <c r="AB11" s="61" t="s">
        <v>726</v>
      </c>
    </row>
    <row r="12" spans="1:28" ht="48" x14ac:dyDescent="0.2">
      <c r="A12" s="61" t="s">
        <v>622</v>
      </c>
      <c r="B12" s="54">
        <v>5</v>
      </c>
      <c r="C12" s="76" t="s">
        <v>205</v>
      </c>
      <c r="D12" s="133" t="s">
        <v>329</v>
      </c>
      <c r="E12" s="76" t="s">
        <v>702</v>
      </c>
      <c r="F12" s="61" t="s">
        <v>313</v>
      </c>
      <c r="G12" s="133" t="s">
        <v>727</v>
      </c>
      <c r="H12" s="133" t="s">
        <v>463</v>
      </c>
      <c r="I12" s="133" t="s">
        <v>714</v>
      </c>
      <c r="J12" s="169" t="s">
        <v>715</v>
      </c>
      <c r="K12" s="133" t="s">
        <v>471</v>
      </c>
      <c r="L12" s="133" t="s">
        <v>728</v>
      </c>
      <c r="M12" s="169" t="s">
        <v>729</v>
      </c>
      <c r="N12" s="104" t="str">
        <f t="shared" si="1"/>
        <v xml:space="preserve">PRIVCLOUD OTAP FO SEC-ZONE
PRIVCLOUD OTAP FO SEC-ZONE
</v>
      </c>
      <c r="O12" s="104" t="str">
        <f t="shared" si="0"/>
        <v xml:space="preserve">PRIVCLOUD OTAP BO SEC-ZONE
</v>
      </c>
      <c r="P12" s="76" t="s">
        <v>334</v>
      </c>
      <c r="Q12" s="61">
        <v>31538</v>
      </c>
      <c r="R12" s="76" t="s">
        <v>293</v>
      </c>
      <c r="S12" s="76" t="s">
        <v>301</v>
      </c>
      <c r="T12" s="76" t="s">
        <v>293</v>
      </c>
      <c r="U12" s="61"/>
      <c r="V12" s="61"/>
      <c r="W12" s="61"/>
      <c r="X12" s="76" t="s">
        <v>302</v>
      </c>
      <c r="Y12" s="76" t="s">
        <v>575</v>
      </c>
      <c r="Z12" s="61" t="s">
        <v>708</v>
      </c>
      <c r="AA12" s="61" t="s">
        <v>709</v>
      </c>
      <c r="AB12" s="61"/>
    </row>
    <row r="13" spans="1:28" ht="48" x14ac:dyDescent="0.2">
      <c r="A13" s="61" t="s">
        <v>626</v>
      </c>
      <c r="B13" s="54">
        <v>6</v>
      </c>
      <c r="C13" s="76" t="s">
        <v>205</v>
      </c>
      <c r="D13" s="133" t="s">
        <v>336</v>
      </c>
      <c r="E13" s="76" t="s">
        <v>702</v>
      </c>
      <c r="F13" s="61" t="s">
        <v>313</v>
      </c>
      <c r="G13" s="133" t="s">
        <v>730</v>
      </c>
      <c r="H13" s="133" t="s">
        <v>463</v>
      </c>
      <c r="I13" s="133" t="s">
        <v>714</v>
      </c>
      <c r="J13" s="169" t="s">
        <v>715</v>
      </c>
      <c r="K13" s="133" t="s">
        <v>475</v>
      </c>
      <c r="L13" s="133" t="s">
        <v>731</v>
      </c>
      <c r="M13" s="169" t="s">
        <v>732</v>
      </c>
      <c r="N13" s="104" t="str">
        <f t="shared" si="1"/>
        <v xml:space="preserve">PRIVCLOUD OTAP FO SEC-ZONE
PRIVCLOUD OTAP FO SEC-ZONE
</v>
      </c>
      <c r="O13" s="104" t="str">
        <f t="shared" si="0"/>
        <v xml:space="preserve">PRIVCLOUD OTAP BO SEC-ZONE
</v>
      </c>
      <c r="P13" s="76" t="s">
        <v>334</v>
      </c>
      <c r="Q13" s="61">
        <v>9443</v>
      </c>
      <c r="R13" s="76" t="s">
        <v>293</v>
      </c>
      <c r="S13" s="76" t="s">
        <v>301</v>
      </c>
      <c r="T13" s="76" t="s">
        <v>293</v>
      </c>
      <c r="U13" s="61"/>
      <c r="V13" s="61"/>
      <c r="W13" s="61"/>
      <c r="X13" s="76" t="s">
        <v>302</v>
      </c>
      <c r="Y13" s="76" t="s">
        <v>575</v>
      </c>
      <c r="Z13" s="61" t="s">
        <v>708</v>
      </c>
      <c r="AA13" s="61" t="s">
        <v>709</v>
      </c>
      <c r="AB13" s="61"/>
    </row>
    <row r="14" spans="1:28" ht="48" x14ac:dyDescent="0.2">
      <c r="A14" s="61" t="s">
        <v>630</v>
      </c>
      <c r="B14" s="54">
        <v>7</v>
      </c>
      <c r="C14" s="76" t="s">
        <v>205</v>
      </c>
      <c r="D14" s="133" t="s">
        <v>342</v>
      </c>
      <c r="E14" s="76" t="s">
        <v>702</v>
      </c>
      <c r="F14" s="61" t="s">
        <v>313</v>
      </c>
      <c r="G14" s="133" t="s">
        <v>703</v>
      </c>
      <c r="H14" s="133" t="s">
        <v>463</v>
      </c>
      <c r="I14" s="133" t="s">
        <v>714</v>
      </c>
      <c r="J14" s="169" t="s">
        <v>715</v>
      </c>
      <c r="K14" s="133" t="s">
        <v>455</v>
      </c>
      <c r="L14" s="133" t="s">
        <v>706</v>
      </c>
      <c r="M14" s="169" t="s">
        <v>707</v>
      </c>
      <c r="N14" s="104" t="str">
        <f t="shared" si="1"/>
        <v xml:space="preserve">PRIVCLOUD OTAP FO SEC-ZONE
PRIVCLOUD OTAP FO SEC-ZONE
</v>
      </c>
      <c r="O14" s="104" t="str">
        <f t="shared" si="0"/>
        <v xml:space="preserve">PRIVCLOUD OTAP BO SEC-ZONE
</v>
      </c>
      <c r="P14" s="76" t="s">
        <v>334</v>
      </c>
      <c r="Q14" s="61">
        <v>443</v>
      </c>
      <c r="R14" s="76" t="s">
        <v>293</v>
      </c>
      <c r="S14" s="76" t="s">
        <v>301</v>
      </c>
      <c r="T14" s="76" t="s">
        <v>293</v>
      </c>
      <c r="U14" s="61"/>
      <c r="V14" s="61"/>
      <c r="W14" s="61"/>
      <c r="X14" s="76" t="s">
        <v>302</v>
      </c>
      <c r="Y14" s="76" t="s">
        <v>575</v>
      </c>
      <c r="Z14" s="61" t="s">
        <v>708</v>
      </c>
      <c r="AA14" s="61" t="s">
        <v>709</v>
      </c>
      <c r="AB14" s="61"/>
    </row>
    <row r="15" spans="1:28" ht="48" x14ac:dyDescent="0.2">
      <c r="A15" s="61" t="s">
        <v>631</v>
      </c>
      <c r="B15" s="54">
        <v>8</v>
      </c>
      <c r="C15" s="76" t="s">
        <v>205</v>
      </c>
      <c r="D15" s="133" t="s">
        <v>344</v>
      </c>
      <c r="E15" s="76" t="s">
        <v>702</v>
      </c>
      <c r="F15" s="133" t="s">
        <v>730</v>
      </c>
      <c r="G15" s="133" t="s">
        <v>711</v>
      </c>
      <c r="H15" s="133" t="s">
        <v>475</v>
      </c>
      <c r="I15" s="133" t="s">
        <v>731</v>
      </c>
      <c r="J15" s="169" t="s">
        <v>732</v>
      </c>
      <c r="K15" s="133" t="s">
        <v>459</v>
      </c>
      <c r="L15" s="133" t="s">
        <v>712</v>
      </c>
      <c r="M15" s="169" t="s">
        <v>713</v>
      </c>
      <c r="N15" s="104" t="str">
        <f t="shared" si="1"/>
        <v xml:space="preserve">PRIVCLOUD OTAP BO SEC-ZONE
</v>
      </c>
      <c r="O15" s="104" t="str">
        <f t="shared" si="0"/>
        <v xml:space="preserve">PRIVCLOUD OTAP BO SEC-ZONE
PRIVCLOUD OTAP BO SEC-ZONE
</v>
      </c>
      <c r="P15" s="76" t="s">
        <v>345</v>
      </c>
      <c r="Q15" s="61">
        <v>19443</v>
      </c>
      <c r="R15" s="76" t="s">
        <v>293</v>
      </c>
      <c r="S15" s="76" t="s">
        <v>310</v>
      </c>
      <c r="T15" s="76" t="s">
        <v>293</v>
      </c>
      <c r="U15" s="61"/>
      <c r="V15" s="61"/>
      <c r="W15" s="61"/>
      <c r="X15" s="76" t="s">
        <v>302</v>
      </c>
      <c r="Y15" s="76" t="s">
        <v>575</v>
      </c>
      <c r="Z15" s="61" t="s">
        <v>708</v>
      </c>
      <c r="AA15" s="61" t="s">
        <v>709</v>
      </c>
      <c r="AB15" s="61"/>
    </row>
    <row r="16" spans="1:28" ht="48" x14ac:dyDescent="0.2">
      <c r="A16" s="61" t="s">
        <v>632</v>
      </c>
      <c r="B16" s="54">
        <v>9</v>
      </c>
      <c r="C16" s="76" t="s">
        <v>205</v>
      </c>
      <c r="D16" s="133" t="s">
        <v>347</v>
      </c>
      <c r="E16" s="76" t="s">
        <v>702</v>
      </c>
      <c r="F16" s="61" t="s">
        <v>733</v>
      </c>
      <c r="G16" s="61" t="s">
        <v>734</v>
      </c>
      <c r="H16" s="133" t="s">
        <v>459</v>
      </c>
      <c r="I16" s="133" t="s">
        <v>712</v>
      </c>
      <c r="J16" s="169" t="s">
        <v>713</v>
      </c>
      <c r="K16" s="133" t="s">
        <v>735</v>
      </c>
      <c r="L16" s="133" t="s">
        <v>722</v>
      </c>
      <c r="M16" s="169" t="s">
        <v>723</v>
      </c>
      <c r="N16" s="104" t="str">
        <f t="shared" si="1"/>
        <v xml:space="preserve">PRIVCLOUD OTAP BO SEC-ZONE
PRIVCLOUD OTAP BO SEC-ZONE
</v>
      </c>
      <c r="O16" s="104" t="str">
        <f t="shared" si="0"/>
        <v>[** NO ZONE **]
Check: inconsistent zones</v>
      </c>
      <c r="P16" s="76" t="s">
        <v>352</v>
      </c>
      <c r="Q16" s="61">
        <v>1526</v>
      </c>
      <c r="R16" s="76" t="s">
        <v>293</v>
      </c>
      <c r="S16" s="76" t="s">
        <v>301</v>
      </c>
      <c r="T16" s="76" t="s">
        <v>293</v>
      </c>
      <c r="U16" s="61"/>
      <c r="V16" s="61"/>
      <c r="W16" s="61"/>
      <c r="X16" s="76" t="s">
        <v>302</v>
      </c>
      <c r="Y16" s="76" t="s">
        <v>575</v>
      </c>
      <c r="Z16" s="61" t="s">
        <v>708</v>
      </c>
      <c r="AA16" s="61" t="s">
        <v>709</v>
      </c>
      <c r="AB16" s="61" t="s">
        <v>736</v>
      </c>
    </row>
    <row r="17" spans="1:28" ht="32" x14ac:dyDescent="0.2">
      <c r="A17" s="61" t="s">
        <v>637</v>
      </c>
      <c r="B17" s="54">
        <v>10</v>
      </c>
      <c r="C17" s="76" t="s">
        <v>205</v>
      </c>
      <c r="D17" s="133" t="s">
        <v>355</v>
      </c>
      <c r="E17" s="76" t="s">
        <v>702</v>
      </c>
      <c r="F17" s="61" t="s">
        <v>737</v>
      </c>
      <c r="G17" s="61" t="s">
        <v>734</v>
      </c>
      <c r="H17" s="133" t="s">
        <v>471</v>
      </c>
      <c r="I17" s="133" t="s">
        <v>728</v>
      </c>
      <c r="J17" s="169" t="s">
        <v>729</v>
      </c>
      <c r="K17" s="133" t="s">
        <v>735</v>
      </c>
      <c r="L17" s="133" t="s">
        <v>722</v>
      </c>
      <c r="M17" s="169" t="s">
        <v>723</v>
      </c>
      <c r="N17" s="104" t="str">
        <f xml:space="preserve"> RetrieveZone( J17 )</f>
        <v xml:space="preserve">PRIVCLOUD OTAP BO SEC-ZONE
</v>
      </c>
      <c r="O17" s="104" t="str">
        <f t="shared" si="0"/>
        <v>[** NO ZONE **]
Check: inconsistent zones</v>
      </c>
      <c r="P17" s="76" t="s">
        <v>352</v>
      </c>
      <c r="Q17" s="61">
        <v>1526</v>
      </c>
      <c r="R17" s="76" t="s">
        <v>293</v>
      </c>
      <c r="S17" s="76" t="s">
        <v>301</v>
      </c>
      <c r="T17" s="76" t="s">
        <v>293</v>
      </c>
      <c r="U17" s="61"/>
      <c r="V17" s="61"/>
      <c r="W17" s="61"/>
      <c r="X17" s="76" t="s">
        <v>302</v>
      </c>
      <c r="Y17" s="76" t="s">
        <v>575</v>
      </c>
      <c r="Z17" s="61" t="s">
        <v>708</v>
      </c>
      <c r="AA17" s="61" t="s">
        <v>709</v>
      </c>
      <c r="AB17" s="61" t="s">
        <v>736</v>
      </c>
    </row>
    <row r="18" spans="1:28" ht="32" x14ac:dyDescent="0.2">
      <c r="A18" s="61" t="s">
        <v>638</v>
      </c>
      <c r="B18" s="54">
        <v>11</v>
      </c>
      <c r="C18" s="76" t="s">
        <v>205</v>
      </c>
      <c r="D18" s="133" t="s">
        <v>358</v>
      </c>
      <c r="E18" s="76" t="s">
        <v>702</v>
      </c>
      <c r="F18" s="172" t="s">
        <v>738</v>
      </c>
      <c r="G18" s="172" t="s">
        <v>739</v>
      </c>
      <c r="H18" s="133" t="s">
        <v>740</v>
      </c>
      <c r="I18" s="133" t="s">
        <v>722</v>
      </c>
      <c r="J18" s="169" t="s">
        <v>723</v>
      </c>
      <c r="K18" s="133" t="s">
        <v>471</v>
      </c>
      <c r="L18" s="133" t="s">
        <v>728</v>
      </c>
      <c r="M18" s="169" t="s">
        <v>729</v>
      </c>
      <c r="N18" s="104" t="str">
        <f t="shared" ref="N18:N33" si="3" xml:space="preserve"> RetrieveZone( J18 )</f>
        <v>[** NO ZONE **]
Check: inconsistent zones</v>
      </c>
      <c r="O18" s="104" t="str">
        <f t="shared" si="0"/>
        <v xml:space="preserve">PRIVCLOUD OTAP BO SEC-ZONE
</v>
      </c>
      <c r="P18" s="76" t="s">
        <v>359</v>
      </c>
      <c r="Q18" s="61" t="s">
        <v>360</v>
      </c>
      <c r="R18" s="76" t="s">
        <v>293</v>
      </c>
      <c r="S18" s="76" t="s">
        <v>301</v>
      </c>
      <c r="T18" s="76" t="s">
        <v>293</v>
      </c>
      <c r="U18" s="61"/>
      <c r="V18" s="61"/>
      <c r="W18" s="61"/>
      <c r="X18" s="76" t="s">
        <v>302</v>
      </c>
      <c r="Y18" s="76" t="s">
        <v>575</v>
      </c>
      <c r="Z18" s="61" t="s">
        <v>708</v>
      </c>
      <c r="AA18" s="61" t="s">
        <v>709</v>
      </c>
      <c r="AB18" s="61" t="s">
        <v>736</v>
      </c>
    </row>
    <row r="19" spans="1:28" ht="112" x14ac:dyDescent="0.2">
      <c r="A19" s="61" t="s">
        <v>639</v>
      </c>
      <c r="B19" s="54">
        <v>12</v>
      </c>
      <c r="C19" s="76" t="s">
        <v>400</v>
      </c>
      <c r="D19" s="133" t="s">
        <v>484</v>
      </c>
      <c r="E19" s="76" t="s">
        <v>710</v>
      </c>
      <c r="F19" s="61" t="s">
        <v>741</v>
      </c>
      <c r="G19" s="61" t="s">
        <v>742</v>
      </c>
      <c r="H19" s="133"/>
      <c r="I19" s="133"/>
      <c r="J19" s="133"/>
      <c r="K19" s="133"/>
      <c r="L19" s="133"/>
      <c r="M19" s="133"/>
      <c r="N19" s="104" t="str">
        <f t="shared" si="3"/>
        <v>[** NO ZONE **]</v>
      </c>
      <c r="O19" s="104" t="str">
        <f t="shared" si="0"/>
        <v>[** NO ZONE **]</v>
      </c>
      <c r="P19" s="76" t="s">
        <v>559</v>
      </c>
      <c r="Q19" s="61"/>
      <c r="R19" s="76" t="s">
        <v>560</v>
      </c>
      <c r="S19" s="76" t="s">
        <v>301</v>
      </c>
      <c r="T19" s="76" t="s">
        <v>293</v>
      </c>
      <c r="U19" s="61"/>
      <c r="V19" s="61"/>
      <c r="W19" s="61"/>
      <c r="X19" s="76" t="s">
        <v>302</v>
      </c>
      <c r="Y19" s="76" t="s">
        <v>575</v>
      </c>
      <c r="Z19" s="61" t="s">
        <v>708</v>
      </c>
      <c r="AA19" s="61"/>
      <c r="AB19" s="61"/>
    </row>
    <row r="20" spans="1:28" ht="112" x14ac:dyDescent="0.2">
      <c r="A20" s="61" t="s">
        <v>643</v>
      </c>
      <c r="B20" s="54">
        <v>13</v>
      </c>
      <c r="C20" s="76" t="s">
        <v>400</v>
      </c>
      <c r="D20" s="133" t="s">
        <v>486</v>
      </c>
      <c r="E20" s="76" t="s">
        <v>710</v>
      </c>
      <c r="F20" s="61" t="s">
        <v>742</v>
      </c>
      <c r="G20" s="61" t="s">
        <v>727</v>
      </c>
      <c r="H20" s="133"/>
      <c r="I20" s="133"/>
      <c r="J20" s="133"/>
      <c r="K20" s="133"/>
      <c r="L20" s="133"/>
      <c r="M20" s="133"/>
      <c r="N20" s="104" t="str">
        <f t="shared" si="3"/>
        <v>[** NO ZONE **]</v>
      </c>
      <c r="O20" s="104" t="str">
        <f t="shared" si="0"/>
        <v>[** NO ZONE **]</v>
      </c>
      <c r="P20" s="76" t="s">
        <v>559</v>
      </c>
      <c r="Q20" s="61"/>
      <c r="R20" s="76" t="s">
        <v>560</v>
      </c>
      <c r="S20" s="76" t="s">
        <v>301</v>
      </c>
      <c r="T20" s="76" t="s">
        <v>293</v>
      </c>
      <c r="U20" s="61"/>
      <c r="V20" s="61"/>
      <c r="W20" s="61"/>
      <c r="X20" s="76" t="s">
        <v>302</v>
      </c>
      <c r="Y20" s="76" t="s">
        <v>575</v>
      </c>
      <c r="Z20" s="61" t="s">
        <v>567</v>
      </c>
      <c r="AA20" s="61"/>
      <c r="AB20" s="61"/>
    </row>
    <row r="21" spans="1:28" ht="32" x14ac:dyDescent="0.2">
      <c r="A21" s="61" t="s">
        <v>647</v>
      </c>
      <c r="B21" s="54">
        <v>14</v>
      </c>
      <c r="C21" s="76" t="s">
        <v>400</v>
      </c>
      <c r="D21" s="133" t="s">
        <v>369</v>
      </c>
      <c r="E21" s="76" t="s">
        <v>710</v>
      </c>
      <c r="F21" s="61" t="s">
        <v>330</v>
      </c>
      <c r="G21" s="61"/>
      <c r="H21" s="133"/>
      <c r="I21" s="133"/>
      <c r="J21" s="133"/>
      <c r="K21" s="133"/>
      <c r="L21" s="133"/>
      <c r="M21" s="133"/>
      <c r="N21" s="104" t="str">
        <f t="shared" si="3"/>
        <v>[** NO ZONE **]</v>
      </c>
      <c r="O21" s="104" t="str">
        <f t="shared" si="0"/>
        <v>[** NO ZONE **]</v>
      </c>
      <c r="P21" s="76"/>
      <c r="Q21" s="61"/>
      <c r="R21" s="76"/>
      <c r="S21" s="76"/>
      <c r="T21" s="76" t="s">
        <v>293</v>
      </c>
      <c r="U21" s="61"/>
      <c r="V21" s="61"/>
      <c r="W21" s="61"/>
      <c r="X21" s="76"/>
      <c r="Y21" s="76" t="s">
        <v>575</v>
      </c>
      <c r="Z21" s="61" t="s">
        <v>708</v>
      </c>
      <c r="AA21" s="61"/>
      <c r="AB21" s="61"/>
    </row>
    <row r="22" spans="1:28" ht="32" x14ac:dyDescent="0.2">
      <c r="A22" s="61" t="s">
        <v>648</v>
      </c>
      <c r="B22" s="54">
        <v>15</v>
      </c>
      <c r="C22" s="76" t="s">
        <v>400</v>
      </c>
      <c r="D22" s="133" t="s">
        <v>489</v>
      </c>
      <c r="E22" s="76" t="s">
        <v>710</v>
      </c>
      <c r="F22" s="61" t="s">
        <v>737</v>
      </c>
      <c r="G22" s="61" t="s">
        <v>571</v>
      </c>
      <c r="H22" s="133"/>
      <c r="I22" s="133"/>
      <c r="J22" s="133"/>
      <c r="K22" s="133"/>
      <c r="L22" s="133"/>
      <c r="M22" s="133"/>
      <c r="N22" s="104" t="str">
        <f t="shared" si="3"/>
        <v>[** NO ZONE **]</v>
      </c>
      <c r="O22" s="104" t="str">
        <f t="shared" si="0"/>
        <v>[** NO ZONE **]</v>
      </c>
      <c r="P22" s="76" t="s">
        <v>334</v>
      </c>
      <c r="Q22" s="61" t="s">
        <v>574</v>
      </c>
      <c r="R22" s="76" t="s">
        <v>293</v>
      </c>
      <c r="S22" s="76" t="s">
        <v>400</v>
      </c>
      <c r="T22" s="76" t="s">
        <v>293</v>
      </c>
      <c r="U22" s="61"/>
      <c r="V22" s="61"/>
      <c r="W22" s="61"/>
      <c r="X22" s="76" t="s">
        <v>302</v>
      </c>
      <c r="Y22" s="76" t="s">
        <v>575</v>
      </c>
      <c r="Z22" s="61" t="s">
        <v>708</v>
      </c>
      <c r="AA22" s="61"/>
      <c r="AB22" s="61"/>
    </row>
    <row r="23" spans="1:28" ht="48" x14ac:dyDescent="0.2">
      <c r="A23" s="61" t="s">
        <v>651</v>
      </c>
      <c r="B23" s="54">
        <v>16</v>
      </c>
      <c r="C23" s="76" t="s">
        <v>400</v>
      </c>
      <c r="D23" s="133" t="s">
        <v>491</v>
      </c>
      <c r="E23" s="76" t="s">
        <v>710</v>
      </c>
      <c r="F23" s="61" t="s">
        <v>571</v>
      </c>
      <c r="G23" s="61" t="s">
        <v>737</v>
      </c>
      <c r="H23" s="133"/>
      <c r="I23" s="133"/>
      <c r="J23" s="133"/>
      <c r="K23" s="133"/>
      <c r="L23" s="133"/>
      <c r="M23" s="133"/>
      <c r="N23" s="104" t="str">
        <f t="shared" si="3"/>
        <v>[** NO ZONE **]</v>
      </c>
      <c r="O23" s="104" t="str">
        <f t="shared" si="0"/>
        <v>[** NO ZONE **]</v>
      </c>
      <c r="P23" s="76" t="s">
        <v>334</v>
      </c>
      <c r="Q23" s="61">
        <v>34243</v>
      </c>
      <c r="R23" s="76" t="s">
        <v>293</v>
      </c>
      <c r="S23" s="76" t="s">
        <v>400</v>
      </c>
      <c r="T23" s="76" t="s">
        <v>293</v>
      </c>
      <c r="U23" s="61"/>
      <c r="V23" s="61"/>
      <c r="W23" s="61"/>
      <c r="X23" s="76" t="s">
        <v>302</v>
      </c>
      <c r="Y23" s="76" t="s">
        <v>575</v>
      </c>
      <c r="Z23" s="61" t="s">
        <v>708</v>
      </c>
      <c r="AA23" s="61"/>
      <c r="AB23" s="61"/>
    </row>
    <row r="24" spans="1:28" ht="32" x14ac:dyDescent="0.2">
      <c r="A24" s="61" t="s">
        <v>653</v>
      </c>
      <c r="B24" s="54">
        <v>17</v>
      </c>
      <c r="C24" s="76" t="s">
        <v>400</v>
      </c>
      <c r="D24" s="133" t="s">
        <v>493</v>
      </c>
      <c r="E24" s="76" t="s">
        <v>710</v>
      </c>
      <c r="F24" s="61" t="s">
        <v>330</v>
      </c>
      <c r="G24" s="61"/>
      <c r="H24" s="133"/>
      <c r="I24" s="133"/>
      <c r="J24" s="133"/>
      <c r="K24" s="133"/>
      <c r="L24" s="133"/>
      <c r="M24" s="133"/>
      <c r="N24" s="104" t="str">
        <f t="shared" si="3"/>
        <v>[** NO ZONE **]</v>
      </c>
      <c r="O24" s="104" t="str">
        <f t="shared" si="0"/>
        <v>[** NO ZONE **]</v>
      </c>
      <c r="P24" s="76"/>
      <c r="Q24" s="61"/>
      <c r="R24" s="76"/>
      <c r="S24" s="76"/>
      <c r="T24" s="76" t="s">
        <v>293</v>
      </c>
      <c r="U24" s="61"/>
      <c r="V24" s="61"/>
      <c r="W24" s="61"/>
      <c r="X24" s="76"/>
      <c r="Y24" s="76" t="s">
        <v>575</v>
      </c>
      <c r="Z24" s="61" t="s">
        <v>708</v>
      </c>
      <c r="AA24" s="61"/>
      <c r="AB24" s="61"/>
    </row>
    <row r="25" spans="1:28" ht="32" x14ac:dyDescent="0.2">
      <c r="A25" s="61" t="s">
        <v>654</v>
      </c>
      <c r="B25" s="54">
        <v>18</v>
      </c>
      <c r="C25" s="76" t="s">
        <v>205</v>
      </c>
      <c r="D25" s="133" t="s">
        <v>379</v>
      </c>
      <c r="E25" s="76" t="s">
        <v>743</v>
      </c>
      <c r="F25" s="61" t="s">
        <v>737</v>
      </c>
      <c r="G25" s="61" t="s">
        <v>380</v>
      </c>
      <c r="H25" s="133" t="s">
        <v>471</v>
      </c>
      <c r="I25" s="133" t="s">
        <v>728</v>
      </c>
      <c r="J25" s="169" t="s">
        <v>729</v>
      </c>
      <c r="K25" s="133" t="s">
        <v>381</v>
      </c>
      <c r="L25" s="133" t="s">
        <v>382</v>
      </c>
      <c r="M25" s="133"/>
      <c r="N25" s="104" t="str">
        <f t="shared" si="3"/>
        <v xml:space="preserve">PRIVCLOUD OTAP BO SEC-ZONE
</v>
      </c>
      <c r="O25" s="104" t="str">
        <f t="shared" si="0"/>
        <v>[** NO ZONE **]</v>
      </c>
      <c r="P25" s="76" t="s">
        <v>383</v>
      </c>
      <c r="Q25" s="61"/>
      <c r="R25" s="76" t="s">
        <v>293</v>
      </c>
      <c r="S25" s="76" t="s">
        <v>301</v>
      </c>
      <c r="T25" s="76" t="s">
        <v>293</v>
      </c>
      <c r="U25" s="61"/>
      <c r="V25" s="61"/>
      <c r="W25" s="61"/>
      <c r="X25" s="76" t="s">
        <v>302</v>
      </c>
      <c r="Y25" s="76" t="s">
        <v>303</v>
      </c>
      <c r="Z25" s="61" t="s">
        <v>708</v>
      </c>
      <c r="AA25" s="61" t="s">
        <v>744</v>
      </c>
      <c r="AB25" s="61"/>
    </row>
    <row r="26" spans="1:28" ht="32" x14ac:dyDescent="0.2">
      <c r="A26" s="61" t="s">
        <v>655</v>
      </c>
      <c r="B26" s="54">
        <v>19</v>
      </c>
      <c r="C26" s="76" t="s">
        <v>400</v>
      </c>
      <c r="D26" s="133" t="s">
        <v>385</v>
      </c>
      <c r="E26" s="76" t="s">
        <v>400</v>
      </c>
      <c r="F26" s="61" t="s">
        <v>364</v>
      </c>
      <c r="G26" s="61" t="s">
        <v>364</v>
      </c>
      <c r="H26" s="133" t="s">
        <v>471</v>
      </c>
      <c r="I26" s="133" t="s">
        <v>728</v>
      </c>
      <c r="J26" s="169" t="s">
        <v>729</v>
      </c>
      <c r="K26" s="133" t="s">
        <v>388</v>
      </c>
      <c r="L26" s="133" t="s">
        <v>388</v>
      </c>
      <c r="M26" s="133" t="s">
        <v>389</v>
      </c>
      <c r="N26" s="104" t="str">
        <f t="shared" si="3"/>
        <v xml:space="preserve">PRIVCLOUD OTAP BO SEC-ZONE
</v>
      </c>
      <c r="O26" s="104" t="str">
        <f t="shared" si="0"/>
        <v xml:space="preserve">IBM Ontwikkel Secure Zone
</v>
      </c>
      <c r="P26" s="76"/>
      <c r="Q26" s="61"/>
      <c r="R26" s="76"/>
      <c r="S26" s="76"/>
      <c r="T26" s="76" t="s">
        <v>293</v>
      </c>
      <c r="U26" s="61"/>
      <c r="V26" s="61"/>
      <c r="W26" s="61"/>
      <c r="X26" s="76" t="s">
        <v>302</v>
      </c>
      <c r="Y26" s="76"/>
      <c r="Z26" s="61" t="s">
        <v>708</v>
      </c>
      <c r="AA26" s="61"/>
      <c r="AB26" s="61"/>
    </row>
    <row r="27" spans="1:28" ht="80" x14ac:dyDescent="0.2">
      <c r="A27" s="61" t="s">
        <v>657</v>
      </c>
      <c r="B27" s="54">
        <v>20</v>
      </c>
      <c r="C27" s="76" t="s">
        <v>205</v>
      </c>
      <c r="D27" s="133" t="s">
        <v>393</v>
      </c>
      <c r="E27" s="76" t="s">
        <v>743</v>
      </c>
      <c r="F27" s="61" t="s">
        <v>745</v>
      </c>
      <c r="G27" s="61" t="s">
        <v>395</v>
      </c>
      <c r="H27" s="133" t="s">
        <v>475</v>
      </c>
      <c r="I27" s="133" t="s">
        <v>731</v>
      </c>
      <c r="J27" s="169" t="s">
        <v>732</v>
      </c>
      <c r="K27" s="133"/>
      <c r="L27" s="133" t="s">
        <v>396</v>
      </c>
      <c r="M27" s="169" t="s">
        <v>746</v>
      </c>
      <c r="N27" s="104" t="str">
        <f t="shared" si="3"/>
        <v xml:space="preserve">PRIVCLOUD OTAP BO SEC-ZONE
</v>
      </c>
      <c r="O27" s="104" t="str">
        <f t="shared" si="0"/>
        <v>[** NO ZONE **]
[** NO ZONE **]
[** NO ZONE **]
[** NO ZONE **]
Check: inconsistent zones</v>
      </c>
      <c r="P27" s="76" t="s">
        <v>397</v>
      </c>
      <c r="Q27" s="61">
        <v>636</v>
      </c>
      <c r="R27" s="76" t="s">
        <v>293</v>
      </c>
      <c r="S27" s="76" t="s">
        <v>391</v>
      </c>
      <c r="T27" s="76" t="s">
        <v>293</v>
      </c>
      <c r="U27" s="61"/>
      <c r="V27" s="61"/>
      <c r="W27" s="61"/>
      <c r="X27" s="76" t="s">
        <v>302</v>
      </c>
      <c r="Y27" s="76" t="s">
        <v>303</v>
      </c>
      <c r="Z27" s="61" t="s">
        <v>708</v>
      </c>
      <c r="AA27" s="61" t="s">
        <v>747</v>
      </c>
      <c r="AB27" s="61"/>
    </row>
    <row r="28" spans="1:28" ht="80" x14ac:dyDescent="0.2">
      <c r="A28" s="61" t="s">
        <v>657</v>
      </c>
      <c r="B28" s="54" t="s">
        <v>748</v>
      </c>
      <c r="C28" s="76" t="s">
        <v>205</v>
      </c>
      <c r="D28" s="133" t="s">
        <v>393</v>
      </c>
      <c r="E28" s="76" t="s">
        <v>743</v>
      </c>
      <c r="F28" s="61" t="s">
        <v>745</v>
      </c>
      <c r="G28" s="61" t="s">
        <v>395</v>
      </c>
      <c r="H28" s="133" t="s">
        <v>475</v>
      </c>
      <c r="I28" s="133" t="s">
        <v>731</v>
      </c>
      <c r="J28" s="169" t="s">
        <v>732</v>
      </c>
      <c r="K28" s="133"/>
      <c r="L28" s="133" t="s">
        <v>396</v>
      </c>
      <c r="M28" s="169" t="s">
        <v>746</v>
      </c>
      <c r="N28" s="104" t="str">
        <f t="shared" ref="N28" si="4" xml:space="preserve"> RetrieveZone( J28 )</f>
        <v xml:space="preserve">PRIVCLOUD OTAP BO SEC-ZONE
</v>
      </c>
      <c r="O28" s="104" t="str">
        <f t="shared" ref="O28" si="5" xml:space="preserve"> RetrieveZone( M28 )</f>
        <v>[** NO ZONE **]
[** NO ZONE **]
[** NO ZONE **]
[** NO ZONE **]
Check: inconsistent zones</v>
      </c>
      <c r="P28" s="76" t="s">
        <v>345</v>
      </c>
      <c r="Q28" s="61" t="s">
        <v>749</v>
      </c>
      <c r="R28" s="76" t="s">
        <v>293</v>
      </c>
      <c r="S28" s="76" t="s">
        <v>391</v>
      </c>
      <c r="T28" s="76" t="s">
        <v>293</v>
      </c>
      <c r="U28" s="61"/>
      <c r="V28" s="61"/>
      <c r="W28" s="61"/>
      <c r="X28" s="76" t="s">
        <v>302</v>
      </c>
      <c r="Y28" s="76" t="s">
        <v>303</v>
      </c>
      <c r="Z28" s="61" t="s">
        <v>708</v>
      </c>
      <c r="AA28" s="61" t="s">
        <v>750</v>
      </c>
      <c r="AB28" s="61"/>
    </row>
    <row r="29" spans="1:28" ht="80" x14ac:dyDescent="0.2">
      <c r="A29" s="61" t="s">
        <v>657</v>
      </c>
      <c r="B29" s="54" t="s">
        <v>751</v>
      </c>
      <c r="C29" s="76" t="s">
        <v>205</v>
      </c>
      <c r="D29" s="133" t="s">
        <v>752</v>
      </c>
      <c r="E29" s="76" t="s">
        <v>743</v>
      </c>
      <c r="F29" s="61" t="s">
        <v>753</v>
      </c>
      <c r="G29" s="61" t="s">
        <v>395</v>
      </c>
      <c r="H29" s="176" t="s">
        <v>754</v>
      </c>
      <c r="I29" s="133" t="s">
        <v>722</v>
      </c>
      <c r="J29" s="169" t="s">
        <v>723</v>
      </c>
      <c r="K29" s="133"/>
      <c r="L29" s="133" t="s">
        <v>396</v>
      </c>
      <c r="M29" s="169" t="s">
        <v>746</v>
      </c>
      <c r="N29" s="104" t="str">
        <f xml:space="preserve"> RetrieveZone( J29 )</f>
        <v>[** NO ZONE **]
Check: inconsistent zones</v>
      </c>
      <c r="O29" s="104" t="str">
        <f t="shared" ref="O29" si="6" xml:space="preserve"> RetrieveZone( M29 )</f>
        <v>[** NO ZONE **]
[** NO ZONE **]
[** NO ZONE **]
[** NO ZONE **]
Check: inconsistent zones</v>
      </c>
      <c r="P29" s="76" t="s">
        <v>755</v>
      </c>
      <c r="Q29" s="61" t="s">
        <v>756</v>
      </c>
      <c r="R29" s="76" t="s">
        <v>293</v>
      </c>
      <c r="S29" s="76" t="s">
        <v>391</v>
      </c>
      <c r="T29" s="76" t="s">
        <v>293</v>
      </c>
      <c r="U29" s="61"/>
      <c r="V29" s="61"/>
      <c r="W29" s="61"/>
      <c r="X29" s="76" t="s">
        <v>302</v>
      </c>
      <c r="Y29" s="76" t="s">
        <v>303</v>
      </c>
      <c r="Z29" s="61" t="s">
        <v>708</v>
      </c>
      <c r="AA29" s="61" t="s">
        <v>757</v>
      </c>
      <c r="AB29" s="61"/>
    </row>
    <row r="30" spans="1:28" ht="32" x14ac:dyDescent="0.2">
      <c r="A30" s="61" t="s">
        <v>658</v>
      </c>
      <c r="B30" s="54">
        <v>21</v>
      </c>
      <c r="C30" s="76" t="s">
        <v>205</v>
      </c>
      <c r="D30" s="133" t="s">
        <v>399</v>
      </c>
      <c r="E30" s="76" t="s">
        <v>702</v>
      </c>
      <c r="F30" s="61" t="s">
        <v>745</v>
      </c>
      <c r="G30" s="61" t="s">
        <v>703</v>
      </c>
      <c r="H30" s="133" t="s">
        <v>475</v>
      </c>
      <c r="I30" s="133" t="s">
        <v>731</v>
      </c>
      <c r="J30" s="169" t="s">
        <v>732</v>
      </c>
      <c r="K30" s="133" t="s">
        <v>455</v>
      </c>
      <c r="L30" s="133" t="s">
        <v>706</v>
      </c>
      <c r="M30" s="169" t="s">
        <v>707</v>
      </c>
      <c r="N30" s="104" t="str">
        <f t="shared" si="3"/>
        <v xml:space="preserve">PRIVCLOUD OTAP BO SEC-ZONE
</v>
      </c>
      <c r="O30" s="104" t="str">
        <f t="shared" si="0"/>
        <v xml:space="preserve">PRIVCLOUD OTAP BO SEC-ZONE
</v>
      </c>
      <c r="P30" s="76" t="s">
        <v>345</v>
      </c>
      <c r="Q30" s="61">
        <v>2181</v>
      </c>
      <c r="R30" s="76" t="s">
        <v>293</v>
      </c>
      <c r="S30" s="76" t="s">
        <v>400</v>
      </c>
      <c r="T30" s="76" t="s">
        <v>293</v>
      </c>
      <c r="U30" s="61"/>
      <c r="V30" s="61"/>
      <c r="W30" s="61"/>
      <c r="X30" s="76" t="s">
        <v>302</v>
      </c>
      <c r="Y30" s="76" t="s">
        <v>575</v>
      </c>
      <c r="Z30" s="61" t="s">
        <v>708</v>
      </c>
      <c r="AA30" s="61" t="s">
        <v>709</v>
      </c>
      <c r="AB30" s="61"/>
    </row>
    <row r="31" spans="1:28" ht="32" x14ac:dyDescent="0.2">
      <c r="A31" s="61" t="s">
        <v>659</v>
      </c>
      <c r="B31" s="54">
        <v>22</v>
      </c>
      <c r="C31" s="76" t="s">
        <v>205</v>
      </c>
      <c r="D31" s="133" t="s">
        <v>402</v>
      </c>
      <c r="E31" s="76" t="s">
        <v>702</v>
      </c>
      <c r="F31" s="61" t="s">
        <v>745</v>
      </c>
      <c r="G31" s="61" t="s">
        <v>734</v>
      </c>
      <c r="H31" s="133" t="s">
        <v>475</v>
      </c>
      <c r="I31" s="133" t="s">
        <v>731</v>
      </c>
      <c r="J31" s="169" t="s">
        <v>732</v>
      </c>
      <c r="K31" s="133" t="s">
        <v>735</v>
      </c>
      <c r="L31" s="133" t="s">
        <v>722</v>
      </c>
      <c r="M31" s="169" t="s">
        <v>723</v>
      </c>
      <c r="N31" s="104" t="str">
        <f t="shared" si="3"/>
        <v xml:space="preserve">PRIVCLOUD OTAP BO SEC-ZONE
</v>
      </c>
      <c r="O31" s="104" t="str">
        <f t="shared" si="0"/>
        <v>[** NO ZONE **]
Check: inconsistent zones</v>
      </c>
      <c r="P31" s="76" t="s">
        <v>352</v>
      </c>
      <c r="Q31" s="61">
        <v>1526</v>
      </c>
      <c r="R31" s="76" t="s">
        <v>293</v>
      </c>
      <c r="S31" s="76" t="s">
        <v>301</v>
      </c>
      <c r="T31" s="76" t="s">
        <v>293</v>
      </c>
      <c r="U31" s="61"/>
      <c r="V31" s="61"/>
      <c r="W31" s="61"/>
      <c r="X31" s="76" t="s">
        <v>302</v>
      </c>
      <c r="Y31" s="76" t="s">
        <v>575</v>
      </c>
      <c r="Z31" s="61" t="s">
        <v>708</v>
      </c>
      <c r="AA31" s="61" t="s">
        <v>709</v>
      </c>
      <c r="AB31" s="61" t="s">
        <v>736</v>
      </c>
    </row>
    <row r="32" spans="1:28" ht="48" x14ac:dyDescent="0.2">
      <c r="A32" s="61" t="s">
        <v>660</v>
      </c>
      <c r="B32" s="54">
        <v>23</v>
      </c>
      <c r="C32" s="76" t="s">
        <v>205</v>
      </c>
      <c r="D32" s="133" t="s">
        <v>404</v>
      </c>
      <c r="E32" s="76" t="s">
        <v>702</v>
      </c>
      <c r="F32" s="61" t="s">
        <v>758</v>
      </c>
      <c r="G32" s="61" t="s">
        <v>703</v>
      </c>
      <c r="H32" s="133" t="s">
        <v>500</v>
      </c>
      <c r="I32" s="133" t="s">
        <v>759</v>
      </c>
      <c r="J32" s="169" t="s">
        <v>760</v>
      </c>
      <c r="K32" s="133" t="s">
        <v>455</v>
      </c>
      <c r="L32" s="133" t="s">
        <v>706</v>
      </c>
      <c r="M32" s="169" t="s">
        <v>707</v>
      </c>
      <c r="N32" s="104" t="str">
        <f t="shared" si="3"/>
        <v xml:space="preserve">PRIVCLOUD OTAP BO SEC-ZONE
PRIVCLOUD OTAP BO SEC-ZONE
</v>
      </c>
      <c r="O32" s="104" t="str">
        <f t="shared" si="0"/>
        <v xml:space="preserve">PRIVCLOUD OTAP BO SEC-ZONE
</v>
      </c>
      <c r="P32" s="76" t="s">
        <v>345</v>
      </c>
      <c r="Q32" s="61">
        <v>9092</v>
      </c>
      <c r="R32" s="76" t="s">
        <v>293</v>
      </c>
      <c r="S32" s="76" t="s">
        <v>400</v>
      </c>
      <c r="T32" s="76" t="s">
        <v>293</v>
      </c>
      <c r="U32" s="61"/>
      <c r="V32" s="61"/>
      <c r="W32" s="61"/>
      <c r="X32" s="76" t="s">
        <v>302</v>
      </c>
      <c r="Y32" s="76" t="s">
        <v>575</v>
      </c>
      <c r="Z32" s="61" t="s">
        <v>708</v>
      </c>
      <c r="AA32" s="61" t="s">
        <v>709</v>
      </c>
      <c r="AB32" s="61"/>
    </row>
    <row r="33" spans="1:28" ht="32" x14ac:dyDescent="0.2">
      <c r="A33" s="61" t="s">
        <v>664</v>
      </c>
      <c r="B33" s="54">
        <v>24</v>
      </c>
      <c r="C33" s="76" t="s">
        <v>205</v>
      </c>
      <c r="D33" s="133" t="s">
        <v>409</v>
      </c>
      <c r="E33" s="76" t="s">
        <v>702</v>
      </c>
      <c r="F33" s="61" t="s">
        <v>703</v>
      </c>
      <c r="G33" s="61" t="s">
        <v>734</v>
      </c>
      <c r="H33" s="133" t="s">
        <v>455</v>
      </c>
      <c r="I33" s="133" t="s">
        <v>706</v>
      </c>
      <c r="J33" s="169" t="s">
        <v>707</v>
      </c>
      <c r="K33" s="133" t="s">
        <v>735</v>
      </c>
      <c r="L33" s="133" t="s">
        <v>722</v>
      </c>
      <c r="M33" s="169" t="s">
        <v>723</v>
      </c>
      <c r="N33" s="104" t="str">
        <f t="shared" si="3"/>
        <v xml:space="preserve">PRIVCLOUD OTAP BO SEC-ZONE
</v>
      </c>
      <c r="O33" s="104" t="str">
        <f t="shared" si="0"/>
        <v>[** NO ZONE **]
Check: inconsistent zones</v>
      </c>
      <c r="P33" s="76" t="s">
        <v>352</v>
      </c>
      <c r="Q33" s="61">
        <v>1526</v>
      </c>
      <c r="R33" s="76" t="s">
        <v>293</v>
      </c>
      <c r="S33" s="76" t="s">
        <v>301</v>
      </c>
      <c r="T33" s="76" t="s">
        <v>293</v>
      </c>
      <c r="U33" s="61"/>
      <c r="V33" s="61"/>
      <c r="W33" s="61"/>
      <c r="X33" s="76"/>
      <c r="Y33" s="76" t="s">
        <v>575</v>
      </c>
      <c r="Z33" s="61" t="s">
        <v>708</v>
      </c>
      <c r="AA33" s="61" t="s">
        <v>709</v>
      </c>
      <c r="AB33" s="61" t="s">
        <v>736</v>
      </c>
    </row>
    <row r="34" spans="1:28" ht="48" x14ac:dyDescent="0.2">
      <c r="A34" s="61" t="s">
        <v>665</v>
      </c>
      <c r="B34" s="54">
        <v>25</v>
      </c>
      <c r="C34" s="76" t="s">
        <v>400</v>
      </c>
      <c r="D34" s="133" t="s">
        <v>411</v>
      </c>
      <c r="E34" s="76" t="s">
        <v>710</v>
      </c>
      <c r="F34" s="61" t="s">
        <v>394</v>
      </c>
      <c r="G34" s="61" t="s">
        <v>395</v>
      </c>
      <c r="H34" s="133"/>
      <c r="I34" s="133"/>
      <c r="J34" s="133"/>
      <c r="K34" s="133"/>
      <c r="L34" s="133"/>
      <c r="M34" s="133"/>
      <c r="N34" s="104" t="str">
        <f t="shared" ref="N34:N39" si="7" xml:space="preserve"> RetrieveZone( J34 )</f>
        <v>[** NO ZONE **]</v>
      </c>
      <c r="O34" s="104" t="str">
        <f t="shared" ref="O34:O40" si="8" xml:space="preserve"> RetrieveZone( M34 )</f>
        <v>[** NO ZONE **]</v>
      </c>
      <c r="P34" s="76"/>
      <c r="Q34" s="61"/>
      <c r="R34" s="76"/>
      <c r="S34" s="76"/>
      <c r="T34" s="76" t="s">
        <v>293</v>
      </c>
      <c r="U34" s="61"/>
      <c r="V34" s="61"/>
      <c r="W34" s="61"/>
      <c r="X34" s="76" t="s">
        <v>302</v>
      </c>
      <c r="Y34" s="76" t="s">
        <v>575</v>
      </c>
      <c r="Z34" s="61" t="s">
        <v>708</v>
      </c>
      <c r="AA34" s="61"/>
      <c r="AB34" s="61"/>
    </row>
    <row r="35" spans="1:28" ht="64" x14ac:dyDescent="0.2">
      <c r="A35" s="61" t="s">
        <v>761</v>
      </c>
      <c r="B35" s="54">
        <v>26</v>
      </c>
      <c r="C35" s="76" t="s">
        <v>205</v>
      </c>
      <c r="D35" s="133" t="s">
        <v>415</v>
      </c>
      <c r="E35" s="76" t="s">
        <v>702</v>
      </c>
      <c r="F35" s="61" t="s">
        <v>762</v>
      </c>
      <c r="G35" s="61" t="s">
        <v>763</v>
      </c>
      <c r="H35" s="132" t="s">
        <v>764</v>
      </c>
      <c r="I35" s="170" t="s">
        <v>765</v>
      </c>
      <c r="J35" s="171" t="s">
        <v>766</v>
      </c>
      <c r="K35" s="133" t="s">
        <v>767</v>
      </c>
      <c r="L35" s="133" t="s">
        <v>768</v>
      </c>
      <c r="M35" s="169" t="s">
        <v>769</v>
      </c>
      <c r="N35" s="104" t="str">
        <f t="shared" si="7"/>
        <v>[** NO ZONE **]
Check: inconsistent zones</v>
      </c>
      <c r="O35" s="104" t="str">
        <f t="shared" si="8"/>
        <v xml:space="preserve">PRIVCLOUD OTAP BO SEC-ZONE
PRIVCLOUD OTAP BO SEC-ZONE
PRIVCLOUD OTAP BO SEC-ZONE
</v>
      </c>
      <c r="P35" s="76" t="s">
        <v>326</v>
      </c>
      <c r="Q35" s="61"/>
      <c r="R35" s="76" t="s">
        <v>293</v>
      </c>
      <c r="S35" s="76" t="s">
        <v>310</v>
      </c>
      <c r="T35" s="76" t="s">
        <v>293</v>
      </c>
      <c r="U35" s="61"/>
      <c r="V35" s="61"/>
      <c r="W35" s="61"/>
      <c r="X35" s="76"/>
      <c r="Y35" s="76" t="s">
        <v>575</v>
      </c>
      <c r="Z35" s="61" t="s">
        <v>420</v>
      </c>
      <c r="AA35" s="61" t="s">
        <v>709</v>
      </c>
      <c r="AB35" s="61" t="s">
        <v>736</v>
      </c>
    </row>
    <row r="36" spans="1:28" ht="64" x14ac:dyDescent="0.2">
      <c r="A36" s="61" t="s">
        <v>671</v>
      </c>
      <c r="B36" s="54">
        <v>27</v>
      </c>
      <c r="C36" s="76" t="s">
        <v>205</v>
      </c>
      <c r="D36" s="133" t="s">
        <v>423</v>
      </c>
      <c r="E36" s="76" t="s">
        <v>702</v>
      </c>
      <c r="F36" s="61" t="s">
        <v>763</v>
      </c>
      <c r="G36" s="61" t="s">
        <v>770</v>
      </c>
      <c r="H36" s="133" t="s">
        <v>767</v>
      </c>
      <c r="I36" s="133" t="s">
        <v>768</v>
      </c>
      <c r="J36" s="169" t="s">
        <v>769</v>
      </c>
      <c r="K36" s="133" t="s">
        <v>771</v>
      </c>
      <c r="L36" s="170" t="s">
        <v>765</v>
      </c>
      <c r="M36" s="171" t="s">
        <v>766</v>
      </c>
      <c r="N36" s="104" t="str">
        <f t="shared" si="7"/>
        <v xml:space="preserve">PRIVCLOUD OTAP BO SEC-ZONE
PRIVCLOUD OTAP BO SEC-ZONE
PRIVCLOUD OTAP BO SEC-ZONE
</v>
      </c>
      <c r="O36" s="104" t="str">
        <f t="shared" si="8"/>
        <v>[** NO ZONE **]
Check: inconsistent zones</v>
      </c>
      <c r="P36" s="76" t="s">
        <v>326</v>
      </c>
      <c r="Q36" s="61"/>
      <c r="R36" s="76" t="s">
        <v>293</v>
      </c>
      <c r="S36" s="76" t="s">
        <v>310</v>
      </c>
      <c r="T36" s="76" t="s">
        <v>293</v>
      </c>
      <c r="U36" s="61"/>
      <c r="V36" s="61"/>
      <c r="W36" s="61"/>
      <c r="X36" s="76"/>
      <c r="Y36" s="76" t="s">
        <v>575</v>
      </c>
      <c r="Z36" s="61" t="s">
        <v>424</v>
      </c>
      <c r="AA36" s="61" t="s">
        <v>709</v>
      </c>
      <c r="AB36" s="61" t="s">
        <v>736</v>
      </c>
    </row>
    <row r="37" spans="1:28" ht="96" x14ac:dyDescent="0.2">
      <c r="A37" s="166" t="s">
        <v>673</v>
      </c>
      <c r="B37" s="54">
        <v>28</v>
      </c>
      <c r="C37" s="76" t="s">
        <v>400</v>
      </c>
      <c r="D37" s="133" t="s">
        <v>426</v>
      </c>
      <c r="E37" s="76" t="s">
        <v>702</v>
      </c>
      <c r="F37" s="61" t="s">
        <v>772</v>
      </c>
      <c r="G37" s="61" t="s">
        <v>428</v>
      </c>
      <c r="H37" s="133" t="s">
        <v>506</v>
      </c>
      <c r="I37" s="133" t="s">
        <v>773</v>
      </c>
      <c r="J37" s="169" t="s">
        <v>774</v>
      </c>
      <c r="K37" s="133" t="s">
        <v>432</v>
      </c>
      <c r="L37" s="133" t="s">
        <v>433</v>
      </c>
      <c r="M37" s="133" t="s">
        <v>434</v>
      </c>
      <c r="N37" s="104" t="str">
        <f t="shared" si="7"/>
        <v xml:space="preserve">PRIVCLOUD OTAP BO SEC-ZONE
PRIVCLOUD OTAP BO SEC-ZONE
PRIVCLOUD OTAP BO SEC-ZONE
PRIVCLOUD OTAP BO SEC-ZONE
PRIVCLOUD OTAP BO SEC-ZONE
</v>
      </c>
      <c r="O37" s="104" t="str">
        <f t="shared" si="8"/>
        <v xml:space="preserve">IBM Application Mgmt
</v>
      </c>
      <c r="P37" s="76" t="s">
        <v>435</v>
      </c>
      <c r="Q37" s="61"/>
      <c r="R37" s="76" t="s">
        <v>293</v>
      </c>
      <c r="S37" s="76" t="s">
        <v>310</v>
      </c>
      <c r="T37" s="76" t="s">
        <v>293</v>
      </c>
      <c r="U37" s="61"/>
      <c r="V37" s="61"/>
      <c r="W37" s="61"/>
      <c r="X37" s="76" t="s">
        <v>302</v>
      </c>
      <c r="Y37" s="76" t="s">
        <v>575</v>
      </c>
      <c r="Z37" s="61" t="s">
        <v>708</v>
      </c>
      <c r="AA37" s="61"/>
      <c r="AB37" s="61"/>
    </row>
    <row r="38" spans="1:28" ht="96" x14ac:dyDescent="0.2">
      <c r="A38" s="61" t="s">
        <v>677</v>
      </c>
      <c r="B38" s="54">
        <v>29</v>
      </c>
      <c r="C38" s="76" t="s">
        <v>400</v>
      </c>
      <c r="D38" s="61" t="s">
        <v>678</v>
      </c>
      <c r="E38" s="76" t="s">
        <v>710</v>
      </c>
      <c r="F38" s="61" t="s">
        <v>775</v>
      </c>
      <c r="G38" s="61" t="s">
        <v>439</v>
      </c>
      <c r="H38" s="133" t="s">
        <v>506</v>
      </c>
      <c r="I38" s="133" t="s">
        <v>773</v>
      </c>
      <c r="J38" s="169" t="s">
        <v>774</v>
      </c>
      <c r="K38" s="133" t="s">
        <v>440</v>
      </c>
      <c r="L38" s="133" t="s">
        <v>441</v>
      </c>
      <c r="M38" s="133" t="s">
        <v>442</v>
      </c>
      <c r="N38" s="104" t="str">
        <f t="shared" si="7"/>
        <v xml:space="preserve">PRIVCLOUD OTAP BO SEC-ZONE
PRIVCLOUD OTAP BO SEC-ZONE
PRIVCLOUD OTAP BO SEC-ZONE
PRIVCLOUD OTAP BO SEC-ZONE
PRIVCLOUD OTAP BO SEC-ZONE
</v>
      </c>
      <c r="O38" s="104" t="str">
        <f t="shared" si="8"/>
        <v xml:space="preserve">IBM Productie Secure Zone
IBM Productie Secure Zone
</v>
      </c>
      <c r="P38" s="76" t="s">
        <v>334</v>
      </c>
      <c r="Q38" s="61" t="s">
        <v>443</v>
      </c>
      <c r="R38" s="76" t="s">
        <v>293</v>
      </c>
      <c r="S38" s="76" t="s">
        <v>391</v>
      </c>
      <c r="T38" s="76" t="s">
        <v>293</v>
      </c>
      <c r="U38" s="61"/>
      <c r="V38" s="61"/>
      <c r="W38" s="61"/>
      <c r="X38" s="76" t="s">
        <v>302</v>
      </c>
      <c r="Y38" s="76" t="s">
        <v>575</v>
      </c>
      <c r="Z38" s="61" t="s">
        <v>708</v>
      </c>
      <c r="AA38" s="61"/>
      <c r="AB38" s="61"/>
    </row>
    <row r="39" spans="1:28" ht="32" x14ac:dyDescent="0.2">
      <c r="A39" s="61" t="s">
        <v>679</v>
      </c>
      <c r="B39" s="54">
        <v>30</v>
      </c>
      <c r="C39" s="76" t="s">
        <v>205</v>
      </c>
      <c r="D39" s="133" t="s">
        <v>513</v>
      </c>
      <c r="E39" s="76" t="s">
        <v>702</v>
      </c>
      <c r="F39" s="61" t="s">
        <v>776</v>
      </c>
      <c r="G39" s="61" t="s">
        <v>447</v>
      </c>
      <c r="H39" s="133"/>
      <c r="I39" s="133" t="s">
        <v>722</v>
      </c>
      <c r="J39" s="169" t="s">
        <v>723</v>
      </c>
      <c r="K39" s="132" t="s">
        <v>777</v>
      </c>
      <c r="L39" s="133" t="s">
        <v>449</v>
      </c>
      <c r="M39" s="133"/>
      <c r="N39" s="104" t="str">
        <f t="shared" si="7"/>
        <v>[** NO ZONE **]
Check: inconsistent zones</v>
      </c>
      <c r="O39" s="104" t="str">
        <f t="shared" si="8"/>
        <v>[** NO ZONE **]</v>
      </c>
      <c r="P39" s="76" t="s">
        <v>778</v>
      </c>
      <c r="Q39" s="61">
        <v>1527</v>
      </c>
      <c r="R39" s="76" t="s">
        <v>293</v>
      </c>
      <c r="S39" s="76" t="s">
        <v>391</v>
      </c>
      <c r="T39" s="76" t="s">
        <v>293</v>
      </c>
      <c r="U39" s="61"/>
      <c r="V39" s="61"/>
      <c r="W39" s="61"/>
      <c r="X39" s="76" t="s">
        <v>302</v>
      </c>
      <c r="Y39" s="76" t="s">
        <v>575</v>
      </c>
      <c r="Z39" s="61" t="s">
        <v>684</v>
      </c>
      <c r="AA39" s="61" t="s">
        <v>779</v>
      </c>
      <c r="AB39" s="61"/>
    </row>
    <row r="40" spans="1:28" ht="48" x14ac:dyDescent="0.2">
      <c r="A40" s="61" t="s">
        <v>685</v>
      </c>
      <c r="B40" s="54">
        <v>31</v>
      </c>
      <c r="C40" s="76" t="s">
        <v>205</v>
      </c>
      <c r="D40" s="133" t="s">
        <v>451</v>
      </c>
      <c r="E40" s="76" t="s">
        <v>702</v>
      </c>
      <c r="F40" s="61" t="s">
        <v>711</v>
      </c>
      <c r="G40" s="61" t="s">
        <v>780</v>
      </c>
      <c r="H40" s="133" t="s">
        <v>459</v>
      </c>
      <c r="I40" s="133" t="s">
        <v>712</v>
      </c>
      <c r="J40" s="169" t="s">
        <v>713</v>
      </c>
      <c r="K40" s="133" t="s">
        <v>475</v>
      </c>
      <c r="L40" s="133" t="s">
        <v>731</v>
      </c>
      <c r="M40" s="169" t="s">
        <v>732</v>
      </c>
      <c r="N40" s="104" t="str">
        <f xml:space="preserve"> RetrieveZone( J40 )</f>
        <v xml:space="preserve">PRIVCLOUD OTAP BO SEC-ZONE
PRIVCLOUD OTAP BO SEC-ZONE
</v>
      </c>
      <c r="O40" s="104" t="str">
        <f t="shared" si="8"/>
        <v xml:space="preserve">PRIVCLOUD OTAP BO SEC-ZONE
</v>
      </c>
      <c r="P40" s="76" t="s">
        <v>334</v>
      </c>
      <c r="Q40" s="61">
        <v>9443</v>
      </c>
      <c r="R40" s="76" t="s">
        <v>293</v>
      </c>
      <c r="S40" s="76" t="s">
        <v>301</v>
      </c>
      <c r="T40" s="76" t="s">
        <v>293</v>
      </c>
      <c r="U40" s="61"/>
      <c r="V40" s="61"/>
      <c r="W40" s="61"/>
      <c r="X40" s="76" t="s">
        <v>302</v>
      </c>
      <c r="Y40" s="76" t="s">
        <v>575</v>
      </c>
      <c r="Z40" s="61" t="s">
        <v>708</v>
      </c>
      <c r="AA40" s="61" t="s">
        <v>709</v>
      </c>
      <c r="AB40" s="61"/>
    </row>
    <row r="41" spans="1:28" ht="176" x14ac:dyDescent="0.2">
      <c r="A41" s="61"/>
      <c r="B41" s="124">
        <v>32</v>
      </c>
      <c r="C41" s="76" t="s">
        <v>205</v>
      </c>
      <c r="D41" s="61" t="s">
        <v>781</v>
      </c>
      <c r="E41" s="76" t="s">
        <v>702</v>
      </c>
      <c r="F41" s="61" t="s">
        <v>782</v>
      </c>
      <c r="G41" s="61" t="s">
        <v>783</v>
      </c>
      <c r="H41" s="61"/>
      <c r="I41" s="104" t="s">
        <v>784</v>
      </c>
      <c r="J41" s="104" t="s">
        <v>785</v>
      </c>
      <c r="K41" s="61"/>
      <c r="L41" s="61" t="s">
        <v>722</v>
      </c>
      <c r="M41" s="104" t="s">
        <v>786</v>
      </c>
      <c r="N41" s="104" t="str">
        <f t="shared" ref="N41" si="9" xml:space="preserve"> RetrieveZone( J41 )</f>
        <v>[** NO ZONE **]
Check: inconsistent zones</v>
      </c>
      <c r="O41" s="104" t="str">
        <f t="shared" ref="O41" si="10" xml:space="preserve"> RetrieveZone( M41 )</f>
        <v>[** NO ZONE **]
Check: inconsistent zones</v>
      </c>
      <c r="P41" s="76" t="s">
        <v>345</v>
      </c>
      <c r="Q41" s="61" t="s">
        <v>787</v>
      </c>
      <c r="R41" s="76" t="s">
        <v>400</v>
      </c>
      <c r="S41" s="76" t="s">
        <v>400</v>
      </c>
      <c r="T41" s="76" t="s">
        <v>293</v>
      </c>
      <c r="U41" s="61"/>
      <c r="V41" s="61"/>
      <c r="W41" s="61"/>
      <c r="X41" s="76" t="s">
        <v>302</v>
      </c>
      <c r="Y41" s="76" t="s">
        <v>400</v>
      </c>
      <c r="Z41" s="61"/>
      <c r="AA41" s="61" t="s">
        <v>788</v>
      </c>
      <c r="AB41" s="61"/>
    </row>
    <row r="42" spans="1:28" ht="32" x14ac:dyDescent="0.2">
      <c r="A42" s="61"/>
      <c r="B42" s="124">
        <v>33</v>
      </c>
      <c r="C42" s="76" t="s">
        <v>205</v>
      </c>
      <c r="D42" s="76" t="s">
        <v>789</v>
      </c>
      <c r="E42" s="76" t="s">
        <v>702</v>
      </c>
      <c r="F42" s="61" t="s">
        <v>790</v>
      </c>
      <c r="G42" s="61" t="s">
        <v>791</v>
      </c>
      <c r="H42" s="61" t="s">
        <v>790</v>
      </c>
      <c r="I42" s="170" t="s">
        <v>765</v>
      </c>
      <c r="J42" s="171" t="s">
        <v>766</v>
      </c>
      <c r="K42" s="61" t="s">
        <v>791</v>
      </c>
      <c r="L42" s="170" t="s">
        <v>722</v>
      </c>
      <c r="M42" s="171" t="s">
        <v>723</v>
      </c>
      <c r="N42" s="61" t="str">
        <f xml:space="preserve"> RetrieveZone( J42 )</f>
        <v>[** NO ZONE **]
Check: inconsistent zones</v>
      </c>
      <c r="O42" s="61" t="str">
        <f xml:space="preserve"> RetrieveZone( M42 )</f>
        <v>[** NO ZONE **]
Check: inconsistent zones</v>
      </c>
      <c r="P42" s="76" t="s">
        <v>326</v>
      </c>
      <c r="Q42" s="61"/>
      <c r="R42" s="76" t="s">
        <v>293</v>
      </c>
      <c r="S42" s="76" t="s">
        <v>310</v>
      </c>
      <c r="T42" s="76" t="s">
        <v>293</v>
      </c>
      <c r="U42" s="61"/>
      <c r="V42" s="61"/>
      <c r="W42" s="61"/>
      <c r="X42" s="76" t="s">
        <v>302</v>
      </c>
      <c r="Y42" s="76" t="s">
        <v>575</v>
      </c>
      <c r="Z42" s="61"/>
      <c r="AA42" s="61" t="s">
        <v>792</v>
      </c>
      <c r="AB42" s="61" t="s">
        <v>736</v>
      </c>
    </row>
    <row r="43" spans="1:28" ht="32" x14ac:dyDescent="0.2">
      <c r="A43" s="61"/>
      <c r="B43" s="124">
        <v>34</v>
      </c>
      <c r="C43" s="76" t="s">
        <v>205</v>
      </c>
      <c r="D43" s="76" t="s">
        <v>793</v>
      </c>
      <c r="E43" s="76" t="s">
        <v>702</v>
      </c>
      <c r="F43" s="61" t="s">
        <v>791</v>
      </c>
      <c r="G43" s="61" t="s">
        <v>790</v>
      </c>
      <c r="H43" s="61" t="s">
        <v>791</v>
      </c>
      <c r="I43" s="170" t="s">
        <v>722</v>
      </c>
      <c r="J43" s="171" t="s">
        <v>723</v>
      </c>
      <c r="K43" s="61" t="s">
        <v>790</v>
      </c>
      <c r="L43" s="170" t="s">
        <v>765</v>
      </c>
      <c r="M43" s="171" t="s">
        <v>766</v>
      </c>
      <c r="N43" s="104" t="str">
        <f t="shared" ref="N43:N78" si="11" xml:space="preserve"> RetrieveZone( J43 )</f>
        <v>[** NO ZONE **]
Check: inconsistent zones</v>
      </c>
      <c r="O43" s="104" t="str">
        <f t="shared" ref="O43:O78" si="12" xml:space="preserve"> RetrieveZone( M43 )</f>
        <v>[** NO ZONE **]
Check: inconsistent zones</v>
      </c>
      <c r="P43" s="76" t="s">
        <v>326</v>
      </c>
      <c r="Q43" s="61"/>
      <c r="R43" s="76" t="s">
        <v>293</v>
      </c>
      <c r="S43" s="76" t="s">
        <v>310</v>
      </c>
      <c r="T43" s="76" t="s">
        <v>293</v>
      </c>
      <c r="U43" s="61"/>
      <c r="V43" s="61"/>
      <c r="W43" s="61"/>
      <c r="X43" s="76" t="s">
        <v>302</v>
      </c>
      <c r="Y43" s="76" t="s">
        <v>575</v>
      </c>
      <c r="Z43" s="61"/>
      <c r="AA43" s="61" t="s">
        <v>792</v>
      </c>
      <c r="AB43" s="61" t="s">
        <v>736</v>
      </c>
    </row>
    <row r="44" spans="1:28" ht="32" x14ac:dyDescent="0.2">
      <c r="A44" s="61"/>
      <c r="B44" s="124">
        <v>35</v>
      </c>
      <c r="C44" s="76" t="s">
        <v>205</v>
      </c>
      <c r="D44" s="76" t="s">
        <v>794</v>
      </c>
      <c r="E44" s="76" t="s">
        <v>702</v>
      </c>
      <c r="F44" s="61" t="s">
        <v>790</v>
      </c>
      <c r="G44" s="61" t="s">
        <v>791</v>
      </c>
      <c r="H44" s="61" t="s">
        <v>790</v>
      </c>
      <c r="I44" s="170" t="s">
        <v>765</v>
      </c>
      <c r="J44" s="171" t="s">
        <v>766</v>
      </c>
      <c r="K44" s="61" t="s">
        <v>791</v>
      </c>
      <c r="L44" s="170" t="s">
        <v>722</v>
      </c>
      <c r="M44" s="171" t="s">
        <v>723</v>
      </c>
      <c r="N44" s="61" t="str">
        <f xml:space="preserve"> RetrieveZone( J44 )</f>
        <v>[** NO ZONE **]
Check: inconsistent zones</v>
      </c>
      <c r="O44" s="61" t="str">
        <f xml:space="preserve"> RetrieveZone( M44 )</f>
        <v>[** NO ZONE **]
Check: inconsistent zones</v>
      </c>
      <c r="P44" s="76" t="s">
        <v>778</v>
      </c>
      <c r="Q44" s="61">
        <v>1526</v>
      </c>
      <c r="R44" s="76" t="s">
        <v>293</v>
      </c>
      <c r="S44" s="76" t="s">
        <v>391</v>
      </c>
      <c r="T44" s="76" t="s">
        <v>293</v>
      </c>
      <c r="U44" s="61"/>
      <c r="V44" s="61"/>
      <c r="W44" s="61"/>
      <c r="X44" s="76" t="s">
        <v>302</v>
      </c>
      <c r="Y44" s="76" t="s">
        <v>575</v>
      </c>
      <c r="Z44" s="61"/>
      <c r="AA44" s="61" t="s">
        <v>792</v>
      </c>
      <c r="AB44" s="61" t="s">
        <v>736</v>
      </c>
    </row>
    <row r="45" spans="1:28" ht="32" x14ac:dyDescent="0.2">
      <c r="A45" s="61"/>
      <c r="B45" s="124">
        <v>36</v>
      </c>
      <c r="C45" s="76" t="s">
        <v>205</v>
      </c>
      <c r="D45" s="76" t="s">
        <v>795</v>
      </c>
      <c r="E45" s="76" t="s">
        <v>702</v>
      </c>
      <c r="F45" s="61" t="s">
        <v>796</v>
      </c>
      <c r="G45" s="61" t="s">
        <v>797</v>
      </c>
      <c r="H45" s="61"/>
      <c r="I45" s="61" t="s">
        <v>722</v>
      </c>
      <c r="J45" s="104" t="s">
        <v>798</v>
      </c>
      <c r="K45" s="61"/>
      <c r="L45" s="61" t="s">
        <v>799</v>
      </c>
      <c r="M45" s="104" t="s">
        <v>800</v>
      </c>
      <c r="N45" s="104" t="s">
        <v>801</v>
      </c>
      <c r="O45" s="104" t="str">
        <f t="shared" si="12"/>
        <v xml:space="preserve">PRIVCLOUD OTAP BO SEC-ZONE
</v>
      </c>
      <c r="P45" s="76" t="s">
        <v>334</v>
      </c>
      <c r="Q45" s="61" t="s">
        <v>802</v>
      </c>
      <c r="R45" s="76" t="s">
        <v>293</v>
      </c>
      <c r="S45" s="76" t="s">
        <v>803</v>
      </c>
      <c r="T45" s="76" t="s">
        <v>293</v>
      </c>
      <c r="U45" s="61"/>
      <c r="V45" s="61"/>
      <c r="W45" s="61"/>
      <c r="X45" s="76" t="s">
        <v>302</v>
      </c>
      <c r="Y45" s="76" t="s">
        <v>400</v>
      </c>
      <c r="Z45" s="61"/>
      <c r="AA45" s="61" t="s">
        <v>804</v>
      </c>
      <c r="AB45" s="61"/>
    </row>
    <row r="46" spans="1:28" ht="32" x14ac:dyDescent="0.2">
      <c r="A46" s="61"/>
      <c r="B46" s="124">
        <v>37</v>
      </c>
      <c r="C46" s="76" t="s">
        <v>205</v>
      </c>
      <c r="D46" s="76" t="s">
        <v>805</v>
      </c>
      <c r="E46" s="76" t="s">
        <v>702</v>
      </c>
      <c r="F46" s="61" t="s">
        <v>806</v>
      </c>
      <c r="G46" s="61" t="s">
        <v>807</v>
      </c>
      <c r="H46" s="61" t="s">
        <v>806</v>
      </c>
      <c r="I46" s="61" t="s">
        <v>728</v>
      </c>
      <c r="J46" s="104" t="s">
        <v>729</v>
      </c>
      <c r="K46" s="61" t="s">
        <v>807</v>
      </c>
      <c r="L46" s="61" t="s">
        <v>808</v>
      </c>
      <c r="M46" s="104" t="s">
        <v>809</v>
      </c>
      <c r="N46" s="104" t="str">
        <f t="shared" si="11"/>
        <v xml:space="preserve">PRIVCLOUD OTAP BO SEC-ZONE
</v>
      </c>
      <c r="O46" s="104" t="str">
        <f t="shared" si="12"/>
        <v xml:space="preserve">PRIVCLOUD OTAP BO SEC-ZONE
</v>
      </c>
      <c r="P46" s="76" t="s">
        <v>345</v>
      </c>
      <c r="Q46" s="61" t="s">
        <v>810</v>
      </c>
      <c r="R46" s="76" t="s">
        <v>400</v>
      </c>
      <c r="S46" s="76" t="s">
        <v>400</v>
      </c>
      <c r="T46" s="76" t="s">
        <v>293</v>
      </c>
      <c r="U46" s="61"/>
      <c r="V46" s="61"/>
      <c r="W46" s="61"/>
      <c r="X46" s="76" t="s">
        <v>302</v>
      </c>
      <c r="Y46" s="76" t="s">
        <v>400</v>
      </c>
      <c r="Z46" s="61"/>
      <c r="AA46" s="61" t="s">
        <v>811</v>
      </c>
      <c r="AB46" s="61"/>
    </row>
    <row r="47" spans="1:28" ht="48" x14ac:dyDescent="0.2">
      <c r="A47" s="61"/>
      <c r="B47" s="124">
        <v>38</v>
      </c>
      <c r="C47" s="76" t="s">
        <v>205</v>
      </c>
      <c r="D47" s="76" t="s">
        <v>812</v>
      </c>
      <c r="E47" s="76" t="s">
        <v>702</v>
      </c>
      <c r="F47" s="61" t="s">
        <v>813</v>
      </c>
      <c r="G47" s="61" t="s">
        <v>796</v>
      </c>
      <c r="H47" s="61" t="s">
        <v>813</v>
      </c>
      <c r="I47" s="61" t="s">
        <v>814</v>
      </c>
      <c r="J47" s="104" t="s">
        <v>815</v>
      </c>
      <c r="K47" s="61" t="s">
        <v>791</v>
      </c>
      <c r="L47" s="61" t="s">
        <v>722</v>
      </c>
      <c r="M47" s="104" t="s">
        <v>723</v>
      </c>
      <c r="N47" s="104" t="str">
        <f t="shared" si="11"/>
        <v xml:space="preserve">IBM Productie Secure Zone
IBM Productie Secure Zone
</v>
      </c>
      <c r="O47" s="104" t="str">
        <f t="shared" si="12"/>
        <v>[** NO ZONE **]
Check: inconsistent zones</v>
      </c>
      <c r="P47" s="76" t="s">
        <v>778</v>
      </c>
      <c r="Q47" s="61">
        <v>1526</v>
      </c>
      <c r="R47" s="76" t="s">
        <v>400</v>
      </c>
      <c r="S47" s="76" t="s">
        <v>400</v>
      </c>
      <c r="T47" s="76" t="s">
        <v>293</v>
      </c>
      <c r="U47" s="61"/>
      <c r="V47" s="61"/>
      <c r="W47" s="61"/>
      <c r="X47" s="76" t="s">
        <v>302</v>
      </c>
      <c r="Y47" s="76" t="s">
        <v>400</v>
      </c>
      <c r="Z47" s="61"/>
      <c r="AA47" s="61" t="s">
        <v>816</v>
      </c>
      <c r="AB47" s="61" t="s">
        <v>817</v>
      </c>
    </row>
    <row r="48" spans="1:28" ht="32" x14ac:dyDescent="0.2">
      <c r="A48" s="61"/>
      <c r="B48" s="54">
        <v>39</v>
      </c>
      <c r="C48" s="76" t="s">
        <v>205</v>
      </c>
      <c r="D48" s="76" t="s">
        <v>3253</v>
      </c>
      <c r="E48" s="76" t="s">
        <v>702</v>
      </c>
      <c r="F48" s="61" t="s">
        <v>3254</v>
      </c>
      <c r="G48" s="61" t="s">
        <v>791</v>
      </c>
      <c r="H48" s="61" t="s">
        <v>3254</v>
      </c>
      <c r="I48" s="61" t="s">
        <v>3202</v>
      </c>
      <c r="J48" s="177" t="s">
        <v>3203</v>
      </c>
      <c r="K48" s="61" t="s">
        <v>791</v>
      </c>
      <c r="L48" s="170" t="s">
        <v>722</v>
      </c>
      <c r="M48" s="171" t="s">
        <v>723</v>
      </c>
      <c r="N48" s="104" t="str">
        <f xml:space="preserve"> RetrieveZone( J48 )</f>
        <v xml:space="preserve">PRIVCLOUD OTAP BO SEC-ZONE
</v>
      </c>
      <c r="O48" s="104" t="str">
        <f t="shared" si="12"/>
        <v>[** NO ZONE **]
Check: inconsistent zones</v>
      </c>
      <c r="P48" s="76" t="s">
        <v>326</v>
      </c>
      <c r="Q48" s="61"/>
      <c r="R48" s="76" t="s">
        <v>400</v>
      </c>
      <c r="S48" s="76" t="s">
        <v>400</v>
      </c>
      <c r="T48" s="76" t="s">
        <v>293</v>
      </c>
      <c r="U48" s="61"/>
      <c r="V48" s="61"/>
      <c r="W48" s="61"/>
      <c r="X48" s="76" t="s">
        <v>302</v>
      </c>
      <c r="Y48" s="76" t="s">
        <v>400</v>
      </c>
      <c r="Z48" s="61"/>
      <c r="AA48" s="61"/>
      <c r="AB48" s="61"/>
    </row>
    <row r="49" spans="1:28" ht="48" x14ac:dyDescent="0.2">
      <c r="A49" s="61"/>
      <c r="B49" s="54">
        <v>40</v>
      </c>
      <c r="C49" s="76" t="s">
        <v>205</v>
      </c>
      <c r="D49" s="76" t="s">
        <v>3278</v>
      </c>
      <c r="E49" s="76" t="s">
        <v>1148</v>
      </c>
      <c r="F49" s="61" t="s">
        <v>3279</v>
      </c>
      <c r="G49" s="61" t="s">
        <v>791</v>
      </c>
      <c r="H49" s="61" t="s">
        <v>614</v>
      </c>
      <c r="I49" s="61" t="s">
        <v>3269</v>
      </c>
      <c r="J49" s="104" t="s">
        <v>3270</v>
      </c>
      <c r="K49" s="61" t="s">
        <v>791</v>
      </c>
      <c r="L49" s="170" t="s">
        <v>722</v>
      </c>
      <c r="M49" s="171" t="s">
        <v>723</v>
      </c>
      <c r="N49" s="104" t="str">
        <f t="shared" ref="N49" si="13" xml:space="preserve"> RetrieveZone( J49 )</f>
        <v xml:space="preserve">PRIVCLOUD OTAP BO SEC-ZONE
PRIVCLOUD OTAP BO SEC-ZONE
</v>
      </c>
      <c r="O49" s="104" t="str">
        <f t="shared" si="12"/>
        <v>[** NO ZONE **]
Check: inconsistent zones</v>
      </c>
      <c r="P49" s="76" t="s">
        <v>778</v>
      </c>
      <c r="Q49" s="61">
        <v>1526</v>
      </c>
      <c r="R49" s="76" t="s">
        <v>400</v>
      </c>
      <c r="S49" s="76" t="s">
        <v>400</v>
      </c>
      <c r="T49" s="76" t="s">
        <v>293</v>
      </c>
      <c r="U49" s="61"/>
      <c r="V49" s="61"/>
      <c r="W49" s="61"/>
      <c r="X49" s="76" t="s">
        <v>302</v>
      </c>
      <c r="Y49" s="76" t="s">
        <v>400</v>
      </c>
      <c r="Z49" s="61"/>
      <c r="AA49" s="61" t="s">
        <v>3281</v>
      </c>
      <c r="AB49" s="61"/>
    </row>
    <row r="50" spans="1:28" ht="16" x14ac:dyDescent="0.2">
      <c r="A50" s="61"/>
      <c r="B50" s="124">
        <v>72</v>
      </c>
      <c r="C50" s="76" t="s">
        <v>400</v>
      </c>
      <c r="D50" s="76"/>
      <c r="E50" s="76" t="s">
        <v>400</v>
      </c>
      <c r="F50" s="61"/>
      <c r="G50" s="61"/>
      <c r="H50" s="61"/>
      <c r="I50" s="61"/>
      <c r="J50" s="61"/>
      <c r="K50" s="61"/>
      <c r="L50" s="61"/>
      <c r="M50" s="61"/>
      <c r="N50" s="104" t="str">
        <f t="shared" si="11"/>
        <v>[** NO ZONE **]</v>
      </c>
      <c r="O50" s="104" t="str">
        <f t="shared" si="12"/>
        <v>[** NO ZONE **]</v>
      </c>
      <c r="P50" s="76" t="s">
        <v>400</v>
      </c>
      <c r="Q50" s="61"/>
      <c r="R50" s="76" t="s">
        <v>400</v>
      </c>
      <c r="S50" s="76" t="s">
        <v>400</v>
      </c>
      <c r="T50" s="76" t="s">
        <v>293</v>
      </c>
      <c r="U50" s="61"/>
      <c r="V50" s="61"/>
      <c r="W50" s="61"/>
      <c r="X50" s="76" t="s">
        <v>302</v>
      </c>
      <c r="Y50" s="76" t="s">
        <v>400</v>
      </c>
      <c r="Z50" s="61"/>
      <c r="AA50" s="61"/>
      <c r="AB50" s="61"/>
    </row>
    <row r="51" spans="1:28" ht="16" x14ac:dyDescent="0.2">
      <c r="A51" s="61"/>
      <c r="B51" s="124">
        <v>73</v>
      </c>
      <c r="C51" s="76" t="s">
        <v>400</v>
      </c>
      <c r="D51" s="76"/>
      <c r="E51" s="76" t="s">
        <v>400</v>
      </c>
      <c r="F51" s="61"/>
      <c r="G51" s="61"/>
      <c r="H51" s="61"/>
      <c r="I51" s="61"/>
      <c r="J51" s="61"/>
      <c r="K51" s="61"/>
      <c r="L51" s="61"/>
      <c r="M51" s="61"/>
      <c r="N51" s="104" t="str">
        <f t="shared" si="11"/>
        <v>[** NO ZONE **]</v>
      </c>
      <c r="O51" s="104" t="str">
        <f t="shared" si="12"/>
        <v>[** NO ZONE **]</v>
      </c>
      <c r="P51" s="76" t="s">
        <v>400</v>
      </c>
      <c r="Q51" s="61"/>
      <c r="R51" s="76" t="s">
        <v>400</v>
      </c>
      <c r="S51" s="76" t="s">
        <v>400</v>
      </c>
      <c r="T51" s="76" t="s">
        <v>293</v>
      </c>
      <c r="U51" s="61"/>
      <c r="V51" s="61"/>
      <c r="W51" s="61"/>
      <c r="X51" s="76" t="s">
        <v>302</v>
      </c>
      <c r="Y51" s="76" t="s">
        <v>400</v>
      </c>
      <c r="Z51" s="61"/>
      <c r="AA51" s="61"/>
      <c r="AB51" s="61"/>
    </row>
    <row r="52" spans="1:28" ht="16" x14ac:dyDescent="0.2">
      <c r="A52" s="61"/>
      <c r="B52" s="124">
        <v>74</v>
      </c>
      <c r="C52" s="76" t="s">
        <v>400</v>
      </c>
      <c r="D52" s="76"/>
      <c r="E52" s="76" t="s">
        <v>400</v>
      </c>
      <c r="F52" s="61"/>
      <c r="G52" s="61"/>
      <c r="H52" s="61"/>
      <c r="I52" s="61"/>
      <c r="J52" s="61"/>
      <c r="K52" s="61"/>
      <c r="L52" s="61"/>
      <c r="M52" s="61"/>
      <c r="N52" s="104" t="str">
        <f t="shared" si="11"/>
        <v>[** NO ZONE **]</v>
      </c>
      <c r="O52" s="104" t="str">
        <f t="shared" si="12"/>
        <v>[** NO ZONE **]</v>
      </c>
      <c r="P52" s="76" t="s">
        <v>400</v>
      </c>
      <c r="Q52" s="61"/>
      <c r="R52" s="76" t="s">
        <v>400</v>
      </c>
      <c r="S52" s="76" t="s">
        <v>400</v>
      </c>
      <c r="T52" s="76" t="s">
        <v>293</v>
      </c>
      <c r="U52" s="61"/>
      <c r="V52" s="61"/>
      <c r="W52" s="61"/>
      <c r="X52" s="76" t="s">
        <v>302</v>
      </c>
      <c r="Y52" s="76" t="s">
        <v>400</v>
      </c>
      <c r="Z52" s="61"/>
      <c r="AA52" s="61"/>
      <c r="AB52" s="61"/>
    </row>
    <row r="53" spans="1:28" ht="16" x14ac:dyDescent="0.2">
      <c r="A53" s="61"/>
      <c r="B53" s="124">
        <v>75</v>
      </c>
      <c r="C53" s="76" t="s">
        <v>400</v>
      </c>
      <c r="D53" s="76"/>
      <c r="E53" s="76" t="s">
        <v>400</v>
      </c>
      <c r="F53" s="61"/>
      <c r="G53" s="61"/>
      <c r="H53" s="61"/>
      <c r="I53" s="61"/>
      <c r="J53" s="61"/>
      <c r="K53" s="61"/>
      <c r="L53" s="61"/>
      <c r="M53" s="61"/>
      <c r="N53" s="104" t="str">
        <f t="shared" si="11"/>
        <v>[** NO ZONE **]</v>
      </c>
      <c r="O53" s="104" t="str">
        <f t="shared" si="12"/>
        <v>[** NO ZONE **]</v>
      </c>
      <c r="P53" s="76" t="s">
        <v>400</v>
      </c>
      <c r="Q53" s="61"/>
      <c r="R53" s="76" t="s">
        <v>400</v>
      </c>
      <c r="S53" s="76" t="s">
        <v>400</v>
      </c>
      <c r="T53" s="76" t="s">
        <v>293</v>
      </c>
      <c r="U53" s="61"/>
      <c r="V53" s="61"/>
      <c r="W53" s="61"/>
      <c r="X53" s="76" t="s">
        <v>302</v>
      </c>
      <c r="Y53" s="76" t="s">
        <v>400</v>
      </c>
      <c r="Z53" s="61"/>
      <c r="AA53" s="61"/>
      <c r="AB53" s="61"/>
    </row>
    <row r="54" spans="1:28" ht="16" x14ac:dyDescent="0.2">
      <c r="A54" s="61"/>
      <c r="B54" s="124">
        <v>76</v>
      </c>
      <c r="C54" s="76" t="s">
        <v>400</v>
      </c>
      <c r="D54" s="76"/>
      <c r="E54" s="76" t="s">
        <v>400</v>
      </c>
      <c r="F54" s="61"/>
      <c r="G54" s="61"/>
      <c r="H54" s="61"/>
      <c r="I54" s="61"/>
      <c r="J54" s="61"/>
      <c r="K54" s="61"/>
      <c r="L54" s="61"/>
      <c r="M54" s="61"/>
      <c r="N54" s="104" t="str">
        <f t="shared" si="11"/>
        <v>[** NO ZONE **]</v>
      </c>
      <c r="O54" s="104" t="str">
        <f t="shared" si="12"/>
        <v>[** NO ZONE **]</v>
      </c>
      <c r="P54" s="76" t="s">
        <v>400</v>
      </c>
      <c r="Q54" s="61"/>
      <c r="R54" s="76" t="s">
        <v>400</v>
      </c>
      <c r="S54" s="76" t="s">
        <v>400</v>
      </c>
      <c r="T54" s="76" t="s">
        <v>293</v>
      </c>
      <c r="U54" s="61"/>
      <c r="V54" s="61"/>
      <c r="W54" s="61"/>
      <c r="X54" s="76" t="s">
        <v>302</v>
      </c>
      <c r="Y54" s="76" t="s">
        <v>400</v>
      </c>
      <c r="Z54" s="61"/>
      <c r="AA54" s="61"/>
      <c r="AB54" s="61"/>
    </row>
    <row r="55" spans="1:28" ht="16" x14ac:dyDescent="0.2">
      <c r="A55" s="61"/>
      <c r="B55" s="124">
        <v>77</v>
      </c>
      <c r="C55" s="76" t="s">
        <v>400</v>
      </c>
      <c r="D55" s="76"/>
      <c r="E55" s="76" t="s">
        <v>400</v>
      </c>
      <c r="F55" s="61"/>
      <c r="G55" s="61"/>
      <c r="H55" s="61"/>
      <c r="I55" s="61"/>
      <c r="J55" s="61"/>
      <c r="K55" s="61"/>
      <c r="L55" s="61"/>
      <c r="M55" s="61"/>
      <c r="N55" s="104" t="str">
        <f t="shared" si="11"/>
        <v>[** NO ZONE **]</v>
      </c>
      <c r="O55" s="104" t="str">
        <f t="shared" si="12"/>
        <v>[** NO ZONE **]</v>
      </c>
      <c r="P55" s="76" t="s">
        <v>400</v>
      </c>
      <c r="Q55" s="61"/>
      <c r="R55" s="76" t="s">
        <v>400</v>
      </c>
      <c r="S55" s="76" t="s">
        <v>400</v>
      </c>
      <c r="T55" s="76" t="s">
        <v>293</v>
      </c>
      <c r="U55" s="61"/>
      <c r="V55" s="61"/>
      <c r="W55" s="61"/>
      <c r="X55" s="76" t="s">
        <v>302</v>
      </c>
      <c r="Y55" s="76" t="s">
        <v>400</v>
      </c>
      <c r="Z55" s="61"/>
      <c r="AA55" s="61"/>
      <c r="AB55" s="61"/>
    </row>
    <row r="56" spans="1:28" ht="16" x14ac:dyDescent="0.2">
      <c r="A56" s="61"/>
      <c r="B56" s="124">
        <v>78</v>
      </c>
      <c r="C56" s="76" t="s">
        <v>400</v>
      </c>
      <c r="D56" s="76"/>
      <c r="E56" s="76" t="s">
        <v>400</v>
      </c>
      <c r="F56" s="61"/>
      <c r="G56" s="61"/>
      <c r="H56" s="61"/>
      <c r="I56" s="61"/>
      <c r="J56" s="61"/>
      <c r="K56" s="61"/>
      <c r="L56" s="61"/>
      <c r="M56" s="61"/>
      <c r="N56" s="104" t="str">
        <f t="shared" si="11"/>
        <v>[** NO ZONE **]</v>
      </c>
      <c r="O56" s="104" t="str">
        <f t="shared" si="12"/>
        <v>[** NO ZONE **]</v>
      </c>
      <c r="P56" s="76" t="s">
        <v>400</v>
      </c>
      <c r="Q56" s="61"/>
      <c r="R56" s="76" t="s">
        <v>400</v>
      </c>
      <c r="S56" s="76" t="s">
        <v>400</v>
      </c>
      <c r="T56" s="76" t="s">
        <v>293</v>
      </c>
      <c r="U56" s="61"/>
      <c r="V56" s="61"/>
      <c r="W56" s="61"/>
      <c r="X56" s="76" t="s">
        <v>302</v>
      </c>
      <c r="Y56" s="76" t="s">
        <v>400</v>
      </c>
      <c r="Z56" s="61"/>
      <c r="AA56" s="61"/>
      <c r="AB56" s="61"/>
    </row>
    <row r="57" spans="1:28" ht="16" x14ac:dyDescent="0.2">
      <c r="A57" s="61"/>
      <c r="B57" s="124">
        <v>79</v>
      </c>
      <c r="C57" s="76" t="s">
        <v>400</v>
      </c>
      <c r="D57" s="76"/>
      <c r="E57" s="76" t="s">
        <v>400</v>
      </c>
      <c r="F57" s="61"/>
      <c r="G57" s="61"/>
      <c r="H57" s="61"/>
      <c r="I57" s="61"/>
      <c r="J57" s="61"/>
      <c r="K57" s="61"/>
      <c r="L57" s="61"/>
      <c r="M57" s="61"/>
      <c r="N57" s="104" t="str">
        <f t="shared" si="11"/>
        <v>[** NO ZONE **]</v>
      </c>
      <c r="O57" s="104" t="str">
        <f t="shared" si="12"/>
        <v>[** NO ZONE **]</v>
      </c>
      <c r="P57" s="76" t="s">
        <v>400</v>
      </c>
      <c r="Q57" s="61"/>
      <c r="R57" s="76" t="s">
        <v>400</v>
      </c>
      <c r="S57" s="76" t="s">
        <v>400</v>
      </c>
      <c r="T57" s="76" t="s">
        <v>293</v>
      </c>
      <c r="U57" s="61"/>
      <c r="V57" s="61"/>
      <c r="W57" s="61"/>
      <c r="X57" s="76" t="s">
        <v>302</v>
      </c>
      <c r="Y57" s="76" t="s">
        <v>400</v>
      </c>
      <c r="Z57" s="61"/>
      <c r="AA57" s="61"/>
      <c r="AB57" s="61"/>
    </row>
    <row r="58" spans="1:28" ht="16" x14ac:dyDescent="0.2">
      <c r="A58" s="61"/>
      <c r="B58" s="124">
        <v>80</v>
      </c>
      <c r="C58" s="76" t="s">
        <v>400</v>
      </c>
      <c r="D58" s="76"/>
      <c r="E58" s="76" t="s">
        <v>400</v>
      </c>
      <c r="F58" s="61"/>
      <c r="G58" s="61"/>
      <c r="H58" s="61"/>
      <c r="I58" s="61"/>
      <c r="J58" s="61"/>
      <c r="K58" s="61"/>
      <c r="L58" s="61"/>
      <c r="M58" s="61"/>
      <c r="N58" s="104" t="str">
        <f t="shared" si="11"/>
        <v>[** NO ZONE **]</v>
      </c>
      <c r="O58" s="104" t="str">
        <f t="shared" si="12"/>
        <v>[** NO ZONE **]</v>
      </c>
      <c r="P58" s="76" t="s">
        <v>400</v>
      </c>
      <c r="Q58" s="61"/>
      <c r="R58" s="76" t="s">
        <v>400</v>
      </c>
      <c r="S58" s="76" t="s">
        <v>400</v>
      </c>
      <c r="T58" s="76" t="s">
        <v>293</v>
      </c>
      <c r="U58" s="61"/>
      <c r="V58" s="61"/>
      <c r="W58" s="61"/>
      <c r="X58" s="76" t="s">
        <v>302</v>
      </c>
      <c r="Y58" s="76" t="s">
        <v>400</v>
      </c>
      <c r="Z58" s="61"/>
      <c r="AA58" s="61"/>
      <c r="AB58" s="61"/>
    </row>
    <row r="59" spans="1:28" ht="16" x14ac:dyDescent="0.2">
      <c r="A59" s="61"/>
      <c r="B59" s="124">
        <v>81</v>
      </c>
      <c r="C59" s="76" t="s">
        <v>400</v>
      </c>
      <c r="D59" s="76"/>
      <c r="E59" s="76" t="s">
        <v>400</v>
      </c>
      <c r="F59" s="61"/>
      <c r="G59" s="61"/>
      <c r="H59" s="61"/>
      <c r="I59" s="61"/>
      <c r="J59" s="61"/>
      <c r="K59" s="61"/>
      <c r="L59" s="61"/>
      <c r="M59" s="61"/>
      <c r="N59" s="104" t="str">
        <f t="shared" si="11"/>
        <v>[** NO ZONE **]</v>
      </c>
      <c r="O59" s="104" t="str">
        <f t="shared" si="12"/>
        <v>[** NO ZONE **]</v>
      </c>
      <c r="P59" s="76" t="s">
        <v>400</v>
      </c>
      <c r="Q59" s="61"/>
      <c r="R59" s="76" t="s">
        <v>400</v>
      </c>
      <c r="S59" s="76" t="s">
        <v>400</v>
      </c>
      <c r="T59" s="76" t="s">
        <v>293</v>
      </c>
      <c r="U59" s="61"/>
      <c r="V59" s="61"/>
      <c r="W59" s="61"/>
      <c r="X59" s="76" t="s">
        <v>302</v>
      </c>
      <c r="Y59" s="76" t="s">
        <v>400</v>
      </c>
      <c r="Z59" s="61"/>
      <c r="AA59" s="61"/>
      <c r="AB59" s="61"/>
    </row>
    <row r="60" spans="1:28" ht="16" x14ac:dyDescent="0.2">
      <c r="A60" s="61"/>
      <c r="B60" s="124">
        <v>82</v>
      </c>
      <c r="C60" s="76" t="s">
        <v>400</v>
      </c>
      <c r="D60" s="76"/>
      <c r="E60" s="76" t="s">
        <v>400</v>
      </c>
      <c r="F60" s="61"/>
      <c r="G60" s="61"/>
      <c r="H60" s="61"/>
      <c r="I60" s="61"/>
      <c r="J60" s="61"/>
      <c r="K60" s="61"/>
      <c r="L60" s="61"/>
      <c r="M60" s="61"/>
      <c r="N60" s="104" t="str">
        <f t="shared" si="11"/>
        <v>[** NO ZONE **]</v>
      </c>
      <c r="O60" s="104" t="str">
        <f t="shared" si="12"/>
        <v>[** NO ZONE **]</v>
      </c>
      <c r="P60" s="76" t="s">
        <v>400</v>
      </c>
      <c r="Q60" s="61"/>
      <c r="R60" s="76" t="s">
        <v>400</v>
      </c>
      <c r="S60" s="76" t="s">
        <v>400</v>
      </c>
      <c r="T60" s="76" t="s">
        <v>293</v>
      </c>
      <c r="U60" s="61"/>
      <c r="V60" s="61"/>
      <c r="W60" s="61"/>
      <c r="X60" s="76" t="s">
        <v>302</v>
      </c>
      <c r="Y60" s="76" t="s">
        <v>400</v>
      </c>
      <c r="Z60" s="61"/>
      <c r="AA60" s="61"/>
      <c r="AB60" s="61"/>
    </row>
    <row r="61" spans="1:28" ht="16" x14ac:dyDescent="0.2">
      <c r="A61" s="61"/>
      <c r="B61" s="124">
        <v>83</v>
      </c>
      <c r="C61" s="76" t="s">
        <v>400</v>
      </c>
      <c r="D61" s="76"/>
      <c r="E61" s="76" t="s">
        <v>400</v>
      </c>
      <c r="F61" s="61"/>
      <c r="G61" s="61"/>
      <c r="H61" s="61"/>
      <c r="I61" s="61"/>
      <c r="J61" s="61"/>
      <c r="K61" s="61"/>
      <c r="L61" s="61"/>
      <c r="M61" s="61"/>
      <c r="N61" s="104" t="str">
        <f t="shared" si="11"/>
        <v>[** NO ZONE **]</v>
      </c>
      <c r="O61" s="104" t="str">
        <f t="shared" si="12"/>
        <v>[** NO ZONE **]</v>
      </c>
      <c r="P61" s="76" t="s">
        <v>400</v>
      </c>
      <c r="Q61" s="61"/>
      <c r="R61" s="76" t="s">
        <v>400</v>
      </c>
      <c r="S61" s="76" t="s">
        <v>400</v>
      </c>
      <c r="T61" s="76" t="s">
        <v>293</v>
      </c>
      <c r="U61" s="61"/>
      <c r="V61" s="61"/>
      <c r="W61" s="61"/>
      <c r="X61" s="76" t="s">
        <v>302</v>
      </c>
      <c r="Y61" s="76" t="s">
        <v>400</v>
      </c>
      <c r="Z61" s="61"/>
      <c r="AA61" s="61"/>
      <c r="AB61" s="61"/>
    </row>
    <row r="62" spans="1:28" ht="16" x14ac:dyDescent="0.2">
      <c r="A62" s="61"/>
      <c r="B62" s="124">
        <v>84</v>
      </c>
      <c r="C62" s="76" t="s">
        <v>400</v>
      </c>
      <c r="D62" s="76"/>
      <c r="E62" s="76" t="s">
        <v>400</v>
      </c>
      <c r="F62" s="61"/>
      <c r="G62" s="61"/>
      <c r="H62" s="61"/>
      <c r="I62" s="61"/>
      <c r="J62" s="61"/>
      <c r="K62" s="61"/>
      <c r="L62" s="61"/>
      <c r="M62" s="61"/>
      <c r="N62" s="104" t="str">
        <f t="shared" si="11"/>
        <v>[** NO ZONE **]</v>
      </c>
      <c r="O62" s="104" t="str">
        <f t="shared" si="12"/>
        <v>[** NO ZONE **]</v>
      </c>
      <c r="P62" s="76" t="s">
        <v>400</v>
      </c>
      <c r="Q62" s="61"/>
      <c r="R62" s="76" t="s">
        <v>400</v>
      </c>
      <c r="S62" s="76" t="s">
        <v>400</v>
      </c>
      <c r="T62" s="76" t="s">
        <v>293</v>
      </c>
      <c r="U62" s="61"/>
      <c r="V62" s="61"/>
      <c r="W62" s="61"/>
      <c r="X62" s="76" t="s">
        <v>302</v>
      </c>
      <c r="Y62" s="76" t="s">
        <v>400</v>
      </c>
      <c r="Z62" s="61"/>
      <c r="AA62" s="61"/>
      <c r="AB62" s="61"/>
    </row>
    <row r="63" spans="1:28" ht="16" x14ac:dyDescent="0.2">
      <c r="A63" s="61"/>
      <c r="B63" s="124">
        <v>85</v>
      </c>
      <c r="C63" s="76" t="s">
        <v>400</v>
      </c>
      <c r="D63" s="76"/>
      <c r="E63" s="76" t="s">
        <v>400</v>
      </c>
      <c r="F63" s="61"/>
      <c r="G63" s="61"/>
      <c r="H63" s="61"/>
      <c r="I63" s="61"/>
      <c r="J63" s="61"/>
      <c r="K63" s="61"/>
      <c r="L63" s="61"/>
      <c r="M63" s="61"/>
      <c r="N63" s="104" t="str">
        <f t="shared" si="11"/>
        <v>[** NO ZONE **]</v>
      </c>
      <c r="O63" s="104" t="str">
        <f t="shared" si="12"/>
        <v>[** NO ZONE **]</v>
      </c>
      <c r="P63" s="76" t="s">
        <v>400</v>
      </c>
      <c r="Q63" s="61"/>
      <c r="R63" s="76" t="s">
        <v>400</v>
      </c>
      <c r="S63" s="76" t="s">
        <v>400</v>
      </c>
      <c r="T63" s="76" t="s">
        <v>293</v>
      </c>
      <c r="U63" s="61"/>
      <c r="V63" s="61"/>
      <c r="W63" s="61"/>
      <c r="X63" s="76" t="s">
        <v>302</v>
      </c>
      <c r="Y63" s="76" t="s">
        <v>400</v>
      </c>
      <c r="Z63" s="61"/>
      <c r="AA63" s="61"/>
      <c r="AB63" s="61"/>
    </row>
    <row r="64" spans="1:28" ht="16" x14ac:dyDescent="0.2">
      <c r="A64" s="61"/>
      <c r="B64" s="124">
        <v>86</v>
      </c>
      <c r="C64" s="76" t="s">
        <v>400</v>
      </c>
      <c r="D64" s="76"/>
      <c r="E64" s="76" t="s">
        <v>400</v>
      </c>
      <c r="F64" s="61"/>
      <c r="G64" s="61"/>
      <c r="H64" s="61"/>
      <c r="I64" s="61"/>
      <c r="J64" s="61"/>
      <c r="K64" s="61"/>
      <c r="L64" s="61"/>
      <c r="M64" s="61"/>
      <c r="N64" s="104" t="str">
        <f t="shared" si="11"/>
        <v>[** NO ZONE **]</v>
      </c>
      <c r="O64" s="104" t="str">
        <f t="shared" si="12"/>
        <v>[** NO ZONE **]</v>
      </c>
      <c r="P64" s="76" t="s">
        <v>400</v>
      </c>
      <c r="Q64" s="61"/>
      <c r="R64" s="76" t="s">
        <v>400</v>
      </c>
      <c r="S64" s="76" t="s">
        <v>400</v>
      </c>
      <c r="T64" s="76" t="s">
        <v>293</v>
      </c>
      <c r="U64" s="61"/>
      <c r="V64" s="61"/>
      <c r="W64" s="61"/>
      <c r="X64" s="76" t="s">
        <v>302</v>
      </c>
      <c r="Y64" s="76" t="s">
        <v>400</v>
      </c>
      <c r="Z64" s="61"/>
      <c r="AA64" s="61"/>
      <c r="AB64" s="61"/>
    </row>
    <row r="65" spans="1:28" ht="16" x14ac:dyDescent="0.2">
      <c r="A65" s="61"/>
      <c r="B65" s="124">
        <v>87</v>
      </c>
      <c r="C65" s="76" t="s">
        <v>400</v>
      </c>
      <c r="D65" s="76"/>
      <c r="E65" s="76" t="s">
        <v>400</v>
      </c>
      <c r="F65" s="61"/>
      <c r="G65" s="61"/>
      <c r="H65" s="61"/>
      <c r="I65" s="61"/>
      <c r="J65" s="61"/>
      <c r="K65" s="61"/>
      <c r="L65" s="61"/>
      <c r="M65" s="61"/>
      <c r="N65" s="104" t="str">
        <f t="shared" si="11"/>
        <v>[** NO ZONE **]</v>
      </c>
      <c r="O65" s="104" t="str">
        <f t="shared" si="12"/>
        <v>[** NO ZONE **]</v>
      </c>
      <c r="P65" s="76" t="s">
        <v>400</v>
      </c>
      <c r="Q65" s="61"/>
      <c r="R65" s="76" t="s">
        <v>400</v>
      </c>
      <c r="S65" s="76" t="s">
        <v>400</v>
      </c>
      <c r="T65" s="76" t="s">
        <v>293</v>
      </c>
      <c r="U65" s="61"/>
      <c r="V65" s="61"/>
      <c r="W65" s="61"/>
      <c r="X65" s="76" t="s">
        <v>302</v>
      </c>
      <c r="Y65" s="76" t="s">
        <v>400</v>
      </c>
      <c r="Z65" s="61"/>
      <c r="AA65" s="61"/>
      <c r="AB65" s="61"/>
    </row>
    <row r="66" spans="1:28" ht="16" x14ac:dyDescent="0.2">
      <c r="A66" s="61"/>
      <c r="B66" s="124">
        <v>88</v>
      </c>
      <c r="C66" s="76" t="s">
        <v>400</v>
      </c>
      <c r="D66" s="76"/>
      <c r="E66" s="76" t="s">
        <v>400</v>
      </c>
      <c r="F66" s="61"/>
      <c r="G66" s="61"/>
      <c r="H66" s="61"/>
      <c r="I66" s="61"/>
      <c r="J66" s="61"/>
      <c r="K66" s="61"/>
      <c r="L66" s="61"/>
      <c r="M66" s="61"/>
      <c r="N66" s="104" t="str">
        <f t="shared" si="11"/>
        <v>[** NO ZONE **]</v>
      </c>
      <c r="O66" s="104" t="str">
        <f t="shared" si="12"/>
        <v>[** NO ZONE **]</v>
      </c>
      <c r="P66" s="76" t="s">
        <v>400</v>
      </c>
      <c r="Q66" s="61"/>
      <c r="R66" s="76" t="s">
        <v>400</v>
      </c>
      <c r="S66" s="76" t="s">
        <v>400</v>
      </c>
      <c r="T66" s="76" t="s">
        <v>293</v>
      </c>
      <c r="U66" s="61"/>
      <c r="V66" s="61"/>
      <c r="W66" s="61"/>
      <c r="X66" s="76" t="s">
        <v>302</v>
      </c>
      <c r="Y66" s="76" t="s">
        <v>400</v>
      </c>
      <c r="Z66" s="61"/>
      <c r="AA66" s="61"/>
      <c r="AB66" s="61"/>
    </row>
    <row r="67" spans="1:28" ht="16" x14ac:dyDescent="0.2">
      <c r="A67" s="61"/>
      <c r="B67" s="124">
        <v>89</v>
      </c>
      <c r="C67" s="76" t="s">
        <v>400</v>
      </c>
      <c r="D67" s="76"/>
      <c r="E67" s="76" t="s">
        <v>400</v>
      </c>
      <c r="F67" s="61"/>
      <c r="G67" s="61"/>
      <c r="H67" s="61"/>
      <c r="I67" s="61"/>
      <c r="J67" s="61"/>
      <c r="K67" s="61"/>
      <c r="L67" s="61"/>
      <c r="M67" s="61"/>
      <c r="N67" s="104" t="str">
        <f t="shared" si="11"/>
        <v>[** NO ZONE **]</v>
      </c>
      <c r="O67" s="104" t="str">
        <f t="shared" si="12"/>
        <v>[** NO ZONE **]</v>
      </c>
      <c r="P67" s="76" t="s">
        <v>400</v>
      </c>
      <c r="Q67" s="61"/>
      <c r="R67" s="76" t="s">
        <v>400</v>
      </c>
      <c r="S67" s="76" t="s">
        <v>400</v>
      </c>
      <c r="T67" s="76" t="s">
        <v>293</v>
      </c>
      <c r="U67" s="61"/>
      <c r="V67" s="61"/>
      <c r="W67" s="61"/>
      <c r="X67" s="76" t="s">
        <v>302</v>
      </c>
      <c r="Y67" s="76" t="s">
        <v>400</v>
      </c>
      <c r="Z67" s="61"/>
      <c r="AA67" s="61"/>
      <c r="AB67" s="61"/>
    </row>
    <row r="68" spans="1:28" ht="16" x14ac:dyDescent="0.2">
      <c r="A68" s="61"/>
      <c r="B68" s="124">
        <v>90</v>
      </c>
      <c r="C68" s="76" t="s">
        <v>400</v>
      </c>
      <c r="D68" s="76"/>
      <c r="E68" s="76" t="s">
        <v>400</v>
      </c>
      <c r="F68" s="61"/>
      <c r="G68" s="61"/>
      <c r="H68" s="61"/>
      <c r="I68" s="61"/>
      <c r="J68" s="61"/>
      <c r="K68" s="61"/>
      <c r="L68" s="61"/>
      <c r="M68" s="61"/>
      <c r="N68" s="104" t="str">
        <f t="shared" si="11"/>
        <v>[** NO ZONE **]</v>
      </c>
      <c r="O68" s="104" t="str">
        <f t="shared" si="12"/>
        <v>[** NO ZONE **]</v>
      </c>
      <c r="P68" s="76" t="s">
        <v>400</v>
      </c>
      <c r="Q68" s="61"/>
      <c r="R68" s="76" t="s">
        <v>400</v>
      </c>
      <c r="S68" s="76" t="s">
        <v>400</v>
      </c>
      <c r="T68" s="76" t="s">
        <v>293</v>
      </c>
      <c r="U68" s="61"/>
      <c r="V68" s="61"/>
      <c r="W68" s="61"/>
      <c r="X68" s="76" t="s">
        <v>302</v>
      </c>
      <c r="Y68" s="76" t="s">
        <v>400</v>
      </c>
      <c r="Z68" s="61"/>
      <c r="AA68" s="61"/>
      <c r="AB68" s="61"/>
    </row>
    <row r="69" spans="1:28" ht="16" x14ac:dyDescent="0.2">
      <c r="A69" s="61"/>
      <c r="B69" s="124">
        <v>91</v>
      </c>
      <c r="C69" s="76" t="s">
        <v>400</v>
      </c>
      <c r="D69" s="76"/>
      <c r="E69" s="76" t="s">
        <v>400</v>
      </c>
      <c r="F69" s="61"/>
      <c r="G69" s="61"/>
      <c r="H69" s="61"/>
      <c r="I69" s="61"/>
      <c r="J69" s="61"/>
      <c r="K69" s="61"/>
      <c r="L69" s="61"/>
      <c r="M69" s="61"/>
      <c r="N69" s="104" t="str">
        <f t="shared" si="11"/>
        <v>[** NO ZONE **]</v>
      </c>
      <c r="O69" s="104" t="str">
        <f t="shared" si="12"/>
        <v>[** NO ZONE **]</v>
      </c>
      <c r="P69" s="76" t="s">
        <v>400</v>
      </c>
      <c r="Q69" s="61"/>
      <c r="R69" s="76" t="s">
        <v>400</v>
      </c>
      <c r="S69" s="76" t="s">
        <v>400</v>
      </c>
      <c r="T69" s="76" t="s">
        <v>293</v>
      </c>
      <c r="U69" s="61"/>
      <c r="V69" s="61"/>
      <c r="W69" s="61"/>
      <c r="X69" s="76" t="s">
        <v>302</v>
      </c>
      <c r="Y69" s="76" t="s">
        <v>400</v>
      </c>
      <c r="Z69" s="61"/>
      <c r="AA69" s="61"/>
      <c r="AB69" s="61"/>
    </row>
    <row r="70" spans="1:28" ht="16" x14ac:dyDescent="0.2">
      <c r="A70" s="61"/>
      <c r="B70" s="124">
        <v>92</v>
      </c>
      <c r="C70" s="76" t="s">
        <v>400</v>
      </c>
      <c r="D70" s="76"/>
      <c r="E70" s="76" t="s">
        <v>400</v>
      </c>
      <c r="F70" s="61"/>
      <c r="G70" s="61"/>
      <c r="H70" s="61"/>
      <c r="I70" s="61"/>
      <c r="J70" s="61"/>
      <c r="K70" s="61"/>
      <c r="L70" s="61"/>
      <c r="M70" s="61"/>
      <c r="N70" s="104" t="str">
        <f t="shared" si="11"/>
        <v>[** NO ZONE **]</v>
      </c>
      <c r="O70" s="104" t="str">
        <f t="shared" si="12"/>
        <v>[** NO ZONE **]</v>
      </c>
      <c r="P70" s="76" t="s">
        <v>400</v>
      </c>
      <c r="Q70" s="61"/>
      <c r="R70" s="76" t="s">
        <v>400</v>
      </c>
      <c r="S70" s="76" t="s">
        <v>400</v>
      </c>
      <c r="T70" s="76" t="s">
        <v>293</v>
      </c>
      <c r="U70" s="61"/>
      <c r="V70" s="61"/>
      <c r="W70" s="61"/>
      <c r="X70" s="76" t="s">
        <v>302</v>
      </c>
      <c r="Y70" s="76" t="s">
        <v>400</v>
      </c>
      <c r="Z70" s="61"/>
      <c r="AA70" s="61"/>
      <c r="AB70" s="61"/>
    </row>
    <row r="71" spans="1:28" ht="16" x14ac:dyDescent="0.2">
      <c r="A71" s="61"/>
      <c r="B71" s="124">
        <v>93</v>
      </c>
      <c r="C71" s="76" t="s">
        <v>400</v>
      </c>
      <c r="D71" s="76"/>
      <c r="E71" s="76" t="s">
        <v>400</v>
      </c>
      <c r="F71" s="61"/>
      <c r="G71" s="61"/>
      <c r="H71" s="61"/>
      <c r="I71" s="61"/>
      <c r="J71" s="61"/>
      <c r="K71" s="61"/>
      <c r="L71" s="61"/>
      <c r="M71" s="61"/>
      <c r="N71" s="104" t="str">
        <f t="shared" si="11"/>
        <v>[** NO ZONE **]</v>
      </c>
      <c r="O71" s="104" t="str">
        <f t="shared" si="12"/>
        <v>[** NO ZONE **]</v>
      </c>
      <c r="P71" s="76" t="s">
        <v>400</v>
      </c>
      <c r="Q71" s="61"/>
      <c r="R71" s="76" t="s">
        <v>400</v>
      </c>
      <c r="S71" s="76" t="s">
        <v>400</v>
      </c>
      <c r="T71" s="76" t="s">
        <v>293</v>
      </c>
      <c r="U71" s="61"/>
      <c r="V71" s="61"/>
      <c r="W71" s="61"/>
      <c r="X71" s="76" t="s">
        <v>302</v>
      </c>
      <c r="Y71" s="76" t="s">
        <v>400</v>
      </c>
      <c r="Z71" s="61"/>
      <c r="AA71" s="61"/>
      <c r="AB71" s="61"/>
    </row>
    <row r="72" spans="1:28" ht="16" x14ac:dyDescent="0.2">
      <c r="A72" s="61"/>
      <c r="B72" s="124">
        <v>94</v>
      </c>
      <c r="C72" s="76" t="s">
        <v>400</v>
      </c>
      <c r="D72" s="76"/>
      <c r="E72" s="76" t="s">
        <v>400</v>
      </c>
      <c r="F72" s="61"/>
      <c r="G72" s="61"/>
      <c r="H72" s="61"/>
      <c r="I72" s="61"/>
      <c r="J72" s="61"/>
      <c r="K72" s="61"/>
      <c r="L72" s="61"/>
      <c r="M72" s="61"/>
      <c r="N72" s="104" t="str">
        <f t="shared" si="11"/>
        <v>[** NO ZONE **]</v>
      </c>
      <c r="O72" s="104" t="str">
        <f t="shared" si="12"/>
        <v>[** NO ZONE **]</v>
      </c>
      <c r="P72" s="76" t="s">
        <v>400</v>
      </c>
      <c r="Q72" s="61"/>
      <c r="R72" s="76" t="s">
        <v>400</v>
      </c>
      <c r="S72" s="76" t="s">
        <v>400</v>
      </c>
      <c r="T72" s="76" t="s">
        <v>293</v>
      </c>
      <c r="U72" s="61"/>
      <c r="V72" s="61"/>
      <c r="W72" s="61"/>
      <c r="X72" s="76" t="s">
        <v>302</v>
      </c>
      <c r="Y72" s="76" t="s">
        <v>400</v>
      </c>
      <c r="Z72" s="61"/>
      <c r="AA72" s="61"/>
      <c r="AB72" s="61"/>
    </row>
    <row r="73" spans="1:28" ht="16" x14ac:dyDescent="0.2">
      <c r="A73" s="61"/>
      <c r="B73" s="124">
        <v>95</v>
      </c>
      <c r="C73" s="76" t="s">
        <v>400</v>
      </c>
      <c r="D73" s="76"/>
      <c r="E73" s="76" t="s">
        <v>400</v>
      </c>
      <c r="F73" s="61"/>
      <c r="G73" s="61"/>
      <c r="H73" s="61"/>
      <c r="I73" s="61"/>
      <c r="J73" s="61"/>
      <c r="K73" s="61"/>
      <c r="L73" s="61"/>
      <c r="M73" s="61"/>
      <c r="N73" s="104" t="str">
        <f t="shared" si="11"/>
        <v>[** NO ZONE **]</v>
      </c>
      <c r="O73" s="104" t="str">
        <f t="shared" si="12"/>
        <v>[** NO ZONE **]</v>
      </c>
      <c r="P73" s="76" t="s">
        <v>400</v>
      </c>
      <c r="Q73" s="61"/>
      <c r="R73" s="76" t="s">
        <v>400</v>
      </c>
      <c r="S73" s="76" t="s">
        <v>400</v>
      </c>
      <c r="T73" s="76" t="s">
        <v>293</v>
      </c>
      <c r="U73" s="61"/>
      <c r="V73" s="61"/>
      <c r="W73" s="61"/>
      <c r="X73" s="76" t="s">
        <v>302</v>
      </c>
      <c r="Y73" s="76" t="s">
        <v>400</v>
      </c>
      <c r="Z73" s="61"/>
      <c r="AA73" s="61"/>
      <c r="AB73" s="61"/>
    </row>
    <row r="74" spans="1:28" ht="16" x14ac:dyDescent="0.2">
      <c r="A74" s="61"/>
      <c r="B74" s="124">
        <v>96</v>
      </c>
      <c r="C74" s="76" t="s">
        <v>400</v>
      </c>
      <c r="D74" s="76"/>
      <c r="E74" s="76" t="s">
        <v>400</v>
      </c>
      <c r="F74" s="61"/>
      <c r="G74" s="61"/>
      <c r="H74" s="61"/>
      <c r="I74" s="61"/>
      <c r="J74" s="61"/>
      <c r="K74" s="61"/>
      <c r="L74" s="61"/>
      <c r="M74" s="61"/>
      <c r="N74" s="104" t="str">
        <f t="shared" si="11"/>
        <v>[** NO ZONE **]</v>
      </c>
      <c r="O74" s="104" t="str">
        <f t="shared" si="12"/>
        <v>[** NO ZONE **]</v>
      </c>
      <c r="P74" s="76" t="s">
        <v>400</v>
      </c>
      <c r="Q74" s="61"/>
      <c r="R74" s="76" t="s">
        <v>400</v>
      </c>
      <c r="S74" s="76" t="s">
        <v>400</v>
      </c>
      <c r="T74" s="76" t="s">
        <v>293</v>
      </c>
      <c r="U74" s="61"/>
      <c r="V74" s="61"/>
      <c r="W74" s="61"/>
      <c r="X74" s="76" t="s">
        <v>302</v>
      </c>
      <c r="Y74" s="76" t="s">
        <v>400</v>
      </c>
      <c r="Z74" s="61"/>
      <c r="AA74" s="61"/>
      <c r="AB74" s="61"/>
    </row>
    <row r="75" spans="1:28" ht="16" x14ac:dyDescent="0.2">
      <c r="A75" s="61"/>
      <c r="B75" s="124">
        <v>97</v>
      </c>
      <c r="C75" s="76" t="s">
        <v>400</v>
      </c>
      <c r="D75" s="76"/>
      <c r="E75" s="76" t="s">
        <v>400</v>
      </c>
      <c r="F75" s="61"/>
      <c r="G75" s="61"/>
      <c r="H75" s="61"/>
      <c r="I75" s="61"/>
      <c r="J75" s="61"/>
      <c r="K75" s="61"/>
      <c r="L75" s="61"/>
      <c r="M75" s="61"/>
      <c r="N75" s="104" t="str">
        <f t="shared" si="11"/>
        <v>[** NO ZONE **]</v>
      </c>
      <c r="O75" s="104" t="str">
        <f t="shared" si="12"/>
        <v>[** NO ZONE **]</v>
      </c>
      <c r="P75" s="76" t="s">
        <v>400</v>
      </c>
      <c r="Q75" s="61"/>
      <c r="R75" s="76" t="s">
        <v>400</v>
      </c>
      <c r="S75" s="76" t="s">
        <v>400</v>
      </c>
      <c r="T75" s="76" t="s">
        <v>293</v>
      </c>
      <c r="U75" s="61"/>
      <c r="V75" s="61"/>
      <c r="W75" s="61"/>
      <c r="X75" s="76" t="s">
        <v>302</v>
      </c>
      <c r="Y75" s="76" t="s">
        <v>400</v>
      </c>
      <c r="Z75" s="61"/>
      <c r="AA75" s="61"/>
      <c r="AB75" s="61"/>
    </row>
    <row r="76" spans="1:28" ht="16" x14ac:dyDescent="0.2">
      <c r="A76" s="61"/>
      <c r="B76" s="124">
        <v>98</v>
      </c>
      <c r="C76" s="76" t="s">
        <v>400</v>
      </c>
      <c r="D76" s="76"/>
      <c r="E76" s="76" t="s">
        <v>400</v>
      </c>
      <c r="F76" s="61"/>
      <c r="G76" s="61"/>
      <c r="H76" s="61"/>
      <c r="I76" s="61"/>
      <c r="J76" s="61"/>
      <c r="K76" s="61"/>
      <c r="L76" s="61"/>
      <c r="M76" s="61"/>
      <c r="N76" s="104" t="str">
        <f t="shared" si="11"/>
        <v>[** NO ZONE **]</v>
      </c>
      <c r="O76" s="104" t="str">
        <f t="shared" si="12"/>
        <v>[** NO ZONE **]</v>
      </c>
      <c r="P76" s="76" t="s">
        <v>400</v>
      </c>
      <c r="Q76" s="61"/>
      <c r="R76" s="76" t="s">
        <v>400</v>
      </c>
      <c r="S76" s="76" t="s">
        <v>400</v>
      </c>
      <c r="T76" s="76" t="s">
        <v>293</v>
      </c>
      <c r="U76" s="61"/>
      <c r="V76" s="61"/>
      <c r="W76" s="61"/>
      <c r="X76" s="76" t="s">
        <v>302</v>
      </c>
      <c r="Y76" s="76" t="s">
        <v>400</v>
      </c>
      <c r="Z76" s="61"/>
      <c r="AA76" s="61"/>
      <c r="AB76" s="61"/>
    </row>
    <row r="77" spans="1:28" ht="16" x14ac:dyDescent="0.2">
      <c r="A77" s="61"/>
      <c r="B77" s="124">
        <v>99</v>
      </c>
      <c r="C77" s="76" t="s">
        <v>400</v>
      </c>
      <c r="D77" s="76"/>
      <c r="E77" s="76" t="s">
        <v>400</v>
      </c>
      <c r="F77" s="61"/>
      <c r="G77" s="61"/>
      <c r="H77" s="61"/>
      <c r="I77" s="61"/>
      <c r="J77" s="61"/>
      <c r="K77" s="61"/>
      <c r="L77" s="61"/>
      <c r="M77" s="61"/>
      <c r="N77" s="104" t="str">
        <f t="shared" si="11"/>
        <v>[** NO ZONE **]</v>
      </c>
      <c r="O77" s="104" t="str">
        <f t="shared" si="12"/>
        <v>[** NO ZONE **]</v>
      </c>
      <c r="P77" s="76" t="s">
        <v>400</v>
      </c>
      <c r="Q77" s="61"/>
      <c r="R77" s="76" t="s">
        <v>400</v>
      </c>
      <c r="S77" s="76" t="s">
        <v>400</v>
      </c>
      <c r="T77" s="76" t="s">
        <v>293</v>
      </c>
      <c r="U77" s="61"/>
      <c r="V77" s="61"/>
      <c r="W77" s="61"/>
      <c r="X77" s="76" t="s">
        <v>302</v>
      </c>
      <c r="Y77" s="76" t="s">
        <v>400</v>
      </c>
      <c r="Z77" s="61"/>
      <c r="AA77" s="61"/>
      <c r="AB77" s="61"/>
    </row>
    <row r="78" spans="1:28" ht="16" x14ac:dyDescent="0.2">
      <c r="A78" s="61"/>
      <c r="B78" s="124">
        <v>100</v>
      </c>
      <c r="C78" s="76" t="s">
        <v>400</v>
      </c>
      <c r="D78" s="76"/>
      <c r="E78" s="76" t="s">
        <v>400</v>
      </c>
      <c r="F78" s="61"/>
      <c r="G78" s="61"/>
      <c r="H78" s="61"/>
      <c r="I78" s="61"/>
      <c r="J78" s="61"/>
      <c r="K78" s="61"/>
      <c r="L78" s="61"/>
      <c r="M78" s="61"/>
      <c r="N78" s="104" t="str">
        <f t="shared" si="11"/>
        <v>[** NO ZONE **]</v>
      </c>
      <c r="O78" s="104" t="str">
        <f t="shared" si="12"/>
        <v>[** NO ZONE **]</v>
      </c>
      <c r="P78" s="76" t="s">
        <v>400</v>
      </c>
      <c r="Q78" s="61"/>
      <c r="R78" s="76" t="s">
        <v>400</v>
      </c>
      <c r="S78" s="76" t="s">
        <v>400</v>
      </c>
      <c r="T78" s="76" t="s">
        <v>293</v>
      </c>
      <c r="U78" s="61"/>
      <c r="V78" s="61"/>
      <c r="W78" s="61"/>
      <c r="X78" s="76" t="s">
        <v>302</v>
      </c>
      <c r="Y78" s="76" t="s">
        <v>400</v>
      </c>
      <c r="Z78" s="61"/>
      <c r="AA78" s="61"/>
      <c r="AB78" s="61"/>
    </row>
    <row r="79" spans="1:28" x14ac:dyDescent="0.2">
      <c r="B79" s="55" t="s">
        <v>453</v>
      </c>
      <c r="D79" s="2"/>
      <c r="P79" s="2"/>
      <c r="Q79" s="2"/>
    </row>
    <row r="80" spans="1:28" x14ac:dyDescent="0.2">
      <c r="D80" s="2"/>
      <c r="P80" s="2"/>
      <c r="Q80" s="2"/>
    </row>
    <row r="81" spans="4:17" x14ac:dyDescent="0.2">
      <c r="D81" s="2"/>
      <c r="P81" s="2"/>
      <c r="Q81" s="2"/>
    </row>
    <row r="82" spans="4:17" x14ac:dyDescent="0.2">
      <c r="D82" s="2"/>
      <c r="P82" s="2"/>
      <c r="Q82" s="2"/>
    </row>
    <row r="83" spans="4:17" x14ac:dyDescent="0.2">
      <c r="D83" s="2"/>
      <c r="P83" s="2"/>
      <c r="Q83" s="2"/>
    </row>
    <row r="84" spans="4:17" x14ac:dyDescent="0.2">
      <c r="D84" s="2"/>
      <c r="P84" s="2"/>
      <c r="Q84" s="2"/>
    </row>
    <row r="85" spans="4:17" x14ac:dyDescent="0.2">
      <c r="D85" s="2"/>
      <c r="J85" s="109"/>
      <c r="M85" s="109"/>
      <c r="P85" s="2"/>
      <c r="Q85" s="2"/>
    </row>
    <row r="86" spans="4:17" x14ac:dyDescent="0.2">
      <c r="D86" s="2"/>
      <c r="P86" s="2"/>
      <c r="Q86" s="2"/>
    </row>
    <row r="87" spans="4:17" x14ac:dyDescent="0.2">
      <c r="P87" s="2"/>
      <c r="Q87" s="2"/>
    </row>
  </sheetData>
  <autoFilter ref="A6:AB79" xr:uid="{A362F8EB-1A0A-462E-8161-4A8CC559BF25}"/>
  <mergeCells count="2">
    <mergeCell ref="L3:M3"/>
    <mergeCell ref="B5:F5"/>
  </mergeCells>
  <conditionalFormatting sqref="A41:AB41 A45:AB47 N43:O43 Q43 P42:P43 T43:X43 X42 Z43:AA43 A42:B44 D44:E44 A50:AB78">
    <cfRule type="containsText" dxfId="691" priority="393" operator="containsText" text="check">
      <formula>NOT(ISERROR(SEARCH("check",A41)))</formula>
    </cfRule>
    <cfRule type="cellIs" dxfId="690" priority="394" operator="equal">
      <formula>"???"</formula>
    </cfRule>
  </conditionalFormatting>
  <conditionalFormatting sqref="C41 C45:C47 C50:C78">
    <cfRule type="cellIs" dxfId="689" priority="391" operator="equal">
      <formula>"TMO"</formula>
    </cfRule>
    <cfRule type="cellIs" dxfId="688" priority="392" operator="equal">
      <formula>"FMO"</formula>
    </cfRule>
  </conditionalFormatting>
  <conditionalFormatting sqref="R41 R45:R47 R50:R78">
    <cfRule type="containsText" dxfId="687" priority="390" operator="containsText" text="SI">
      <formula>NOT(ISERROR(SEARCH("SI",R41)))</formula>
    </cfRule>
  </conditionalFormatting>
  <conditionalFormatting sqref="T41 T43 T45:T47 T50:T78">
    <cfRule type="cellIs" dxfId="686" priority="389" operator="equal">
      <formula>"Yes"</formula>
    </cfRule>
  </conditionalFormatting>
  <conditionalFormatting sqref="G20 F7:J8 F9:G9 F18:F19 F12:G17 F10:F11 F21:G40 A7:B40 N7:AB27 N29:AB40 N28:O28 R28:AB28">
    <cfRule type="containsText" dxfId="685" priority="387" operator="containsText" text="check">
      <formula>NOT(ISERROR(SEARCH("check",A7)))</formula>
    </cfRule>
    <cfRule type="cellIs" dxfId="684" priority="388" operator="equal">
      <formula>"???"</formula>
    </cfRule>
  </conditionalFormatting>
  <conditionalFormatting sqref="R7:R40">
    <cfRule type="containsText" dxfId="683" priority="384" operator="containsText" text="SI">
      <formula>NOT(ISERROR(SEARCH("SI",R7)))</formula>
    </cfRule>
  </conditionalFormatting>
  <conditionalFormatting sqref="T7:T40">
    <cfRule type="cellIs" dxfId="682" priority="383" operator="equal">
      <formula>"Yes"</formula>
    </cfRule>
  </conditionalFormatting>
  <conditionalFormatting sqref="G19">
    <cfRule type="containsText" dxfId="681" priority="381" operator="containsText" text="check">
      <formula>NOT(ISERROR(SEARCH("check",G19)))</formula>
    </cfRule>
    <cfRule type="cellIs" dxfId="680" priority="382" operator="equal">
      <formula>"???"</formula>
    </cfRule>
  </conditionalFormatting>
  <conditionalFormatting sqref="F20">
    <cfRule type="containsText" dxfId="679" priority="379" operator="containsText" text="check">
      <formula>NOT(ISERROR(SEARCH("check",F20)))</formula>
    </cfRule>
    <cfRule type="cellIs" dxfId="678" priority="380" operator="equal">
      <formula>"???"</formula>
    </cfRule>
  </conditionalFormatting>
  <conditionalFormatting sqref="C7:C40">
    <cfRule type="containsText" dxfId="677" priority="377" operator="containsText" text="check">
      <formula>NOT(ISERROR(SEARCH("check",C7)))</formula>
    </cfRule>
    <cfRule type="cellIs" dxfId="676" priority="378" operator="equal">
      <formula>"???"</formula>
    </cfRule>
  </conditionalFormatting>
  <conditionalFormatting sqref="C7:C40">
    <cfRule type="cellIs" dxfId="675" priority="375" operator="equal">
      <formula>"TMO"</formula>
    </cfRule>
    <cfRule type="cellIs" dxfId="674" priority="376" operator="equal">
      <formula>"FMO"</formula>
    </cfRule>
  </conditionalFormatting>
  <conditionalFormatting sqref="E7:E40">
    <cfRule type="containsText" dxfId="673" priority="373" operator="containsText" text="check">
      <formula>NOT(ISERROR(SEARCH("check",E7)))</formula>
    </cfRule>
    <cfRule type="cellIs" dxfId="672" priority="374" operator="equal">
      <formula>"???"</formula>
    </cfRule>
  </conditionalFormatting>
  <conditionalFormatting sqref="K7:M7">
    <cfRule type="containsText" dxfId="671" priority="353" operator="containsText" text="check">
      <formula>NOT(ISERROR(SEARCH("check",K7)))</formula>
    </cfRule>
    <cfRule type="cellIs" dxfId="670" priority="354" operator="equal">
      <formula>"???"</formula>
    </cfRule>
  </conditionalFormatting>
  <conditionalFormatting sqref="K8">
    <cfRule type="containsText" dxfId="669" priority="351" operator="containsText" text="check">
      <formula>NOT(ISERROR(SEARCH("check",K8)))</formula>
    </cfRule>
    <cfRule type="cellIs" dxfId="668" priority="352" operator="equal">
      <formula>"???"</formula>
    </cfRule>
  </conditionalFormatting>
  <conditionalFormatting sqref="H9:K9 H10:J11">
    <cfRule type="containsText" dxfId="667" priority="349" operator="containsText" text="check">
      <formula>NOT(ISERROR(SEARCH("check",H9)))</formula>
    </cfRule>
    <cfRule type="cellIs" dxfId="666" priority="350" operator="equal">
      <formula>"???"</formula>
    </cfRule>
  </conditionalFormatting>
  <conditionalFormatting sqref="K12">
    <cfRule type="containsText" dxfId="665" priority="347" operator="containsText" text="check">
      <formula>NOT(ISERROR(SEARCH("check",K12)))</formula>
    </cfRule>
    <cfRule type="cellIs" dxfId="664" priority="348" operator="equal">
      <formula>"???"</formula>
    </cfRule>
  </conditionalFormatting>
  <conditionalFormatting sqref="K13">
    <cfRule type="containsText" dxfId="663" priority="345" operator="containsText" text="check">
      <formula>NOT(ISERROR(SEARCH("check",K13)))</formula>
    </cfRule>
    <cfRule type="cellIs" dxfId="662" priority="346" operator="equal">
      <formula>"???"</formula>
    </cfRule>
  </conditionalFormatting>
  <conditionalFormatting sqref="H12:H14">
    <cfRule type="containsText" dxfId="661" priority="339" operator="containsText" text="check">
      <formula>NOT(ISERROR(SEARCH("check",H12)))</formula>
    </cfRule>
    <cfRule type="cellIs" dxfId="660" priority="340" operator="equal">
      <formula>"???"</formula>
    </cfRule>
  </conditionalFormatting>
  <conditionalFormatting sqref="K14">
    <cfRule type="containsText" dxfId="659" priority="343" operator="containsText" text="check">
      <formula>NOT(ISERROR(SEARCH("check",K14)))</formula>
    </cfRule>
    <cfRule type="cellIs" dxfId="658" priority="344" operator="equal">
      <formula>"???"</formula>
    </cfRule>
  </conditionalFormatting>
  <conditionalFormatting sqref="K16">
    <cfRule type="containsText" dxfId="657" priority="337" operator="containsText" text="check">
      <formula>NOT(ISERROR(SEARCH("check",K16)))</formula>
    </cfRule>
    <cfRule type="cellIs" dxfId="656" priority="338" operator="equal">
      <formula>"???"</formula>
    </cfRule>
  </conditionalFormatting>
  <conditionalFormatting sqref="H16">
    <cfRule type="containsText" dxfId="655" priority="335" operator="containsText" text="check">
      <formula>NOT(ISERROR(SEARCH("check",H16)))</formula>
    </cfRule>
    <cfRule type="cellIs" dxfId="654" priority="336" operator="equal">
      <formula>"???"</formula>
    </cfRule>
  </conditionalFormatting>
  <conditionalFormatting sqref="H17">
    <cfRule type="containsText" dxfId="653" priority="333" operator="containsText" text="check">
      <formula>NOT(ISERROR(SEARCH("check",H17)))</formula>
    </cfRule>
    <cfRule type="cellIs" dxfId="652" priority="334" operator="equal">
      <formula>"???"</formula>
    </cfRule>
  </conditionalFormatting>
  <conditionalFormatting sqref="K18">
    <cfRule type="containsText" dxfId="651" priority="331" operator="containsText" text="check">
      <formula>NOT(ISERROR(SEARCH("check",K18)))</formula>
    </cfRule>
    <cfRule type="cellIs" dxfId="650" priority="332" operator="equal">
      <formula>"???"</formula>
    </cfRule>
  </conditionalFormatting>
  <conditionalFormatting sqref="H18:J18">
    <cfRule type="containsText" dxfId="649" priority="327" operator="containsText" text="check">
      <formula>NOT(ISERROR(SEARCH("check",H18)))</formula>
    </cfRule>
    <cfRule type="cellIs" dxfId="648" priority="328" operator="equal">
      <formula>"???"</formula>
    </cfRule>
  </conditionalFormatting>
  <conditionalFormatting sqref="H15">
    <cfRule type="containsText" dxfId="647" priority="325" operator="containsText" text="check">
      <formula>NOT(ISERROR(SEARCH("check",H15)))</formula>
    </cfRule>
    <cfRule type="cellIs" dxfId="646" priority="326" operator="equal">
      <formula>"???"</formula>
    </cfRule>
  </conditionalFormatting>
  <conditionalFormatting sqref="K15">
    <cfRule type="containsText" dxfId="645" priority="323" operator="containsText" text="check">
      <formula>NOT(ISERROR(SEARCH("check",K15)))</formula>
    </cfRule>
    <cfRule type="cellIs" dxfId="644" priority="324" operator="equal">
      <formula>"???"</formula>
    </cfRule>
  </conditionalFormatting>
  <conditionalFormatting sqref="H20:J20">
    <cfRule type="containsText" dxfId="643" priority="311" operator="containsText" text="check">
      <formula>NOT(ISERROR(SEARCH("check",H20)))</formula>
    </cfRule>
    <cfRule type="cellIs" dxfId="642" priority="312" operator="equal">
      <formula>"???"</formula>
    </cfRule>
  </conditionalFormatting>
  <conditionalFormatting sqref="K19:M19 K21:M21">
    <cfRule type="containsText" dxfId="641" priority="315" operator="containsText" text="check">
      <formula>NOT(ISERROR(SEARCH("check",K19)))</formula>
    </cfRule>
    <cfRule type="cellIs" dxfId="640" priority="316" operator="equal">
      <formula>"???"</formula>
    </cfRule>
  </conditionalFormatting>
  <conditionalFormatting sqref="H24:M24">
    <cfRule type="containsText" dxfId="639" priority="313" operator="containsText" text="check">
      <formula>NOT(ISERROR(SEARCH("check",H24)))</formula>
    </cfRule>
    <cfRule type="cellIs" dxfId="638" priority="314" operator="equal">
      <formula>"???"</formula>
    </cfRule>
  </conditionalFormatting>
  <conditionalFormatting sqref="H21:J21">
    <cfRule type="containsText" dxfId="637" priority="309" operator="containsText" text="check">
      <formula>NOT(ISERROR(SEARCH("check",H21)))</formula>
    </cfRule>
    <cfRule type="cellIs" dxfId="636" priority="310" operator="equal">
      <formula>"???"</formula>
    </cfRule>
  </conditionalFormatting>
  <conditionalFormatting sqref="K22:M22">
    <cfRule type="containsText" dxfId="635" priority="307" operator="containsText" text="check">
      <formula>NOT(ISERROR(SEARCH("check",K22)))</formula>
    </cfRule>
    <cfRule type="cellIs" dxfId="634" priority="308" operator="equal">
      <formula>"???"</formula>
    </cfRule>
  </conditionalFormatting>
  <conditionalFormatting sqref="H23:J23">
    <cfRule type="containsText" dxfId="633" priority="305" operator="containsText" text="check">
      <formula>NOT(ISERROR(SEARCH("check",H23)))</formula>
    </cfRule>
    <cfRule type="cellIs" dxfId="632" priority="306" operator="equal">
      <formula>"???"</formula>
    </cfRule>
  </conditionalFormatting>
  <conditionalFormatting sqref="H22:J22">
    <cfRule type="containsText" dxfId="631" priority="299" operator="containsText" text="check">
      <formula>NOT(ISERROR(SEARCH("check",H22)))</formula>
    </cfRule>
    <cfRule type="cellIs" dxfId="630" priority="300" operator="equal">
      <formula>"???"</formula>
    </cfRule>
  </conditionalFormatting>
  <conditionalFormatting sqref="K23:M23">
    <cfRule type="containsText" dxfId="629" priority="297" operator="containsText" text="check">
      <formula>NOT(ISERROR(SEARCH("check",K23)))</formula>
    </cfRule>
    <cfRule type="cellIs" dxfId="628" priority="298" operator="equal">
      <formula>"???"</formula>
    </cfRule>
  </conditionalFormatting>
  <conditionalFormatting sqref="H19:J19">
    <cfRule type="containsText" dxfId="627" priority="303" operator="containsText" text="check">
      <formula>NOT(ISERROR(SEARCH("check",H19)))</formula>
    </cfRule>
    <cfRule type="cellIs" dxfId="626" priority="304" operator="equal">
      <formula>"???"</formula>
    </cfRule>
  </conditionalFormatting>
  <conditionalFormatting sqref="K20:M20">
    <cfRule type="containsText" dxfId="625" priority="301" operator="containsText" text="check">
      <formula>NOT(ISERROR(SEARCH("check",K20)))</formula>
    </cfRule>
    <cfRule type="cellIs" dxfId="624" priority="302" operator="equal">
      <formula>"???"</formula>
    </cfRule>
  </conditionalFormatting>
  <conditionalFormatting sqref="K25:M25">
    <cfRule type="containsText" dxfId="623" priority="295" operator="containsText" text="check">
      <formula>NOT(ISERROR(SEARCH("check",K25)))</formula>
    </cfRule>
    <cfRule type="cellIs" dxfId="622" priority="296" operator="equal">
      <formula>"???"</formula>
    </cfRule>
  </conditionalFormatting>
  <conditionalFormatting sqref="H25">
    <cfRule type="containsText" dxfId="621" priority="293" operator="containsText" text="check">
      <formula>NOT(ISERROR(SEARCH("check",H25)))</formula>
    </cfRule>
    <cfRule type="cellIs" dxfId="620" priority="294" operator="equal">
      <formula>"???"</formula>
    </cfRule>
  </conditionalFormatting>
  <conditionalFormatting sqref="K26:M26">
    <cfRule type="containsText" dxfId="619" priority="291" operator="containsText" text="check">
      <formula>NOT(ISERROR(SEARCH("check",K26)))</formula>
    </cfRule>
    <cfRule type="cellIs" dxfId="618" priority="292" operator="equal">
      <formula>"???"</formula>
    </cfRule>
  </conditionalFormatting>
  <conditionalFormatting sqref="H26:J26">
    <cfRule type="containsText" dxfId="617" priority="289" operator="containsText" text="check">
      <formula>NOT(ISERROR(SEARCH("check",H26)))</formula>
    </cfRule>
    <cfRule type="cellIs" dxfId="616" priority="290" operator="equal">
      <formula>"???"</formula>
    </cfRule>
  </conditionalFormatting>
  <conditionalFormatting sqref="K27:K29">
    <cfRule type="containsText" dxfId="615" priority="287" operator="containsText" text="check">
      <formula>NOT(ISERROR(SEARCH("check",K27)))</formula>
    </cfRule>
    <cfRule type="cellIs" dxfId="614" priority="288" operator="equal">
      <formula>"???"</formula>
    </cfRule>
  </conditionalFormatting>
  <conditionalFormatting sqref="L27:M29">
    <cfRule type="containsText" dxfId="613" priority="285" operator="containsText" text="check">
      <formula>NOT(ISERROR(SEARCH("check",L27)))</formula>
    </cfRule>
    <cfRule type="cellIs" dxfId="612" priority="286" operator="equal">
      <formula>"???"</formula>
    </cfRule>
  </conditionalFormatting>
  <conditionalFormatting sqref="H31 H27:H28">
    <cfRule type="containsText" dxfId="611" priority="283" operator="containsText" text="check">
      <formula>NOT(ISERROR(SEARCH("check",H27)))</formula>
    </cfRule>
    <cfRule type="cellIs" dxfId="610" priority="284" operator="equal">
      <formula>"???"</formula>
    </cfRule>
  </conditionalFormatting>
  <conditionalFormatting sqref="H30">
    <cfRule type="containsText" dxfId="609" priority="279" operator="containsText" text="check">
      <formula>NOT(ISERROR(SEARCH("check",H30)))</formula>
    </cfRule>
    <cfRule type="cellIs" dxfId="608" priority="280" operator="equal">
      <formula>"???"</formula>
    </cfRule>
  </conditionalFormatting>
  <conditionalFormatting sqref="K30">
    <cfRule type="containsText" dxfId="607" priority="277" operator="containsText" text="check">
      <formula>NOT(ISERROR(SEARCH("check",K30)))</formula>
    </cfRule>
    <cfRule type="cellIs" dxfId="606" priority="278" operator="equal">
      <formula>"???"</formula>
    </cfRule>
  </conditionalFormatting>
  <conditionalFormatting sqref="H32:J32">
    <cfRule type="containsText" dxfId="605" priority="275" operator="containsText" text="check">
      <formula>NOT(ISERROR(SEARCH("check",H32)))</formula>
    </cfRule>
    <cfRule type="cellIs" dxfId="604" priority="276" operator="equal">
      <formula>"???"</formula>
    </cfRule>
  </conditionalFormatting>
  <conditionalFormatting sqref="K32">
    <cfRule type="containsText" dxfId="603" priority="273" operator="containsText" text="check">
      <formula>NOT(ISERROR(SEARCH("check",K32)))</formula>
    </cfRule>
    <cfRule type="cellIs" dxfId="602" priority="274" operator="equal">
      <formula>"???"</formula>
    </cfRule>
  </conditionalFormatting>
  <conditionalFormatting sqref="H34:M34">
    <cfRule type="containsText" dxfId="601" priority="271" operator="containsText" text="check">
      <formula>NOT(ISERROR(SEARCH("check",H34)))</formula>
    </cfRule>
    <cfRule type="cellIs" dxfId="600" priority="272" operator="equal">
      <formula>"???"</formula>
    </cfRule>
  </conditionalFormatting>
  <conditionalFormatting sqref="H35">
    <cfRule type="containsText" dxfId="599" priority="269" operator="containsText" text="check">
      <formula>NOT(ISERROR(SEARCH("check",H35)))</formula>
    </cfRule>
    <cfRule type="cellIs" dxfId="598" priority="270" operator="equal">
      <formula>"???"</formula>
    </cfRule>
  </conditionalFormatting>
  <conditionalFormatting sqref="K35">
    <cfRule type="containsText" dxfId="597" priority="265" operator="containsText" text="check">
      <formula>NOT(ISERROR(SEARCH("check",K35)))</formula>
    </cfRule>
    <cfRule type="cellIs" dxfId="596" priority="266" operator="equal">
      <formula>"???"</formula>
    </cfRule>
  </conditionalFormatting>
  <conditionalFormatting sqref="H33">
    <cfRule type="containsText" dxfId="595" priority="267" operator="containsText" text="check">
      <formula>NOT(ISERROR(SEARCH("check",H33)))</formula>
    </cfRule>
    <cfRule type="cellIs" dxfId="594" priority="268" operator="equal">
      <formula>"???"</formula>
    </cfRule>
  </conditionalFormatting>
  <conditionalFormatting sqref="H37:M38">
    <cfRule type="containsText" dxfId="593" priority="261" operator="containsText" text="check">
      <formula>NOT(ISERROR(SEARCH("check",H37)))</formula>
    </cfRule>
    <cfRule type="cellIs" dxfId="592" priority="262" operator="equal">
      <formula>"???"</formula>
    </cfRule>
  </conditionalFormatting>
  <conditionalFormatting sqref="K40">
    <cfRule type="containsText" dxfId="591" priority="255" operator="containsText" text="check">
      <formula>NOT(ISERROR(SEARCH("check",K40)))</formula>
    </cfRule>
    <cfRule type="cellIs" dxfId="590" priority="256" operator="equal">
      <formula>"???"</formula>
    </cfRule>
  </conditionalFormatting>
  <conditionalFormatting sqref="H40">
    <cfRule type="containsText" dxfId="589" priority="253" operator="containsText" text="check">
      <formula>NOT(ISERROR(SEARCH("check",H40)))</formula>
    </cfRule>
    <cfRule type="cellIs" dxfId="588" priority="254" operator="equal">
      <formula>"???"</formula>
    </cfRule>
  </conditionalFormatting>
  <conditionalFormatting sqref="L39:M39">
    <cfRule type="containsText" dxfId="587" priority="251" operator="containsText" text="check">
      <formula>NOT(ISERROR(SEARCH("check",L39)))</formula>
    </cfRule>
    <cfRule type="cellIs" dxfId="586" priority="252" operator="equal">
      <formula>"???"</formula>
    </cfRule>
  </conditionalFormatting>
  <conditionalFormatting sqref="H39:J39">
    <cfRule type="containsText" dxfId="585" priority="249" operator="containsText" text="check">
      <formula>NOT(ISERROR(SEARCH("check",H39)))</formula>
    </cfRule>
    <cfRule type="cellIs" dxfId="584" priority="250" operator="equal">
      <formula>"???"</formula>
    </cfRule>
  </conditionalFormatting>
  <conditionalFormatting sqref="K39">
    <cfRule type="containsText" dxfId="583" priority="247" operator="containsText" text="check">
      <formula>NOT(ISERROR(SEARCH("check",K39)))</formula>
    </cfRule>
    <cfRule type="cellIs" dxfId="582" priority="248" operator="equal">
      <formula>"???"</formula>
    </cfRule>
  </conditionalFormatting>
  <conditionalFormatting sqref="D14">
    <cfRule type="containsText" dxfId="581" priority="241" operator="containsText" text="check">
      <formula>NOT(ISERROR(SEARCH("check",D14)))</formula>
    </cfRule>
    <cfRule type="cellIs" dxfId="580" priority="242" operator="equal">
      <formula>"???"</formula>
    </cfRule>
  </conditionalFormatting>
  <conditionalFormatting sqref="D26">
    <cfRule type="containsText" dxfId="579" priority="237" operator="containsText" text="check">
      <formula>NOT(ISERROR(SEARCH("check",D26)))</formula>
    </cfRule>
    <cfRule type="cellIs" dxfId="578" priority="238" operator="equal">
      <formula>"???"</formula>
    </cfRule>
  </conditionalFormatting>
  <conditionalFormatting sqref="D27:D29">
    <cfRule type="containsText" dxfId="577" priority="235" operator="containsText" text="check">
      <formula>NOT(ISERROR(SEARCH("check",D27)))</formula>
    </cfRule>
    <cfRule type="cellIs" dxfId="576" priority="236" operator="equal">
      <formula>"???"</formula>
    </cfRule>
  </conditionalFormatting>
  <conditionalFormatting sqref="D25 D23 D31 D36:D37 D17:D21 D7:D11">
    <cfRule type="containsText" dxfId="575" priority="245" operator="containsText" text="check">
      <formula>NOT(ISERROR(SEARCH("check",D7)))</formula>
    </cfRule>
    <cfRule type="cellIs" dxfId="574" priority="246" operator="equal">
      <formula>"???"</formula>
    </cfRule>
  </conditionalFormatting>
  <conditionalFormatting sqref="D12:D13">
    <cfRule type="containsText" dxfId="573" priority="243" operator="containsText" text="check">
      <formula>NOT(ISERROR(SEARCH("check",D12)))</formula>
    </cfRule>
    <cfRule type="cellIs" dxfId="572" priority="244" operator="equal">
      <formula>"???"</formula>
    </cfRule>
  </conditionalFormatting>
  <conditionalFormatting sqref="D24">
    <cfRule type="containsText" dxfId="571" priority="239" operator="containsText" text="check">
      <formula>NOT(ISERROR(SEARCH("check",D24)))</formula>
    </cfRule>
    <cfRule type="cellIs" dxfId="570" priority="240" operator="equal">
      <formula>"???"</formula>
    </cfRule>
  </conditionalFormatting>
  <conditionalFormatting sqref="D16">
    <cfRule type="containsText" dxfId="569" priority="233" operator="containsText" text="check">
      <formula>NOT(ISERROR(SEARCH("check",D16)))</formula>
    </cfRule>
    <cfRule type="cellIs" dxfId="568" priority="234" operator="equal">
      <formula>"???"</formula>
    </cfRule>
  </conditionalFormatting>
  <conditionalFormatting sqref="D33">
    <cfRule type="containsText" dxfId="567" priority="231" operator="containsText" text="check">
      <formula>NOT(ISERROR(SEARCH("check",D33)))</formula>
    </cfRule>
    <cfRule type="cellIs" dxfId="566" priority="232" operator="equal">
      <formula>"???"</formula>
    </cfRule>
  </conditionalFormatting>
  <conditionalFormatting sqref="D35">
    <cfRule type="containsText" dxfId="565" priority="229" operator="containsText" text="check">
      <formula>NOT(ISERROR(SEARCH("check",D35)))</formula>
    </cfRule>
    <cfRule type="cellIs" dxfId="564" priority="230" operator="equal">
      <formula>"???"</formula>
    </cfRule>
  </conditionalFormatting>
  <conditionalFormatting sqref="D22">
    <cfRule type="containsText" dxfId="563" priority="227" operator="containsText" text="check">
      <formula>NOT(ISERROR(SEARCH("check",D22)))</formula>
    </cfRule>
    <cfRule type="cellIs" dxfId="562" priority="228" operator="equal">
      <formula>"???"</formula>
    </cfRule>
  </conditionalFormatting>
  <conditionalFormatting sqref="D40">
    <cfRule type="containsText" dxfId="561" priority="223" operator="containsText" text="check">
      <formula>NOT(ISERROR(SEARCH("check",D40)))</formula>
    </cfRule>
    <cfRule type="cellIs" dxfId="560" priority="224" operator="equal">
      <formula>"???"</formula>
    </cfRule>
  </conditionalFormatting>
  <conditionalFormatting sqref="D34">
    <cfRule type="containsText" dxfId="559" priority="225" operator="containsText" text="check">
      <formula>NOT(ISERROR(SEARCH("check",D34)))</formula>
    </cfRule>
    <cfRule type="cellIs" dxfId="558" priority="226" operator="equal">
      <formula>"???"</formula>
    </cfRule>
  </conditionalFormatting>
  <conditionalFormatting sqref="D39">
    <cfRule type="containsText" dxfId="557" priority="221" operator="containsText" text="check">
      <formula>NOT(ISERROR(SEARCH("check",D39)))</formula>
    </cfRule>
    <cfRule type="cellIs" dxfId="556" priority="222" operator="equal">
      <formula>"???"</formula>
    </cfRule>
  </conditionalFormatting>
  <conditionalFormatting sqref="D15">
    <cfRule type="containsText" dxfId="555" priority="219" operator="containsText" text="check">
      <formula>NOT(ISERROR(SEARCH("check",D15)))</formula>
    </cfRule>
    <cfRule type="cellIs" dxfId="554" priority="220" operator="equal">
      <formula>"???"</formula>
    </cfRule>
  </conditionalFormatting>
  <conditionalFormatting sqref="D30">
    <cfRule type="containsText" dxfId="553" priority="217" operator="containsText" text="check">
      <formula>NOT(ISERROR(SEARCH("check",D30)))</formula>
    </cfRule>
    <cfRule type="cellIs" dxfId="552" priority="218" operator="equal">
      <formula>"???"</formula>
    </cfRule>
  </conditionalFormatting>
  <conditionalFormatting sqref="D32">
    <cfRule type="containsText" dxfId="551" priority="215" operator="containsText" text="check">
      <formula>NOT(ISERROR(SEARCH("check",D32)))</formula>
    </cfRule>
    <cfRule type="cellIs" dxfId="550" priority="216" operator="equal">
      <formula>"???"</formula>
    </cfRule>
  </conditionalFormatting>
  <conditionalFormatting sqref="D38">
    <cfRule type="containsText" dxfId="549" priority="213" operator="containsText" text="check">
      <formula>NOT(ISERROR(SEARCH("check",D38)))</formula>
    </cfRule>
    <cfRule type="cellIs" dxfId="548" priority="214" operator="equal">
      <formula>"???"</formula>
    </cfRule>
  </conditionalFormatting>
  <conditionalFormatting sqref="K36">
    <cfRule type="containsText" dxfId="547" priority="211" operator="containsText" text="check">
      <formula>NOT(ISERROR(SEARCH("check",K36)))</formula>
    </cfRule>
    <cfRule type="cellIs" dxfId="546" priority="212" operator="equal">
      <formula>"???"</formula>
    </cfRule>
  </conditionalFormatting>
  <conditionalFormatting sqref="K17">
    <cfRule type="containsText" dxfId="545" priority="209" operator="containsText" text="check">
      <formula>NOT(ISERROR(SEARCH("check",K17)))</formula>
    </cfRule>
    <cfRule type="cellIs" dxfId="544" priority="210" operator="equal">
      <formula>"???"</formula>
    </cfRule>
  </conditionalFormatting>
  <conditionalFormatting sqref="K31">
    <cfRule type="containsText" dxfId="543" priority="207" operator="containsText" text="check">
      <formula>NOT(ISERROR(SEARCH("check",K31)))</formula>
    </cfRule>
    <cfRule type="cellIs" dxfId="542" priority="208" operator="equal">
      <formula>"???"</formula>
    </cfRule>
  </conditionalFormatting>
  <conditionalFormatting sqref="K33">
    <cfRule type="containsText" dxfId="541" priority="205" operator="containsText" text="check">
      <formula>NOT(ISERROR(SEARCH("check",K33)))</formula>
    </cfRule>
    <cfRule type="cellIs" dxfId="540" priority="206" operator="equal">
      <formula>"???"</formula>
    </cfRule>
  </conditionalFormatting>
  <conditionalFormatting sqref="L33">
    <cfRule type="containsText" dxfId="539" priority="203" operator="containsText" text="check">
      <formula>NOT(ISERROR(SEARCH("check",L33)))</formula>
    </cfRule>
    <cfRule type="cellIs" dxfId="538" priority="204" operator="equal">
      <formula>"???"</formula>
    </cfRule>
  </conditionalFormatting>
  <conditionalFormatting sqref="I16:J16">
    <cfRule type="containsText" dxfId="537" priority="193" operator="containsText" text="check">
      <formula>NOT(ISERROR(SEARCH("check",I16)))</formula>
    </cfRule>
    <cfRule type="cellIs" dxfId="536" priority="194" operator="equal">
      <formula>"???"</formula>
    </cfRule>
  </conditionalFormatting>
  <conditionalFormatting sqref="I33:J33">
    <cfRule type="containsText" dxfId="535" priority="181" operator="containsText" text="check">
      <formula>NOT(ISERROR(SEARCH("check",I33)))</formula>
    </cfRule>
    <cfRule type="cellIs" dxfId="534" priority="182" operator="equal">
      <formula>"???"</formula>
    </cfRule>
  </conditionalFormatting>
  <conditionalFormatting sqref="K10:K11">
    <cfRule type="containsText" dxfId="533" priority="175" operator="containsText" text="check">
      <formula>NOT(ISERROR(SEARCH("check",K10)))</formula>
    </cfRule>
    <cfRule type="cellIs" dxfId="532" priority="176" operator="equal">
      <formula>"???"</formula>
    </cfRule>
  </conditionalFormatting>
  <conditionalFormatting sqref="I27:J28">
    <cfRule type="containsText" dxfId="531" priority="171" operator="containsText" text="check">
      <formula>NOT(ISERROR(SEARCH("check",I27)))</formula>
    </cfRule>
    <cfRule type="cellIs" dxfId="530" priority="172" operator="equal">
      <formula>"???"</formula>
    </cfRule>
  </conditionalFormatting>
  <conditionalFormatting sqref="I25:J25">
    <cfRule type="containsText" dxfId="529" priority="165" operator="containsText" text="check">
      <formula>NOT(ISERROR(SEARCH("check",I25)))</formula>
    </cfRule>
    <cfRule type="cellIs" dxfId="528" priority="166" operator="equal">
      <formula>"???"</formula>
    </cfRule>
  </conditionalFormatting>
  <conditionalFormatting sqref="I17:J17">
    <cfRule type="containsText" dxfId="527" priority="163" operator="containsText" text="check">
      <formula>NOT(ISERROR(SEARCH("check",I17)))</formula>
    </cfRule>
    <cfRule type="cellIs" dxfId="526" priority="164" operator="equal">
      <formula>"???"</formula>
    </cfRule>
  </conditionalFormatting>
  <conditionalFormatting sqref="I15:J15">
    <cfRule type="containsText" dxfId="525" priority="161" operator="containsText" text="check">
      <formula>NOT(ISERROR(SEARCH("check",I15)))</formula>
    </cfRule>
    <cfRule type="cellIs" dxfId="524" priority="162" operator="equal">
      <formula>"???"</formula>
    </cfRule>
  </conditionalFormatting>
  <conditionalFormatting sqref="L10:M11">
    <cfRule type="containsText" dxfId="523" priority="155" operator="containsText" text="check">
      <formula>NOT(ISERROR(SEARCH("check",L10)))</formula>
    </cfRule>
    <cfRule type="cellIs" dxfId="522" priority="156" operator="equal">
      <formula>"???"</formula>
    </cfRule>
  </conditionalFormatting>
  <conditionalFormatting sqref="L18:M18">
    <cfRule type="containsText" dxfId="521" priority="153" operator="containsText" text="check">
      <formula>NOT(ISERROR(SEARCH("check",L18)))</formula>
    </cfRule>
    <cfRule type="cellIs" dxfId="520" priority="154" operator="equal">
      <formula>"???"</formula>
    </cfRule>
  </conditionalFormatting>
  <conditionalFormatting sqref="I12:J12">
    <cfRule type="containsText" dxfId="519" priority="139" operator="containsText" text="check">
      <formula>NOT(ISERROR(SEARCH("check",I12)))</formula>
    </cfRule>
    <cfRule type="cellIs" dxfId="518" priority="140" operator="equal">
      <formula>"???"</formula>
    </cfRule>
  </conditionalFormatting>
  <conditionalFormatting sqref="I13:J13">
    <cfRule type="containsText" dxfId="517" priority="137" operator="containsText" text="check">
      <formula>NOT(ISERROR(SEARCH("check",I13)))</formula>
    </cfRule>
    <cfRule type="cellIs" dxfId="516" priority="138" operator="equal">
      <formula>"???"</formula>
    </cfRule>
  </conditionalFormatting>
  <conditionalFormatting sqref="I14:J14">
    <cfRule type="containsText" dxfId="515" priority="135" operator="containsText" text="check">
      <formula>NOT(ISERROR(SEARCH("check",I14)))</formula>
    </cfRule>
    <cfRule type="cellIs" dxfId="514" priority="136" operator="equal">
      <formula>"???"</formula>
    </cfRule>
  </conditionalFormatting>
  <conditionalFormatting sqref="I30:J31">
    <cfRule type="containsText" dxfId="513" priority="133" operator="containsText" text="check">
      <formula>NOT(ISERROR(SEARCH("check",I30)))</formula>
    </cfRule>
    <cfRule type="cellIs" dxfId="512" priority="134" operator="equal">
      <formula>"???"</formula>
    </cfRule>
  </conditionalFormatting>
  <conditionalFormatting sqref="I36:J36">
    <cfRule type="containsText" dxfId="511" priority="131" operator="containsText" text="check">
      <formula>NOT(ISERROR(SEARCH("check",I36)))</formula>
    </cfRule>
    <cfRule type="cellIs" dxfId="510" priority="132" operator="equal">
      <formula>"???"</formula>
    </cfRule>
  </conditionalFormatting>
  <conditionalFormatting sqref="L12:M12">
    <cfRule type="containsText" dxfId="509" priority="125" operator="containsText" text="check">
      <formula>NOT(ISERROR(SEARCH("check",L12)))</formula>
    </cfRule>
    <cfRule type="cellIs" dxfId="508" priority="126" operator="equal">
      <formula>"???"</formula>
    </cfRule>
  </conditionalFormatting>
  <conditionalFormatting sqref="L13:M13">
    <cfRule type="containsText" dxfId="507" priority="123" operator="containsText" text="check">
      <formula>NOT(ISERROR(SEARCH("check",L13)))</formula>
    </cfRule>
    <cfRule type="cellIs" dxfId="506" priority="124" operator="equal">
      <formula>"???"</formula>
    </cfRule>
  </conditionalFormatting>
  <conditionalFormatting sqref="L30:M30">
    <cfRule type="containsText" dxfId="505" priority="119" operator="containsText" text="check">
      <formula>NOT(ISERROR(SEARCH("check",L30)))</formula>
    </cfRule>
    <cfRule type="cellIs" dxfId="504" priority="120" operator="equal">
      <formula>"???"</formula>
    </cfRule>
  </conditionalFormatting>
  <conditionalFormatting sqref="L14:M14">
    <cfRule type="containsText" dxfId="503" priority="117" operator="containsText" text="check">
      <formula>NOT(ISERROR(SEARCH("check",L14)))</formula>
    </cfRule>
    <cfRule type="cellIs" dxfId="502" priority="118" operator="equal">
      <formula>"???"</formula>
    </cfRule>
  </conditionalFormatting>
  <conditionalFormatting sqref="L32:M32">
    <cfRule type="containsText" dxfId="501" priority="115" operator="containsText" text="check">
      <formula>NOT(ISERROR(SEARCH("check",L32)))</formula>
    </cfRule>
    <cfRule type="cellIs" dxfId="500" priority="116" operator="equal">
      <formula>"???"</formula>
    </cfRule>
  </conditionalFormatting>
  <conditionalFormatting sqref="L35:M35">
    <cfRule type="containsText" dxfId="499" priority="113" operator="containsText" text="check">
      <formula>NOT(ISERROR(SEARCH("check",L35)))</formula>
    </cfRule>
    <cfRule type="cellIs" dxfId="498" priority="114" operator="equal">
      <formula>"???"</formula>
    </cfRule>
  </conditionalFormatting>
  <conditionalFormatting sqref="L40:M40">
    <cfRule type="containsText" dxfId="497" priority="111" operator="containsText" text="check">
      <formula>NOT(ISERROR(SEARCH("check",L40)))</formula>
    </cfRule>
    <cfRule type="cellIs" dxfId="496" priority="112" operator="equal">
      <formula>"???"</formula>
    </cfRule>
  </conditionalFormatting>
  <conditionalFormatting sqref="M33">
    <cfRule type="containsText" dxfId="495" priority="109" operator="containsText" text="check">
      <formula>NOT(ISERROR(SEARCH("check",M33)))</formula>
    </cfRule>
    <cfRule type="cellIs" dxfId="494" priority="110" operator="equal">
      <formula>"???"</formula>
    </cfRule>
  </conditionalFormatting>
  <conditionalFormatting sqref="L31">
    <cfRule type="containsText" dxfId="493" priority="107" operator="containsText" text="check">
      <formula>NOT(ISERROR(SEARCH("check",L31)))</formula>
    </cfRule>
    <cfRule type="cellIs" dxfId="492" priority="108" operator="equal">
      <formula>"???"</formula>
    </cfRule>
  </conditionalFormatting>
  <conditionalFormatting sqref="M31">
    <cfRule type="containsText" dxfId="491" priority="105" operator="containsText" text="check">
      <formula>NOT(ISERROR(SEARCH("check",M31)))</formula>
    </cfRule>
    <cfRule type="cellIs" dxfId="490" priority="106" operator="equal">
      <formula>"???"</formula>
    </cfRule>
  </conditionalFormatting>
  <conditionalFormatting sqref="L16">
    <cfRule type="containsText" dxfId="489" priority="103" operator="containsText" text="check">
      <formula>NOT(ISERROR(SEARCH("check",L16)))</formula>
    </cfRule>
    <cfRule type="cellIs" dxfId="488" priority="104" operator="equal">
      <formula>"???"</formula>
    </cfRule>
  </conditionalFormatting>
  <conditionalFormatting sqref="M16">
    <cfRule type="containsText" dxfId="487" priority="101" operator="containsText" text="check">
      <formula>NOT(ISERROR(SEARCH("check",M16)))</formula>
    </cfRule>
    <cfRule type="cellIs" dxfId="486" priority="102" operator="equal">
      <formula>"???"</formula>
    </cfRule>
  </conditionalFormatting>
  <conditionalFormatting sqref="L17">
    <cfRule type="containsText" dxfId="485" priority="99" operator="containsText" text="check">
      <formula>NOT(ISERROR(SEARCH("check",L17)))</formula>
    </cfRule>
    <cfRule type="cellIs" dxfId="484" priority="100" operator="equal">
      <formula>"???"</formula>
    </cfRule>
  </conditionalFormatting>
  <conditionalFormatting sqref="M17">
    <cfRule type="containsText" dxfId="483" priority="97" operator="containsText" text="check">
      <formula>NOT(ISERROR(SEARCH("check",M17)))</formula>
    </cfRule>
    <cfRule type="cellIs" dxfId="482" priority="98" operator="equal">
      <formula>"???"</formula>
    </cfRule>
  </conditionalFormatting>
  <conditionalFormatting sqref="G18">
    <cfRule type="containsText" dxfId="481" priority="95" operator="containsText" text="check">
      <formula>NOT(ISERROR(SEARCH("check",G18)))</formula>
    </cfRule>
    <cfRule type="cellIs" dxfId="480" priority="96" operator="equal">
      <formula>"???"</formula>
    </cfRule>
  </conditionalFormatting>
  <conditionalFormatting sqref="G10:G11">
    <cfRule type="containsText" dxfId="479" priority="93" operator="containsText" text="check">
      <formula>NOT(ISERROR(SEARCH("check",G10)))</formula>
    </cfRule>
    <cfRule type="cellIs" dxfId="478" priority="94" operator="equal">
      <formula>"???"</formula>
    </cfRule>
  </conditionalFormatting>
  <conditionalFormatting sqref="H36">
    <cfRule type="containsText" dxfId="477" priority="91" operator="containsText" text="check">
      <formula>NOT(ISERROR(SEARCH("check",H36)))</formula>
    </cfRule>
    <cfRule type="cellIs" dxfId="476" priority="92" operator="equal">
      <formula>"???"</formula>
    </cfRule>
  </conditionalFormatting>
  <conditionalFormatting sqref="L15:M15">
    <cfRule type="containsText" dxfId="475" priority="89" operator="containsText" text="check">
      <formula>NOT(ISERROR(SEARCH("check",L15)))</formula>
    </cfRule>
    <cfRule type="cellIs" dxfId="474" priority="90" operator="equal">
      <formula>"???"</formula>
    </cfRule>
  </conditionalFormatting>
  <conditionalFormatting sqref="L8:M8">
    <cfRule type="containsText" dxfId="473" priority="87" operator="containsText" text="check">
      <formula>NOT(ISERROR(SEARCH("check",L8)))</formula>
    </cfRule>
    <cfRule type="cellIs" dxfId="472" priority="88" operator="equal">
      <formula>"???"</formula>
    </cfRule>
  </conditionalFormatting>
  <conditionalFormatting sqref="L9:M9">
    <cfRule type="containsText" dxfId="471" priority="85" operator="containsText" text="check">
      <formula>NOT(ISERROR(SEARCH("check",L9)))</formula>
    </cfRule>
    <cfRule type="cellIs" dxfId="470" priority="86" operator="equal">
      <formula>"???"</formula>
    </cfRule>
  </conditionalFormatting>
  <conditionalFormatting sqref="I40:J40">
    <cfRule type="containsText" dxfId="469" priority="83" operator="containsText" text="check">
      <formula>NOT(ISERROR(SEARCH("check",I40)))</formula>
    </cfRule>
    <cfRule type="cellIs" dxfId="468" priority="84" operator="equal">
      <formula>"???"</formula>
    </cfRule>
  </conditionalFormatting>
  <conditionalFormatting sqref="H29">
    <cfRule type="containsText" dxfId="467" priority="81" operator="containsText" text="check">
      <formula>NOT(ISERROR(SEARCH("check",H29)))</formula>
    </cfRule>
    <cfRule type="cellIs" dxfId="466" priority="82" operator="equal">
      <formula>"???"</formula>
    </cfRule>
  </conditionalFormatting>
  <conditionalFormatting sqref="I29">
    <cfRule type="containsText" dxfId="465" priority="79" operator="containsText" text="check">
      <formula>NOT(ISERROR(SEARCH("check",I29)))</formula>
    </cfRule>
    <cfRule type="cellIs" dxfId="464" priority="80" operator="equal">
      <formula>"???"</formula>
    </cfRule>
  </conditionalFormatting>
  <conditionalFormatting sqref="J29">
    <cfRule type="containsText" dxfId="463" priority="77" operator="containsText" text="check">
      <formula>NOT(ISERROR(SEARCH("check",J29)))</formula>
    </cfRule>
    <cfRule type="cellIs" dxfId="462" priority="78" operator="equal">
      <formula>"???"</formula>
    </cfRule>
  </conditionalFormatting>
  <conditionalFormatting sqref="P28">
    <cfRule type="containsText" dxfId="461" priority="75" operator="containsText" text="check">
      <formula>NOT(ISERROR(SEARCH("check",P28)))</formula>
    </cfRule>
    <cfRule type="cellIs" dxfId="460" priority="76" operator="equal">
      <formula>"???"</formula>
    </cfRule>
  </conditionalFormatting>
  <conditionalFormatting sqref="Q28">
    <cfRule type="containsText" dxfId="459" priority="73" operator="containsText" text="check">
      <formula>NOT(ISERROR(SEARCH("check",Q28)))</formula>
    </cfRule>
    <cfRule type="cellIs" dxfId="458" priority="74" operator="equal">
      <formula>"???"</formula>
    </cfRule>
  </conditionalFormatting>
  <conditionalFormatting sqref="F42:G42 N42:O42 Q42:W42 R43:S43 Y42:AB42 Y43">
    <cfRule type="containsText" dxfId="457" priority="71" operator="containsText" text="check">
      <formula>NOT(ISERROR(SEARCH("check",F42)))</formula>
    </cfRule>
    <cfRule type="cellIs" dxfId="456" priority="72" operator="equal">
      <formula>"???"</formula>
    </cfRule>
  </conditionalFormatting>
  <conditionalFormatting sqref="R42:R43">
    <cfRule type="containsText" dxfId="455" priority="70" operator="containsText" text="SI">
      <formula>NOT(ISERROR(SEARCH("SI",R42)))</formula>
    </cfRule>
  </conditionalFormatting>
  <conditionalFormatting sqref="T42">
    <cfRule type="cellIs" dxfId="454" priority="69" operator="equal">
      <formula>"Yes"</formula>
    </cfRule>
  </conditionalFormatting>
  <conditionalFormatting sqref="C42:C44">
    <cfRule type="containsText" dxfId="453" priority="67" operator="containsText" text="check">
      <formula>NOT(ISERROR(SEARCH("check",C42)))</formula>
    </cfRule>
    <cfRule type="cellIs" dxfId="452" priority="68" operator="equal">
      <formula>"???"</formula>
    </cfRule>
  </conditionalFormatting>
  <conditionalFormatting sqref="C42:C44">
    <cfRule type="cellIs" dxfId="451" priority="65" operator="equal">
      <formula>"TMO"</formula>
    </cfRule>
    <cfRule type="cellIs" dxfId="450" priority="66" operator="equal">
      <formula>"FMO"</formula>
    </cfRule>
  </conditionalFormatting>
  <conditionalFormatting sqref="E42:E43">
    <cfRule type="containsText" dxfId="449" priority="63" operator="containsText" text="check">
      <formula>NOT(ISERROR(SEARCH("check",E42)))</formula>
    </cfRule>
    <cfRule type="cellIs" dxfId="448" priority="64" operator="equal">
      <formula>"???"</formula>
    </cfRule>
  </conditionalFormatting>
  <conditionalFormatting sqref="H42">
    <cfRule type="containsText" dxfId="447" priority="53" operator="containsText" text="check">
      <formula>NOT(ISERROR(SEARCH("check",H42)))</formula>
    </cfRule>
    <cfRule type="cellIs" dxfId="446" priority="54" operator="equal">
      <formula>"???"</formula>
    </cfRule>
  </conditionalFormatting>
  <conditionalFormatting sqref="D42:D43">
    <cfRule type="containsText" dxfId="445" priority="49" operator="containsText" text="check">
      <formula>NOT(ISERROR(SEARCH("check",D42)))</formula>
    </cfRule>
    <cfRule type="cellIs" dxfId="444" priority="50" operator="equal">
      <formula>"???"</formula>
    </cfRule>
  </conditionalFormatting>
  <conditionalFormatting sqref="F43">
    <cfRule type="containsText" dxfId="443" priority="47" operator="containsText" text="check">
      <formula>NOT(ISERROR(SEARCH("check",F43)))</formula>
    </cfRule>
    <cfRule type="cellIs" dxfId="442" priority="48" operator="equal">
      <formula>"???"</formula>
    </cfRule>
  </conditionalFormatting>
  <conditionalFormatting sqref="G43">
    <cfRule type="containsText" dxfId="441" priority="45" operator="containsText" text="check">
      <formula>NOT(ISERROR(SEARCH("check",G43)))</formula>
    </cfRule>
    <cfRule type="cellIs" dxfId="440" priority="46" operator="equal">
      <formula>"???"</formula>
    </cfRule>
  </conditionalFormatting>
  <conditionalFormatting sqref="K43">
    <cfRule type="containsText" dxfId="439" priority="43" operator="containsText" text="check">
      <formula>NOT(ISERROR(SEARCH("check",K43)))</formula>
    </cfRule>
    <cfRule type="cellIs" dxfId="438" priority="44" operator="equal">
      <formula>"???"</formula>
    </cfRule>
  </conditionalFormatting>
  <conditionalFormatting sqref="H43">
    <cfRule type="containsText" dxfId="437" priority="41" operator="containsText" text="check">
      <formula>NOT(ISERROR(SEARCH("check",H43)))</formula>
    </cfRule>
    <cfRule type="cellIs" dxfId="436" priority="42" operator="equal">
      <formula>"???"</formula>
    </cfRule>
  </conditionalFormatting>
  <conditionalFormatting sqref="AB43">
    <cfRule type="containsText" dxfId="435" priority="35" operator="containsText" text="check">
      <formula>NOT(ISERROR(SEARCH("check",AB43)))</formula>
    </cfRule>
    <cfRule type="cellIs" dxfId="434" priority="36" operator="equal">
      <formula>"???"</formula>
    </cfRule>
  </conditionalFormatting>
  <conditionalFormatting sqref="X44">
    <cfRule type="containsText" dxfId="433" priority="33" operator="containsText" text="check">
      <formula>NOT(ISERROR(SEARCH("check",X44)))</formula>
    </cfRule>
    <cfRule type="cellIs" dxfId="432" priority="34" operator="equal">
      <formula>"???"</formula>
    </cfRule>
  </conditionalFormatting>
  <conditionalFormatting sqref="F44:G44 N44:O44 R44:W44 Y44:AB44">
    <cfRule type="containsText" dxfId="431" priority="31" operator="containsText" text="check">
      <formula>NOT(ISERROR(SEARCH("check",F44)))</formula>
    </cfRule>
    <cfRule type="cellIs" dxfId="430" priority="32" operator="equal">
      <formula>"???"</formula>
    </cfRule>
  </conditionalFormatting>
  <conditionalFormatting sqref="R44">
    <cfRule type="containsText" dxfId="429" priority="30" operator="containsText" text="SI">
      <formula>NOT(ISERROR(SEARCH("SI",R44)))</formula>
    </cfRule>
  </conditionalFormatting>
  <conditionalFormatting sqref="T44">
    <cfRule type="cellIs" dxfId="428" priority="29" operator="equal">
      <formula>"Yes"</formula>
    </cfRule>
  </conditionalFormatting>
  <conditionalFormatting sqref="H44">
    <cfRule type="containsText" dxfId="427" priority="27" operator="containsText" text="check">
      <formula>NOT(ISERROR(SEARCH("check",H44)))</formula>
    </cfRule>
    <cfRule type="cellIs" dxfId="426" priority="28" operator="equal">
      <formula>"???"</formula>
    </cfRule>
  </conditionalFormatting>
  <conditionalFormatting sqref="P44:Q44">
    <cfRule type="containsText" dxfId="425" priority="23" operator="containsText" text="check">
      <formula>NOT(ISERROR(SEARCH("check",P44)))</formula>
    </cfRule>
    <cfRule type="cellIs" dxfId="424" priority="24" operator="equal">
      <formula>"???"</formula>
    </cfRule>
  </conditionalFormatting>
  <conditionalFormatting sqref="K42">
    <cfRule type="containsText" dxfId="423" priority="21" operator="containsText" text="check">
      <formula>NOT(ISERROR(SEARCH("check",K42)))</formula>
    </cfRule>
    <cfRule type="cellIs" dxfId="422" priority="22" operator="equal">
      <formula>"???"</formula>
    </cfRule>
  </conditionalFormatting>
  <conditionalFormatting sqref="K44">
    <cfRule type="containsText" dxfId="421" priority="19" operator="containsText" text="check">
      <formula>NOT(ISERROR(SEARCH("check",K44)))</formula>
    </cfRule>
    <cfRule type="cellIs" dxfId="420" priority="20" operator="equal">
      <formula>"???"</formula>
    </cfRule>
  </conditionalFormatting>
  <conditionalFormatting sqref="A48:J48 N48:AB48">
    <cfRule type="containsText" dxfId="419" priority="17" operator="containsText" text="check">
      <formula>NOT(ISERROR(SEARCH("check",A48)))</formula>
    </cfRule>
    <cfRule type="cellIs" dxfId="418" priority="18" operator="equal">
      <formula>"???"</formula>
    </cfRule>
  </conditionalFormatting>
  <conditionalFormatting sqref="C48">
    <cfRule type="cellIs" dxfId="417" priority="15" operator="equal">
      <formula>"TMO"</formula>
    </cfRule>
    <cfRule type="cellIs" dxfId="416" priority="16" operator="equal">
      <formula>"FMO"</formula>
    </cfRule>
  </conditionalFormatting>
  <conditionalFormatting sqref="R48">
    <cfRule type="containsText" dxfId="415" priority="14" operator="containsText" text="SI">
      <formula>NOT(ISERROR(SEARCH("SI",R48)))</formula>
    </cfRule>
  </conditionalFormatting>
  <conditionalFormatting sqref="T48">
    <cfRule type="cellIs" dxfId="414" priority="13" operator="equal">
      <formula>"Yes"</formula>
    </cfRule>
  </conditionalFormatting>
  <conditionalFormatting sqref="K48">
    <cfRule type="containsText" dxfId="413" priority="11" operator="containsText" text="check">
      <formula>NOT(ISERROR(SEARCH("check",K48)))</formula>
    </cfRule>
    <cfRule type="cellIs" dxfId="412" priority="12" operator="equal">
      <formula>"???"</formula>
    </cfRule>
  </conditionalFormatting>
  <conditionalFormatting sqref="K49 R49:AB49 A49:G49 N49:O49">
    <cfRule type="containsText" dxfId="411" priority="9" operator="containsText" text="check">
      <formula>NOT(ISERROR(SEARCH("check",A49)))</formula>
    </cfRule>
    <cfRule type="cellIs" dxfId="410" priority="10" operator="equal">
      <formula>"???"</formula>
    </cfRule>
  </conditionalFormatting>
  <conditionalFormatting sqref="C49">
    <cfRule type="cellIs" dxfId="409" priority="7" operator="equal">
      <formula>"TMO"</formula>
    </cfRule>
    <cfRule type="cellIs" dxfId="408" priority="8" operator="equal">
      <formula>"FMO"</formula>
    </cfRule>
  </conditionalFormatting>
  <conditionalFormatting sqref="R49">
    <cfRule type="containsText" dxfId="407" priority="6" operator="containsText" text="SI">
      <formula>NOT(ISERROR(SEARCH("SI",R49)))</formula>
    </cfRule>
  </conditionalFormatting>
  <conditionalFormatting sqref="T49">
    <cfRule type="cellIs" dxfId="406" priority="5" operator="equal">
      <formula>"Yes"</formula>
    </cfRule>
  </conditionalFormatting>
  <conditionalFormatting sqref="P49:Q49">
    <cfRule type="containsText" dxfId="405" priority="3" operator="containsText" text="check">
      <formula>NOT(ISERROR(SEARCH("check",P49)))</formula>
    </cfRule>
    <cfRule type="cellIs" dxfId="404" priority="4" operator="equal">
      <formula>"???"</formula>
    </cfRule>
  </conditionalFormatting>
  <conditionalFormatting sqref="H49:J49">
    <cfRule type="containsText" dxfId="403" priority="1" operator="containsText" text="check">
      <formula>NOT(ISERROR(SEARCH("check",H49)))</formula>
    </cfRule>
    <cfRule type="cellIs" dxfId="402" priority="2" operator="equal">
      <formula>"???"</formula>
    </cfRule>
  </conditionalFormatting>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2D8F6E4B-EB2F-4EC3-B480-0C59D7F18C8E}">
          <x14:formula1>
            <xm:f>Tables!$B$7:$B$10</xm:f>
          </x14:formula1>
          <xm:sqref>T41 T43 T45:T78</xm:sqref>
        </x14:dataValidation>
        <x14:dataValidation type="list" allowBlank="1" showInputMessage="1" showErrorMessage="1" xr:uid="{9F24C0AA-B0F9-4B65-B92F-7FEFE5EAE484}">
          <x14:formula1>
            <xm:f>Tables!$J$7:$J$19</xm:f>
          </x14:formula1>
          <xm:sqref>R41 R45:R78</xm:sqref>
        </x14:dataValidation>
        <x14:dataValidation type="list" allowBlank="1" showInputMessage="1" showErrorMessage="1" xr:uid="{945402D6-54DB-42A9-B70A-7593B9190B14}">
          <x14:formula1>
            <xm:f>Tables!$D$7:$D$10</xm:f>
          </x14:formula1>
          <xm:sqref>S41 S45:S78</xm:sqref>
        </x14:dataValidation>
        <x14:dataValidation type="list" allowBlank="1" showInputMessage="1" showErrorMessage="1" xr:uid="{8DD88728-85D9-4466-BCF8-69BB1D6B861E}">
          <x14:formula1>
            <xm:f>Tables!$E$7:$E$11</xm:f>
          </x14:formula1>
          <xm:sqref>Y41 Y45:Y78</xm:sqref>
        </x14:dataValidation>
        <x14:dataValidation type="list" allowBlank="1" showInputMessage="1" showErrorMessage="1" xr:uid="{8C29E146-6727-4739-9717-5A3B835F53EE}">
          <x14:formula1>
            <xm:f>Tables!$G$7:$G$11</xm:f>
          </x14:formula1>
          <xm:sqref>X41:X78</xm:sqref>
        </x14:dataValidation>
        <x14:dataValidation type="list" allowBlank="1" showInputMessage="1" showErrorMessage="1" xr:uid="{D0E0B835-A95E-4A24-8EB2-B75BA8A48C83}">
          <x14:formula1>
            <xm:f>Tables!$C$7:$C$70</xm:f>
          </x14:formula1>
          <xm:sqref>P28 P41:P43 P45:P48 P50:P78</xm:sqref>
        </x14:dataValidation>
        <x14:dataValidation type="list" allowBlank="1" showInputMessage="1" showErrorMessage="1" xr:uid="{F7D12AC3-E6A2-4A4B-A036-F88280E0F113}">
          <x14:formula1>
            <xm:f>Tables!$Y$7:$Y$15</xm:f>
          </x14:formula1>
          <xm:sqref>C7:C78</xm:sqref>
        </x14:dataValidation>
        <x14:dataValidation type="list" allowBlank="1" showInputMessage="1" showErrorMessage="1" xr:uid="{99E30145-A74C-45C6-A889-8B3680B2A156}">
          <x14:formula1>
            <xm:f>Tables!$L$7:$L$19</xm:f>
          </x14:formula1>
          <xm:sqref>E7:E78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0E7E-07E8-4AF7-904C-E559DAEA5DCB}">
  <sheetPr codeName="Blad16">
    <tabColor theme="4" tint="-0.499984740745262"/>
  </sheetPr>
  <dimension ref="A1:AB118"/>
  <sheetViews>
    <sheetView zoomScale="85" zoomScaleNormal="70" workbookViewId="0">
      <pane xSplit="7" ySplit="6" topLeftCell="U44" activePane="bottomRight" state="frozen"/>
      <selection pane="topRight" activeCell="H1" sqref="H1"/>
      <selection pane="bottomLeft" activeCell="A7" sqref="A7"/>
      <selection pane="bottomRight" activeCell="AA56" sqref="AA56"/>
    </sheetView>
  </sheetViews>
  <sheetFormatPr baseColWidth="10" defaultColWidth="9.1640625" defaultRowHeight="15" outlineLevelRow="1" outlineLevelCol="1" x14ac:dyDescent="0.2"/>
  <cols>
    <col min="1" max="1" width="12.33203125" style="2" customWidth="1"/>
    <col min="2" max="2" width="8.1640625" style="48" customWidth="1"/>
    <col min="3" max="3" width="10" style="10" customWidth="1"/>
    <col min="4" max="4" width="32.33203125" style="10" customWidth="1"/>
    <col min="5" max="5" width="16.1640625" style="25" customWidth="1"/>
    <col min="6" max="6" width="16.33203125" style="2" customWidth="1"/>
    <col min="7" max="7" width="15.6640625" style="2" customWidth="1"/>
    <col min="8" max="9" width="22.83203125" style="2" customWidth="1"/>
    <col min="10" max="10" width="20.33203125" style="2" customWidth="1"/>
    <col min="11" max="11" width="22.33203125" style="2" bestFit="1" customWidth="1"/>
    <col min="12" max="12" width="22.33203125" style="2" customWidth="1"/>
    <col min="13" max="13" width="24.33203125" style="2" bestFit="1" customWidth="1"/>
    <col min="14" max="14" width="34.5" style="2" customWidth="1"/>
    <col min="15" max="15" width="33.1640625" style="2" customWidth="1"/>
    <col min="16" max="17" width="16.33203125" style="10" customWidth="1"/>
    <col min="18" max="18" width="14.83203125" style="15" customWidth="1"/>
    <col min="19" max="19" width="19.1640625" style="2" customWidth="1"/>
    <col min="20" max="20" width="11.33203125" style="10" customWidth="1"/>
    <col min="21" max="21" width="19.1640625" style="10" customWidth="1"/>
    <col min="22" max="22" width="16.83203125" style="2" customWidth="1" outlineLevel="1"/>
    <col min="23" max="23" width="16.5" style="2" customWidth="1" outlineLevel="1"/>
    <col min="24" max="24" width="15" style="10" customWidth="1" outlineLevel="1"/>
    <col min="25" max="25" width="22" style="10" customWidth="1"/>
    <col min="26" max="26" width="21" style="2" customWidth="1"/>
    <col min="27" max="27" width="41.83203125" style="2" customWidth="1"/>
    <col min="28" max="28" width="72.5" style="2" customWidth="1"/>
    <col min="29" max="16384" width="9.1640625" style="2"/>
  </cols>
  <sheetData>
    <row r="1" spans="1:28" outlineLevel="1" x14ac:dyDescent="0.2"/>
    <row r="2" spans="1:28" ht="24.75" customHeight="1" outlineLevel="1" x14ac:dyDescent="0.2">
      <c r="B2" s="49"/>
      <c r="C2" s="8"/>
      <c r="D2" s="8"/>
      <c r="E2" s="24"/>
      <c r="F2" s="5"/>
      <c r="G2" s="5"/>
      <c r="H2" s="57" t="s">
        <v>818</v>
      </c>
      <c r="I2" s="57"/>
      <c r="J2" s="5"/>
      <c r="K2" s="5"/>
      <c r="L2" s="5"/>
      <c r="M2" s="5"/>
      <c r="N2" s="5"/>
      <c r="O2" s="5" t="s">
        <v>687</v>
      </c>
      <c r="P2" s="8"/>
      <c r="Q2" s="8"/>
      <c r="R2" s="14"/>
      <c r="S2" s="5"/>
      <c r="T2" s="8"/>
      <c r="U2" s="8"/>
      <c r="V2" s="5"/>
      <c r="W2" s="5"/>
      <c r="X2" s="8"/>
      <c r="Y2" s="8"/>
      <c r="Z2" s="5"/>
      <c r="AA2" s="5"/>
      <c r="AB2" s="5"/>
    </row>
    <row r="3" spans="1:28" ht="24" outlineLevel="1" x14ac:dyDescent="0.3">
      <c r="B3" s="49"/>
      <c r="C3" s="8"/>
      <c r="D3" s="29"/>
      <c r="E3" s="24"/>
      <c r="F3" s="5" t="s">
        <v>264</v>
      </c>
      <c r="G3" s="5" t="str">
        <f>Versioning!F29</f>
        <v>2.01</v>
      </c>
      <c r="H3" s="11" t="s">
        <v>265</v>
      </c>
      <c r="I3" s="11"/>
      <c r="J3" s="5"/>
      <c r="K3" s="5"/>
      <c r="L3" s="231" t="str">
        <f>Versioning!G6</f>
        <v>DIM-Infosphere</v>
      </c>
      <c r="M3" s="231"/>
      <c r="N3" s="8"/>
      <c r="O3" s="95" t="s">
        <v>819</v>
      </c>
      <c r="P3" s="8"/>
      <c r="Q3" s="8"/>
      <c r="R3" s="8"/>
      <c r="S3" s="5"/>
      <c r="T3" s="8"/>
      <c r="U3" s="8"/>
      <c r="V3" s="5"/>
      <c r="W3" s="5"/>
      <c r="X3" s="8"/>
      <c r="Y3" s="8"/>
      <c r="Z3" s="5"/>
      <c r="AA3" s="5"/>
      <c r="AB3" s="5"/>
    </row>
    <row r="4" spans="1:28" ht="16.5" customHeight="1" outlineLevel="1" x14ac:dyDescent="0.2">
      <c r="B4" s="49"/>
      <c r="C4" s="8"/>
      <c r="D4" s="8"/>
      <c r="E4" s="24"/>
      <c r="F4" s="5"/>
      <c r="G4" s="5"/>
      <c r="H4" s="33" t="s">
        <v>266</v>
      </c>
      <c r="I4" s="33"/>
      <c r="J4" s="5"/>
      <c r="K4" s="5"/>
      <c r="L4" s="41" t="s">
        <v>267</v>
      </c>
      <c r="M4" s="5"/>
      <c r="N4" s="41"/>
      <c r="O4" s="5"/>
      <c r="P4" s="8"/>
      <c r="Q4" s="8"/>
      <c r="R4" s="14"/>
      <c r="S4" s="5"/>
      <c r="T4" s="8"/>
      <c r="U4" s="8"/>
      <c r="V4" s="5"/>
      <c r="W4" s="5"/>
      <c r="X4" s="8"/>
      <c r="Y4" s="8"/>
      <c r="Z4" s="5"/>
      <c r="AA4" s="5"/>
      <c r="AB4" s="5"/>
    </row>
    <row r="5" spans="1:28" outlineLevel="1" x14ac:dyDescent="0.2">
      <c r="B5" s="238"/>
      <c r="C5" s="238"/>
      <c r="D5" s="238"/>
      <c r="E5" s="238"/>
      <c r="F5" s="238"/>
      <c r="J5" s="19"/>
      <c r="K5" s="19"/>
      <c r="L5" s="19"/>
      <c r="M5" s="22"/>
      <c r="N5" s="22"/>
      <c r="O5" s="22"/>
      <c r="P5" s="22"/>
      <c r="Q5" s="2"/>
    </row>
    <row r="6" spans="1:28" ht="69" customHeight="1" x14ac:dyDescent="0.2">
      <c r="A6" s="87" t="s">
        <v>688</v>
      </c>
      <c r="B6" s="89" t="s">
        <v>145</v>
      </c>
      <c r="C6" s="27" t="s">
        <v>689</v>
      </c>
      <c r="D6" s="27" t="s">
        <v>270</v>
      </c>
      <c r="E6" s="92" t="s">
        <v>690</v>
      </c>
      <c r="F6" s="1" t="s">
        <v>604</v>
      </c>
      <c r="G6" s="40" t="s">
        <v>273</v>
      </c>
      <c r="H6" s="1" t="s">
        <v>691</v>
      </c>
      <c r="I6" s="1" t="s">
        <v>692</v>
      </c>
      <c r="J6" s="1" t="s">
        <v>693</v>
      </c>
      <c r="K6" s="91" t="s">
        <v>694</v>
      </c>
      <c r="L6" s="85" t="s">
        <v>695</v>
      </c>
      <c r="M6" s="86" t="s">
        <v>279</v>
      </c>
      <c r="N6" s="20" t="s">
        <v>696</v>
      </c>
      <c r="O6" s="20" t="s">
        <v>697</v>
      </c>
      <c r="P6" s="21" t="s">
        <v>280</v>
      </c>
      <c r="Q6" s="21" t="s">
        <v>281</v>
      </c>
      <c r="R6" s="87" t="s">
        <v>698</v>
      </c>
      <c r="S6" s="80" t="s">
        <v>283</v>
      </c>
      <c r="T6" s="88" t="s">
        <v>699</v>
      </c>
      <c r="U6" s="89" t="s">
        <v>700</v>
      </c>
      <c r="V6" s="1" t="s">
        <v>284</v>
      </c>
      <c r="W6" s="1" t="s">
        <v>285</v>
      </c>
      <c r="X6" s="27" t="s">
        <v>286</v>
      </c>
      <c r="Y6" s="87" t="s">
        <v>287</v>
      </c>
      <c r="Z6" s="90" t="s">
        <v>202</v>
      </c>
      <c r="AA6" s="80" t="s">
        <v>701</v>
      </c>
      <c r="AB6" s="79" t="s">
        <v>288</v>
      </c>
    </row>
    <row r="7" spans="1:28" ht="32" x14ac:dyDescent="0.2">
      <c r="A7" s="61" t="s">
        <v>290</v>
      </c>
      <c r="B7" s="124">
        <v>1</v>
      </c>
      <c r="C7" s="76" t="s">
        <v>205</v>
      </c>
      <c r="D7" s="76" t="s">
        <v>291</v>
      </c>
      <c r="E7" s="76" t="s">
        <v>702</v>
      </c>
      <c r="F7" s="61" t="s">
        <v>292</v>
      </c>
      <c r="G7" s="133" t="s">
        <v>820</v>
      </c>
      <c r="H7" s="61" t="s">
        <v>295</v>
      </c>
      <c r="I7" s="61" t="s">
        <v>296</v>
      </c>
      <c r="J7" s="104" t="s">
        <v>705</v>
      </c>
      <c r="K7" s="61" t="s">
        <v>297</v>
      </c>
      <c r="L7" s="61" t="s">
        <v>821</v>
      </c>
      <c r="M7" s="104" t="s">
        <v>822</v>
      </c>
      <c r="N7" s="104" t="e">
        <f t="shared" ref="N7:N41" si="0" xml:space="preserve"> RetrieveZone( J7 )</f>
        <v>#VALUE!</v>
      </c>
      <c r="O7" s="104" t="str">
        <f t="shared" ref="O7:O41" si="1" xml:space="preserve"> RetrieveZone( M7 )</f>
        <v xml:space="preserve">PRIVCLOUD OTAP BO SEC-ZONE
</v>
      </c>
      <c r="P7" s="76" t="s">
        <v>300</v>
      </c>
      <c r="Q7" s="61"/>
      <c r="R7" s="76" t="s">
        <v>293</v>
      </c>
      <c r="S7" s="76" t="s">
        <v>301</v>
      </c>
      <c r="T7" s="76" t="s">
        <v>293</v>
      </c>
      <c r="U7" s="61"/>
      <c r="V7" s="61"/>
      <c r="W7" s="61"/>
      <c r="X7" s="76" t="s">
        <v>302</v>
      </c>
      <c r="Y7" s="76" t="s">
        <v>303</v>
      </c>
      <c r="Z7" s="61" t="s">
        <v>708</v>
      </c>
      <c r="AA7" s="61" t="s">
        <v>823</v>
      </c>
      <c r="AB7" s="61"/>
    </row>
    <row r="8" spans="1:28" ht="48" x14ac:dyDescent="0.2">
      <c r="A8" s="61" t="s">
        <v>304</v>
      </c>
      <c r="B8" s="124">
        <v>2</v>
      </c>
      <c r="C8" s="76" t="s">
        <v>400</v>
      </c>
      <c r="D8" s="76" t="s">
        <v>305</v>
      </c>
      <c r="E8" s="76" t="s">
        <v>710</v>
      </c>
      <c r="F8" s="61" t="s">
        <v>292</v>
      </c>
      <c r="G8" s="133" t="s">
        <v>711</v>
      </c>
      <c r="H8" s="61" t="s">
        <v>295</v>
      </c>
      <c r="I8" s="61" t="s">
        <v>296</v>
      </c>
      <c r="J8" s="104" t="s">
        <v>705</v>
      </c>
      <c r="K8" s="61" t="s">
        <v>307</v>
      </c>
      <c r="L8" s="61" t="s">
        <v>824</v>
      </c>
      <c r="M8" s="104" t="s">
        <v>825</v>
      </c>
      <c r="N8" s="104" t="e">
        <f t="shared" si="0"/>
        <v>#VALUE!</v>
      </c>
      <c r="O8" s="104" t="str">
        <f t="shared" si="1"/>
        <v xml:space="preserve">PRIVCLOUD OTAP BO SEC-ZONE
PRIVCLOUD OTAP BO SEC-ZONE
</v>
      </c>
      <c r="P8" s="76" t="s">
        <v>300</v>
      </c>
      <c r="Q8" s="61"/>
      <c r="R8" s="76" t="s">
        <v>293</v>
      </c>
      <c r="S8" s="76" t="s">
        <v>310</v>
      </c>
      <c r="T8" s="76" t="s">
        <v>293</v>
      </c>
      <c r="U8" s="61"/>
      <c r="V8" s="61"/>
      <c r="W8" s="61"/>
      <c r="X8" s="76" t="s">
        <v>302</v>
      </c>
      <c r="Y8" s="76" t="s">
        <v>303</v>
      </c>
      <c r="Z8" s="61" t="s">
        <v>708</v>
      </c>
      <c r="AA8" s="61"/>
      <c r="AB8" s="61"/>
    </row>
    <row r="9" spans="1:28" ht="48" x14ac:dyDescent="0.2">
      <c r="A9" s="61" t="s">
        <v>311</v>
      </c>
      <c r="B9" s="124">
        <v>3</v>
      </c>
      <c r="C9" s="76" t="s">
        <v>205</v>
      </c>
      <c r="D9" s="76" t="s">
        <v>312</v>
      </c>
      <c r="E9" s="76" t="s">
        <v>826</v>
      </c>
      <c r="F9" s="61" t="s">
        <v>827</v>
      </c>
      <c r="G9" s="133" t="s">
        <v>711</v>
      </c>
      <c r="H9" s="61" t="s">
        <v>314</v>
      </c>
      <c r="I9" s="197" t="s">
        <v>828</v>
      </c>
      <c r="J9" s="104" t="s">
        <v>829</v>
      </c>
      <c r="K9" s="61" t="s">
        <v>307</v>
      </c>
      <c r="L9" s="61" t="s">
        <v>830</v>
      </c>
      <c r="M9" s="104" t="s">
        <v>831</v>
      </c>
      <c r="N9" s="104" t="str">
        <f t="shared" si="0"/>
        <v xml:space="preserve">PRIVCLOUD OTAP FO SEC-ZONE
PRIVCLOUD OTAP FO SEC-ZONE
</v>
      </c>
      <c r="O9" s="104" t="str">
        <f t="shared" si="1"/>
        <v xml:space="preserve">PRIVCLOUD OTAP BO SEC-ZONE
PRIVCLOUD OTAP BO SEC-ZONE
</v>
      </c>
      <c r="P9" s="76" t="s">
        <v>317</v>
      </c>
      <c r="Q9" s="61"/>
      <c r="R9" s="76" t="s">
        <v>293</v>
      </c>
      <c r="S9" s="76" t="s">
        <v>310</v>
      </c>
      <c r="T9" s="76" t="s">
        <v>293</v>
      </c>
      <c r="U9" s="61"/>
      <c r="V9" s="61"/>
      <c r="W9" s="61"/>
      <c r="X9" s="76" t="s">
        <v>302</v>
      </c>
      <c r="Y9" s="76" t="s">
        <v>575</v>
      </c>
      <c r="Z9" s="61" t="s">
        <v>319</v>
      </c>
      <c r="AA9" s="61" t="s">
        <v>832</v>
      </c>
      <c r="AB9" s="61"/>
    </row>
    <row r="10" spans="1:28" ht="128" x14ac:dyDescent="0.2">
      <c r="A10" s="61" t="s">
        <v>320</v>
      </c>
      <c r="B10" s="124">
        <v>4</v>
      </c>
      <c r="C10" s="76" t="s">
        <v>205</v>
      </c>
      <c r="D10" s="76" t="s">
        <v>833</v>
      </c>
      <c r="E10" s="76" t="s">
        <v>826</v>
      </c>
      <c r="F10" s="61" t="s">
        <v>827</v>
      </c>
      <c r="G10" s="61" t="s">
        <v>834</v>
      </c>
      <c r="H10" s="61" t="s">
        <v>314</v>
      </c>
      <c r="I10" s="61" t="s">
        <v>835</v>
      </c>
      <c r="J10" s="104" t="s">
        <v>836</v>
      </c>
      <c r="K10" s="61" t="s">
        <v>323</v>
      </c>
      <c r="L10" s="61" t="s">
        <v>837</v>
      </c>
      <c r="M10" s="104" t="s">
        <v>838</v>
      </c>
      <c r="N10" s="104" t="str">
        <f t="shared" si="0"/>
        <v xml:space="preserve">PRIVCLOUD OTAP FO SEC-ZONE
PRIVCLOUD OTAP FO SEC-ZONE
</v>
      </c>
      <c r="O10" s="104" t="str">
        <f t="shared" si="1"/>
        <v>PRIVCLOUD OTAP BO SEC-ZONE
PRIVCLOUD OTAP BO SEC-ZONE
PRIVCLOUD OTAP BO SEC-ZONE
PRIVCLOUD OTAP BO SEC-ZONE
[** NO ZONE **]
[** NO ZONE **]
PRIVCLOUD OTAP BO SEC-ZONE
Check: inconsistent zones</v>
      </c>
      <c r="P10" s="76" t="s">
        <v>326</v>
      </c>
      <c r="Q10" s="61"/>
      <c r="R10" s="76" t="s">
        <v>293</v>
      </c>
      <c r="S10" s="76" t="s">
        <v>310</v>
      </c>
      <c r="T10" s="76" t="s">
        <v>293</v>
      </c>
      <c r="U10" s="61"/>
      <c r="V10" s="61"/>
      <c r="W10" s="61"/>
      <c r="X10" s="76" t="s">
        <v>302</v>
      </c>
      <c r="Y10" s="76" t="s">
        <v>575</v>
      </c>
      <c r="Z10" s="61" t="s">
        <v>327</v>
      </c>
      <c r="AA10" s="61" t="s">
        <v>832</v>
      </c>
      <c r="AB10" s="61"/>
    </row>
    <row r="11" spans="1:28" ht="64" x14ac:dyDescent="0.2">
      <c r="A11" s="61" t="s">
        <v>320</v>
      </c>
      <c r="B11" s="124" t="s">
        <v>719</v>
      </c>
      <c r="C11" s="76" t="s">
        <v>205</v>
      </c>
      <c r="D11" s="76" t="s">
        <v>833</v>
      </c>
      <c r="E11" s="76" t="s">
        <v>839</v>
      </c>
      <c r="F11" s="61" t="s">
        <v>827</v>
      </c>
      <c r="G11" s="61" t="s">
        <v>840</v>
      </c>
      <c r="H11" s="61" t="s">
        <v>314</v>
      </c>
      <c r="I11" s="61" t="s">
        <v>835</v>
      </c>
      <c r="J11" s="104" t="s">
        <v>836</v>
      </c>
      <c r="K11" s="61" t="s">
        <v>323</v>
      </c>
      <c r="L11" s="61" t="s">
        <v>841</v>
      </c>
      <c r="M11" s="104" t="s">
        <v>842</v>
      </c>
      <c r="N11" s="104" t="str">
        <f t="shared" ref="N11" si="2" xml:space="preserve"> RetrieveZone( J11 )</f>
        <v xml:space="preserve">PRIVCLOUD OTAP FO SEC-ZONE
PRIVCLOUD OTAP FO SEC-ZONE
</v>
      </c>
      <c r="O11" s="104" t="str">
        <f t="shared" ref="O11" si="3" xml:space="preserve"> RetrieveZone( M11 )</f>
        <v>[** NO ZONE **]
Check: inconsistent zones</v>
      </c>
      <c r="P11" s="76" t="s">
        <v>724</v>
      </c>
      <c r="Q11" s="61">
        <v>1526</v>
      </c>
      <c r="R11" s="76" t="s">
        <v>293</v>
      </c>
      <c r="S11" s="76" t="s">
        <v>310</v>
      </c>
      <c r="T11" s="76" t="s">
        <v>293</v>
      </c>
      <c r="U11" s="61"/>
      <c r="V11" s="61"/>
      <c r="W11" s="61"/>
      <c r="X11" s="76" t="s">
        <v>302</v>
      </c>
      <c r="Y11" s="76" t="s">
        <v>575</v>
      </c>
      <c r="Z11" s="61"/>
      <c r="AA11" s="61" t="s">
        <v>725</v>
      </c>
      <c r="AB11" s="61" t="s">
        <v>843</v>
      </c>
    </row>
    <row r="12" spans="1:28" ht="48" x14ac:dyDescent="0.2">
      <c r="A12" s="61" t="s">
        <v>328</v>
      </c>
      <c r="B12" s="124">
        <v>5</v>
      </c>
      <c r="C12" s="76" t="s">
        <v>205</v>
      </c>
      <c r="D12" s="76" t="s">
        <v>329</v>
      </c>
      <c r="E12" s="76" t="s">
        <v>826</v>
      </c>
      <c r="F12" s="61" t="s">
        <v>827</v>
      </c>
      <c r="G12" s="133" t="s">
        <v>727</v>
      </c>
      <c r="H12" s="61" t="s">
        <v>314</v>
      </c>
      <c r="I12" s="61" t="s">
        <v>835</v>
      </c>
      <c r="J12" s="104" t="s">
        <v>829</v>
      </c>
      <c r="K12" s="61" t="s">
        <v>331</v>
      </c>
      <c r="L12" s="61" t="s">
        <v>844</v>
      </c>
      <c r="M12" s="104" t="s">
        <v>845</v>
      </c>
      <c r="N12" s="104" t="str">
        <f t="shared" si="0"/>
        <v xml:space="preserve">PRIVCLOUD OTAP FO SEC-ZONE
PRIVCLOUD OTAP FO SEC-ZONE
</v>
      </c>
      <c r="O12" s="104" t="str">
        <f t="shared" si="1"/>
        <v xml:space="preserve">PRIVCLOUD OTAP BO SEC-ZONE
</v>
      </c>
      <c r="P12" s="76" t="s">
        <v>334</v>
      </c>
      <c r="Q12" s="61">
        <v>31538</v>
      </c>
      <c r="R12" s="76" t="s">
        <v>293</v>
      </c>
      <c r="S12" s="76" t="s">
        <v>301</v>
      </c>
      <c r="T12" s="76" t="s">
        <v>293</v>
      </c>
      <c r="U12" s="61"/>
      <c r="V12" s="61"/>
      <c r="W12" s="61"/>
      <c r="X12" s="76" t="s">
        <v>302</v>
      </c>
      <c r="Y12" s="76" t="s">
        <v>575</v>
      </c>
      <c r="Z12" s="61" t="s">
        <v>708</v>
      </c>
      <c r="AA12" s="61" t="s">
        <v>823</v>
      </c>
      <c r="AB12" s="61"/>
    </row>
    <row r="13" spans="1:28" ht="48" x14ac:dyDescent="0.2">
      <c r="A13" s="61" t="s">
        <v>335</v>
      </c>
      <c r="B13" s="124">
        <v>6</v>
      </c>
      <c r="C13" s="76" t="s">
        <v>205</v>
      </c>
      <c r="D13" s="135" t="s">
        <v>846</v>
      </c>
      <c r="E13" s="76" t="s">
        <v>826</v>
      </c>
      <c r="F13" s="61" t="s">
        <v>827</v>
      </c>
      <c r="G13" s="133" t="s">
        <v>730</v>
      </c>
      <c r="H13" s="61" t="s">
        <v>314</v>
      </c>
      <c r="I13" s="61" t="s">
        <v>835</v>
      </c>
      <c r="J13" s="104" t="s">
        <v>829</v>
      </c>
      <c r="K13" s="61" t="s">
        <v>338</v>
      </c>
      <c r="L13" s="61" t="s">
        <v>847</v>
      </c>
      <c r="M13" s="104" t="s">
        <v>848</v>
      </c>
      <c r="N13" s="104" t="str">
        <f t="shared" si="0"/>
        <v xml:space="preserve">PRIVCLOUD OTAP FO SEC-ZONE
PRIVCLOUD OTAP FO SEC-ZONE
</v>
      </c>
      <c r="O13" s="104" t="str">
        <f t="shared" si="1"/>
        <v xml:space="preserve">PRIVCLOUD OTAP BO SEC-ZONE
PRIVCLOUD OTAP BO SEC-ZONE
</v>
      </c>
      <c r="P13" s="76" t="s">
        <v>334</v>
      </c>
      <c r="Q13" s="61">
        <v>9443</v>
      </c>
      <c r="R13" s="76" t="s">
        <v>293</v>
      </c>
      <c r="S13" s="76" t="s">
        <v>301</v>
      </c>
      <c r="T13" s="76" t="s">
        <v>293</v>
      </c>
      <c r="U13" s="61"/>
      <c r="V13" s="61"/>
      <c r="W13" s="61"/>
      <c r="X13" s="76" t="s">
        <v>302</v>
      </c>
      <c r="Y13" s="76" t="s">
        <v>575</v>
      </c>
      <c r="Z13" s="61" t="s">
        <v>708</v>
      </c>
      <c r="AA13" s="61" t="s">
        <v>832</v>
      </c>
      <c r="AB13" s="61"/>
    </row>
    <row r="14" spans="1:28" ht="48" x14ac:dyDescent="0.2">
      <c r="A14" s="61" t="s">
        <v>341</v>
      </c>
      <c r="B14" s="124">
        <v>7</v>
      </c>
      <c r="C14" s="76" t="s">
        <v>205</v>
      </c>
      <c r="D14" s="135" t="s">
        <v>849</v>
      </c>
      <c r="E14" s="76" t="s">
        <v>839</v>
      </c>
      <c r="F14" s="61" t="s">
        <v>827</v>
      </c>
      <c r="G14" s="133" t="s">
        <v>703</v>
      </c>
      <c r="H14" s="61" t="s">
        <v>314</v>
      </c>
      <c r="I14" s="61" t="s">
        <v>835</v>
      </c>
      <c r="J14" s="104" t="s">
        <v>829</v>
      </c>
      <c r="K14" s="61" t="s">
        <v>297</v>
      </c>
      <c r="L14" s="61" t="s">
        <v>821</v>
      </c>
      <c r="M14" s="104" t="s">
        <v>822</v>
      </c>
      <c r="N14" s="104" t="str">
        <f t="shared" si="0"/>
        <v xml:space="preserve">PRIVCLOUD OTAP FO SEC-ZONE
PRIVCLOUD OTAP FO SEC-ZONE
</v>
      </c>
      <c r="O14" s="104" t="str">
        <f t="shared" si="1"/>
        <v xml:space="preserve">PRIVCLOUD OTAP BO SEC-ZONE
</v>
      </c>
      <c r="P14" s="76" t="s">
        <v>334</v>
      </c>
      <c r="Q14" s="61">
        <v>443</v>
      </c>
      <c r="R14" s="76" t="s">
        <v>293</v>
      </c>
      <c r="S14" s="76" t="s">
        <v>301</v>
      </c>
      <c r="T14" s="76" t="s">
        <v>293</v>
      </c>
      <c r="U14" s="61"/>
      <c r="V14" s="61"/>
      <c r="W14" s="61"/>
      <c r="X14" s="76" t="s">
        <v>302</v>
      </c>
      <c r="Y14" s="76" t="s">
        <v>575</v>
      </c>
      <c r="Z14" s="61" t="s">
        <v>708</v>
      </c>
      <c r="AA14" s="61" t="s">
        <v>823</v>
      </c>
      <c r="AB14" s="61"/>
    </row>
    <row r="15" spans="1:28" ht="48" x14ac:dyDescent="0.2">
      <c r="A15" s="61" t="s">
        <v>343</v>
      </c>
      <c r="B15" s="124">
        <v>8</v>
      </c>
      <c r="C15" s="76" t="s">
        <v>205</v>
      </c>
      <c r="D15" s="76" t="s">
        <v>850</v>
      </c>
      <c r="E15" s="76" t="s">
        <v>826</v>
      </c>
      <c r="F15" s="61" t="s">
        <v>851</v>
      </c>
      <c r="G15" s="61" t="s">
        <v>852</v>
      </c>
      <c r="H15" s="61" t="s">
        <v>338</v>
      </c>
      <c r="I15" s="61" t="s">
        <v>853</v>
      </c>
      <c r="J15" s="104" t="s">
        <v>854</v>
      </c>
      <c r="K15" s="61" t="s">
        <v>307</v>
      </c>
      <c r="L15" s="61" t="s">
        <v>824</v>
      </c>
      <c r="M15" s="104" t="s">
        <v>825</v>
      </c>
      <c r="N15" s="104" t="str">
        <f t="shared" si="0"/>
        <v xml:space="preserve">PRIVCLOUD OTAP BO SEC-ZONE
PRIVCLOUD OTAP BO SEC-ZONE
</v>
      </c>
      <c r="O15" s="104" t="str">
        <f t="shared" si="1"/>
        <v xml:space="preserve">PRIVCLOUD OTAP BO SEC-ZONE
PRIVCLOUD OTAP BO SEC-ZONE
</v>
      </c>
      <c r="P15" s="76" t="s">
        <v>345</v>
      </c>
      <c r="Q15" s="61">
        <v>19443</v>
      </c>
      <c r="R15" s="76" t="s">
        <v>293</v>
      </c>
      <c r="S15" s="76" t="s">
        <v>310</v>
      </c>
      <c r="T15" s="76" t="s">
        <v>293</v>
      </c>
      <c r="U15" s="61"/>
      <c r="V15" s="61"/>
      <c r="W15" s="61"/>
      <c r="X15" s="76" t="s">
        <v>302</v>
      </c>
      <c r="Y15" s="76" t="s">
        <v>575</v>
      </c>
      <c r="Z15" s="61" t="s">
        <v>708</v>
      </c>
      <c r="AA15" s="61" t="s">
        <v>832</v>
      </c>
      <c r="AB15" s="61"/>
    </row>
    <row r="16" spans="1:28" ht="48" x14ac:dyDescent="0.2">
      <c r="A16" s="61" t="s">
        <v>346</v>
      </c>
      <c r="B16" s="124">
        <v>9</v>
      </c>
      <c r="C16" s="76" t="s">
        <v>205</v>
      </c>
      <c r="D16" s="76" t="s">
        <v>855</v>
      </c>
      <c r="E16" s="76" t="s">
        <v>839</v>
      </c>
      <c r="F16" s="61" t="s">
        <v>733</v>
      </c>
      <c r="G16" s="61" t="s">
        <v>734</v>
      </c>
      <c r="H16" s="61" t="s">
        <v>307</v>
      </c>
      <c r="I16" s="61" t="s">
        <v>824</v>
      </c>
      <c r="J16" s="104" t="s">
        <v>825</v>
      </c>
      <c r="K16" s="61" t="s">
        <v>856</v>
      </c>
      <c r="L16" s="61" t="s">
        <v>857</v>
      </c>
      <c r="M16" s="104" t="s">
        <v>858</v>
      </c>
      <c r="N16" s="104" t="str">
        <f t="shared" si="0"/>
        <v xml:space="preserve">PRIVCLOUD OTAP BO SEC-ZONE
PRIVCLOUD OTAP BO SEC-ZONE
</v>
      </c>
      <c r="O16" s="104" t="str">
        <f t="shared" si="1"/>
        <v>[** NO ZONE **]
Check: inconsistent zones</v>
      </c>
      <c r="P16" s="76" t="s">
        <v>352</v>
      </c>
      <c r="Q16" s="178">
        <v>1526</v>
      </c>
      <c r="R16" s="76" t="s">
        <v>293</v>
      </c>
      <c r="S16" s="76" t="s">
        <v>301</v>
      </c>
      <c r="T16" s="76" t="s">
        <v>293</v>
      </c>
      <c r="U16" s="61"/>
      <c r="V16" s="61"/>
      <c r="W16" s="61"/>
      <c r="X16" s="76" t="s">
        <v>302</v>
      </c>
      <c r="Y16" s="76" t="s">
        <v>575</v>
      </c>
      <c r="Z16" s="61" t="s">
        <v>708</v>
      </c>
      <c r="AA16" s="61" t="s">
        <v>832</v>
      </c>
      <c r="AB16" s="61"/>
    </row>
    <row r="17" spans="1:28" ht="32" x14ac:dyDescent="0.2">
      <c r="A17" s="61" t="s">
        <v>353</v>
      </c>
      <c r="B17" s="124">
        <v>10</v>
      </c>
      <c r="C17" s="76" t="s">
        <v>205</v>
      </c>
      <c r="D17" s="76" t="s">
        <v>355</v>
      </c>
      <c r="E17" s="76" t="s">
        <v>839</v>
      </c>
      <c r="F17" s="61" t="s">
        <v>737</v>
      </c>
      <c r="G17" s="61" t="s">
        <v>734</v>
      </c>
      <c r="H17" s="61" t="s">
        <v>331</v>
      </c>
      <c r="I17" s="61" t="s">
        <v>844</v>
      </c>
      <c r="J17" s="104" t="s">
        <v>845</v>
      </c>
      <c r="K17" s="61" t="s">
        <v>856</v>
      </c>
      <c r="L17" s="61" t="s">
        <v>857</v>
      </c>
      <c r="M17" s="104" t="s">
        <v>858</v>
      </c>
      <c r="N17" s="104" t="str">
        <f t="shared" si="0"/>
        <v xml:space="preserve">PRIVCLOUD OTAP BO SEC-ZONE
</v>
      </c>
      <c r="O17" s="104" t="str">
        <f t="shared" si="1"/>
        <v>[** NO ZONE **]
Check: inconsistent zones</v>
      </c>
      <c r="P17" s="76" t="s">
        <v>352</v>
      </c>
      <c r="Q17" s="178">
        <v>1526</v>
      </c>
      <c r="R17" s="76" t="s">
        <v>293</v>
      </c>
      <c r="S17" s="76" t="s">
        <v>301</v>
      </c>
      <c r="T17" s="76" t="s">
        <v>293</v>
      </c>
      <c r="U17" s="61"/>
      <c r="V17" s="61"/>
      <c r="W17" s="61"/>
      <c r="X17" s="76" t="s">
        <v>302</v>
      </c>
      <c r="Y17" s="76" t="s">
        <v>575</v>
      </c>
      <c r="Z17" s="61" t="s">
        <v>708</v>
      </c>
      <c r="AA17" s="61" t="s">
        <v>823</v>
      </c>
      <c r="AB17" s="61"/>
    </row>
    <row r="18" spans="1:28" ht="48" x14ac:dyDescent="0.2">
      <c r="A18" s="61" t="s">
        <v>356</v>
      </c>
      <c r="B18" s="124">
        <v>11</v>
      </c>
      <c r="C18" s="76" t="s">
        <v>205</v>
      </c>
      <c r="D18" s="76" t="s">
        <v>358</v>
      </c>
      <c r="E18" s="76" t="s">
        <v>826</v>
      </c>
      <c r="F18" s="197" t="s">
        <v>859</v>
      </c>
      <c r="G18" s="197" t="s">
        <v>739</v>
      </c>
      <c r="H18" s="61" t="s">
        <v>860</v>
      </c>
      <c r="I18" s="61" t="s">
        <v>861</v>
      </c>
      <c r="J18" s="104" t="s">
        <v>862</v>
      </c>
      <c r="K18" s="61" t="s">
        <v>331</v>
      </c>
      <c r="L18" s="61" t="s">
        <v>863</v>
      </c>
      <c r="M18" s="104" t="s">
        <v>864</v>
      </c>
      <c r="N18" s="104" t="str">
        <f t="shared" si="0"/>
        <v>[** NO ZONE **]
PRIVCLOUD OTAP BO SEC-ZONE
Check: inconsistent zones</v>
      </c>
      <c r="O18" s="104" t="str">
        <f t="shared" si="1"/>
        <v xml:space="preserve">PRIVCLOUD OTAP BO SEC-ZONE
</v>
      </c>
      <c r="P18" s="76" t="s">
        <v>359</v>
      </c>
      <c r="Q18" s="61" t="s">
        <v>360</v>
      </c>
      <c r="R18" s="76" t="s">
        <v>293</v>
      </c>
      <c r="S18" s="76" t="s">
        <v>301</v>
      </c>
      <c r="T18" s="76" t="s">
        <v>293</v>
      </c>
      <c r="U18" s="61"/>
      <c r="V18" s="61"/>
      <c r="W18" s="61"/>
      <c r="X18" s="76" t="s">
        <v>302</v>
      </c>
      <c r="Y18" s="76" t="s">
        <v>575</v>
      </c>
      <c r="Z18" s="61" t="s">
        <v>708</v>
      </c>
      <c r="AA18" s="61" t="s">
        <v>823</v>
      </c>
      <c r="AB18" s="61"/>
    </row>
    <row r="19" spans="1:28" ht="32" x14ac:dyDescent="0.2">
      <c r="A19" s="61" t="s">
        <v>361</v>
      </c>
      <c r="B19" s="124">
        <v>12</v>
      </c>
      <c r="C19" s="76" t="s">
        <v>400</v>
      </c>
      <c r="D19" s="76" t="s">
        <v>363</v>
      </c>
      <c r="E19" s="76" t="s">
        <v>710</v>
      </c>
      <c r="F19" s="61" t="s">
        <v>364</v>
      </c>
      <c r="G19" s="61" t="s">
        <v>364</v>
      </c>
      <c r="H19" s="61"/>
      <c r="I19" s="61"/>
      <c r="J19" s="104" t="s">
        <v>865</v>
      </c>
      <c r="K19" s="61"/>
      <c r="L19" s="61"/>
      <c r="M19" s="104" t="s">
        <v>865</v>
      </c>
      <c r="N19" s="104" t="str">
        <f t="shared" si="0"/>
        <v>[** NO ZONE **]</v>
      </c>
      <c r="O19" s="104" t="str">
        <f t="shared" si="1"/>
        <v>[** NO ZONE **]</v>
      </c>
      <c r="P19" s="76"/>
      <c r="Q19" s="61"/>
      <c r="R19" s="76"/>
      <c r="S19" s="76"/>
      <c r="T19" s="76" t="s">
        <v>293</v>
      </c>
      <c r="U19" s="61"/>
      <c r="V19" s="61"/>
      <c r="W19" s="61"/>
      <c r="X19" s="76"/>
      <c r="Y19" s="76" t="s">
        <v>575</v>
      </c>
      <c r="Z19" s="61" t="s">
        <v>708</v>
      </c>
      <c r="AA19" s="61"/>
      <c r="AB19" s="61"/>
    </row>
    <row r="20" spans="1:28" ht="32" x14ac:dyDescent="0.2">
      <c r="A20" s="61" t="s">
        <v>365</v>
      </c>
      <c r="B20" s="124">
        <v>13</v>
      </c>
      <c r="C20" s="76" t="s">
        <v>400</v>
      </c>
      <c r="D20" s="76" t="s">
        <v>367</v>
      </c>
      <c r="E20" s="76" t="s">
        <v>710</v>
      </c>
      <c r="F20" s="61" t="s">
        <v>364</v>
      </c>
      <c r="G20" s="61" t="s">
        <v>364</v>
      </c>
      <c r="H20" s="61"/>
      <c r="I20" s="61"/>
      <c r="J20" s="104" t="s">
        <v>865</v>
      </c>
      <c r="K20" s="61"/>
      <c r="L20" s="61"/>
      <c r="M20" s="104" t="s">
        <v>865</v>
      </c>
      <c r="N20" s="104" t="str">
        <f t="shared" si="0"/>
        <v>[** NO ZONE **]</v>
      </c>
      <c r="O20" s="104" t="str">
        <f t="shared" si="1"/>
        <v>[** NO ZONE **]</v>
      </c>
      <c r="P20" s="76"/>
      <c r="Q20" s="61"/>
      <c r="R20" s="76"/>
      <c r="S20" s="76"/>
      <c r="T20" s="76" t="s">
        <v>293</v>
      </c>
      <c r="U20" s="61"/>
      <c r="V20" s="61"/>
      <c r="W20" s="61"/>
      <c r="X20" s="76"/>
      <c r="Y20" s="76" t="s">
        <v>575</v>
      </c>
      <c r="Z20" s="61" t="s">
        <v>708</v>
      </c>
      <c r="AA20" s="61"/>
      <c r="AB20" s="61"/>
    </row>
    <row r="21" spans="1:28" ht="32" x14ac:dyDescent="0.2">
      <c r="A21" s="61" t="s">
        <v>368</v>
      </c>
      <c r="B21" s="124">
        <v>14</v>
      </c>
      <c r="C21" s="76" t="s">
        <v>400</v>
      </c>
      <c r="D21" s="76" t="s">
        <v>369</v>
      </c>
      <c r="E21" s="76" t="s">
        <v>710</v>
      </c>
      <c r="F21" s="61" t="s">
        <v>330</v>
      </c>
      <c r="G21" s="61" t="s">
        <v>364</v>
      </c>
      <c r="H21" s="61"/>
      <c r="I21" s="61"/>
      <c r="J21" s="104" t="s">
        <v>865</v>
      </c>
      <c r="K21" s="61"/>
      <c r="L21" s="61"/>
      <c r="M21" s="104" t="s">
        <v>865</v>
      </c>
      <c r="N21" s="104" t="str">
        <f t="shared" si="0"/>
        <v>[** NO ZONE **]</v>
      </c>
      <c r="O21" s="104" t="str">
        <f t="shared" si="1"/>
        <v>[** NO ZONE **]</v>
      </c>
      <c r="P21" s="76"/>
      <c r="Q21" s="61"/>
      <c r="R21" s="76"/>
      <c r="S21" s="76"/>
      <c r="T21" s="76" t="s">
        <v>293</v>
      </c>
      <c r="U21" s="61"/>
      <c r="V21" s="61"/>
      <c r="W21" s="61"/>
      <c r="X21" s="76"/>
      <c r="Y21" s="76" t="s">
        <v>575</v>
      </c>
      <c r="Z21" s="61" t="s">
        <v>708</v>
      </c>
      <c r="AA21" s="61"/>
      <c r="AB21" s="61"/>
    </row>
    <row r="22" spans="1:28" ht="32" x14ac:dyDescent="0.2">
      <c r="A22" s="61" t="s">
        <v>370</v>
      </c>
      <c r="B22" s="124">
        <v>15</v>
      </c>
      <c r="C22" s="76" t="s">
        <v>400</v>
      </c>
      <c r="D22" s="76" t="s">
        <v>372</v>
      </c>
      <c r="E22" s="76" t="s">
        <v>710</v>
      </c>
      <c r="F22" s="61" t="s">
        <v>364</v>
      </c>
      <c r="G22" s="61" t="s">
        <v>364</v>
      </c>
      <c r="H22" s="61"/>
      <c r="I22" s="61"/>
      <c r="J22" s="104" t="s">
        <v>865</v>
      </c>
      <c r="K22" s="61"/>
      <c r="L22" s="61"/>
      <c r="M22" s="104" t="s">
        <v>865</v>
      </c>
      <c r="N22" s="104" t="str">
        <f t="shared" si="0"/>
        <v>[** NO ZONE **]</v>
      </c>
      <c r="O22" s="104" t="str">
        <f t="shared" si="1"/>
        <v>[** NO ZONE **]</v>
      </c>
      <c r="P22" s="76"/>
      <c r="Q22" s="61"/>
      <c r="R22" s="76"/>
      <c r="S22" s="76"/>
      <c r="T22" s="76" t="s">
        <v>293</v>
      </c>
      <c r="U22" s="61"/>
      <c r="V22" s="61"/>
      <c r="W22" s="61"/>
      <c r="X22" s="76"/>
      <c r="Y22" s="76" t="s">
        <v>575</v>
      </c>
      <c r="Z22" s="61" t="s">
        <v>708</v>
      </c>
      <c r="AA22" s="61"/>
      <c r="AB22" s="61"/>
    </row>
    <row r="23" spans="1:28" ht="48" x14ac:dyDescent="0.2">
      <c r="A23" s="61" t="s">
        <v>373</v>
      </c>
      <c r="B23" s="124">
        <v>16</v>
      </c>
      <c r="C23" s="76" t="s">
        <v>400</v>
      </c>
      <c r="D23" s="76" t="s">
        <v>375</v>
      </c>
      <c r="E23" s="76" t="s">
        <v>710</v>
      </c>
      <c r="F23" s="61" t="s">
        <v>364</v>
      </c>
      <c r="G23" s="61" t="s">
        <v>364</v>
      </c>
      <c r="H23" s="61"/>
      <c r="I23" s="61"/>
      <c r="J23" s="104" t="s">
        <v>865</v>
      </c>
      <c r="K23" s="61"/>
      <c r="L23" s="61"/>
      <c r="M23" s="104" t="s">
        <v>865</v>
      </c>
      <c r="N23" s="104" t="str">
        <f t="shared" si="0"/>
        <v>[** NO ZONE **]</v>
      </c>
      <c r="O23" s="104" t="str">
        <f t="shared" si="1"/>
        <v>[** NO ZONE **]</v>
      </c>
      <c r="P23" s="76"/>
      <c r="Q23" s="61"/>
      <c r="R23" s="76"/>
      <c r="S23" s="76"/>
      <c r="T23" s="76" t="s">
        <v>293</v>
      </c>
      <c r="U23" s="61"/>
      <c r="V23" s="61"/>
      <c r="W23" s="61"/>
      <c r="X23" s="76"/>
      <c r="Y23" s="76" t="s">
        <v>575</v>
      </c>
      <c r="Z23" s="61" t="s">
        <v>708</v>
      </c>
      <c r="AA23" s="61"/>
      <c r="AB23" s="61"/>
    </row>
    <row r="24" spans="1:28" ht="32" x14ac:dyDescent="0.2">
      <c r="A24" s="61" t="s">
        <v>376</v>
      </c>
      <c r="B24" s="124">
        <v>17</v>
      </c>
      <c r="C24" s="76" t="s">
        <v>400</v>
      </c>
      <c r="D24" s="76" t="s">
        <v>377</v>
      </c>
      <c r="E24" s="76" t="s">
        <v>710</v>
      </c>
      <c r="F24" s="61" t="s">
        <v>330</v>
      </c>
      <c r="G24" s="61" t="s">
        <v>364</v>
      </c>
      <c r="H24" s="61"/>
      <c r="I24" s="61"/>
      <c r="J24" s="104" t="s">
        <v>865</v>
      </c>
      <c r="K24" s="61"/>
      <c r="L24" s="61"/>
      <c r="M24" s="104" t="s">
        <v>865</v>
      </c>
      <c r="N24" s="104" t="str">
        <f t="shared" si="0"/>
        <v>[** NO ZONE **]</v>
      </c>
      <c r="O24" s="104" t="str">
        <f t="shared" si="1"/>
        <v>[** NO ZONE **]</v>
      </c>
      <c r="P24" s="76"/>
      <c r="Q24" s="61"/>
      <c r="R24" s="76"/>
      <c r="S24" s="76"/>
      <c r="T24" s="76" t="s">
        <v>293</v>
      </c>
      <c r="U24" s="61"/>
      <c r="V24" s="61"/>
      <c r="W24" s="61"/>
      <c r="X24" s="76"/>
      <c r="Y24" s="76" t="s">
        <v>575</v>
      </c>
      <c r="Z24" s="61" t="s">
        <v>708</v>
      </c>
      <c r="AA24" s="61"/>
      <c r="AB24" s="61"/>
    </row>
    <row r="25" spans="1:28" ht="32" x14ac:dyDescent="0.2">
      <c r="A25" s="61" t="s">
        <v>378</v>
      </c>
      <c r="B25" s="124">
        <v>18</v>
      </c>
      <c r="C25" s="76" t="s">
        <v>205</v>
      </c>
      <c r="D25" s="76" t="s">
        <v>379</v>
      </c>
      <c r="E25" s="76" t="s">
        <v>839</v>
      </c>
      <c r="F25" s="133" t="s">
        <v>737</v>
      </c>
      <c r="G25" s="61" t="s">
        <v>380</v>
      </c>
      <c r="H25" s="61" t="s">
        <v>331</v>
      </c>
      <c r="I25" s="61" t="s">
        <v>844</v>
      </c>
      <c r="J25" s="104" t="s">
        <v>845</v>
      </c>
      <c r="K25" s="61" t="s">
        <v>381</v>
      </c>
      <c r="L25" s="61" t="s">
        <v>382</v>
      </c>
      <c r="M25" s="104" t="s">
        <v>865</v>
      </c>
      <c r="N25" s="104" t="str">
        <f t="shared" si="0"/>
        <v xml:space="preserve">PRIVCLOUD OTAP BO SEC-ZONE
</v>
      </c>
      <c r="O25" s="104" t="str">
        <f t="shared" si="1"/>
        <v>[** NO ZONE **]</v>
      </c>
      <c r="P25" s="76" t="s">
        <v>383</v>
      </c>
      <c r="Q25" s="61"/>
      <c r="R25" s="76" t="s">
        <v>293</v>
      </c>
      <c r="S25" s="76" t="s">
        <v>301</v>
      </c>
      <c r="T25" s="76" t="s">
        <v>293</v>
      </c>
      <c r="U25" s="61"/>
      <c r="V25" s="61"/>
      <c r="W25" s="61"/>
      <c r="X25" s="76" t="s">
        <v>302</v>
      </c>
      <c r="Y25" s="76" t="s">
        <v>303</v>
      </c>
      <c r="Z25" s="61" t="s">
        <v>708</v>
      </c>
      <c r="AA25" s="61" t="s">
        <v>866</v>
      </c>
      <c r="AB25" s="61"/>
    </row>
    <row r="26" spans="1:28" s="184" customFormat="1" ht="32" x14ac:dyDescent="0.2">
      <c r="A26" s="180" t="s">
        <v>384</v>
      </c>
      <c r="B26" s="124">
        <v>19</v>
      </c>
      <c r="C26" s="181" t="s">
        <v>205</v>
      </c>
      <c r="D26" s="181" t="s">
        <v>385</v>
      </c>
      <c r="E26" s="76" t="s">
        <v>867</v>
      </c>
      <c r="F26" s="182" t="s">
        <v>737</v>
      </c>
      <c r="G26" s="180" t="s">
        <v>386</v>
      </c>
      <c r="H26" s="180" t="s">
        <v>331</v>
      </c>
      <c r="I26" s="180" t="s">
        <v>844</v>
      </c>
      <c r="J26" s="183" t="s">
        <v>845</v>
      </c>
      <c r="K26" s="180" t="s">
        <v>868</v>
      </c>
      <c r="L26" s="180" t="s">
        <v>388</v>
      </c>
      <c r="M26" s="183" t="s">
        <v>389</v>
      </c>
      <c r="N26" s="183" t="str">
        <f t="shared" si="0"/>
        <v xml:space="preserve">PRIVCLOUD OTAP BO SEC-ZONE
</v>
      </c>
      <c r="O26" s="183" t="str">
        <f t="shared" si="1"/>
        <v xml:space="preserve">IBM Ontwikkel Secure Zone
</v>
      </c>
      <c r="P26" s="181" t="s">
        <v>345</v>
      </c>
      <c r="Q26" s="180" t="s">
        <v>390</v>
      </c>
      <c r="R26" s="181" t="s">
        <v>293</v>
      </c>
      <c r="S26" s="181" t="s">
        <v>391</v>
      </c>
      <c r="T26" s="181" t="s">
        <v>293</v>
      </c>
      <c r="U26" s="180"/>
      <c r="V26" s="180"/>
      <c r="W26" s="180"/>
      <c r="X26" s="181" t="s">
        <v>302</v>
      </c>
      <c r="Y26" s="181" t="s">
        <v>575</v>
      </c>
      <c r="Z26" s="180" t="s">
        <v>708</v>
      </c>
      <c r="AA26" s="202" t="s">
        <v>869</v>
      </c>
      <c r="AB26" s="180"/>
    </row>
    <row r="27" spans="1:28" ht="80" x14ac:dyDescent="0.2">
      <c r="A27" s="61" t="s">
        <v>392</v>
      </c>
      <c r="B27" s="124">
        <v>20</v>
      </c>
      <c r="C27" s="76" t="s">
        <v>205</v>
      </c>
      <c r="D27" s="76" t="s">
        <v>393</v>
      </c>
      <c r="E27" s="76" t="s">
        <v>839</v>
      </c>
      <c r="F27" s="133" t="s">
        <v>745</v>
      </c>
      <c r="G27" s="61" t="s">
        <v>395</v>
      </c>
      <c r="H27" s="61" t="s">
        <v>338</v>
      </c>
      <c r="I27" s="61" t="s">
        <v>870</v>
      </c>
      <c r="J27" s="104" t="s">
        <v>854</v>
      </c>
      <c r="K27" s="61" t="s">
        <v>395</v>
      </c>
      <c r="L27" s="166" t="s">
        <v>396</v>
      </c>
      <c r="M27" s="104" t="s">
        <v>746</v>
      </c>
      <c r="N27" s="104" t="str">
        <f t="shared" si="0"/>
        <v xml:space="preserve">PRIVCLOUD OTAP BO SEC-ZONE
PRIVCLOUD OTAP BO SEC-ZONE
</v>
      </c>
      <c r="O27" s="104" t="str">
        <f t="shared" si="1"/>
        <v>[** NO ZONE **]
[** NO ZONE **]
[** NO ZONE **]
[** NO ZONE **]
Check: inconsistent zones</v>
      </c>
      <c r="P27" s="76" t="s">
        <v>397</v>
      </c>
      <c r="Q27" s="61"/>
      <c r="R27" s="76" t="s">
        <v>293</v>
      </c>
      <c r="S27" s="76" t="s">
        <v>391</v>
      </c>
      <c r="T27" s="76" t="s">
        <v>293</v>
      </c>
      <c r="U27" s="61"/>
      <c r="V27" s="61"/>
      <c r="W27" s="61"/>
      <c r="X27" s="76" t="s">
        <v>302</v>
      </c>
      <c r="Y27" s="76" t="s">
        <v>303</v>
      </c>
      <c r="Z27" s="61" t="s">
        <v>708</v>
      </c>
      <c r="AA27" s="61" t="s">
        <v>871</v>
      </c>
      <c r="AB27" s="61"/>
    </row>
    <row r="28" spans="1:28" ht="80" x14ac:dyDescent="0.2">
      <c r="A28" s="61" t="s">
        <v>392</v>
      </c>
      <c r="B28" s="124" t="s">
        <v>748</v>
      </c>
      <c r="C28" s="76" t="s">
        <v>205</v>
      </c>
      <c r="D28" s="76" t="s">
        <v>393</v>
      </c>
      <c r="E28" s="76" t="s">
        <v>839</v>
      </c>
      <c r="F28" s="133" t="s">
        <v>745</v>
      </c>
      <c r="G28" s="61" t="s">
        <v>395</v>
      </c>
      <c r="H28" s="61" t="s">
        <v>338</v>
      </c>
      <c r="I28" s="61" t="s">
        <v>872</v>
      </c>
      <c r="J28" s="104" t="s">
        <v>873</v>
      </c>
      <c r="K28" s="61" t="s">
        <v>395</v>
      </c>
      <c r="L28" s="166" t="s">
        <v>396</v>
      </c>
      <c r="M28" s="104" t="s">
        <v>746</v>
      </c>
      <c r="N28" s="104" t="str">
        <f t="shared" ref="N28" si="4" xml:space="preserve"> RetrieveZone( J28 )</f>
        <v xml:space="preserve">PRIVCLOUD OTAP BO SEC-ZONE
</v>
      </c>
      <c r="O28" s="104" t="str">
        <f t="shared" ref="O28:O29" si="5" xml:space="preserve"> RetrieveZone( M28 )</f>
        <v>[** NO ZONE **]
[** NO ZONE **]
[** NO ZONE **]
[** NO ZONE **]
Check: inconsistent zones</v>
      </c>
      <c r="P28" s="76" t="s">
        <v>345</v>
      </c>
      <c r="Q28" s="61" t="s">
        <v>874</v>
      </c>
      <c r="R28" s="76" t="s">
        <v>293</v>
      </c>
      <c r="S28" s="76" t="s">
        <v>391</v>
      </c>
      <c r="T28" s="76" t="s">
        <v>293</v>
      </c>
      <c r="U28" s="61"/>
      <c r="V28" s="61"/>
      <c r="W28" s="61"/>
      <c r="X28" s="76" t="s">
        <v>302</v>
      </c>
      <c r="Y28" s="76" t="s">
        <v>303</v>
      </c>
      <c r="Z28" s="61" t="s">
        <v>708</v>
      </c>
      <c r="AA28" s="61" t="s">
        <v>875</v>
      </c>
      <c r="AB28" s="61"/>
    </row>
    <row r="29" spans="1:28" ht="80" x14ac:dyDescent="0.2">
      <c r="A29" s="61" t="s">
        <v>392</v>
      </c>
      <c r="B29" s="124" t="s">
        <v>751</v>
      </c>
      <c r="C29" s="76" t="s">
        <v>205</v>
      </c>
      <c r="D29" s="76" t="s">
        <v>752</v>
      </c>
      <c r="E29" s="76" t="s">
        <v>826</v>
      </c>
      <c r="F29" s="133" t="s">
        <v>876</v>
      </c>
      <c r="G29" s="61" t="s">
        <v>395</v>
      </c>
      <c r="H29" s="61" t="s">
        <v>877</v>
      </c>
      <c r="I29" s="61" t="s">
        <v>857</v>
      </c>
      <c r="J29" s="104" t="s">
        <v>842</v>
      </c>
      <c r="K29" s="61" t="s">
        <v>395</v>
      </c>
      <c r="L29" s="166" t="s">
        <v>396</v>
      </c>
      <c r="M29" s="104" t="s">
        <v>746</v>
      </c>
      <c r="N29" s="104" t="str">
        <f xml:space="preserve"> RetrieveZone( J29 )</f>
        <v>[** NO ZONE **]
Check: inconsistent zones</v>
      </c>
      <c r="O29" s="104" t="str">
        <f t="shared" si="5"/>
        <v>[** NO ZONE **]
[** NO ZONE **]
[** NO ZONE **]
[** NO ZONE **]
Check: inconsistent zones</v>
      </c>
      <c r="P29" s="76" t="s">
        <v>755</v>
      </c>
      <c r="Q29" s="199" t="s">
        <v>878</v>
      </c>
      <c r="R29" s="76" t="s">
        <v>293</v>
      </c>
      <c r="S29" s="76" t="s">
        <v>391</v>
      </c>
      <c r="T29" s="76" t="s">
        <v>293</v>
      </c>
      <c r="U29" s="61"/>
      <c r="V29" s="61"/>
      <c r="W29" s="61"/>
      <c r="X29" s="76" t="s">
        <v>302</v>
      </c>
      <c r="Y29" s="76" t="s">
        <v>303</v>
      </c>
      <c r="Z29" s="61" t="s">
        <v>708</v>
      </c>
      <c r="AA29" s="61" t="s">
        <v>879</v>
      </c>
      <c r="AB29" s="61"/>
    </row>
    <row r="30" spans="1:28" ht="48" x14ac:dyDescent="0.2">
      <c r="A30" s="61" t="s">
        <v>398</v>
      </c>
      <c r="B30" s="124">
        <v>21</v>
      </c>
      <c r="C30" s="76" t="s">
        <v>205</v>
      </c>
      <c r="D30" s="76" t="s">
        <v>399</v>
      </c>
      <c r="E30" s="76" t="s">
        <v>839</v>
      </c>
      <c r="F30" s="61" t="s">
        <v>745</v>
      </c>
      <c r="G30" s="61" t="s">
        <v>703</v>
      </c>
      <c r="H30" s="61" t="s">
        <v>338</v>
      </c>
      <c r="I30" s="61" t="s">
        <v>870</v>
      </c>
      <c r="J30" s="104" t="s">
        <v>854</v>
      </c>
      <c r="K30" s="61" t="s">
        <v>297</v>
      </c>
      <c r="L30" s="61" t="s">
        <v>821</v>
      </c>
      <c r="M30" s="104" t="s">
        <v>822</v>
      </c>
      <c r="N30" s="104" t="str">
        <f t="shared" si="0"/>
        <v xml:space="preserve">PRIVCLOUD OTAP BO SEC-ZONE
PRIVCLOUD OTAP BO SEC-ZONE
</v>
      </c>
      <c r="O30" s="104" t="str">
        <f t="shared" si="1"/>
        <v xml:space="preserve">PRIVCLOUD OTAP BO SEC-ZONE
</v>
      </c>
      <c r="P30" s="76" t="s">
        <v>345</v>
      </c>
      <c r="Q30" s="61">
        <v>2181</v>
      </c>
      <c r="R30" s="76" t="s">
        <v>293</v>
      </c>
      <c r="S30" s="76" t="s">
        <v>400</v>
      </c>
      <c r="T30" s="76" t="s">
        <v>293</v>
      </c>
      <c r="U30" s="61"/>
      <c r="V30" s="61"/>
      <c r="W30" s="61"/>
      <c r="X30" s="76" t="s">
        <v>302</v>
      </c>
      <c r="Y30" s="76" t="s">
        <v>575</v>
      </c>
      <c r="Z30" s="61" t="s">
        <v>708</v>
      </c>
      <c r="AA30" s="61" t="s">
        <v>832</v>
      </c>
      <c r="AB30" s="61"/>
    </row>
    <row r="31" spans="1:28" ht="48" x14ac:dyDescent="0.2">
      <c r="A31" s="61" t="s">
        <v>401</v>
      </c>
      <c r="B31" s="124">
        <v>22</v>
      </c>
      <c r="C31" s="76" t="s">
        <v>205</v>
      </c>
      <c r="D31" s="76" t="s">
        <v>402</v>
      </c>
      <c r="E31" s="76" t="s">
        <v>839</v>
      </c>
      <c r="F31" s="61" t="s">
        <v>745</v>
      </c>
      <c r="G31" s="61" t="s">
        <v>734</v>
      </c>
      <c r="H31" s="61" t="s">
        <v>338</v>
      </c>
      <c r="I31" s="61" t="s">
        <v>870</v>
      </c>
      <c r="J31" s="104" t="s">
        <v>854</v>
      </c>
      <c r="K31" s="61" t="s">
        <v>856</v>
      </c>
      <c r="L31" s="61" t="s">
        <v>857</v>
      </c>
      <c r="M31" s="104" t="s">
        <v>858</v>
      </c>
      <c r="N31" s="104" t="str">
        <f t="shared" si="0"/>
        <v xml:space="preserve">PRIVCLOUD OTAP BO SEC-ZONE
PRIVCLOUD OTAP BO SEC-ZONE
</v>
      </c>
      <c r="O31" s="104" t="str">
        <f t="shared" si="1"/>
        <v>[** NO ZONE **]
Check: inconsistent zones</v>
      </c>
      <c r="P31" s="76" t="s">
        <v>352</v>
      </c>
      <c r="Q31" s="179">
        <v>1526</v>
      </c>
      <c r="R31" s="76" t="s">
        <v>293</v>
      </c>
      <c r="S31" s="76" t="s">
        <v>301</v>
      </c>
      <c r="T31" s="76" t="s">
        <v>293</v>
      </c>
      <c r="U31" s="61"/>
      <c r="V31" s="61"/>
      <c r="W31" s="61"/>
      <c r="X31" s="76" t="s">
        <v>302</v>
      </c>
      <c r="Y31" s="76" t="s">
        <v>575</v>
      </c>
      <c r="Z31" s="61" t="s">
        <v>708</v>
      </c>
      <c r="AA31" s="61" t="s">
        <v>832</v>
      </c>
      <c r="AB31" s="61"/>
    </row>
    <row r="32" spans="1:28" ht="48" x14ac:dyDescent="0.2">
      <c r="A32" s="61" t="s">
        <v>403</v>
      </c>
      <c r="B32" s="124">
        <v>23</v>
      </c>
      <c r="C32" s="76" t="s">
        <v>205</v>
      </c>
      <c r="D32" s="76" t="s">
        <v>404</v>
      </c>
      <c r="E32" s="76" t="s">
        <v>839</v>
      </c>
      <c r="F32" s="61" t="s">
        <v>758</v>
      </c>
      <c r="G32" s="61" t="s">
        <v>703</v>
      </c>
      <c r="H32" s="61" t="s">
        <v>405</v>
      </c>
      <c r="I32" s="197" t="s">
        <v>880</v>
      </c>
      <c r="J32" s="104" t="s">
        <v>881</v>
      </c>
      <c r="K32" s="61" t="s">
        <v>297</v>
      </c>
      <c r="L32" s="61" t="s">
        <v>821</v>
      </c>
      <c r="M32" s="104" t="s">
        <v>822</v>
      </c>
      <c r="N32" s="104" t="str">
        <f t="shared" si="0"/>
        <v xml:space="preserve">PRIVCLOUD OTAP BO SEC-ZONE
PRIVCLOUD OTAP BO SEC-ZONE
</v>
      </c>
      <c r="O32" s="104" t="str">
        <f t="shared" si="1"/>
        <v xml:space="preserve">PRIVCLOUD OTAP BO SEC-ZONE
</v>
      </c>
      <c r="P32" s="76" t="s">
        <v>345</v>
      </c>
      <c r="Q32" s="61">
        <v>9092</v>
      </c>
      <c r="R32" s="76" t="s">
        <v>293</v>
      </c>
      <c r="S32" s="76" t="s">
        <v>400</v>
      </c>
      <c r="T32" s="76" t="s">
        <v>293</v>
      </c>
      <c r="U32" s="61"/>
      <c r="V32" s="61"/>
      <c r="W32" s="61"/>
      <c r="X32" s="76" t="s">
        <v>302</v>
      </c>
      <c r="Y32" s="76" t="s">
        <v>575</v>
      </c>
      <c r="Z32" s="61" t="s">
        <v>708</v>
      </c>
      <c r="AA32" s="61" t="s">
        <v>823</v>
      </c>
      <c r="AB32" s="61"/>
    </row>
    <row r="33" spans="1:28" ht="32" x14ac:dyDescent="0.2">
      <c r="A33" s="61" t="s">
        <v>408</v>
      </c>
      <c r="B33" s="124">
        <v>24</v>
      </c>
      <c r="C33" s="76" t="s">
        <v>205</v>
      </c>
      <c r="D33" s="76" t="s">
        <v>409</v>
      </c>
      <c r="E33" s="76" t="s">
        <v>839</v>
      </c>
      <c r="F33" s="61" t="s">
        <v>703</v>
      </c>
      <c r="G33" s="61" t="s">
        <v>734</v>
      </c>
      <c r="H33" s="61" t="s">
        <v>297</v>
      </c>
      <c r="I33" s="61" t="s">
        <v>821</v>
      </c>
      <c r="J33" s="104" t="s">
        <v>822</v>
      </c>
      <c r="K33" s="61" t="s">
        <v>856</v>
      </c>
      <c r="L33" s="61" t="s">
        <v>857</v>
      </c>
      <c r="M33" s="104" t="s">
        <v>858</v>
      </c>
      <c r="N33" s="104" t="str">
        <f t="shared" si="0"/>
        <v xml:space="preserve">PRIVCLOUD OTAP BO SEC-ZONE
</v>
      </c>
      <c r="O33" s="104" t="str">
        <f t="shared" si="1"/>
        <v>[** NO ZONE **]
Check: inconsistent zones</v>
      </c>
      <c r="P33" s="76" t="s">
        <v>352</v>
      </c>
      <c r="Q33" s="61">
        <v>1526</v>
      </c>
      <c r="R33" s="76" t="s">
        <v>293</v>
      </c>
      <c r="S33" s="76" t="s">
        <v>301</v>
      </c>
      <c r="T33" s="76" t="s">
        <v>293</v>
      </c>
      <c r="U33" s="61"/>
      <c r="V33" s="61"/>
      <c r="W33" s="61"/>
      <c r="X33" s="76"/>
      <c r="Y33" s="76" t="s">
        <v>575</v>
      </c>
      <c r="Z33" s="61" t="s">
        <v>708</v>
      </c>
      <c r="AA33" s="61" t="s">
        <v>823</v>
      </c>
      <c r="AB33" s="61"/>
    </row>
    <row r="34" spans="1:28" ht="80" x14ac:dyDescent="0.2">
      <c r="A34" s="61" t="s">
        <v>410</v>
      </c>
      <c r="B34" s="124">
        <v>25</v>
      </c>
      <c r="C34" s="76" t="s">
        <v>400</v>
      </c>
      <c r="D34" s="76" t="s">
        <v>411</v>
      </c>
      <c r="E34" s="76" t="s">
        <v>710</v>
      </c>
      <c r="F34" s="61" t="s">
        <v>412</v>
      </c>
      <c r="G34" s="61" t="s">
        <v>395</v>
      </c>
      <c r="H34" s="61" t="s">
        <v>307</v>
      </c>
      <c r="I34" s="61" t="s">
        <v>824</v>
      </c>
      <c r="J34" s="104" t="s">
        <v>825</v>
      </c>
      <c r="K34" s="61"/>
      <c r="L34" s="166" t="s">
        <v>396</v>
      </c>
      <c r="M34" s="104" t="s">
        <v>746</v>
      </c>
      <c r="N34" s="104" t="str">
        <f t="shared" si="0"/>
        <v xml:space="preserve">PRIVCLOUD OTAP BO SEC-ZONE
PRIVCLOUD OTAP BO SEC-ZONE
</v>
      </c>
      <c r="O34" s="104" t="str">
        <f t="shared" si="1"/>
        <v>[** NO ZONE **]
[** NO ZONE **]
[** NO ZONE **]
[** NO ZONE **]
Check: inconsistent zones</v>
      </c>
      <c r="P34" s="76" t="s">
        <v>397</v>
      </c>
      <c r="Q34" s="61"/>
      <c r="R34" s="76" t="s">
        <v>293</v>
      </c>
      <c r="S34" s="76" t="s">
        <v>391</v>
      </c>
      <c r="T34" s="76" t="s">
        <v>293</v>
      </c>
      <c r="U34" s="61"/>
      <c r="V34" s="61"/>
      <c r="W34" s="61"/>
      <c r="X34" s="76" t="s">
        <v>302</v>
      </c>
      <c r="Y34" s="76" t="s">
        <v>303</v>
      </c>
      <c r="Z34" s="61" t="s">
        <v>708</v>
      </c>
      <c r="AA34" s="61"/>
      <c r="AB34" s="61"/>
    </row>
    <row r="35" spans="1:28" ht="96" x14ac:dyDescent="0.2">
      <c r="A35" s="61" t="s">
        <v>413</v>
      </c>
      <c r="B35" s="124">
        <v>26</v>
      </c>
      <c r="C35" s="76" t="s">
        <v>205</v>
      </c>
      <c r="D35" s="76" t="s">
        <v>415</v>
      </c>
      <c r="E35" s="76" t="s">
        <v>839</v>
      </c>
      <c r="F35" s="61" t="s">
        <v>882</v>
      </c>
      <c r="G35" s="61" t="s">
        <v>763</v>
      </c>
      <c r="H35" s="197" t="s">
        <v>771</v>
      </c>
      <c r="I35" s="61" t="s">
        <v>765</v>
      </c>
      <c r="J35" s="104" t="s">
        <v>766</v>
      </c>
      <c r="K35" s="61" t="s">
        <v>883</v>
      </c>
      <c r="L35" s="61" t="s">
        <v>884</v>
      </c>
      <c r="M35" s="104" t="s">
        <v>885</v>
      </c>
      <c r="N35" s="104" t="str">
        <f t="shared" si="0"/>
        <v>[** NO ZONE **]
Check: inconsistent zones</v>
      </c>
      <c r="O35" s="104" t="str">
        <f t="shared" si="1"/>
        <v>PRIVCLOUD OTAP BO SEC-ZONE
PRIVCLOUD OTAP BO SEC-ZONE
PRIVCLOUD OTAP BO SEC-ZONE
PRIVCLOUD OTAP BO SEC-ZONE
[** NO ZONE **]
Check: inconsistent zones</v>
      </c>
      <c r="P35" s="76" t="s">
        <v>326</v>
      </c>
      <c r="Q35" s="61"/>
      <c r="R35" s="76" t="s">
        <v>293</v>
      </c>
      <c r="S35" s="76" t="s">
        <v>310</v>
      </c>
      <c r="T35" s="76" t="s">
        <v>293</v>
      </c>
      <c r="U35" s="61"/>
      <c r="V35" s="61"/>
      <c r="W35" s="61"/>
      <c r="X35" s="76"/>
      <c r="Y35" s="76" t="s">
        <v>575</v>
      </c>
      <c r="Z35" s="61" t="s">
        <v>420</v>
      </c>
      <c r="AA35" s="61" t="s">
        <v>832</v>
      </c>
      <c r="AB35" s="61"/>
    </row>
    <row r="36" spans="1:28" ht="80" x14ac:dyDescent="0.2">
      <c r="A36" s="61" t="s">
        <v>421</v>
      </c>
      <c r="B36" s="124">
        <v>27</v>
      </c>
      <c r="C36" s="76" t="s">
        <v>205</v>
      </c>
      <c r="D36" s="76" t="s">
        <v>886</v>
      </c>
      <c r="E36" s="76" t="s">
        <v>839</v>
      </c>
      <c r="F36" s="61" t="s">
        <v>882</v>
      </c>
      <c r="G36" s="61" t="s">
        <v>887</v>
      </c>
      <c r="H36" s="61" t="s">
        <v>883</v>
      </c>
      <c r="I36" s="197" t="s">
        <v>888</v>
      </c>
      <c r="J36" s="104" t="s">
        <v>889</v>
      </c>
      <c r="K36" s="133" t="s">
        <v>771</v>
      </c>
      <c r="L36" s="61" t="s">
        <v>765</v>
      </c>
      <c r="M36" s="104" t="s">
        <v>766</v>
      </c>
      <c r="N36" s="104" t="str">
        <f t="shared" si="0"/>
        <v>PRIVCLOUD OTAP BO SEC-ZONE
PRIVCLOUD OTAP BO SEC-ZONE
PRIVCLOUD OTAP BO SEC-ZONE
[** NO ZONE **]
Check: inconsistent zones</v>
      </c>
      <c r="O36" s="104" t="str">
        <f t="shared" si="1"/>
        <v>[** NO ZONE **]
Check: inconsistent zones</v>
      </c>
      <c r="P36" s="76" t="s">
        <v>326</v>
      </c>
      <c r="Q36" s="61"/>
      <c r="R36" s="76" t="s">
        <v>293</v>
      </c>
      <c r="S36" s="76" t="s">
        <v>310</v>
      </c>
      <c r="T36" s="76" t="s">
        <v>293</v>
      </c>
      <c r="U36" s="61"/>
      <c r="V36" s="61"/>
      <c r="W36" s="61"/>
      <c r="X36" s="76"/>
      <c r="Y36" s="76" t="s">
        <v>575</v>
      </c>
      <c r="Z36" s="61" t="s">
        <v>424</v>
      </c>
      <c r="AA36" s="61" t="s">
        <v>823</v>
      </c>
      <c r="AB36" s="61"/>
    </row>
    <row r="37" spans="1:28" ht="96" x14ac:dyDescent="0.2">
      <c r="A37" s="61" t="s">
        <v>425</v>
      </c>
      <c r="B37" s="124">
        <v>28</v>
      </c>
      <c r="C37" s="76" t="s">
        <v>400</v>
      </c>
      <c r="D37" s="76" t="s">
        <v>426</v>
      </c>
      <c r="E37" s="76" t="s">
        <v>710</v>
      </c>
      <c r="F37" s="61" t="s">
        <v>772</v>
      </c>
      <c r="G37" s="61" t="s">
        <v>428</v>
      </c>
      <c r="H37" s="61" t="s">
        <v>429</v>
      </c>
      <c r="I37" s="61" t="s">
        <v>890</v>
      </c>
      <c r="J37" s="104" t="s">
        <v>891</v>
      </c>
      <c r="K37" s="61" t="s">
        <v>432</v>
      </c>
      <c r="L37" s="61" t="s">
        <v>433</v>
      </c>
      <c r="M37" s="104" t="s">
        <v>434</v>
      </c>
      <c r="N37" s="104" t="str">
        <f t="shared" si="0"/>
        <v xml:space="preserve">PRIVCLOUD OTAP BO SEC-ZONE
PRIVCLOUD OTAP BO SEC-ZONE
PRIVCLOUD OTAP BO SEC-ZONE
PRIVCLOUD OTAP BO SEC-ZONE
PRIVCLOUD OTAP BO SEC-ZONE
</v>
      </c>
      <c r="O37" s="104" t="str">
        <f t="shared" si="1"/>
        <v xml:space="preserve">IBM Application Mgmt
</v>
      </c>
      <c r="P37" s="76" t="s">
        <v>435</v>
      </c>
      <c r="Q37" s="61"/>
      <c r="R37" s="76" t="s">
        <v>293</v>
      </c>
      <c r="S37" s="76" t="s">
        <v>310</v>
      </c>
      <c r="T37" s="76" t="s">
        <v>293</v>
      </c>
      <c r="U37" s="61"/>
      <c r="V37" s="61"/>
      <c r="W37" s="61"/>
      <c r="X37" s="76" t="s">
        <v>302</v>
      </c>
      <c r="Y37" s="76" t="s">
        <v>575</v>
      </c>
      <c r="Z37" s="61" t="s">
        <v>708</v>
      </c>
      <c r="AA37" s="61"/>
      <c r="AB37" s="61"/>
    </row>
    <row r="38" spans="1:28" ht="96" x14ac:dyDescent="0.2">
      <c r="A38" s="173" t="s">
        <v>436</v>
      </c>
      <c r="B38" s="124">
        <v>29</v>
      </c>
      <c r="C38" s="76" t="s">
        <v>400</v>
      </c>
      <c r="D38" s="61" t="s">
        <v>678</v>
      </c>
      <c r="E38" s="76" t="s">
        <v>710</v>
      </c>
      <c r="F38" s="61" t="s">
        <v>892</v>
      </c>
      <c r="G38" s="61" t="s">
        <v>439</v>
      </c>
      <c r="H38" s="61" t="s">
        <v>429</v>
      </c>
      <c r="I38" s="61" t="s">
        <v>890</v>
      </c>
      <c r="J38" s="104" t="s">
        <v>893</v>
      </c>
      <c r="K38" s="61" t="s">
        <v>440</v>
      </c>
      <c r="L38" s="61" t="s">
        <v>441</v>
      </c>
      <c r="M38" s="104" t="s">
        <v>442</v>
      </c>
      <c r="N38" s="104" t="str">
        <f t="shared" si="0"/>
        <v xml:space="preserve">PRIVCLOUD OTAP BO SEC-ZONE
PRIVCLOUD OTAP BO SEC-ZONE
PRIVCLOUD OTAP BO SEC-ZONE
PRIVCLOUD OTAP BO SEC-ZONE
PRIVCLOUD OTAP BO SEC-ZONE
</v>
      </c>
      <c r="O38" s="104" t="str">
        <f t="shared" si="1"/>
        <v xml:space="preserve">IBM Productie Secure Zone
IBM Productie Secure Zone
</v>
      </c>
      <c r="P38" s="76" t="s">
        <v>334</v>
      </c>
      <c r="Q38" s="61" t="s">
        <v>443</v>
      </c>
      <c r="R38" s="76" t="s">
        <v>293</v>
      </c>
      <c r="S38" s="76" t="s">
        <v>391</v>
      </c>
      <c r="T38" s="76" t="s">
        <v>293</v>
      </c>
      <c r="U38" s="61"/>
      <c r="V38" s="61"/>
      <c r="W38" s="61"/>
      <c r="X38" s="76" t="s">
        <v>302</v>
      </c>
      <c r="Y38" s="76" t="s">
        <v>575</v>
      </c>
      <c r="Z38" s="61" t="s">
        <v>708</v>
      </c>
      <c r="AA38" s="61"/>
      <c r="AB38" s="61"/>
    </row>
    <row r="39" spans="1:28" s="184" customFormat="1" ht="64" x14ac:dyDescent="0.2">
      <c r="A39" s="180" t="s">
        <v>444</v>
      </c>
      <c r="B39" s="124">
        <v>30</v>
      </c>
      <c r="C39" s="181" t="s">
        <v>205</v>
      </c>
      <c r="D39" s="181" t="s">
        <v>445</v>
      </c>
      <c r="E39" s="181" t="s">
        <v>702</v>
      </c>
      <c r="F39" s="182" t="s">
        <v>776</v>
      </c>
      <c r="G39" s="180" t="s">
        <v>447</v>
      </c>
      <c r="H39" s="180" t="s">
        <v>856</v>
      </c>
      <c r="I39" s="180" t="s">
        <v>857</v>
      </c>
      <c r="J39" s="183" t="s">
        <v>858</v>
      </c>
      <c r="K39" s="180" t="s">
        <v>448</v>
      </c>
      <c r="L39" s="180" t="s">
        <v>777</v>
      </c>
      <c r="M39" s="183" t="s">
        <v>449</v>
      </c>
      <c r="N39" s="183" t="str">
        <f t="shared" si="0"/>
        <v>[** NO ZONE **]
Check: inconsistent zones</v>
      </c>
      <c r="O39" s="183" t="str">
        <f t="shared" si="1"/>
        <v xml:space="preserve">PRIVCLOUD OTAP FO SEC-ZONE
</v>
      </c>
      <c r="P39" s="181" t="s">
        <v>352</v>
      </c>
      <c r="Q39" s="180" t="s">
        <v>894</v>
      </c>
      <c r="R39" s="181" t="s">
        <v>400</v>
      </c>
      <c r="S39" s="181" t="s">
        <v>400</v>
      </c>
      <c r="T39" s="181" t="s">
        <v>293</v>
      </c>
      <c r="U39" s="180"/>
      <c r="V39" s="180"/>
      <c r="W39" s="180"/>
      <c r="X39" s="181" t="s">
        <v>302</v>
      </c>
      <c r="Y39" s="181" t="s">
        <v>575</v>
      </c>
      <c r="Z39" s="180" t="s">
        <v>708</v>
      </c>
      <c r="AA39" s="180" t="s">
        <v>895</v>
      </c>
      <c r="AB39" s="180" t="s">
        <v>896</v>
      </c>
    </row>
    <row r="40" spans="1:28" ht="48" x14ac:dyDescent="0.2">
      <c r="A40" s="61" t="s">
        <v>450</v>
      </c>
      <c r="B40" s="124">
        <v>31</v>
      </c>
      <c r="C40" s="76" t="s">
        <v>205</v>
      </c>
      <c r="D40" s="76" t="s">
        <v>451</v>
      </c>
      <c r="E40" s="76" t="s">
        <v>839</v>
      </c>
      <c r="F40" s="133" t="s">
        <v>897</v>
      </c>
      <c r="G40" s="133" t="s">
        <v>780</v>
      </c>
      <c r="H40" s="61" t="s">
        <v>307</v>
      </c>
      <c r="I40" s="61" t="s">
        <v>824</v>
      </c>
      <c r="J40" s="104" t="s">
        <v>825</v>
      </c>
      <c r="K40" s="61" t="s">
        <v>338</v>
      </c>
      <c r="L40" s="61" t="s">
        <v>870</v>
      </c>
      <c r="M40" s="104" t="s">
        <v>854</v>
      </c>
      <c r="N40" s="104" t="str">
        <f t="shared" si="0"/>
        <v xml:space="preserve">PRIVCLOUD OTAP BO SEC-ZONE
PRIVCLOUD OTAP BO SEC-ZONE
</v>
      </c>
      <c r="O40" s="104" t="str">
        <f t="shared" si="1"/>
        <v xml:space="preserve">PRIVCLOUD OTAP BO SEC-ZONE
PRIVCLOUD OTAP BO SEC-ZONE
</v>
      </c>
      <c r="P40" s="76" t="s">
        <v>334</v>
      </c>
      <c r="Q40" s="61">
        <v>9443</v>
      </c>
      <c r="R40" s="76" t="s">
        <v>293</v>
      </c>
      <c r="S40" s="76" t="s">
        <v>301</v>
      </c>
      <c r="T40" s="76" t="s">
        <v>293</v>
      </c>
      <c r="U40" s="61"/>
      <c r="V40" s="61"/>
      <c r="W40" s="61"/>
      <c r="X40" s="76" t="s">
        <v>302</v>
      </c>
      <c r="Y40" s="76" t="s">
        <v>575</v>
      </c>
      <c r="Z40" s="61" t="s">
        <v>708</v>
      </c>
      <c r="AA40" s="61" t="s">
        <v>832</v>
      </c>
      <c r="AB40" s="61"/>
    </row>
    <row r="41" spans="1:28" ht="208" x14ac:dyDescent="0.2">
      <c r="A41" s="61"/>
      <c r="B41" s="124">
        <v>32</v>
      </c>
      <c r="C41" s="76" t="s">
        <v>205</v>
      </c>
      <c r="D41" s="173" t="s">
        <v>781</v>
      </c>
      <c r="E41" s="76" t="s">
        <v>702</v>
      </c>
      <c r="F41" s="61" t="s">
        <v>782</v>
      </c>
      <c r="G41" s="61" t="s">
        <v>898</v>
      </c>
      <c r="H41" s="61"/>
      <c r="I41" s="104" t="s">
        <v>784</v>
      </c>
      <c r="J41" s="104" t="s">
        <v>785</v>
      </c>
      <c r="K41" s="61"/>
      <c r="L41" s="61" t="s">
        <v>841</v>
      </c>
      <c r="M41" s="104" t="s">
        <v>899</v>
      </c>
      <c r="N41" s="104" t="str">
        <f t="shared" si="0"/>
        <v>[** NO ZONE **]
Check: inconsistent zones</v>
      </c>
      <c r="O41" s="104" t="str">
        <f t="shared" si="1"/>
        <v>[** NO ZONE **]
Check: inconsistent zones</v>
      </c>
      <c r="P41" s="76" t="s">
        <v>345</v>
      </c>
      <c r="Q41" s="61" t="s">
        <v>787</v>
      </c>
      <c r="R41" s="76" t="s">
        <v>400</v>
      </c>
      <c r="S41" s="76" t="s">
        <v>400</v>
      </c>
      <c r="T41" s="76" t="s">
        <v>293</v>
      </c>
      <c r="U41" s="61"/>
      <c r="V41" s="61"/>
      <c r="W41" s="61"/>
      <c r="X41" s="76" t="s">
        <v>302</v>
      </c>
      <c r="Y41" s="76" t="s">
        <v>400</v>
      </c>
      <c r="Z41" s="61"/>
      <c r="AA41" s="61" t="s">
        <v>900</v>
      </c>
      <c r="AB41" s="61"/>
    </row>
    <row r="42" spans="1:28" ht="32" x14ac:dyDescent="0.2">
      <c r="A42" s="61"/>
      <c r="B42" s="124">
        <v>33</v>
      </c>
      <c r="C42" s="76" t="s">
        <v>205</v>
      </c>
      <c r="D42" s="76" t="s">
        <v>789</v>
      </c>
      <c r="E42" s="76" t="s">
        <v>839</v>
      </c>
      <c r="F42" s="61" t="s">
        <v>790</v>
      </c>
      <c r="G42" s="61" t="s">
        <v>791</v>
      </c>
      <c r="H42" s="61" t="s">
        <v>790</v>
      </c>
      <c r="I42" s="170" t="s">
        <v>765</v>
      </c>
      <c r="J42" s="171" t="s">
        <v>766</v>
      </c>
      <c r="K42" s="61" t="s">
        <v>901</v>
      </c>
      <c r="L42" s="61" t="s">
        <v>857</v>
      </c>
      <c r="M42" s="104" t="s">
        <v>858</v>
      </c>
      <c r="N42" s="61" t="str">
        <f xml:space="preserve"> RetrieveZone( J42 )</f>
        <v>[** NO ZONE **]
Check: inconsistent zones</v>
      </c>
      <c r="O42" s="61" t="str">
        <f xml:space="preserve"> RetrieveZone( M42 )</f>
        <v>[** NO ZONE **]
Check: inconsistent zones</v>
      </c>
      <c r="P42" s="76" t="s">
        <v>326</v>
      </c>
      <c r="Q42" s="61"/>
      <c r="R42" s="76" t="s">
        <v>293</v>
      </c>
      <c r="S42" s="76" t="s">
        <v>310</v>
      </c>
      <c r="T42" s="76" t="s">
        <v>293</v>
      </c>
      <c r="U42" s="61"/>
      <c r="V42" s="61"/>
      <c r="W42" s="61"/>
      <c r="X42" s="76" t="s">
        <v>302</v>
      </c>
      <c r="Y42" s="76" t="s">
        <v>575</v>
      </c>
      <c r="Z42" s="61"/>
      <c r="AA42" s="61" t="s">
        <v>902</v>
      </c>
      <c r="AB42" s="61" t="s">
        <v>736</v>
      </c>
    </row>
    <row r="43" spans="1:28" ht="32" x14ac:dyDescent="0.2">
      <c r="A43" s="61"/>
      <c r="B43" s="124">
        <v>34</v>
      </c>
      <c r="C43" s="76" t="s">
        <v>205</v>
      </c>
      <c r="D43" s="76" t="s">
        <v>793</v>
      </c>
      <c r="E43" s="76" t="s">
        <v>839</v>
      </c>
      <c r="F43" s="61" t="s">
        <v>791</v>
      </c>
      <c r="G43" s="61" t="s">
        <v>790</v>
      </c>
      <c r="H43" s="61" t="s">
        <v>901</v>
      </c>
      <c r="I43" s="61" t="s">
        <v>857</v>
      </c>
      <c r="J43" s="104" t="s">
        <v>858</v>
      </c>
      <c r="K43" s="61" t="s">
        <v>790</v>
      </c>
      <c r="L43" s="170" t="s">
        <v>765</v>
      </c>
      <c r="M43" s="171" t="s">
        <v>766</v>
      </c>
      <c r="N43" s="61" t="str">
        <f xml:space="preserve"> RetrieveZone( J43 )</f>
        <v>[** NO ZONE **]
Check: inconsistent zones</v>
      </c>
      <c r="O43" s="61" t="str">
        <f xml:space="preserve"> RetrieveZone( M43 )</f>
        <v>[** NO ZONE **]
Check: inconsistent zones</v>
      </c>
      <c r="P43" s="76" t="s">
        <v>326</v>
      </c>
      <c r="Q43" s="61"/>
      <c r="R43" s="76" t="s">
        <v>293</v>
      </c>
      <c r="S43" s="76" t="s">
        <v>310</v>
      </c>
      <c r="T43" s="76" t="s">
        <v>293</v>
      </c>
      <c r="U43" s="61"/>
      <c r="V43" s="61"/>
      <c r="W43" s="61"/>
      <c r="X43" s="76" t="s">
        <v>302</v>
      </c>
      <c r="Y43" s="76" t="s">
        <v>575</v>
      </c>
      <c r="Z43" s="61"/>
      <c r="AA43" s="61" t="s">
        <v>902</v>
      </c>
      <c r="AB43" s="61" t="s">
        <v>736</v>
      </c>
    </row>
    <row r="44" spans="1:28" ht="32" x14ac:dyDescent="0.2">
      <c r="A44" s="61"/>
      <c r="B44" s="124">
        <v>35</v>
      </c>
      <c r="C44" s="76" t="s">
        <v>205</v>
      </c>
      <c r="D44" s="76" t="s">
        <v>794</v>
      </c>
      <c r="E44" s="76" t="s">
        <v>839</v>
      </c>
      <c r="F44" s="61" t="s">
        <v>790</v>
      </c>
      <c r="G44" s="61" t="s">
        <v>791</v>
      </c>
      <c r="H44" s="61" t="s">
        <v>790</v>
      </c>
      <c r="I44" s="170" t="s">
        <v>765</v>
      </c>
      <c r="J44" s="171" t="s">
        <v>766</v>
      </c>
      <c r="K44" s="61" t="s">
        <v>901</v>
      </c>
      <c r="L44" s="61" t="s">
        <v>857</v>
      </c>
      <c r="M44" s="104" t="s">
        <v>858</v>
      </c>
      <c r="N44" s="61" t="str">
        <f xml:space="preserve"> RetrieveZone( J44 )</f>
        <v>[** NO ZONE **]
Check: inconsistent zones</v>
      </c>
      <c r="O44" s="61" t="str">
        <f xml:space="preserve"> RetrieveZone( M44 )</f>
        <v>[** NO ZONE **]
Check: inconsistent zones</v>
      </c>
      <c r="P44" s="76" t="s">
        <v>778</v>
      </c>
      <c r="Q44" s="61">
        <v>1526</v>
      </c>
      <c r="R44" s="76" t="s">
        <v>293</v>
      </c>
      <c r="S44" s="76" t="s">
        <v>391</v>
      </c>
      <c r="T44" s="76" t="s">
        <v>293</v>
      </c>
      <c r="U44" s="61"/>
      <c r="V44" s="61"/>
      <c r="W44" s="61"/>
      <c r="X44" s="76" t="s">
        <v>302</v>
      </c>
      <c r="Y44" s="76" t="s">
        <v>575</v>
      </c>
      <c r="Z44" s="61"/>
      <c r="AA44" s="61" t="s">
        <v>902</v>
      </c>
      <c r="AB44" s="61" t="s">
        <v>736</v>
      </c>
    </row>
    <row r="45" spans="1:28" ht="32" x14ac:dyDescent="0.2">
      <c r="A45" s="61"/>
      <c r="B45" s="124">
        <v>36</v>
      </c>
      <c r="C45" s="76" t="s">
        <v>205</v>
      </c>
      <c r="D45" s="76" t="s">
        <v>903</v>
      </c>
      <c r="E45" s="76" t="s">
        <v>826</v>
      </c>
      <c r="F45" s="61" t="s">
        <v>904</v>
      </c>
      <c r="G45" s="61" t="s">
        <v>905</v>
      </c>
      <c r="H45" s="61" t="s">
        <v>877</v>
      </c>
      <c r="I45" s="61" t="s">
        <v>841</v>
      </c>
      <c r="J45" s="104" t="s">
        <v>906</v>
      </c>
      <c r="K45" s="61" t="s">
        <v>907</v>
      </c>
      <c r="L45" s="61" t="s">
        <v>863</v>
      </c>
      <c r="M45" s="177" t="s">
        <v>864</v>
      </c>
      <c r="N45" s="104" t="s">
        <v>908</v>
      </c>
      <c r="O45" s="104" t="str">
        <f t="shared" ref="O45:O73" si="6" xml:space="preserve"> RetrieveZone( M45 )</f>
        <v xml:space="preserve">PRIVCLOUD OTAP BO SEC-ZONE
</v>
      </c>
      <c r="P45" s="76" t="s">
        <v>334</v>
      </c>
      <c r="Q45" s="197" t="s">
        <v>909</v>
      </c>
      <c r="R45" s="76" t="s">
        <v>293</v>
      </c>
      <c r="S45" s="76" t="s">
        <v>803</v>
      </c>
      <c r="T45" s="76" t="s">
        <v>293</v>
      </c>
      <c r="U45" s="61"/>
      <c r="V45" s="61"/>
      <c r="W45" s="61"/>
      <c r="X45" s="76" t="s">
        <v>302</v>
      </c>
      <c r="Y45" s="76" t="s">
        <v>400</v>
      </c>
      <c r="Z45" s="61"/>
      <c r="AA45" s="61" t="s">
        <v>804</v>
      </c>
      <c r="AB45" s="61"/>
    </row>
    <row r="46" spans="1:28" ht="16" x14ac:dyDescent="0.2">
      <c r="A46" s="61"/>
      <c r="B46" s="124">
        <v>37</v>
      </c>
      <c r="C46" s="76" t="s">
        <v>400</v>
      </c>
      <c r="D46" s="76"/>
      <c r="E46" s="76" t="s">
        <v>400</v>
      </c>
      <c r="F46" s="61"/>
      <c r="G46" s="61"/>
      <c r="H46" s="61"/>
      <c r="I46" s="61"/>
      <c r="J46" s="61"/>
      <c r="K46" s="61"/>
      <c r="L46" s="61"/>
      <c r="M46" s="61"/>
      <c r="N46" s="104" t="str">
        <f t="shared" ref="N46:N73" si="7" xml:space="preserve"> RetrieveZone( J46 )</f>
        <v>[** NO ZONE **]</v>
      </c>
      <c r="O46" s="104" t="str">
        <f t="shared" si="6"/>
        <v>[** NO ZONE **]</v>
      </c>
      <c r="P46" s="76" t="s">
        <v>400</v>
      </c>
      <c r="Q46" s="61"/>
      <c r="R46" s="76" t="s">
        <v>400</v>
      </c>
      <c r="S46" s="76" t="s">
        <v>400</v>
      </c>
      <c r="T46" s="76" t="s">
        <v>293</v>
      </c>
      <c r="U46" s="61"/>
      <c r="V46" s="61"/>
      <c r="W46" s="61"/>
      <c r="X46" s="76" t="s">
        <v>302</v>
      </c>
      <c r="Y46" s="76" t="s">
        <v>400</v>
      </c>
      <c r="Z46" s="61"/>
      <c r="AA46" s="61"/>
      <c r="AB46" s="61"/>
    </row>
    <row r="47" spans="1:28" ht="48" x14ac:dyDescent="0.2">
      <c r="A47" s="61"/>
      <c r="B47" s="124">
        <v>38</v>
      </c>
      <c r="C47" s="76" t="s">
        <v>205</v>
      </c>
      <c r="D47" s="76" t="s">
        <v>910</v>
      </c>
      <c r="E47" s="76" t="s">
        <v>702</v>
      </c>
      <c r="F47" s="61" t="s">
        <v>813</v>
      </c>
      <c r="G47" s="61" t="s">
        <v>911</v>
      </c>
      <c r="H47" s="61" t="s">
        <v>813</v>
      </c>
      <c r="I47" s="61" t="s">
        <v>814</v>
      </c>
      <c r="J47" s="104" t="s">
        <v>815</v>
      </c>
      <c r="K47" s="61" t="s">
        <v>911</v>
      </c>
      <c r="L47" s="61" t="s">
        <v>841</v>
      </c>
      <c r="M47" s="104" t="s">
        <v>842</v>
      </c>
      <c r="N47" s="104" t="str">
        <f t="shared" si="7"/>
        <v xml:space="preserve">IBM Productie Secure Zone
IBM Productie Secure Zone
</v>
      </c>
      <c r="O47" s="104" t="str">
        <f t="shared" si="6"/>
        <v>[** NO ZONE **]
Check: inconsistent zones</v>
      </c>
      <c r="P47" s="76" t="s">
        <v>778</v>
      </c>
      <c r="Q47" s="61">
        <v>1526</v>
      </c>
      <c r="R47" s="76" t="s">
        <v>400</v>
      </c>
      <c r="S47" s="76" t="s">
        <v>400</v>
      </c>
      <c r="T47" s="76" t="s">
        <v>293</v>
      </c>
      <c r="U47" s="61"/>
      <c r="V47" s="61"/>
      <c r="W47" s="61"/>
      <c r="X47" s="76" t="s">
        <v>302</v>
      </c>
      <c r="Y47" s="76" t="s">
        <v>575</v>
      </c>
      <c r="Z47" s="61"/>
      <c r="AA47" s="61" t="s">
        <v>816</v>
      </c>
      <c r="AB47" s="61" t="s">
        <v>817</v>
      </c>
    </row>
    <row r="48" spans="1:28" ht="32" x14ac:dyDescent="0.2">
      <c r="A48" s="61"/>
      <c r="B48" s="54">
        <v>39</v>
      </c>
      <c r="C48" s="76" t="s">
        <v>205</v>
      </c>
      <c r="D48" s="76" t="s">
        <v>3253</v>
      </c>
      <c r="E48" s="76" t="s">
        <v>702</v>
      </c>
      <c r="F48" s="61" t="s">
        <v>3255</v>
      </c>
      <c r="G48" s="61" t="s">
        <v>791</v>
      </c>
      <c r="H48" s="61" t="s">
        <v>3255</v>
      </c>
      <c r="I48" s="61" t="s">
        <v>3202</v>
      </c>
      <c r="J48" s="177" t="s">
        <v>3203</v>
      </c>
      <c r="K48" s="61" t="s">
        <v>901</v>
      </c>
      <c r="L48" s="61" t="s">
        <v>857</v>
      </c>
      <c r="M48" s="104" t="s">
        <v>858</v>
      </c>
      <c r="N48" s="104" t="str">
        <f xml:space="preserve"> RetrieveZone( J48 )</f>
        <v xml:space="preserve">PRIVCLOUD OTAP BO SEC-ZONE
</v>
      </c>
      <c r="O48" s="104" t="str">
        <f t="shared" si="6"/>
        <v>[** NO ZONE **]
Check: inconsistent zones</v>
      </c>
      <c r="P48" s="76" t="s">
        <v>326</v>
      </c>
      <c r="Q48" s="61"/>
      <c r="R48" s="76" t="s">
        <v>400</v>
      </c>
      <c r="S48" s="76" t="s">
        <v>400</v>
      </c>
      <c r="T48" s="76" t="s">
        <v>293</v>
      </c>
      <c r="U48" s="61"/>
      <c r="V48" s="61"/>
      <c r="W48" s="61"/>
      <c r="X48" s="76" t="s">
        <v>302</v>
      </c>
      <c r="Y48" s="76" t="s">
        <v>400</v>
      </c>
      <c r="Z48" s="61"/>
      <c r="AA48" s="61"/>
      <c r="AB48" s="61"/>
    </row>
    <row r="49" spans="1:28" ht="48" x14ac:dyDescent="0.2">
      <c r="A49" s="61"/>
      <c r="B49" s="54">
        <v>40</v>
      </c>
      <c r="C49" s="76" t="s">
        <v>205</v>
      </c>
      <c r="D49" s="76" t="s">
        <v>3276</v>
      </c>
      <c r="E49" s="76" t="s">
        <v>1148</v>
      </c>
      <c r="F49" s="61" t="s">
        <v>3277</v>
      </c>
      <c r="G49" s="61" t="s">
        <v>791</v>
      </c>
      <c r="H49" s="61" t="s">
        <v>614</v>
      </c>
      <c r="I49" s="61" t="s">
        <v>3269</v>
      </c>
      <c r="J49" s="104" t="s">
        <v>3270</v>
      </c>
      <c r="K49" s="61" t="s">
        <v>791</v>
      </c>
      <c r="L49" s="61" t="s">
        <v>841</v>
      </c>
      <c r="M49" s="104" t="s">
        <v>842</v>
      </c>
      <c r="N49" s="104" t="str">
        <f t="shared" ref="N49" si="8" xml:space="preserve"> RetrieveZone( J49 )</f>
        <v xml:space="preserve">PRIVCLOUD OTAP BO SEC-ZONE
PRIVCLOUD OTAP BO SEC-ZONE
</v>
      </c>
      <c r="O49" s="104" t="str">
        <f t="shared" si="6"/>
        <v>[** NO ZONE **]
Check: inconsistent zones</v>
      </c>
      <c r="P49" s="76" t="s">
        <v>778</v>
      </c>
      <c r="Q49" s="61">
        <v>1526</v>
      </c>
      <c r="R49" s="76" t="s">
        <v>400</v>
      </c>
      <c r="S49" s="76" t="s">
        <v>400</v>
      </c>
      <c r="T49" s="76" t="s">
        <v>293</v>
      </c>
      <c r="U49" s="61"/>
      <c r="V49" s="61"/>
      <c r="W49" s="61"/>
      <c r="X49" s="76" t="s">
        <v>302</v>
      </c>
      <c r="Y49" s="76" t="s">
        <v>400</v>
      </c>
      <c r="Z49" s="61"/>
      <c r="AA49" s="61" t="s">
        <v>3281</v>
      </c>
      <c r="AB49" s="61"/>
    </row>
    <row r="50" spans="1:28" ht="16" x14ac:dyDescent="0.2">
      <c r="A50" s="61"/>
      <c r="B50" s="124">
        <v>41</v>
      </c>
      <c r="C50" s="76" t="s">
        <v>400</v>
      </c>
      <c r="D50" s="76"/>
      <c r="E50" s="76" t="s">
        <v>400</v>
      </c>
      <c r="F50" s="61"/>
      <c r="G50" s="61"/>
      <c r="H50" s="61"/>
      <c r="I50" s="61"/>
      <c r="J50" s="61"/>
      <c r="K50" s="61"/>
      <c r="L50" s="61"/>
      <c r="M50" s="61"/>
      <c r="N50" s="104" t="str">
        <f t="shared" si="7"/>
        <v>[** NO ZONE **]</v>
      </c>
      <c r="O50" s="104" t="str">
        <f t="shared" si="6"/>
        <v>[** NO ZONE **]</v>
      </c>
      <c r="P50" s="76" t="s">
        <v>400</v>
      </c>
      <c r="Q50" s="61"/>
      <c r="R50" s="76" t="s">
        <v>400</v>
      </c>
      <c r="S50" s="76" t="s">
        <v>400</v>
      </c>
      <c r="T50" s="76" t="s">
        <v>293</v>
      </c>
      <c r="U50" s="61"/>
      <c r="V50" s="61"/>
      <c r="W50" s="61"/>
      <c r="X50" s="76" t="s">
        <v>302</v>
      </c>
      <c r="Y50" s="76" t="s">
        <v>400</v>
      </c>
      <c r="Z50" s="61"/>
      <c r="AA50" s="61"/>
      <c r="AB50" s="61"/>
    </row>
    <row r="51" spans="1:28" ht="16" x14ac:dyDescent="0.2">
      <c r="A51" s="61"/>
      <c r="B51" s="124">
        <v>42</v>
      </c>
      <c r="C51" s="76" t="s">
        <v>400</v>
      </c>
      <c r="D51" s="76"/>
      <c r="E51" s="76" t="s">
        <v>400</v>
      </c>
      <c r="F51" s="61"/>
      <c r="G51" s="61"/>
      <c r="H51" s="61"/>
      <c r="I51" s="61"/>
      <c r="J51" s="61"/>
      <c r="K51" s="61"/>
      <c r="L51" s="61"/>
      <c r="M51" s="61"/>
      <c r="N51" s="104" t="str">
        <f t="shared" si="7"/>
        <v>[** NO ZONE **]</v>
      </c>
      <c r="O51" s="104" t="str">
        <f t="shared" si="6"/>
        <v>[** NO ZONE **]</v>
      </c>
      <c r="P51" s="76" t="s">
        <v>400</v>
      </c>
      <c r="Q51" s="61"/>
      <c r="R51" s="76" t="s">
        <v>400</v>
      </c>
      <c r="S51" s="76" t="s">
        <v>400</v>
      </c>
      <c r="T51" s="76" t="s">
        <v>293</v>
      </c>
      <c r="U51" s="61"/>
      <c r="V51" s="61"/>
      <c r="W51" s="61"/>
      <c r="X51" s="76" t="s">
        <v>302</v>
      </c>
      <c r="Y51" s="76" t="s">
        <v>400</v>
      </c>
      <c r="Z51" s="61"/>
      <c r="AA51" s="61"/>
      <c r="AB51" s="61"/>
    </row>
    <row r="52" spans="1:28" ht="16" x14ac:dyDescent="0.2">
      <c r="A52" s="61"/>
      <c r="B52" s="124">
        <v>43</v>
      </c>
      <c r="C52" s="76" t="s">
        <v>400</v>
      </c>
      <c r="D52" s="76"/>
      <c r="E52" s="76" t="s">
        <v>400</v>
      </c>
      <c r="F52" s="61"/>
      <c r="G52" s="61"/>
      <c r="H52" s="61"/>
      <c r="I52" s="61"/>
      <c r="J52" s="61"/>
      <c r="K52" s="61"/>
      <c r="L52" s="61"/>
      <c r="M52" s="61"/>
      <c r="N52" s="104" t="str">
        <f t="shared" si="7"/>
        <v>[** NO ZONE **]</v>
      </c>
      <c r="O52" s="104" t="str">
        <f t="shared" si="6"/>
        <v>[** NO ZONE **]</v>
      </c>
      <c r="P52" s="76" t="s">
        <v>400</v>
      </c>
      <c r="Q52" s="61"/>
      <c r="R52" s="76" t="s">
        <v>400</v>
      </c>
      <c r="S52" s="76" t="s">
        <v>400</v>
      </c>
      <c r="T52" s="76" t="s">
        <v>293</v>
      </c>
      <c r="U52" s="61"/>
      <c r="V52" s="61"/>
      <c r="W52" s="61"/>
      <c r="X52" s="76" t="s">
        <v>302</v>
      </c>
      <c r="Y52" s="76" t="s">
        <v>400</v>
      </c>
      <c r="Z52" s="61"/>
      <c r="AA52" s="61"/>
      <c r="AB52" s="61"/>
    </row>
    <row r="53" spans="1:28" ht="16" x14ac:dyDescent="0.2">
      <c r="A53" s="61"/>
      <c r="B53" s="124">
        <v>44</v>
      </c>
      <c r="C53" s="76" t="s">
        <v>400</v>
      </c>
      <c r="D53" s="76"/>
      <c r="E53" s="76" t="s">
        <v>400</v>
      </c>
      <c r="F53" s="61"/>
      <c r="G53" s="61"/>
      <c r="H53" s="61"/>
      <c r="I53" s="61"/>
      <c r="J53" s="61"/>
      <c r="K53" s="61"/>
      <c r="L53" s="61"/>
      <c r="M53" s="61"/>
      <c r="N53" s="104" t="str">
        <f t="shared" si="7"/>
        <v>[** NO ZONE **]</v>
      </c>
      <c r="O53" s="104" t="str">
        <f t="shared" si="6"/>
        <v>[** NO ZONE **]</v>
      </c>
      <c r="P53" s="76" t="s">
        <v>400</v>
      </c>
      <c r="Q53" s="61"/>
      <c r="R53" s="76" t="s">
        <v>400</v>
      </c>
      <c r="S53" s="76" t="s">
        <v>400</v>
      </c>
      <c r="T53" s="76" t="s">
        <v>293</v>
      </c>
      <c r="U53" s="61"/>
      <c r="V53" s="61"/>
      <c r="W53" s="61"/>
      <c r="X53" s="76" t="s">
        <v>302</v>
      </c>
      <c r="Y53" s="76" t="s">
        <v>400</v>
      </c>
      <c r="Z53" s="61"/>
      <c r="AA53" s="61"/>
      <c r="AB53" s="61"/>
    </row>
    <row r="54" spans="1:28" ht="16" x14ac:dyDescent="0.2">
      <c r="A54" s="61"/>
      <c r="B54" s="124">
        <v>45</v>
      </c>
      <c r="C54" s="76" t="s">
        <v>400</v>
      </c>
      <c r="D54" s="76"/>
      <c r="E54" s="76" t="s">
        <v>400</v>
      </c>
      <c r="F54" s="61"/>
      <c r="G54" s="61"/>
      <c r="H54" s="61"/>
      <c r="I54" s="61"/>
      <c r="J54" s="61"/>
      <c r="K54" s="61"/>
      <c r="L54" s="61"/>
      <c r="M54" s="61"/>
      <c r="N54" s="104" t="str">
        <f t="shared" si="7"/>
        <v>[** NO ZONE **]</v>
      </c>
      <c r="O54" s="104" t="str">
        <f t="shared" si="6"/>
        <v>[** NO ZONE **]</v>
      </c>
      <c r="P54" s="76" t="s">
        <v>400</v>
      </c>
      <c r="Q54" s="61"/>
      <c r="R54" s="76" t="s">
        <v>400</v>
      </c>
      <c r="S54" s="76" t="s">
        <v>400</v>
      </c>
      <c r="T54" s="76" t="s">
        <v>293</v>
      </c>
      <c r="U54" s="61"/>
      <c r="V54" s="61"/>
      <c r="W54" s="61"/>
      <c r="X54" s="76" t="s">
        <v>302</v>
      </c>
      <c r="Y54" s="76" t="s">
        <v>400</v>
      </c>
      <c r="Z54" s="61"/>
      <c r="AA54" s="61"/>
      <c r="AB54" s="61"/>
    </row>
    <row r="55" spans="1:28" ht="16" x14ac:dyDescent="0.2">
      <c r="A55" s="61"/>
      <c r="B55" s="124">
        <v>46</v>
      </c>
      <c r="C55" s="76" t="s">
        <v>400</v>
      </c>
      <c r="D55" s="76"/>
      <c r="E55" s="76" t="s">
        <v>400</v>
      </c>
      <c r="F55" s="61"/>
      <c r="G55" s="61"/>
      <c r="H55" s="61"/>
      <c r="I55" s="61"/>
      <c r="J55" s="61"/>
      <c r="K55" s="61"/>
      <c r="L55" s="61"/>
      <c r="M55" s="61"/>
      <c r="N55" s="104" t="str">
        <f t="shared" si="7"/>
        <v>[** NO ZONE **]</v>
      </c>
      <c r="O55" s="104" t="str">
        <f t="shared" si="6"/>
        <v>[** NO ZONE **]</v>
      </c>
      <c r="P55" s="76" t="s">
        <v>400</v>
      </c>
      <c r="Q55" s="61"/>
      <c r="R55" s="76" t="s">
        <v>400</v>
      </c>
      <c r="S55" s="76" t="s">
        <v>400</v>
      </c>
      <c r="T55" s="76" t="s">
        <v>293</v>
      </c>
      <c r="U55" s="61"/>
      <c r="V55" s="61"/>
      <c r="W55" s="61"/>
      <c r="X55" s="76" t="s">
        <v>302</v>
      </c>
      <c r="Y55" s="76" t="s">
        <v>400</v>
      </c>
      <c r="Z55" s="61"/>
      <c r="AA55" s="61"/>
      <c r="AB55" s="61"/>
    </row>
    <row r="56" spans="1:28" ht="16" x14ac:dyDescent="0.2">
      <c r="A56" s="61"/>
      <c r="B56" s="124">
        <v>47</v>
      </c>
      <c r="C56" s="76" t="s">
        <v>400</v>
      </c>
      <c r="D56" s="76"/>
      <c r="E56" s="76" t="s">
        <v>400</v>
      </c>
      <c r="F56" s="61"/>
      <c r="G56" s="61"/>
      <c r="H56" s="61"/>
      <c r="I56" s="61"/>
      <c r="J56" s="61"/>
      <c r="K56" s="61"/>
      <c r="L56" s="61"/>
      <c r="M56" s="61"/>
      <c r="N56" s="104" t="str">
        <f t="shared" si="7"/>
        <v>[** NO ZONE **]</v>
      </c>
      <c r="O56" s="104" t="str">
        <f t="shared" si="6"/>
        <v>[** NO ZONE **]</v>
      </c>
      <c r="P56" s="76" t="s">
        <v>400</v>
      </c>
      <c r="Q56" s="61"/>
      <c r="R56" s="76" t="s">
        <v>400</v>
      </c>
      <c r="S56" s="76" t="s">
        <v>400</v>
      </c>
      <c r="T56" s="76" t="s">
        <v>293</v>
      </c>
      <c r="U56" s="61"/>
      <c r="V56" s="61"/>
      <c r="W56" s="61"/>
      <c r="X56" s="76" t="s">
        <v>302</v>
      </c>
      <c r="Y56" s="76" t="s">
        <v>400</v>
      </c>
      <c r="Z56" s="61"/>
      <c r="AA56" s="61"/>
      <c r="AB56" s="61"/>
    </row>
    <row r="57" spans="1:28" ht="16" x14ac:dyDescent="0.2">
      <c r="A57" s="61"/>
      <c r="B57" s="124">
        <v>48</v>
      </c>
      <c r="C57" s="76" t="s">
        <v>400</v>
      </c>
      <c r="D57" s="76"/>
      <c r="E57" s="76" t="s">
        <v>400</v>
      </c>
      <c r="F57" s="61"/>
      <c r="G57" s="61"/>
      <c r="H57" s="61"/>
      <c r="I57" s="61"/>
      <c r="J57" s="61"/>
      <c r="K57" s="61"/>
      <c r="L57" s="61"/>
      <c r="M57" s="61"/>
      <c r="N57" s="104" t="str">
        <f t="shared" si="7"/>
        <v>[** NO ZONE **]</v>
      </c>
      <c r="O57" s="104" t="str">
        <f t="shared" si="6"/>
        <v>[** NO ZONE **]</v>
      </c>
      <c r="P57" s="76" t="s">
        <v>400</v>
      </c>
      <c r="Q57" s="61"/>
      <c r="R57" s="76" t="s">
        <v>400</v>
      </c>
      <c r="S57" s="76" t="s">
        <v>400</v>
      </c>
      <c r="T57" s="76" t="s">
        <v>293</v>
      </c>
      <c r="U57" s="61"/>
      <c r="V57" s="61"/>
      <c r="W57" s="61"/>
      <c r="X57" s="76" t="s">
        <v>302</v>
      </c>
      <c r="Y57" s="76" t="s">
        <v>400</v>
      </c>
      <c r="Z57" s="61"/>
      <c r="AA57" s="61"/>
      <c r="AB57" s="61"/>
    </row>
    <row r="58" spans="1:28" ht="16" x14ac:dyDescent="0.2">
      <c r="A58" s="61"/>
      <c r="B58" s="124">
        <v>49</v>
      </c>
      <c r="C58" s="76" t="s">
        <v>400</v>
      </c>
      <c r="D58" s="76"/>
      <c r="E58" s="76" t="s">
        <v>400</v>
      </c>
      <c r="F58" s="61"/>
      <c r="G58" s="61"/>
      <c r="H58" s="61"/>
      <c r="I58" s="61"/>
      <c r="J58" s="61"/>
      <c r="K58" s="61"/>
      <c r="L58" s="61"/>
      <c r="M58" s="61"/>
      <c r="N58" s="104" t="str">
        <f t="shared" si="7"/>
        <v>[** NO ZONE **]</v>
      </c>
      <c r="O58" s="104" t="str">
        <f t="shared" si="6"/>
        <v>[** NO ZONE **]</v>
      </c>
      <c r="P58" s="76" t="s">
        <v>400</v>
      </c>
      <c r="Q58" s="61"/>
      <c r="R58" s="76" t="s">
        <v>400</v>
      </c>
      <c r="S58" s="76" t="s">
        <v>400</v>
      </c>
      <c r="T58" s="76" t="s">
        <v>293</v>
      </c>
      <c r="U58" s="61"/>
      <c r="V58" s="61"/>
      <c r="W58" s="61"/>
      <c r="X58" s="76" t="s">
        <v>302</v>
      </c>
      <c r="Y58" s="76" t="s">
        <v>400</v>
      </c>
      <c r="Z58" s="61"/>
      <c r="AA58" s="61"/>
      <c r="AB58" s="61"/>
    </row>
    <row r="59" spans="1:28" ht="16" x14ac:dyDescent="0.2">
      <c r="A59" s="61"/>
      <c r="B59" s="124">
        <v>50</v>
      </c>
      <c r="C59" s="76" t="s">
        <v>400</v>
      </c>
      <c r="D59" s="76"/>
      <c r="E59" s="76" t="s">
        <v>400</v>
      </c>
      <c r="F59" s="61"/>
      <c r="G59" s="61"/>
      <c r="H59" s="61"/>
      <c r="I59" s="61"/>
      <c r="J59" s="61"/>
      <c r="K59" s="61"/>
      <c r="L59" s="61"/>
      <c r="M59" s="61"/>
      <c r="N59" s="104" t="str">
        <f t="shared" si="7"/>
        <v>[** NO ZONE **]</v>
      </c>
      <c r="O59" s="104" t="str">
        <f t="shared" si="6"/>
        <v>[** NO ZONE **]</v>
      </c>
      <c r="P59" s="76" t="s">
        <v>400</v>
      </c>
      <c r="Q59" s="61"/>
      <c r="R59" s="76" t="s">
        <v>400</v>
      </c>
      <c r="S59" s="76" t="s">
        <v>400</v>
      </c>
      <c r="T59" s="76" t="s">
        <v>293</v>
      </c>
      <c r="U59" s="61"/>
      <c r="V59" s="61"/>
      <c r="W59" s="61"/>
      <c r="X59" s="76" t="s">
        <v>302</v>
      </c>
      <c r="Y59" s="76" t="s">
        <v>400</v>
      </c>
      <c r="Z59" s="61"/>
      <c r="AA59" s="61"/>
      <c r="AB59" s="61"/>
    </row>
    <row r="60" spans="1:28" ht="16" x14ac:dyDescent="0.2">
      <c r="A60" s="61"/>
      <c r="B60" s="124">
        <v>51</v>
      </c>
      <c r="C60" s="76" t="s">
        <v>400</v>
      </c>
      <c r="D60" s="76"/>
      <c r="E60" s="76" t="s">
        <v>400</v>
      </c>
      <c r="F60" s="61"/>
      <c r="G60" s="61"/>
      <c r="H60" s="61"/>
      <c r="I60" s="61"/>
      <c r="J60" s="61"/>
      <c r="K60" s="61"/>
      <c r="L60" s="61"/>
      <c r="M60" s="61"/>
      <c r="N60" s="104" t="str">
        <f t="shared" si="7"/>
        <v>[** NO ZONE **]</v>
      </c>
      <c r="O60" s="104" t="str">
        <f t="shared" si="6"/>
        <v>[** NO ZONE **]</v>
      </c>
      <c r="P60" s="76" t="s">
        <v>400</v>
      </c>
      <c r="Q60" s="61"/>
      <c r="R60" s="76" t="s">
        <v>400</v>
      </c>
      <c r="S60" s="76" t="s">
        <v>400</v>
      </c>
      <c r="T60" s="76" t="s">
        <v>293</v>
      </c>
      <c r="U60" s="61"/>
      <c r="V60" s="61"/>
      <c r="W60" s="61"/>
      <c r="X60" s="76" t="s">
        <v>302</v>
      </c>
      <c r="Y60" s="76" t="s">
        <v>400</v>
      </c>
      <c r="Z60" s="61"/>
      <c r="AA60" s="61"/>
      <c r="AB60" s="61"/>
    </row>
    <row r="61" spans="1:28" ht="16" x14ac:dyDescent="0.2">
      <c r="A61" s="61"/>
      <c r="B61" s="124">
        <v>52</v>
      </c>
      <c r="C61" s="76" t="s">
        <v>400</v>
      </c>
      <c r="D61" s="76"/>
      <c r="E61" s="76" t="s">
        <v>400</v>
      </c>
      <c r="F61" s="61"/>
      <c r="G61" s="61"/>
      <c r="H61" s="61"/>
      <c r="I61" s="61"/>
      <c r="J61" s="61"/>
      <c r="K61" s="61"/>
      <c r="L61" s="61"/>
      <c r="M61" s="61"/>
      <c r="N61" s="104" t="str">
        <f t="shared" si="7"/>
        <v>[** NO ZONE **]</v>
      </c>
      <c r="O61" s="104" t="str">
        <f t="shared" si="6"/>
        <v>[** NO ZONE **]</v>
      </c>
      <c r="P61" s="76" t="s">
        <v>400</v>
      </c>
      <c r="Q61" s="61"/>
      <c r="R61" s="76" t="s">
        <v>400</v>
      </c>
      <c r="S61" s="76" t="s">
        <v>400</v>
      </c>
      <c r="T61" s="76" t="s">
        <v>293</v>
      </c>
      <c r="U61" s="61"/>
      <c r="V61" s="61"/>
      <c r="W61" s="61"/>
      <c r="X61" s="76" t="s">
        <v>302</v>
      </c>
      <c r="Y61" s="76" t="s">
        <v>400</v>
      </c>
      <c r="Z61" s="61"/>
      <c r="AA61" s="61"/>
      <c r="AB61" s="61"/>
    </row>
    <row r="62" spans="1:28" ht="16" x14ac:dyDescent="0.2">
      <c r="A62" s="61"/>
      <c r="B62" s="124">
        <v>53</v>
      </c>
      <c r="C62" s="76" t="s">
        <v>400</v>
      </c>
      <c r="D62" s="76"/>
      <c r="E62" s="76" t="s">
        <v>400</v>
      </c>
      <c r="F62" s="61"/>
      <c r="G62" s="61"/>
      <c r="H62" s="61"/>
      <c r="I62" s="61"/>
      <c r="J62" s="61"/>
      <c r="K62" s="61"/>
      <c r="L62" s="61"/>
      <c r="M62" s="61"/>
      <c r="N62" s="104" t="str">
        <f t="shared" si="7"/>
        <v>[** NO ZONE **]</v>
      </c>
      <c r="O62" s="104" t="str">
        <f t="shared" si="6"/>
        <v>[** NO ZONE **]</v>
      </c>
      <c r="P62" s="76" t="s">
        <v>400</v>
      </c>
      <c r="Q62" s="61"/>
      <c r="R62" s="76" t="s">
        <v>400</v>
      </c>
      <c r="S62" s="76" t="s">
        <v>400</v>
      </c>
      <c r="T62" s="76" t="s">
        <v>293</v>
      </c>
      <c r="U62" s="61"/>
      <c r="V62" s="61"/>
      <c r="W62" s="61"/>
      <c r="X62" s="76" t="s">
        <v>302</v>
      </c>
      <c r="Y62" s="76" t="s">
        <v>400</v>
      </c>
      <c r="Z62" s="61"/>
      <c r="AA62" s="61"/>
      <c r="AB62" s="61"/>
    </row>
    <row r="63" spans="1:28" ht="16" x14ac:dyDescent="0.2">
      <c r="A63" s="61"/>
      <c r="B63" s="124">
        <v>54</v>
      </c>
      <c r="C63" s="76" t="s">
        <v>400</v>
      </c>
      <c r="D63" s="76"/>
      <c r="E63" s="76" t="s">
        <v>400</v>
      </c>
      <c r="F63" s="61"/>
      <c r="G63" s="61"/>
      <c r="H63" s="61"/>
      <c r="I63" s="61"/>
      <c r="J63" s="61"/>
      <c r="K63" s="61"/>
      <c r="L63" s="61"/>
      <c r="M63" s="61"/>
      <c r="N63" s="104" t="str">
        <f t="shared" si="7"/>
        <v>[** NO ZONE **]</v>
      </c>
      <c r="O63" s="104" t="str">
        <f t="shared" si="6"/>
        <v>[** NO ZONE **]</v>
      </c>
      <c r="P63" s="76" t="s">
        <v>400</v>
      </c>
      <c r="Q63" s="61"/>
      <c r="R63" s="76" t="s">
        <v>400</v>
      </c>
      <c r="S63" s="76" t="s">
        <v>400</v>
      </c>
      <c r="T63" s="76" t="s">
        <v>293</v>
      </c>
      <c r="U63" s="61"/>
      <c r="V63" s="61"/>
      <c r="W63" s="61"/>
      <c r="X63" s="76" t="s">
        <v>302</v>
      </c>
      <c r="Y63" s="76" t="s">
        <v>400</v>
      </c>
      <c r="Z63" s="61"/>
      <c r="AA63" s="61"/>
      <c r="AB63" s="61"/>
    </row>
    <row r="64" spans="1:28" ht="16" x14ac:dyDescent="0.2">
      <c r="A64" s="61"/>
      <c r="B64" s="124">
        <v>55</v>
      </c>
      <c r="C64" s="76" t="s">
        <v>400</v>
      </c>
      <c r="D64" s="76"/>
      <c r="E64" s="76" t="s">
        <v>400</v>
      </c>
      <c r="F64" s="61"/>
      <c r="G64" s="61"/>
      <c r="H64" s="61"/>
      <c r="I64" s="61"/>
      <c r="J64" s="61"/>
      <c r="K64" s="61"/>
      <c r="L64" s="61"/>
      <c r="M64" s="61"/>
      <c r="N64" s="104" t="str">
        <f t="shared" si="7"/>
        <v>[** NO ZONE **]</v>
      </c>
      <c r="O64" s="104" t="str">
        <f t="shared" si="6"/>
        <v>[** NO ZONE **]</v>
      </c>
      <c r="P64" s="76" t="s">
        <v>400</v>
      </c>
      <c r="Q64" s="61"/>
      <c r="R64" s="76" t="s">
        <v>400</v>
      </c>
      <c r="S64" s="76" t="s">
        <v>400</v>
      </c>
      <c r="T64" s="76" t="s">
        <v>293</v>
      </c>
      <c r="U64" s="61"/>
      <c r="V64" s="61"/>
      <c r="W64" s="61"/>
      <c r="X64" s="76" t="s">
        <v>302</v>
      </c>
      <c r="Y64" s="76" t="s">
        <v>400</v>
      </c>
      <c r="Z64" s="61"/>
      <c r="AA64" s="61"/>
      <c r="AB64" s="61"/>
    </row>
    <row r="65" spans="1:28" ht="16" x14ac:dyDescent="0.2">
      <c r="A65" s="61"/>
      <c r="B65" s="124">
        <v>56</v>
      </c>
      <c r="C65" s="76" t="s">
        <v>400</v>
      </c>
      <c r="D65" s="76"/>
      <c r="E65" s="76" t="s">
        <v>400</v>
      </c>
      <c r="F65" s="61"/>
      <c r="G65" s="61"/>
      <c r="H65" s="61"/>
      <c r="I65" s="61"/>
      <c r="J65" s="61"/>
      <c r="K65" s="61"/>
      <c r="L65" s="61"/>
      <c r="M65" s="61"/>
      <c r="N65" s="104" t="str">
        <f t="shared" si="7"/>
        <v>[** NO ZONE **]</v>
      </c>
      <c r="O65" s="104" t="str">
        <f t="shared" si="6"/>
        <v>[** NO ZONE **]</v>
      </c>
      <c r="P65" s="76" t="s">
        <v>400</v>
      </c>
      <c r="Q65" s="61"/>
      <c r="R65" s="76" t="s">
        <v>400</v>
      </c>
      <c r="S65" s="76" t="s">
        <v>400</v>
      </c>
      <c r="T65" s="76" t="s">
        <v>293</v>
      </c>
      <c r="U65" s="61"/>
      <c r="V65" s="61"/>
      <c r="W65" s="61"/>
      <c r="X65" s="76" t="s">
        <v>302</v>
      </c>
      <c r="Y65" s="76" t="s">
        <v>400</v>
      </c>
      <c r="Z65" s="61"/>
      <c r="AA65" s="61"/>
      <c r="AB65" s="61"/>
    </row>
    <row r="66" spans="1:28" ht="16" x14ac:dyDescent="0.2">
      <c r="A66" s="61"/>
      <c r="B66" s="124">
        <v>57</v>
      </c>
      <c r="C66" s="76" t="s">
        <v>400</v>
      </c>
      <c r="D66" s="76"/>
      <c r="E66" s="76" t="s">
        <v>400</v>
      </c>
      <c r="F66" s="61"/>
      <c r="G66" s="61"/>
      <c r="H66" s="61"/>
      <c r="I66" s="61"/>
      <c r="J66" s="61"/>
      <c r="K66" s="61"/>
      <c r="L66" s="61"/>
      <c r="M66" s="61"/>
      <c r="N66" s="104" t="str">
        <f t="shared" si="7"/>
        <v>[** NO ZONE **]</v>
      </c>
      <c r="O66" s="104" t="str">
        <f t="shared" si="6"/>
        <v>[** NO ZONE **]</v>
      </c>
      <c r="P66" s="76" t="s">
        <v>400</v>
      </c>
      <c r="Q66" s="61"/>
      <c r="R66" s="76" t="s">
        <v>400</v>
      </c>
      <c r="S66" s="76" t="s">
        <v>400</v>
      </c>
      <c r="T66" s="76" t="s">
        <v>293</v>
      </c>
      <c r="U66" s="61"/>
      <c r="V66" s="61"/>
      <c r="W66" s="61"/>
      <c r="X66" s="76" t="s">
        <v>302</v>
      </c>
      <c r="Y66" s="76" t="s">
        <v>400</v>
      </c>
      <c r="Z66" s="61"/>
      <c r="AA66" s="61"/>
      <c r="AB66" s="61"/>
    </row>
    <row r="67" spans="1:28" ht="16" x14ac:dyDescent="0.2">
      <c r="A67" s="61"/>
      <c r="B67" s="124">
        <v>58</v>
      </c>
      <c r="C67" s="76" t="s">
        <v>400</v>
      </c>
      <c r="D67" s="76"/>
      <c r="E67" s="76" t="s">
        <v>400</v>
      </c>
      <c r="F67" s="61"/>
      <c r="G67" s="61"/>
      <c r="H67" s="61"/>
      <c r="I67" s="61"/>
      <c r="J67" s="61"/>
      <c r="K67" s="61"/>
      <c r="L67" s="61"/>
      <c r="M67" s="61"/>
      <c r="N67" s="104" t="str">
        <f t="shared" si="7"/>
        <v>[** NO ZONE **]</v>
      </c>
      <c r="O67" s="104" t="str">
        <f t="shared" si="6"/>
        <v>[** NO ZONE **]</v>
      </c>
      <c r="P67" s="76" t="s">
        <v>400</v>
      </c>
      <c r="Q67" s="61"/>
      <c r="R67" s="76" t="s">
        <v>400</v>
      </c>
      <c r="S67" s="76" t="s">
        <v>400</v>
      </c>
      <c r="T67" s="76" t="s">
        <v>293</v>
      </c>
      <c r="U67" s="61"/>
      <c r="V67" s="61"/>
      <c r="W67" s="61"/>
      <c r="X67" s="76" t="s">
        <v>302</v>
      </c>
      <c r="Y67" s="76" t="s">
        <v>400</v>
      </c>
      <c r="Z67" s="61"/>
      <c r="AA67" s="61"/>
      <c r="AB67" s="61"/>
    </row>
    <row r="68" spans="1:28" ht="16" x14ac:dyDescent="0.2">
      <c r="A68" s="61"/>
      <c r="B68" s="124">
        <v>59</v>
      </c>
      <c r="C68" s="76" t="s">
        <v>400</v>
      </c>
      <c r="D68" s="76"/>
      <c r="E68" s="76" t="s">
        <v>400</v>
      </c>
      <c r="F68" s="61"/>
      <c r="G68" s="61"/>
      <c r="H68" s="61"/>
      <c r="I68" s="61"/>
      <c r="J68" s="61"/>
      <c r="K68" s="61"/>
      <c r="L68" s="61"/>
      <c r="M68" s="61"/>
      <c r="N68" s="104" t="str">
        <f t="shared" si="7"/>
        <v>[** NO ZONE **]</v>
      </c>
      <c r="O68" s="104" t="str">
        <f t="shared" si="6"/>
        <v>[** NO ZONE **]</v>
      </c>
      <c r="P68" s="76" t="s">
        <v>400</v>
      </c>
      <c r="Q68" s="61"/>
      <c r="R68" s="76" t="s">
        <v>400</v>
      </c>
      <c r="S68" s="76" t="s">
        <v>400</v>
      </c>
      <c r="T68" s="76" t="s">
        <v>293</v>
      </c>
      <c r="U68" s="61"/>
      <c r="V68" s="61"/>
      <c r="W68" s="61"/>
      <c r="X68" s="76" t="s">
        <v>302</v>
      </c>
      <c r="Y68" s="76" t="s">
        <v>400</v>
      </c>
      <c r="Z68" s="61"/>
      <c r="AA68" s="61"/>
      <c r="AB68" s="61"/>
    </row>
    <row r="69" spans="1:28" ht="16" x14ac:dyDescent="0.2">
      <c r="A69" s="61"/>
      <c r="B69" s="124">
        <v>60</v>
      </c>
      <c r="C69" s="76" t="s">
        <v>400</v>
      </c>
      <c r="D69" s="76"/>
      <c r="E69" s="76" t="s">
        <v>400</v>
      </c>
      <c r="F69" s="61"/>
      <c r="G69" s="61"/>
      <c r="H69" s="61"/>
      <c r="I69" s="61"/>
      <c r="J69" s="61"/>
      <c r="K69" s="61"/>
      <c r="L69" s="61"/>
      <c r="M69" s="61"/>
      <c r="N69" s="104" t="str">
        <f t="shared" si="7"/>
        <v>[** NO ZONE **]</v>
      </c>
      <c r="O69" s="104" t="str">
        <f t="shared" si="6"/>
        <v>[** NO ZONE **]</v>
      </c>
      <c r="P69" s="76" t="s">
        <v>400</v>
      </c>
      <c r="Q69" s="61"/>
      <c r="R69" s="76" t="s">
        <v>400</v>
      </c>
      <c r="S69" s="76" t="s">
        <v>400</v>
      </c>
      <c r="T69" s="76" t="s">
        <v>293</v>
      </c>
      <c r="U69" s="61"/>
      <c r="V69" s="61"/>
      <c r="W69" s="61"/>
      <c r="X69" s="76" t="s">
        <v>302</v>
      </c>
      <c r="Y69" s="76" t="s">
        <v>400</v>
      </c>
      <c r="Z69" s="61"/>
      <c r="AA69" s="61"/>
      <c r="AB69" s="61"/>
    </row>
    <row r="70" spans="1:28" ht="16" x14ac:dyDescent="0.2">
      <c r="A70" s="61"/>
      <c r="B70" s="124">
        <v>61</v>
      </c>
      <c r="C70" s="76" t="s">
        <v>400</v>
      </c>
      <c r="D70" s="76"/>
      <c r="E70" s="76" t="s">
        <v>400</v>
      </c>
      <c r="F70" s="61"/>
      <c r="G70" s="61"/>
      <c r="H70" s="61"/>
      <c r="I70" s="61"/>
      <c r="J70" s="61"/>
      <c r="K70" s="61"/>
      <c r="L70" s="61"/>
      <c r="M70" s="61"/>
      <c r="N70" s="104" t="str">
        <f t="shared" si="7"/>
        <v>[** NO ZONE **]</v>
      </c>
      <c r="O70" s="104" t="str">
        <f t="shared" si="6"/>
        <v>[** NO ZONE **]</v>
      </c>
      <c r="P70" s="76" t="s">
        <v>400</v>
      </c>
      <c r="Q70" s="61"/>
      <c r="R70" s="76" t="s">
        <v>400</v>
      </c>
      <c r="S70" s="76" t="s">
        <v>400</v>
      </c>
      <c r="T70" s="76" t="s">
        <v>293</v>
      </c>
      <c r="U70" s="61"/>
      <c r="V70" s="61"/>
      <c r="W70" s="61"/>
      <c r="X70" s="76" t="s">
        <v>302</v>
      </c>
      <c r="Y70" s="76" t="s">
        <v>400</v>
      </c>
      <c r="Z70" s="61"/>
      <c r="AA70" s="61"/>
      <c r="AB70" s="61"/>
    </row>
    <row r="71" spans="1:28" ht="16" x14ac:dyDescent="0.2">
      <c r="A71" s="61"/>
      <c r="B71" s="124">
        <v>62</v>
      </c>
      <c r="C71" s="76" t="s">
        <v>400</v>
      </c>
      <c r="D71" s="76"/>
      <c r="E71" s="76" t="s">
        <v>400</v>
      </c>
      <c r="F71" s="61"/>
      <c r="G71" s="61"/>
      <c r="H71" s="61"/>
      <c r="I71" s="61"/>
      <c r="J71" s="61"/>
      <c r="K71" s="61"/>
      <c r="L71" s="61"/>
      <c r="M71" s="61"/>
      <c r="N71" s="104" t="str">
        <f t="shared" si="7"/>
        <v>[** NO ZONE **]</v>
      </c>
      <c r="O71" s="104" t="str">
        <f t="shared" si="6"/>
        <v>[** NO ZONE **]</v>
      </c>
      <c r="P71" s="76" t="s">
        <v>400</v>
      </c>
      <c r="Q71" s="61"/>
      <c r="R71" s="76" t="s">
        <v>400</v>
      </c>
      <c r="S71" s="76" t="s">
        <v>400</v>
      </c>
      <c r="T71" s="76" t="s">
        <v>293</v>
      </c>
      <c r="U71" s="61"/>
      <c r="V71" s="61"/>
      <c r="W71" s="61"/>
      <c r="X71" s="76" t="s">
        <v>302</v>
      </c>
      <c r="Y71" s="76" t="s">
        <v>400</v>
      </c>
      <c r="Z71" s="61"/>
      <c r="AA71" s="61"/>
      <c r="AB71" s="61"/>
    </row>
    <row r="72" spans="1:28" ht="16" x14ac:dyDescent="0.2">
      <c r="A72" s="61"/>
      <c r="B72" s="124">
        <v>63</v>
      </c>
      <c r="C72" s="76" t="s">
        <v>400</v>
      </c>
      <c r="D72" s="76"/>
      <c r="E72" s="76" t="s">
        <v>400</v>
      </c>
      <c r="F72" s="61"/>
      <c r="G72" s="61"/>
      <c r="H72" s="61"/>
      <c r="I72" s="61"/>
      <c r="J72" s="61"/>
      <c r="K72" s="61"/>
      <c r="L72" s="61"/>
      <c r="M72" s="61"/>
      <c r="N72" s="104" t="str">
        <f t="shared" si="7"/>
        <v>[** NO ZONE **]</v>
      </c>
      <c r="O72" s="104" t="str">
        <f t="shared" si="6"/>
        <v>[** NO ZONE **]</v>
      </c>
      <c r="P72" s="76" t="s">
        <v>400</v>
      </c>
      <c r="Q72" s="61"/>
      <c r="R72" s="76" t="s">
        <v>400</v>
      </c>
      <c r="S72" s="76" t="s">
        <v>400</v>
      </c>
      <c r="T72" s="76" t="s">
        <v>293</v>
      </c>
      <c r="U72" s="61"/>
      <c r="V72" s="61"/>
      <c r="W72" s="61"/>
      <c r="X72" s="76" t="s">
        <v>302</v>
      </c>
      <c r="Y72" s="76" t="s">
        <v>400</v>
      </c>
      <c r="Z72" s="61"/>
      <c r="AA72" s="61"/>
      <c r="AB72" s="61"/>
    </row>
    <row r="73" spans="1:28" ht="16" x14ac:dyDescent="0.2">
      <c r="A73" s="61"/>
      <c r="B73" s="124">
        <v>64</v>
      </c>
      <c r="C73" s="76" t="s">
        <v>400</v>
      </c>
      <c r="D73" s="76"/>
      <c r="E73" s="76" t="s">
        <v>400</v>
      </c>
      <c r="F73" s="61"/>
      <c r="G73" s="61"/>
      <c r="H73" s="61"/>
      <c r="I73" s="61"/>
      <c r="J73" s="61"/>
      <c r="K73" s="61"/>
      <c r="L73" s="61"/>
      <c r="M73" s="61"/>
      <c r="N73" s="104" t="str">
        <f t="shared" si="7"/>
        <v>[** NO ZONE **]</v>
      </c>
      <c r="O73" s="104" t="str">
        <f t="shared" si="6"/>
        <v>[** NO ZONE **]</v>
      </c>
      <c r="P73" s="76" t="s">
        <v>400</v>
      </c>
      <c r="Q73" s="61"/>
      <c r="R73" s="76" t="s">
        <v>400</v>
      </c>
      <c r="S73" s="76" t="s">
        <v>400</v>
      </c>
      <c r="T73" s="76" t="s">
        <v>293</v>
      </c>
      <c r="U73" s="61"/>
      <c r="V73" s="61"/>
      <c r="W73" s="61"/>
      <c r="X73" s="76" t="s">
        <v>302</v>
      </c>
      <c r="Y73" s="76" t="s">
        <v>400</v>
      </c>
      <c r="Z73" s="61"/>
      <c r="AA73" s="61"/>
      <c r="AB73" s="61"/>
    </row>
    <row r="74" spans="1:28" ht="16" x14ac:dyDescent="0.2">
      <c r="A74" s="61"/>
      <c r="B74" s="124">
        <v>65</v>
      </c>
      <c r="C74" s="76" t="s">
        <v>400</v>
      </c>
      <c r="D74" s="76"/>
      <c r="E74" s="76" t="s">
        <v>400</v>
      </c>
      <c r="F74" s="61"/>
      <c r="G74" s="61"/>
      <c r="H74" s="61"/>
      <c r="I74" s="61"/>
      <c r="J74" s="61"/>
      <c r="K74" s="61"/>
      <c r="L74" s="61"/>
      <c r="M74" s="61"/>
      <c r="N74" s="104" t="str">
        <f t="shared" ref="N74:N109" si="9" xml:space="preserve"> RetrieveZone( J74 )</f>
        <v>[** NO ZONE **]</v>
      </c>
      <c r="O74" s="104" t="str">
        <f t="shared" ref="O74:O109" si="10" xml:space="preserve"> RetrieveZone( M74 )</f>
        <v>[** NO ZONE **]</v>
      </c>
      <c r="P74" s="76" t="s">
        <v>400</v>
      </c>
      <c r="Q74" s="61"/>
      <c r="R74" s="76" t="s">
        <v>400</v>
      </c>
      <c r="S74" s="76" t="s">
        <v>400</v>
      </c>
      <c r="T74" s="76" t="s">
        <v>293</v>
      </c>
      <c r="U74" s="61"/>
      <c r="V74" s="61"/>
      <c r="W74" s="61"/>
      <c r="X74" s="76" t="s">
        <v>302</v>
      </c>
      <c r="Y74" s="76" t="s">
        <v>400</v>
      </c>
      <c r="Z74" s="61"/>
      <c r="AA74" s="61"/>
      <c r="AB74" s="61"/>
    </row>
    <row r="75" spans="1:28" ht="16" x14ac:dyDescent="0.2">
      <c r="A75" s="61"/>
      <c r="B75" s="124">
        <v>66</v>
      </c>
      <c r="C75" s="76" t="s">
        <v>400</v>
      </c>
      <c r="D75" s="76"/>
      <c r="E75" s="76" t="s">
        <v>400</v>
      </c>
      <c r="F75" s="61"/>
      <c r="G75" s="61"/>
      <c r="H75" s="61"/>
      <c r="I75" s="61"/>
      <c r="J75" s="61"/>
      <c r="K75" s="61"/>
      <c r="L75" s="61"/>
      <c r="M75" s="61"/>
      <c r="N75" s="104" t="str">
        <f t="shared" si="9"/>
        <v>[** NO ZONE **]</v>
      </c>
      <c r="O75" s="104" t="str">
        <f t="shared" si="10"/>
        <v>[** NO ZONE **]</v>
      </c>
      <c r="P75" s="76" t="s">
        <v>400</v>
      </c>
      <c r="Q75" s="61"/>
      <c r="R75" s="76" t="s">
        <v>400</v>
      </c>
      <c r="S75" s="76" t="s">
        <v>400</v>
      </c>
      <c r="T75" s="76" t="s">
        <v>293</v>
      </c>
      <c r="U75" s="61"/>
      <c r="V75" s="61"/>
      <c r="W75" s="61"/>
      <c r="X75" s="76" t="s">
        <v>302</v>
      </c>
      <c r="Y75" s="76" t="s">
        <v>400</v>
      </c>
      <c r="Z75" s="61"/>
      <c r="AA75" s="61"/>
      <c r="AB75" s="61"/>
    </row>
    <row r="76" spans="1:28" ht="16" x14ac:dyDescent="0.2">
      <c r="A76" s="61"/>
      <c r="B76" s="124">
        <v>67</v>
      </c>
      <c r="C76" s="76" t="s">
        <v>400</v>
      </c>
      <c r="D76" s="76"/>
      <c r="E76" s="76" t="s">
        <v>400</v>
      </c>
      <c r="F76" s="61"/>
      <c r="G76" s="61"/>
      <c r="H76" s="61"/>
      <c r="I76" s="61"/>
      <c r="J76" s="61"/>
      <c r="K76" s="61"/>
      <c r="L76" s="61"/>
      <c r="M76" s="61"/>
      <c r="N76" s="104" t="str">
        <f t="shared" si="9"/>
        <v>[** NO ZONE **]</v>
      </c>
      <c r="O76" s="104" t="str">
        <f t="shared" si="10"/>
        <v>[** NO ZONE **]</v>
      </c>
      <c r="P76" s="76" t="s">
        <v>400</v>
      </c>
      <c r="Q76" s="61"/>
      <c r="R76" s="76" t="s">
        <v>400</v>
      </c>
      <c r="S76" s="76" t="s">
        <v>400</v>
      </c>
      <c r="T76" s="76" t="s">
        <v>293</v>
      </c>
      <c r="U76" s="61"/>
      <c r="V76" s="61"/>
      <c r="W76" s="61"/>
      <c r="X76" s="76" t="s">
        <v>302</v>
      </c>
      <c r="Y76" s="76" t="s">
        <v>400</v>
      </c>
      <c r="Z76" s="61"/>
      <c r="AA76" s="61"/>
      <c r="AB76" s="61"/>
    </row>
    <row r="77" spans="1:28" ht="16" x14ac:dyDescent="0.2">
      <c r="A77" s="61"/>
      <c r="B77" s="124">
        <v>68</v>
      </c>
      <c r="C77" s="76" t="s">
        <v>400</v>
      </c>
      <c r="D77" s="76"/>
      <c r="E77" s="76" t="s">
        <v>400</v>
      </c>
      <c r="F77" s="61"/>
      <c r="G77" s="61"/>
      <c r="H77" s="61"/>
      <c r="I77" s="61"/>
      <c r="J77" s="61"/>
      <c r="K77" s="61"/>
      <c r="L77" s="61"/>
      <c r="M77" s="61"/>
      <c r="N77" s="104" t="str">
        <f t="shared" si="9"/>
        <v>[** NO ZONE **]</v>
      </c>
      <c r="O77" s="104" t="str">
        <f t="shared" si="10"/>
        <v>[** NO ZONE **]</v>
      </c>
      <c r="P77" s="76" t="s">
        <v>400</v>
      </c>
      <c r="Q77" s="61"/>
      <c r="R77" s="76" t="s">
        <v>400</v>
      </c>
      <c r="S77" s="76" t="s">
        <v>400</v>
      </c>
      <c r="T77" s="76" t="s">
        <v>293</v>
      </c>
      <c r="U77" s="61"/>
      <c r="V77" s="61"/>
      <c r="W77" s="61"/>
      <c r="X77" s="76" t="s">
        <v>302</v>
      </c>
      <c r="Y77" s="76" t="s">
        <v>400</v>
      </c>
      <c r="Z77" s="61"/>
      <c r="AA77" s="61"/>
      <c r="AB77" s="61"/>
    </row>
    <row r="78" spans="1:28" ht="16" x14ac:dyDescent="0.2">
      <c r="A78" s="61"/>
      <c r="B78" s="124">
        <v>69</v>
      </c>
      <c r="C78" s="76" t="s">
        <v>400</v>
      </c>
      <c r="D78" s="76"/>
      <c r="E78" s="76" t="s">
        <v>400</v>
      </c>
      <c r="F78" s="61"/>
      <c r="G78" s="61"/>
      <c r="H78" s="61"/>
      <c r="I78" s="61"/>
      <c r="J78" s="61"/>
      <c r="K78" s="61"/>
      <c r="L78" s="61"/>
      <c r="M78" s="61"/>
      <c r="N78" s="104" t="str">
        <f t="shared" si="9"/>
        <v>[** NO ZONE **]</v>
      </c>
      <c r="O78" s="104" t="str">
        <f t="shared" si="10"/>
        <v>[** NO ZONE **]</v>
      </c>
      <c r="P78" s="76" t="s">
        <v>400</v>
      </c>
      <c r="Q78" s="61"/>
      <c r="R78" s="76" t="s">
        <v>400</v>
      </c>
      <c r="S78" s="76" t="s">
        <v>400</v>
      </c>
      <c r="T78" s="76" t="s">
        <v>293</v>
      </c>
      <c r="U78" s="61"/>
      <c r="V78" s="61"/>
      <c r="W78" s="61"/>
      <c r="X78" s="76" t="s">
        <v>302</v>
      </c>
      <c r="Y78" s="76" t="s">
        <v>400</v>
      </c>
      <c r="Z78" s="61"/>
      <c r="AA78" s="61"/>
      <c r="AB78" s="61"/>
    </row>
    <row r="79" spans="1:28" ht="16" x14ac:dyDescent="0.2">
      <c r="A79" s="61"/>
      <c r="B79" s="124">
        <v>70</v>
      </c>
      <c r="C79" s="76" t="s">
        <v>400</v>
      </c>
      <c r="D79" s="76"/>
      <c r="E79" s="76" t="s">
        <v>400</v>
      </c>
      <c r="F79" s="61"/>
      <c r="G79" s="61"/>
      <c r="H79" s="61"/>
      <c r="I79" s="61"/>
      <c r="J79" s="61"/>
      <c r="K79" s="61"/>
      <c r="L79" s="61"/>
      <c r="M79" s="61"/>
      <c r="N79" s="104" t="str">
        <f t="shared" si="9"/>
        <v>[** NO ZONE **]</v>
      </c>
      <c r="O79" s="104" t="str">
        <f t="shared" si="10"/>
        <v>[** NO ZONE **]</v>
      </c>
      <c r="P79" s="76" t="s">
        <v>400</v>
      </c>
      <c r="Q79" s="61"/>
      <c r="R79" s="76" t="s">
        <v>400</v>
      </c>
      <c r="S79" s="76" t="s">
        <v>400</v>
      </c>
      <c r="T79" s="76" t="s">
        <v>293</v>
      </c>
      <c r="U79" s="61"/>
      <c r="V79" s="61"/>
      <c r="W79" s="61"/>
      <c r="X79" s="76" t="s">
        <v>302</v>
      </c>
      <c r="Y79" s="76" t="s">
        <v>400</v>
      </c>
      <c r="Z79" s="61"/>
      <c r="AA79" s="61"/>
      <c r="AB79" s="61"/>
    </row>
    <row r="80" spans="1:28" ht="16" x14ac:dyDescent="0.2">
      <c r="A80" s="61"/>
      <c r="B80" s="124">
        <v>71</v>
      </c>
      <c r="C80" s="76" t="s">
        <v>400</v>
      </c>
      <c r="D80" s="76"/>
      <c r="E80" s="76" t="s">
        <v>400</v>
      </c>
      <c r="F80" s="61"/>
      <c r="G80" s="61"/>
      <c r="H80" s="61"/>
      <c r="I80" s="61"/>
      <c r="J80" s="61"/>
      <c r="K80" s="61"/>
      <c r="L80" s="61"/>
      <c r="M80" s="61"/>
      <c r="N80" s="104" t="str">
        <f t="shared" si="9"/>
        <v>[** NO ZONE **]</v>
      </c>
      <c r="O80" s="104" t="str">
        <f t="shared" si="10"/>
        <v>[** NO ZONE **]</v>
      </c>
      <c r="P80" s="76" t="s">
        <v>400</v>
      </c>
      <c r="Q80" s="61"/>
      <c r="R80" s="76" t="s">
        <v>400</v>
      </c>
      <c r="S80" s="76" t="s">
        <v>400</v>
      </c>
      <c r="T80" s="76" t="s">
        <v>293</v>
      </c>
      <c r="U80" s="61"/>
      <c r="V80" s="61"/>
      <c r="W80" s="61"/>
      <c r="X80" s="76" t="s">
        <v>302</v>
      </c>
      <c r="Y80" s="76" t="s">
        <v>400</v>
      </c>
      <c r="Z80" s="61"/>
      <c r="AA80" s="61"/>
      <c r="AB80" s="61"/>
    </row>
    <row r="81" spans="1:28" ht="16" x14ac:dyDescent="0.2">
      <c r="A81" s="61"/>
      <c r="B81" s="124">
        <v>72</v>
      </c>
      <c r="C81" s="76" t="s">
        <v>400</v>
      </c>
      <c r="D81" s="76"/>
      <c r="E81" s="76" t="s">
        <v>400</v>
      </c>
      <c r="F81" s="61"/>
      <c r="G81" s="61"/>
      <c r="H81" s="61"/>
      <c r="I81" s="61"/>
      <c r="J81" s="61"/>
      <c r="K81" s="61"/>
      <c r="L81" s="61"/>
      <c r="M81" s="61"/>
      <c r="N81" s="104" t="str">
        <f t="shared" si="9"/>
        <v>[** NO ZONE **]</v>
      </c>
      <c r="O81" s="104" t="str">
        <f t="shared" si="10"/>
        <v>[** NO ZONE **]</v>
      </c>
      <c r="P81" s="76" t="s">
        <v>400</v>
      </c>
      <c r="Q81" s="61"/>
      <c r="R81" s="76" t="s">
        <v>400</v>
      </c>
      <c r="S81" s="76" t="s">
        <v>400</v>
      </c>
      <c r="T81" s="76" t="s">
        <v>293</v>
      </c>
      <c r="U81" s="61"/>
      <c r="V81" s="61"/>
      <c r="W81" s="61"/>
      <c r="X81" s="76" t="s">
        <v>302</v>
      </c>
      <c r="Y81" s="76" t="s">
        <v>400</v>
      </c>
      <c r="Z81" s="61"/>
      <c r="AA81" s="61"/>
      <c r="AB81" s="61"/>
    </row>
    <row r="82" spans="1:28" ht="16" x14ac:dyDescent="0.2">
      <c r="A82" s="61"/>
      <c r="B82" s="124">
        <v>73</v>
      </c>
      <c r="C82" s="76" t="s">
        <v>400</v>
      </c>
      <c r="D82" s="76"/>
      <c r="E82" s="76" t="s">
        <v>400</v>
      </c>
      <c r="F82" s="61"/>
      <c r="G82" s="61"/>
      <c r="H82" s="61"/>
      <c r="I82" s="61"/>
      <c r="J82" s="61"/>
      <c r="K82" s="61"/>
      <c r="L82" s="61"/>
      <c r="M82" s="61"/>
      <c r="N82" s="104" t="str">
        <f t="shared" si="9"/>
        <v>[** NO ZONE **]</v>
      </c>
      <c r="O82" s="104" t="str">
        <f t="shared" si="10"/>
        <v>[** NO ZONE **]</v>
      </c>
      <c r="P82" s="76" t="s">
        <v>400</v>
      </c>
      <c r="Q82" s="61"/>
      <c r="R82" s="76" t="s">
        <v>400</v>
      </c>
      <c r="S82" s="76" t="s">
        <v>400</v>
      </c>
      <c r="T82" s="76" t="s">
        <v>293</v>
      </c>
      <c r="U82" s="61"/>
      <c r="V82" s="61"/>
      <c r="W82" s="61"/>
      <c r="X82" s="76" t="s">
        <v>302</v>
      </c>
      <c r="Y82" s="76" t="s">
        <v>400</v>
      </c>
      <c r="Z82" s="61"/>
      <c r="AA82" s="61"/>
      <c r="AB82" s="61"/>
    </row>
    <row r="83" spans="1:28" ht="16" x14ac:dyDescent="0.2">
      <c r="A83" s="61"/>
      <c r="B83" s="124">
        <v>74</v>
      </c>
      <c r="C83" s="76" t="s">
        <v>400</v>
      </c>
      <c r="D83" s="76"/>
      <c r="E83" s="76" t="s">
        <v>400</v>
      </c>
      <c r="F83" s="61"/>
      <c r="G83" s="61"/>
      <c r="H83" s="61"/>
      <c r="I83" s="61"/>
      <c r="J83" s="61"/>
      <c r="K83" s="61"/>
      <c r="L83" s="61"/>
      <c r="M83" s="61"/>
      <c r="N83" s="104" t="str">
        <f t="shared" si="9"/>
        <v>[** NO ZONE **]</v>
      </c>
      <c r="O83" s="104" t="str">
        <f t="shared" si="10"/>
        <v>[** NO ZONE **]</v>
      </c>
      <c r="P83" s="76" t="s">
        <v>400</v>
      </c>
      <c r="Q83" s="61"/>
      <c r="R83" s="76" t="s">
        <v>400</v>
      </c>
      <c r="S83" s="76" t="s">
        <v>400</v>
      </c>
      <c r="T83" s="76" t="s">
        <v>293</v>
      </c>
      <c r="U83" s="61"/>
      <c r="V83" s="61"/>
      <c r="W83" s="61"/>
      <c r="X83" s="76" t="s">
        <v>302</v>
      </c>
      <c r="Y83" s="76" t="s">
        <v>400</v>
      </c>
      <c r="Z83" s="61"/>
      <c r="AA83" s="61"/>
      <c r="AB83" s="61"/>
    </row>
    <row r="84" spans="1:28" ht="16" x14ac:dyDescent="0.2">
      <c r="A84" s="61"/>
      <c r="B84" s="124">
        <v>75</v>
      </c>
      <c r="C84" s="76" t="s">
        <v>400</v>
      </c>
      <c r="D84" s="76"/>
      <c r="E84" s="76" t="s">
        <v>400</v>
      </c>
      <c r="F84" s="61"/>
      <c r="G84" s="61"/>
      <c r="H84" s="61"/>
      <c r="I84" s="61"/>
      <c r="J84" s="61"/>
      <c r="K84" s="61"/>
      <c r="L84" s="61"/>
      <c r="M84" s="61"/>
      <c r="N84" s="104" t="str">
        <f t="shared" si="9"/>
        <v>[** NO ZONE **]</v>
      </c>
      <c r="O84" s="104" t="str">
        <f t="shared" si="10"/>
        <v>[** NO ZONE **]</v>
      </c>
      <c r="P84" s="76" t="s">
        <v>400</v>
      </c>
      <c r="Q84" s="61"/>
      <c r="R84" s="76" t="s">
        <v>400</v>
      </c>
      <c r="S84" s="76" t="s">
        <v>400</v>
      </c>
      <c r="T84" s="76" t="s">
        <v>293</v>
      </c>
      <c r="U84" s="61"/>
      <c r="V84" s="61"/>
      <c r="W84" s="61"/>
      <c r="X84" s="76" t="s">
        <v>302</v>
      </c>
      <c r="Y84" s="76" t="s">
        <v>400</v>
      </c>
      <c r="Z84" s="61"/>
      <c r="AA84" s="61"/>
      <c r="AB84" s="61"/>
    </row>
    <row r="85" spans="1:28" ht="16" x14ac:dyDescent="0.2">
      <c r="A85" s="61"/>
      <c r="B85" s="124">
        <v>76</v>
      </c>
      <c r="C85" s="76" t="s">
        <v>400</v>
      </c>
      <c r="D85" s="76"/>
      <c r="E85" s="76" t="s">
        <v>400</v>
      </c>
      <c r="F85" s="61"/>
      <c r="G85" s="61"/>
      <c r="H85" s="61"/>
      <c r="I85" s="61"/>
      <c r="J85" s="61"/>
      <c r="K85" s="61"/>
      <c r="L85" s="61"/>
      <c r="M85" s="61"/>
      <c r="N85" s="104" t="str">
        <f t="shared" si="9"/>
        <v>[** NO ZONE **]</v>
      </c>
      <c r="O85" s="104" t="str">
        <f t="shared" si="10"/>
        <v>[** NO ZONE **]</v>
      </c>
      <c r="P85" s="76" t="s">
        <v>400</v>
      </c>
      <c r="Q85" s="61"/>
      <c r="R85" s="76" t="s">
        <v>400</v>
      </c>
      <c r="S85" s="76" t="s">
        <v>400</v>
      </c>
      <c r="T85" s="76" t="s">
        <v>293</v>
      </c>
      <c r="U85" s="61"/>
      <c r="V85" s="61"/>
      <c r="W85" s="61"/>
      <c r="X85" s="76" t="s">
        <v>302</v>
      </c>
      <c r="Y85" s="76" t="s">
        <v>400</v>
      </c>
      <c r="Z85" s="61"/>
      <c r="AA85" s="61"/>
      <c r="AB85" s="61"/>
    </row>
    <row r="86" spans="1:28" ht="16" x14ac:dyDescent="0.2">
      <c r="A86" s="61"/>
      <c r="B86" s="124">
        <v>77</v>
      </c>
      <c r="C86" s="76" t="s">
        <v>400</v>
      </c>
      <c r="D86" s="76"/>
      <c r="E86" s="76" t="s">
        <v>400</v>
      </c>
      <c r="F86" s="61"/>
      <c r="G86" s="61"/>
      <c r="H86" s="61"/>
      <c r="I86" s="61"/>
      <c r="J86" s="61"/>
      <c r="K86" s="61"/>
      <c r="L86" s="61"/>
      <c r="M86" s="61"/>
      <c r="N86" s="104" t="str">
        <f t="shared" si="9"/>
        <v>[** NO ZONE **]</v>
      </c>
      <c r="O86" s="104" t="str">
        <f t="shared" si="10"/>
        <v>[** NO ZONE **]</v>
      </c>
      <c r="P86" s="76" t="s">
        <v>400</v>
      </c>
      <c r="Q86" s="61"/>
      <c r="R86" s="76" t="s">
        <v>400</v>
      </c>
      <c r="S86" s="76" t="s">
        <v>400</v>
      </c>
      <c r="T86" s="76" t="s">
        <v>293</v>
      </c>
      <c r="U86" s="61"/>
      <c r="V86" s="61"/>
      <c r="W86" s="61"/>
      <c r="X86" s="76" t="s">
        <v>302</v>
      </c>
      <c r="Y86" s="76" t="s">
        <v>400</v>
      </c>
      <c r="Z86" s="61"/>
      <c r="AA86" s="61"/>
      <c r="AB86" s="61"/>
    </row>
    <row r="87" spans="1:28" ht="16" x14ac:dyDescent="0.2">
      <c r="A87" s="61"/>
      <c r="B87" s="124">
        <v>78</v>
      </c>
      <c r="C87" s="76" t="s">
        <v>400</v>
      </c>
      <c r="D87" s="76"/>
      <c r="E87" s="76" t="s">
        <v>400</v>
      </c>
      <c r="F87" s="61"/>
      <c r="G87" s="61"/>
      <c r="H87" s="61"/>
      <c r="I87" s="61"/>
      <c r="J87" s="61"/>
      <c r="K87" s="61"/>
      <c r="L87" s="61"/>
      <c r="M87" s="61"/>
      <c r="N87" s="104" t="str">
        <f t="shared" si="9"/>
        <v>[** NO ZONE **]</v>
      </c>
      <c r="O87" s="104" t="str">
        <f t="shared" si="10"/>
        <v>[** NO ZONE **]</v>
      </c>
      <c r="P87" s="76" t="s">
        <v>400</v>
      </c>
      <c r="Q87" s="61"/>
      <c r="R87" s="76" t="s">
        <v>400</v>
      </c>
      <c r="S87" s="76" t="s">
        <v>400</v>
      </c>
      <c r="T87" s="76" t="s">
        <v>293</v>
      </c>
      <c r="U87" s="61"/>
      <c r="V87" s="61"/>
      <c r="W87" s="61"/>
      <c r="X87" s="76" t="s">
        <v>302</v>
      </c>
      <c r="Y87" s="76" t="s">
        <v>400</v>
      </c>
      <c r="Z87" s="61"/>
      <c r="AA87" s="61"/>
      <c r="AB87" s="61"/>
    </row>
    <row r="88" spans="1:28" ht="16" x14ac:dyDescent="0.2">
      <c r="A88" s="61"/>
      <c r="B88" s="124">
        <v>79</v>
      </c>
      <c r="C88" s="76" t="s">
        <v>400</v>
      </c>
      <c r="D88" s="76"/>
      <c r="E88" s="76" t="s">
        <v>400</v>
      </c>
      <c r="F88" s="61"/>
      <c r="G88" s="61"/>
      <c r="H88" s="61"/>
      <c r="I88" s="61"/>
      <c r="J88" s="61"/>
      <c r="K88" s="61"/>
      <c r="L88" s="61"/>
      <c r="M88" s="61"/>
      <c r="N88" s="104" t="str">
        <f t="shared" si="9"/>
        <v>[** NO ZONE **]</v>
      </c>
      <c r="O88" s="104" t="str">
        <f t="shared" si="10"/>
        <v>[** NO ZONE **]</v>
      </c>
      <c r="P88" s="76" t="s">
        <v>400</v>
      </c>
      <c r="Q88" s="61"/>
      <c r="R88" s="76" t="s">
        <v>400</v>
      </c>
      <c r="S88" s="76" t="s">
        <v>400</v>
      </c>
      <c r="T88" s="76" t="s">
        <v>293</v>
      </c>
      <c r="U88" s="61"/>
      <c r="V88" s="61"/>
      <c r="W88" s="61"/>
      <c r="X88" s="76" t="s">
        <v>302</v>
      </c>
      <c r="Y88" s="76" t="s">
        <v>400</v>
      </c>
      <c r="Z88" s="61"/>
      <c r="AA88" s="61"/>
      <c r="AB88" s="61"/>
    </row>
    <row r="89" spans="1:28" ht="16" x14ac:dyDescent="0.2">
      <c r="A89" s="61"/>
      <c r="B89" s="124">
        <v>80</v>
      </c>
      <c r="C89" s="76" t="s">
        <v>400</v>
      </c>
      <c r="D89" s="76"/>
      <c r="E89" s="76" t="s">
        <v>400</v>
      </c>
      <c r="F89" s="61"/>
      <c r="G89" s="61"/>
      <c r="H89" s="61"/>
      <c r="I89" s="61"/>
      <c r="J89" s="61"/>
      <c r="K89" s="61"/>
      <c r="L89" s="61"/>
      <c r="M89" s="61"/>
      <c r="N89" s="104" t="str">
        <f t="shared" si="9"/>
        <v>[** NO ZONE **]</v>
      </c>
      <c r="O89" s="104" t="str">
        <f t="shared" si="10"/>
        <v>[** NO ZONE **]</v>
      </c>
      <c r="P89" s="76" t="s">
        <v>400</v>
      </c>
      <c r="Q89" s="61"/>
      <c r="R89" s="76" t="s">
        <v>400</v>
      </c>
      <c r="S89" s="76" t="s">
        <v>400</v>
      </c>
      <c r="T89" s="76" t="s">
        <v>293</v>
      </c>
      <c r="U89" s="61"/>
      <c r="V89" s="61"/>
      <c r="W89" s="61"/>
      <c r="X89" s="76" t="s">
        <v>302</v>
      </c>
      <c r="Y89" s="76" t="s">
        <v>400</v>
      </c>
      <c r="Z89" s="61"/>
      <c r="AA89" s="61"/>
      <c r="AB89" s="61"/>
    </row>
    <row r="90" spans="1:28" ht="16" x14ac:dyDescent="0.2">
      <c r="A90" s="61"/>
      <c r="B90" s="124">
        <v>81</v>
      </c>
      <c r="C90" s="76" t="s">
        <v>400</v>
      </c>
      <c r="D90" s="76"/>
      <c r="E90" s="76" t="s">
        <v>400</v>
      </c>
      <c r="F90" s="61"/>
      <c r="G90" s="61"/>
      <c r="H90" s="61"/>
      <c r="I90" s="61"/>
      <c r="J90" s="61"/>
      <c r="K90" s="61"/>
      <c r="L90" s="61"/>
      <c r="M90" s="61"/>
      <c r="N90" s="104" t="str">
        <f t="shared" si="9"/>
        <v>[** NO ZONE **]</v>
      </c>
      <c r="O90" s="104" t="str">
        <f t="shared" si="10"/>
        <v>[** NO ZONE **]</v>
      </c>
      <c r="P90" s="76" t="s">
        <v>400</v>
      </c>
      <c r="Q90" s="61"/>
      <c r="R90" s="76" t="s">
        <v>400</v>
      </c>
      <c r="S90" s="76" t="s">
        <v>400</v>
      </c>
      <c r="T90" s="76" t="s">
        <v>293</v>
      </c>
      <c r="U90" s="61"/>
      <c r="V90" s="61"/>
      <c r="W90" s="61"/>
      <c r="X90" s="76" t="s">
        <v>302</v>
      </c>
      <c r="Y90" s="76" t="s">
        <v>400</v>
      </c>
      <c r="Z90" s="61"/>
      <c r="AA90" s="61"/>
      <c r="AB90" s="61"/>
    </row>
    <row r="91" spans="1:28" ht="16" x14ac:dyDescent="0.2">
      <c r="A91" s="61"/>
      <c r="B91" s="124">
        <v>82</v>
      </c>
      <c r="C91" s="76" t="s">
        <v>400</v>
      </c>
      <c r="D91" s="76"/>
      <c r="E91" s="76" t="s">
        <v>400</v>
      </c>
      <c r="F91" s="61"/>
      <c r="G91" s="61"/>
      <c r="H91" s="61"/>
      <c r="I91" s="61"/>
      <c r="J91" s="61"/>
      <c r="K91" s="61"/>
      <c r="L91" s="61"/>
      <c r="M91" s="61"/>
      <c r="N91" s="104" t="str">
        <f t="shared" si="9"/>
        <v>[** NO ZONE **]</v>
      </c>
      <c r="O91" s="104" t="str">
        <f t="shared" si="10"/>
        <v>[** NO ZONE **]</v>
      </c>
      <c r="P91" s="76" t="s">
        <v>400</v>
      </c>
      <c r="Q91" s="61"/>
      <c r="R91" s="76" t="s">
        <v>400</v>
      </c>
      <c r="S91" s="76" t="s">
        <v>400</v>
      </c>
      <c r="T91" s="76" t="s">
        <v>293</v>
      </c>
      <c r="U91" s="61"/>
      <c r="V91" s="61"/>
      <c r="W91" s="61"/>
      <c r="X91" s="76" t="s">
        <v>302</v>
      </c>
      <c r="Y91" s="76" t="s">
        <v>400</v>
      </c>
      <c r="Z91" s="61"/>
      <c r="AA91" s="61"/>
      <c r="AB91" s="61"/>
    </row>
    <row r="92" spans="1:28" ht="16" x14ac:dyDescent="0.2">
      <c r="A92" s="61"/>
      <c r="B92" s="124">
        <v>83</v>
      </c>
      <c r="C92" s="76" t="s">
        <v>400</v>
      </c>
      <c r="D92" s="76"/>
      <c r="E92" s="76" t="s">
        <v>400</v>
      </c>
      <c r="F92" s="61"/>
      <c r="G92" s="61"/>
      <c r="H92" s="61"/>
      <c r="I92" s="61"/>
      <c r="J92" s="61"/>
      <c r="K92" s="61"/>
      <c r="L92" s="61"/>
      <c r="M92" s="61"/>
      <c r="N92" s="104" t="str">
        <f t="shared" si="9"/>
        <v>[** NO ZONE **]</v>
      </c>
      <c r="O92" s="104" t="str">
        <f t="shared" si="10"/>
        <v>[** NO ZONE **]</v>
      </c>
      <c r="P92" s="76" t="s">
        <v>400</v>
      </c>
      <c r="Q92" s="61"/>
      <c r="R92" s="76" t="s">
        <v>400</v>
      </c>
      <c r="S92" s="76" t="s">
        <v>400</v>
      </c>
      <c r="T92" s="76" t="s">
        <v>293</v>
      </c>
      <c r="U92" s="61"/>
      <c r="V92" s="61"/>
      <c r="W92" s="61"/>
      <c r="X92" s="76" t="s">
        <v>302</v>
      </c>
      <c r="Y92" s="76" t="s">
        <v>400</v>
      </c>
      <c r="Z92" s="61"/>
      <c r="AA92" s="61"/>
      <c r="AB92" s="61"/>
    </row>
    <row r="93" spans="1:28" ht="16" x14ac:dyDescent="0.2">
      <c r="A93" s="61"/>
      <c r="B93" s="124">
        <v>84</v>
      </c>
      <c r="C93" s="76" t="s">
        <v>400</v>
      </c>
      <c r="D93" s="76"/>
      <c r="E93" s="76" t="s">
        <v>400</v>
      </c>
      <c r="F93" s="61"/>
      <c r="G93" s="61"/>
      <c r="H93" s="61"/>
      <c r="I93" s="61"/>
      <c r="J93" s="61"/>
      <c r="K93" s="61"/>
      <c r="L93" s="61"/>
      <c r="M93" s="61"/>
      <c r="N93" s="104" t="str">
        <f t="shared" si="9"/>
        <v>[** NO ZONE **]</v>
      </c>
      <c r="O93" s="104" t="str">
        <f t="shared" si="10"/>
        <v>[** NO ZONE **]</v>
      </c>
      <c r="P93" s="76" t="s">
        <v>400</v>
      </c>
      <c r="Q93" s="61"/>
      <c r="R93" s="76" t="s">
        <v>400</v>
      </c>
      <c r="S93" s="76" t="s">
        <v>400</v>
      </c>
      <c r="T93" s="76" t="s">
        <v>293</v>
      </c>
      <c r="U93" s="61"/>
      <c r="V93" s="61"/>
      <c r="W93" s="61"/>
      <c r="X93" s="76" t="s">
        <v>302</v>
      </c>
      <c r="Y93" s="76" t="s">
        <v>400</v>
      </c>
      <c r="Z93" s="61"/>
      <c r="AA93" s="61"/>
      <c r="AB93" s="61"/>
    </row>
    <row r="94" spans="1:28" ht="16" x14ac:dyDescent="0.2">
      <c r="A94" s="61"/>
      <c r="B94" s="124">
        <v>85</v>
      </c>
      <c r="C94" s="76" t="s">
        <v>400</v>
      </c>
      <c r="D94" s="76"/>
      <c r="E94" s="76" t="s">
        <v>400</v>
      </c>
      <c r="F94" s="61"/>
      <c r="G94" s="61"/>
      <c r="H94" s="61"/>
      <c r="I94" s="61"/>
      <c r="J94" s="61"/>
      <c r="K94" s="61"/>
      <c r="L94" s="61"/>
      <c r="M94" s="61"/>
      <c r="N94" s="104" t="str">
        <f t="shared" si="9"/>
        <v>[** NO ZONE **]</v>
      </c>
      <c r="O94" s="104" t="str">
        <f t="shared" si="10"/>
        <v>[** NO ZONE **]</v>
      </c>
      <c r="P94" s="76" t="s">
        <v>400</v>
      </c>
      <c r="Q94" s="61"/>
      <c r="R94" s="76" t="s">
        <v>400</v>
      </c>
      <c r="S94" s="76" t="s">
        <v>400</v>
      </c>
      <c r="T94" s="76" t="s">
        <v>293</v>
      </c>
      <c r="U94" s="61"/>
      <c r="V94" s="61"/>
      <c r="W94" s="61"/>
      <c r="X94" s="76" t="s">
        <v>302</v>
      </c>
      <c r="Y94" s="76" t="s">
        <v>400</v>
      </c>
      <c r="Z94" s="61"/>
      <c r="AA94" s="61"/>
      <c r="AB94" s="61"/>
    </row>
    <row r="95" spans="1:28" ht="16" x14ac:dyDescent="0.2">
      <c r="A95" s="61"/>
      <c r="B95" s="124">
        <v>86</v>
      </c>
      <c r="C95" s="76" t="s">
        <v>400</v>
      </c>
      <c r="D95" s="76"/>
      <c r="E95" s="76" t="s">
        <v>400</v>
      </c>
      <c r="F95" s="61"/>
      <c r="G95" s="61"/>
      <c r="H95" s="61"/>
      <c r="I95" s="61"/>
      <c r="J95" s="61"/>
      <c r="K95" s="61"/>
      <c r="L95" s="61"/>
      <c r="M95" s="61"/>
      <c r="N95" s="104" t="str">
        <f t="shared" si="9"/>
        <v>[** NO ZONE **]</v>
      </c>
      <c r="O95" s="104" t="str">
        <f t="shared" si="10"/>
        <v>[** NO ZONE **]</v>
      </c>
      <c r="P95" s="76" t="s">
        <v>400</v>
      </c>
      <c r="Q95" s="61"/>
      <c r="R95" s="76" t="s">
        <v>400</v>
      </c>
      <c r="S95" s="76" t="s">
        <v>400</v>
      </c>
      <c r="T95" s="76" t="s">
        <v>293</v>
      </c>
      <c r="U95" s="61"/>
      <c r="V95" s="61"/>
      <c r="W95" s="61"/>
      <c r="X95" s="76" t="s">
        <v>302</v>
      </c>
      <c r="Y95" s="76" t="s">
        <v>400</v>
      </c>
      <c r="Z95" s="61"/>
      <c r="AA95" s="61"/>
      <c r="AB95" s="61"/>
    </row>
    <row r="96" spans="1:28" ht="16" x14ac:dyDescent="0.2">
      <c r="A96" s="61"/>
      <c r="B96" s="124">
        <v>87</v>
      </c>
      <c r="C96" s="76" t="s">
        <v>400</v>
      </c>
      <c r="D96" s="76"/>
      <c r="E96" s="76" t="s">
        <v>400</v>
      </c>
      <c r="F96" s="61"/>
      <c r="G96" s="61"/>
      <c r="H96" s="61"/>
      <c r="I96" s="61"/>
      <c r="J96" s="61"/>
      <c r="K96" s="61"/>
      <c r="L96" s="61"/>
      <c r="M96" s="61"/>
      <c r="N96" s="104" t="str">
        <f t="shared" si="9"/>
        <v>[** NO ZONE **]</v>
      </c>
      <c r="O96" s="104" t="str">
        <f t="shared" si="10"/>
        <v>[** NO ZONE **]</v>
      </c>
      <c r="P96" s="76" t="s">
        <v>400</v>
      </c>
      <c r="Q96" s="61"/>
      <c r="R96" s="76" t="s">
        <v>400</v>
      </c>
      <c r="S96" s="76" t="s">
        <v>400</v>
      </c>
      <c r="T96" s="76" t="s">
        <v>293</v>
      </c>
      <c r="U96" s="61"/>
      <c r="V96" s="61"/>
      <c r="W96" s="61"/>
      <c r="X96" s="76" t="s">
        <v>302</v>
      </c>
      <c r="Y96" s="76" t="s">
        <v>400</v>
      </c>
      <c r="Z96" s="61"/>
      <c r="AA96" s="61"/>
      <c r="AB96" s="61"/>
    </row>
    <row r="97" spans="1:28" ht="16" x14ac:dyDescent="0.2">
      <c r="A97" s="61"/>
      <c r="B97" s="124">
        <v>88</v>
      </c>
      <c r="C97" s="76" t="s">
        <v>400</v>
      </c>
      <c r="D97" s="76"/>
      <c r="E97" s="76" t="s">
        <v>400</v>
      </c>
      <c r="F97" s="61"/>
      <c r="G97" s="61"/>
      <c r="H97" s="61"/>
      <c r="I97" s="61"/>
      <c r="J97" s="61"/>
      <c r="K97" s="61"/>
      <c r="L97" s="61"/>
      <c r="M97" s="61"/>
      <c r="N97" s="104" t="str">
        <f t="shared" si="9"/>
        <v>[** NO ZONE **]</v>
      </c>
      <c r="O97" s="104" t="str">
        <f t="shared" si="10"/>
        <v>[** NO ZONE **]</v>
      </c>
      <c r="P97" s="76" t="s">
        <v>400</v>
      </c>
      <c r="Q97" s="61"/>
      <c r="R97" s="76" t="s">
        <v>400</v>
      </c>
      <c r="S97" s="76" t="s">
        <v>400</v>
      </c>
      <c r="T97" s="76" t="s">
        <v>293</v>
      </c>
      <c r="U97" s="61"/>
      <c r="V97" s="61"/>
      <c r="W97" s="61"/>
      <c r="X97" s="76" t="s">
        <v>302</v>
      </c>
      <c r="Y97" s="76" t="s">
        <v>400</v>
      </c>
      <c r="Z97" s="61"/>
      <c r="AA97" s="61"/>
      <c r="AB97" s="61"/>
    </row>
    <row r="98" spans="1:28" ht="16" x14ac:dyDescent="0.2">
      <c r="A98" s="61"/>
      <c r="B98" s="124">
        <v>89</v>
      </c>
      <c r="C98" s="76" t="s">
        <v>400</v>
      </c>
      <c r="D98" s="76"/>
      <c r="E98" s="76" t="s">
        <v>400</v>
      </c>
      <c r="F98" s="61"/>
      <c r="G98" s="61"/>
      <c r="H98" s="61"/>
      <c r="I98" s="61"/>
      <c r="J98" s="61"/>
      <c r="K98" s="61"/>
      <c r="L98" s="61"/>
      <c r="M98" s="61"/>
      <c r="N98" s="104" t="str">
        <f t="shared" si="9"/>
        <v>[** NO ZONE **]</v>
      </c>
      <c r="O98" s="104" t="str">
        <f t="shared" si="10"/>
        <v>[** NO ZONE **]</v>
      </c>
      <c r="P98" s="76" t="s">
        <v>400</v>
      </c>
      <c r="Q98" s="61"/>
      <c r="R98" s="76" t="s">
        <v>400</v>
      </c>
      <c r="S98" s="76" t="s">
        <v>400</v>
      </c>
      <c r="T98" s="76" t="s">
        <v>293</v>
      </c>
      <c r="U98" s="61"/>
      <c r="V98" s="61"/>
      <c r="W98" s="61"/>
      <c r="X98" s="76" t="s">
        <v>302</v>
      </c>
      <c r="Y98" s="76" t="s">
        <v>400</v>
      </c>
      <c r="Z98" s="61"/>
      <c r="AA98" s="61"/>
      <c r="AB98" s="61"/>
    </row>
    <row r="99" spans="1:28" ht="16" x14ac:dyDescent="0.2">
      <c r="A99" s="61"/>
      <c r="B99" s="124">
        <v>90</v>
      </c>
      <c r="C99" s="76" t="s">
        <v>400</v>
      </c>
      <c r="D99" s="76"/>
      <c r="E99" s="76" t="s">
        <v>400</v>
      </c>
      <c r="F99" s="61"/>
      <c r="G99" s="61"/>
      <c r="H99" s="61"/>
      <c r="I99" s="61"/>
      <c r="J99" s="61"/>
      <c r="K99" s="61"/>
      <c r="L99" s="61"/>
      <c r="M99" s="61"/>
      <c r="N99" s="104" t="str">
        <f t="shared" si="9"/>
        <v>[** NO ZONE **]</v>
      </c>
      <c r="O99" s="104" t="str">
        <f t="shared" si="10"/>
        <v>[** NO ZONE **]</v>
      </c>
      <c r="P99" s="76" t="s">
        <v>400</v>
      </c>
      <c r="Q99" s="61"/>
      <c r="R99" s="76" t="s">
        <v>400</v>
      </c>
      <c r="S99" s="76" t="s">
        <v>400</v>
      </c>
      <c r="T99" s="76" t="s">
        <v>293</v>
      </c>
      <c r="U99" s="61"/>
      <c r="V99" s="61"/>
      <c r="W99" s="61"/>
      <c r="X99" s="76" t="s">
        <v>302</v>
      </c>
      <c r="Y99" s="76" t="s">
        <v>400</v>
      </c>
      <c r="Z99" s="61"/>
      <c r="AA99" s="61"/>
      <c r="AB99" s="61"/>
    </row>
    <row r="100" spans="1:28" ht="16" x14ac:dyDescent="0.2">
      <c r="A100" s="61"/>
      <c r="B100" s="124">
        <v>91</v>
      </c>
      <c r="C100" s="76" t="s">
        <v>400</v>
      </c>
      <c r="D100" s="76"/>
      <c r="E100" s="76" t="s">
        <v>400</v>
      </c>
      <c r="F100" s="61"/>
      <c r="G100" s="61"/>
      <c r="H100" s="61"/>
      <c r="I100" s="61"/>
      <c r="J100" s="61"/>
      <c r="K100" s="61"/>
      <c r="L100" s="61"/>
      <c r="M100" s="61"/>
      <c r="N100" s="104" t="str">
        <f t="shared" si="9"/>
        <v>[** NO ZONE **]</v>
      </c>
      <c r="O100" s="104" t="str">
        <f t="shared" si="10"/>
        <v>[** NO ZONE **]</v>
      </c>
      <c r="P100" s="76" t="s">
        <v>400</v>
      </c>
      <c r="Q100" s="61"/>
      <c r="R100" s="76" t="s">
        <v>400</v>
      </c>
      <c r="S100" s="76" t="s">
        <v>400</v>
      </c>
      <c r="T100" s="76" t="s">
        <v>293</v>
      </c>
      <c r="U100" s="61"/>
      <c r="V100" s="61"/>
      <c r="W100" s="61"/>
      <c r="X100" s="76" t="s">
        <v>302</v>
      </c>
      <c r="Y100" s="76" t="s">
        <v>400</v>
      </c>
      <c r="Z100" s="61"/>
      <c r="AA100" s="61"/>
      <c r="AB100" s="61"/>
    </row>
    <row r="101" spans="1:28" ht="16" x14ac:dyDescent="0.2">
      <c r="A101" s="61"/>
      <c r="B101" s="124">
        <v>92</v>
      </c>
      <c r="C101" s="76" t="s">
        <v>400</v>
      </c>
      <c r="D101" s="76"/>
      <c r="E101" s="76" t="s">
        <v>400</v>
      </c>
      <c r="F101" s="61"/>
      <c r="G101" s="61"/>
      <c r="H101" s="61"/>
      <c r="I101" s="61"/>
      <c r="J101" s="61"/>
      <c r="K101" s="61"/>
      <c r="L101" s="61"/>
      <c r="M101" s="61"/>
      <c r="N101" s="104" t="str">
        <f t="shared" si="9"/>
        <v>[** NO ZONE **]</v>
      </c>
      <c r="O101" s="104" t="str">
        <f t="shared" si="10"/>
        <v>[** NO ZONE **]</v>
      </c>
      <c r="P101" s="76" t="s">
        <v>400</v>
      </c>
      <c r="Q101" s="61"/>
      <c r="R101" s="76" t="s">
        <v>400</v>
      </c>
      <c r="S101" s="76" t="s">
        <v>400</v>
      </c>
      <c r="T101" s="76" t="s">
        <v>293</v>
      </c>
      <c r="U101" s="61"/>
      <c r="V101" s="61"/>
      <c r="W101" s="61"/>
      <c r="X101" s="76" t="s">
        <v>302</v>
      </c>
      <c r="Y101" s="76" t="s">
        <v>400</v>
      </c>
      <c r="Z101" s="61"/>
      <c r="AA101" s="61"/>
      <c r="AB101" s="61"/>
    </row>
    <row r="102" spans="1:28" ht="16" x14ac:dyDescent="0.2">
      <c r="A102" s="61"/>
      <c r="B102" s="124">
        <v>93</v>
      </c>
      <c r="C102" s="76" t="s">
        <v>400</v>
      </c>
      <c r="D102" s="76"/>
      <c r="E102" s="76" t="s">
        <v>400</v>
      </c>
      <c r="F102" s="61"/>
      <c r="G102" s="61"/>
      <c r="H102" s="61"/>
      <c r="I102" s="61"/>
      <c r="J102" s="61"/>
      <c r="K102" s="61"/>
      <c r="L102" s="61"/>
      <c r="M102" s="61"/>
      <c r="N102" s="104" t="str">
        <f t="shared" si="9"/>
        <v>[** NO ZONE **]</v>
      </c>
      <c r="O102" s="104" t="str">
        <f t="shared" si="10"/>
        <v>[** NO ZONE **]</v>
      </c>
      <c r="P102" s="76" t="s">
        <v>400</v>
      </c>
      <c r="Q102" s="61"/>
      <c r="R102" s="76" t="s">
        <v>400</v>
      </c>
      <c r="S102" s="76" t="s">
        <v>400</v>
      </c>
      <c r="T102" s="76" t="s">
        <v>293</v>
      </c>
      <c r="U102" s="61"/>
      <c r="V102" s="61"/>
      <c r="W102" s="61"/>
      <c r="X102" s="76" t="s">
        <v>302</v>
      </c>
      <c r="Y102" s="76" t="s">
        <v>400</v>
      </c>
      <c r="Z102" s="61"/>
      <c r="AA102" s="61"/>
      <c r="AB102" s="61"/>
    </row>
    <row r="103" spans="1:28" ht="16" x14ac:dyDescent="0.2">
      <c r="A103" s="61"/>
      <c r="B103" s="124">
        <v>94</v>
      </c>
      <c r="C103" s="76" t="s">
        <v>400</v>
      </c>
      <c r="D103" s="76"/>
      <c r="E103" s="76" t="s">
        <v>400</v>
      </c>
      <c r="F103" s="61"/>
      <c r="G103" s="61"/>
      <c r="H103" s="61"/>
      <c r="I103" s="61"/>
      <c r="J103" s="61"/>
      <c r="K103" s="61"/>
      <c r="L103" s="61"/>
      <c r="M103" s="61"/>
      <c r="N103" s="104" t="str">
        <f t="shared" si="9"/>
        <v>[** NO ZONE **]</v>
      </c>
      <c r="O103" s="104" t="str">
        <f t="shared" si="10"/>
        <v>[** NO ZONE **]</v>
      </c>
      <c r="P103" s="76" t="s">
        <v>400</v>
      </c>
      <c r="Q103" s="61"/>
      <c r="R103" s="76" t="s">
        <v>400</v>
      </c>
      <c r="S103" s="76" t="s">
        <v>400</v>
      </c>
      <c r="T103" s="76" t="s">
        <v>293</v>
      </c>
      <c r="U103" s="61"/>
      <c r="V103" s="61"/>
      <c r="W103" s="61"/>
      <c r="X103" s="76" t="s">
        <v>302</v>
      </c>
      <c r="Y103" s="76" t="s">
        <v>400</v>
      </c>
      <c r="Z103" s="61"/>
      <c r="AA103" s="61"/>
      <c r="AB103" s="61"/>
    </row>
    <row r="104" spans="1:28" ht="16" x14ac:dyDescent="0.2">
      <c r="A104" s="61"/>
      <c r="B104" s="124">
        <v>95</v>
      </c>
      <c r="C104" s="76" t="s">
        <v>400</v>
      </c>
      <c r="D104" s="76"/>
      <c r="E104" s="76" t="s">
        <v>400</v>
      </c>
      <c r="F104" s="61"/>
      <c r="G104" s="61"/>
      <c r="H104" s="61"/>
      <c r="I104" s="61"/>
      <c r="J104" s="61"/>
      <c r="K104" s="61"/>
      <c r="L104" s="61"/>
      <c r="M104" s="61"/>
      <c r="N104" s="104" t="str">
        <f t="shared" si="9"/>
        <v>[** NO ZONE **]</v>
      </c>
      <c r="O104" s="104" t="str">
        <f t="shared" si="10"/>
        <v>[** NO ZONE **]</v>
      </c>
      <c r="P104" s="76" t="s">
        <v>400</v>
      </c>
      <c r="Q104" s="61"/>
      <c r="R104" s="76" t="s">
        <v>400</v>
      </c>
      <c r="S104" s="76" t="s">
        <v>400</v>
      </c>
      <c r="T104" s="76" t="s">
        <v>293</v>
      </c>
      <c r="U104" s="61"/>
      <c r="V104" s="61"/>
      <c r="W104" s="61"/>
      <c r="X104" s="76" t="s">
        <v>302</v>
      </c>
      <c r="Y104" s="76" t="s">
        <v>400</v>
      </c>
      <c r="Z104" s="61"/>
      <c r="AA104" s="61"/>
      <c r="AB104" s="61"/>
    </row>
    <row r="105" spans="1:28" ht="16" x14ac:dyDescent="0.2">
      <c r="A105" s="61"/>
      <c r="B105" s="124">
        <v>96</v>
      </c>
      <c r="C105" s="76" t="s">
        <v>400</v>
      </c>
      <c r="D105" s="76"/>
      <c r="E105" s="76" t="s">
        <v>400</v>
      </c>
      <c r="F105" s="61"/>
      <c r="G105" s="61"/>
      <c r="H105" s="61"/>
      <c r="I105" s="61"/>
      <c r="J105" s="61"/>
      <c r="K105" s="61"/>
      <c r="L105" s="61"/>
      <c r="M105" s="61"/>
      <c r="N105" s="104" t="str">
        <f t="shared" si="9"/>
        <v>[** NO ZONE **]</v>
      </c>
      <c r="O105" s="104" t="str">
        <f t="shared" si="10"/>
        <v>[** NO ZONE **]</v>
      </c>
      <c r="P105" s="76" t="s">
        <v>400</v>
      </c>
      <c r="Q105" s="61"/>
      <c r="R105" s="76" t="s">
        <v>400</v>
      </c>
      <c r="S105" s="76" t="s">
        <v>400</v>
      </c>
      <c r="T105" s="76" t="s">
        <v>293</v>
      </c>
      <c r="U105" s="61"/>
      <c r="V105" s="61"/>
      <c r="W105" s="61"/>
      <c r="X105" s="76" t="s">
        <v>302</v>
      </c>
      <c r="Y105" s="76" t="s">
        <v>400</v>
      </c>
      <c r="Z105" s="61"/>
      <c r="AA105" s="61"/>
      <c r="AB105" s="61"/>
    </row>
    <row r="106" spans="1:28" ht="16" x14ac:dyDescent="0.2">
      <c r="A106" s="61"/>
      <c r="B106" s="124">
        <v>97</v>
      </c>
      <c r="C106" s="76" t="s">
        <v>400</v>
      </c>
      <c r="D106" s="76"/>
      <c r="E106" s="76" t="s">
        <v>400</v>
      </c>
      <c r="F106" s="61"/>
      <c r="G106" s="61"/>
      <c r="H106" s="61"/>
      <c r="I106" s="61"/>
      <c r="J106" s="61"/>
      <c r="K106" s="61"/>
      <c r="L106" s="61"/>
      <c r="M106" s="61"/>
      <c r="N106" s="104" t="str">
        <f t="shared" si="9"/>
        <v>[** NO ZONE **]</v>
      </c>
      <c r="O106" s="104" t="str">
        <f t="shared" si="10"/>
        <v>[** NO ZONE **]</v>
      </c>
      <c r="P106" s="76" t="s">
        <v>400</v>
      </c>
      <c r="Q106" s="61"/>
      <c r="R106" s="76" t="s">
        <v>400</v>
      </c>
      <c r="S106" s="76" t="s">
        <v>400</v>
      </c>
      <c r="T106" s="76" t="s">
        <v>293</v>
      </c>
      <c r="U106" s="61"/>
      <c r="V106" s="61"/>
      <c r="W106" s="61"/>
      <c r="X106" s="76" t="s">
        <v>302</v>
      </c>
      <c r="Y106" s="76" t="s">
        <v>400</v>
      </c>
      <c r="Z106" s="61"/>
      <c r="AA106" s="61"/>
      <c r="AB106" s="61"/>
    </row>
    <row r="107" spans="1:28" ht="16" x14ac:dyDescent="0.2">
      <c r="A107" s="61"/>
      <c r="B107" s="124">
        <v>98</v>
      </c>
      <c r="C107" s="76" t="s">
        <v>400</v>
      </c>
      <c r="D107" s="76"/>
      <c r="E107" s="76" t="s">
        <v>400</v>
      </c>
      <c r="F107" s="61"/>
      <c r="G107" s="61"/>
      <c r="H107" s="61"/>
      <c r="I107" s="61"/>
      <c r="J107" s="61"/>
      <c r="K107" s="61"/>
      <c r="L107" s="61"/>
      <c r="M107" s="61"/>
      <c r="N107" s="104" t="str">
        <f t="shared" si="9"/>
        <v>[** NO ZONE **]</v>
      </c>
      <c r="O107" s="104" t="str">
        <f t="shared" si="10"/>
        <v>[** NO ZONE **]</v>
      </c>
      <c r="P107" s="76" t="s">
        <v>400</v>
      </c>
      <c r="Q107" s="61"/>
      <c r="R107" s="76" t="s">
        <v>400</v>
      </c>
      <c r="S107" s="76" t="s">
        <v>400</v>
      </c>
      <c r="T107" s="76" t="s">
        <v>293</v>
      </c>
      <c r="U107" s="61"/>
      <c r="V107" s="61"/>
      <c r="W107" s="61"/>
      <c r="X107" s="76" t="s">
        <v>302</v>
      </c>
      <c r="Y107" s="76" t="s">
        <v>400</v>
      </c>
      <c r="Z107" s="61"/>
      <c r="AA107" s="61"/>
      <c r="AB107" s="61"/>
    </row>
    <row r="108" spans="1:28" ht="16" x14ac:dyDescent="0.2">
      <c r="A108" s="61"/>
      <c r="B108" s="124">
        <v>99</v>
      </c>
      <c r="C108" s="76" t="s">
        <v>400</v>
      </c>
      <c r="D108" s="76"/>
      <c r="E108" s="76" t="s">
        <v>400</v>
      </c>
      <c r="F108" s="61"/>
      <c r="G108" s="61"/>
      <c r="H108" s="61"/>
      <c r="I108" s="61"/>
      <c r="J108" s="61"/>
      <c r="K108" s="61"/>
      <c r="L108" s="61"/>
      <c r="M108" s="61"/>
      <c r="N108" s="104" t="str">
        <f t="shared" si="9"/>
        <v>[** NO ZONE **]</v>
      </c>
      <c r="O108" s="104" t="str">
        <f t="shared" si="10"/>
        <v>[** NO ZONE **]</v>
      </c>
      <c r="P108" s="76" t="s">
        <v>400</v>
      </c>
      <c r="Q108" s="61"/>
      <c r="R108" s="76" t="s">
        <v>400</v>
      </c>
      <c r="S108" s="76" t="s">
        <v>400</v>
      </c>
      <c r="T108" s="76" t="s">
        <v>293</v>
      </c>
      <c r="U108" s="61"/>
      <c r="V108" s="61"/>
      <c r="W108" s="61"/>
      <c r="X108" s="76" t="s">
        <v>302</v>
      </c>
      <c r="Y108" s="76" t="s">
        <v>400</v>
      </c>
      <c r="Z108" s="61"/>
      <c r="AA108" s="61"/>
      <c r="AB108" s="61"/>
    </row>
    <row r="109" spans="1:28" ht="16" x14ac:dyDescent="0.2">
      <c r="A109" s="61"/>
      <c r="B109" s="124">
        <v>100</v>
      </c>
      <c r="C109" s="76" t="s">
        <v>400</v>
      </c>
      <c r="D109" s="76"/>
      <c r="E109" s="76" t="s">
        <v>400</v>
      </c>
      <c r="F109" s="61"/>
      <c r="G109" s="61"/>
      <c r="H109" s="61"/>
      <c r="I109" s="61"/>
      <c r="J109" s="61"/>
      <c r="K109" s="61"/>
      <c r="L109" s="61"/>
      <c r="M109" s="61"/>
      <c r="N109" s="104" t="str">
        <f t="shared" si="9"/>
        <v>[** NO ZONE **]</v>
      </c>
      <c r="O109" s="104" t="str">
        <f t="shared" si="10"/>
        <v>[** NO ZONE **]</v>
      </c>
      <c r="P109" s="76" t="s">
        <v>400</v>
      </c>
      <c r="Q109" s="61"/>
      <c r="R109" s="76" t="s">
        <v>400</v>
      </c>
      <c r="S109" s="76" t="s">
        <v>400</v>
      </c>
      <c r="T109" s="76" t="s">
        <v>293</v>
      </c>
      <c r="U109" s="61"/>
      <c r="V109" s="61"/>
      <c r="W109" s="61"/>
      <c r="X109" s="76" t="s">
        <v>302</v>
      </c>
      <c r="Y109" s="76" t="s">
        <v>400</v>
      </c>
      <c r="Z109" s="61"/>
      <c r="AA109" s="61"/>
      <c r="AB109" s="61"/>
    </row>
    <row r="110" spans="1:28" x14ac:dyDescent="0.2">
      <c r="B110" s="55" t="s">
        <v>453</v>
      </c>
      <c r="D110" s="2"/>
      <c r="P110" s="2"/>
      <c r="Q110" s="2"/>
    </row>
    <row r="111" spans="1:28" x14ac:dyDescent="0.2">
      <c r="D111" s="2"/>
      <c r="P111" s="2"/>
      <c r="Q111" s="2"/>
    </row>
    <row r="112" spans="1:28" x14ac:dyDescent="0.2">
      <c r="D112" s="2"/>
      <c r="P112" s="2"/>
      <c r="Q112" s="2"/>
    </row>
    <row r="113" spans="4:17" x14ac:dyDescent="0.2">
      <c r="D113" s="2"/>
      <c r="P113" s="2"/>
      <c r="Q113" s="2"/>
    </row>
    <row r="114" spans="4:17" x14ac:dyDescent="0.2">
      <c r="D114" s="2"/>
      <c r="P114" s="2"/>
      <c r="Q114" s="2"/>
    </row>
    <row r="115" spans="4:17" x14ac:dyDescent="0.2">
      <c r="D115" s="2"/>
      <c r="P115" s="2"/>
      <c r="Q115" s="2"/>
    </row>
    <row r="116" spans="4:17" x14ac:dyDescent="0.2">
      <c r="D116" s="2"/>
      <c r="J116" s="109"/>
      <c r="M116" s="109"/>
      <c r="P116" s="2"/>
      <c r="Q116" s="2"/>
    </row>
    <row r="117" spans="4:17" x14ac:dyDescent="0.2">
      <c r="D117" s="2"/>
      <c r="P117" s="2"/>
      <c r="Q117" s="2"/>
    </row>
    <row r="118" spans="4:17" x14ac:dyDescent="0.2">
      <c r="P118" s="2"/>
      <c r="Q118" s="2"/>
    </row>
  </sheetData>
  <autoFilter ref="A6:AB110" xr:uid="{AFCE0E7E-07E8-4AF7-904C-E559DAEA5DCB}"/>
  <mergeCells count="2">
    <mergeCell ref="L3:M3"/>
    <mergeCell ref="B5:F5"/>
  </mergeCells>
  <conditionalFormatting sqref="A46:AB46 F19:AB27 F28:O28 R28:AB28 A7:C40 D7:D37 F29:AB34 A42:B44 A45:O45 U45:AB45 E7:E40 A50:AB109 A47:E47 K47:O47 R47:AB47">
    <cfRule type="containsText" dxfId="401" priority="142" operator="containsText" text="check">
      <formula>NOT(ISERROR(SEARCH("check",A7)))</formula>
    </cfRule>
    <cfRule type="cellIs" dxfId="400" priority="143" operator="equal">
      <formula>"???"</formula>
    </cfRule>
  </conditionalFormatting>
  <conditionalFormatting sqref="C45:C47 C7:C40 C50:C109">
    <cfRule type="cellIs" dxfId="399" priority="140" operator="equal">
      <formula>"TMO"</formula>
    </cfRule>
    <cfRule type="cellIs" dxfId="398" priority="141" operator="equal">
      <formula>"FMO"</formula>
    </cfRule>
  </conditionalFormatting>
  <conditionalFormatting sqref="R46:R47 R7:R40 R50:R109">
    <cfRule type="containsText" dxfId="397" priority="139" operator="containsText" text="SI">
      <formula>NOT(ISERROR(SEARCH("SI",R7)))</formula>
    </cfRule>
  </conditionalFormatting>
  <conditionalFormatting sqref="T46:T47 T7:T40 T50:T109">
    <cfRule type="cellIs" dxfId="396" priority="138" operator="equal">
      <formula>"Yes"</formula>
    </cfRule>
  </conditionalFormatting>
  <conditionalFormatting sqref="D39:D40 F35:G35 N36:Z36 K35:Z35 F18 H18:Z18 F36:J36 AA13:AB18 AA35:AB36 F13:Z17 F37:AB40 F7:AB12">
    <cfRule type="containsText" dxfId="395" priority="136" operator="containsText" text="check">
      <formula>NOT(ISERROR(SEARCH("check",D7)))</formula>
    </cfRule>
    <cfRule type="cellIs" dxfId="394" priority="137" operator="equal">
      <formula>"???"</formula>
    </cfRule>
  </conditionalFormatting>
  <conditionalFormatting sqref="D38">
    <cfRule type="containsText" dxfId="393" priority="106" operator="containsText" text="check">
      <formula>NOT(ISERROR(SEARCH("check",D38)))</formula>
    </cfRule>
    <cfRule type="cellIs" dxfId="392" priority="107" operator="equal">
      <formula>"???"</formula>
    </cfRule>
  </conditionalFormatting>
  <conditionalFormatting sqref="H35">
    <cfRule type="containsText" dxfId="391" priority="104" operator="containsText" text="check">
      <formula>NOT(ISERROR(SEARCH("check",H35)))</formula>
    </cfRule>
    <cfRule type="cellIs" dxfId="390" priority="105" operator="equal">
      <formula>"???"</formula>
    </cfRule>
  </conditionalFormatting>
  <conditionalFormatting sqref="K36">
    <cfRule type="containsText" dxfId="389" priority="102" operator="containsText" text="check">
      <formula>NOT(ISERROR(SEARCH("check",K36)))</formula>
    </cfRule>
    <cfRule type="cellIs" dxfId="388" priority="103" operator="equal">
      <formula>"???"</formula>
    </cfRule>
  </conditionalFormatting>
  <conditionalFormatting sqref="I35:J35">
    <cfRule type="containsText" dxfId="387" priority="100" operator="containsText" text="check">
      <formula>NOT(ISERROR(SEARCH("check",I35)))</formula>
    </cfRule>
    <cfRule type="cellIs" dxfId="386" priority="101" operator="equal">
      <formula>"???"</formula>
    </cfRule>
  </conditionalFormatting>
  <conditionalFormatting sqref="L36:M36">
    <cfRule type="containsText" dxfId="385" priority="98" operator="containsText" text="check">
      <formula>NOT(ISERROR(SEARCH("check",L36)))</formula>
    </cfRule>
    <cfRule type="cellIs" dxfId="384" priority="99" operator="equal">
      <formula>"???"</formula>
    </cfRule>
  </conditionalFormatting>
  <conditionalFormatting sqref="G18">
    <cfRule type="containsText" dxfId="383" priority="96" operator="containsText" text="check">
      <formula>NOT(ISERROR(SEARCH("check",G18)))</formula>
    </cfRule>
    <cfRule type="cellIs" dxfId="382" priority="97" operator="equal">
      <formula>"???"</formula>
    </cfRule>
  </conditionalFormatting>
  <conditionalFormatting sqref="A41:AB41">
    <cfRule type="containsText" dxfId="381" priority="94" operator="containsText" text="check">
      <formula>NOT(ISERROR(SEARCH("check",A41)))</formula>
    </cfRule>
    <cfRule type="cellIs" dxfId="380" priority="95" operator="equal">
      <formula>"???"</formula>
    </cfRule>
  </conditionalFormatting>
  <conditionalFormatting sqref="C41">
    <cfRule type="cellIs" dxfId="379" priority="92" operator="equal">
      <formula>"TMO"</formula>
    </cfRule>
    <cfRule type="cellIs" dxfId="378" priority="93" operator="equal">
      <formula>"FMO"</formula>
    </cfRule>
  </conditionalFormatting>
  <conditionalFormatting sqref="R41">
    <cfRule type="containsText" dxfId="377" priority="91" operator="containsText" text="SI">
      <formula>NOT(ISERROR(SEARCH("SI",R41)))</formula>
    </cfRule>
  </conditionalFormatting>
  <conditionalFormatting sqref="T41">
    <cfRule type="cellIs" dxfId="376" priority="90" operator="equal">
      <formula>"Yes"</formula>
    </cfRule>
  </conditionalFormatting>
  <conditionalFormatting sqref="P28">
    <cfRule type="containsText" dxfId="375" priority="88" operator="containsText" text="check">
      <formula>NOT(ISERROR(SEARCH("check",P28)))</formula>
    </cfRule>
    <cfRule type="cellIs" dxfId="374" priority="89" operator="equal">
      <formula>"???"</formula>
    </cfRule>
  </conditionalFormatting>
  <conditionalFormatting sqref="Q28">
    <cfRule type="containsText" dxfId="373" priority="86" operator="containsText" text="check">
      <formula>NOT(ISERROR(SEARCH("check",Q28)))</formula>
    </cfRule>
    <cfRule type="cellIs" dxfId="372" priority="87" operator="equal">
      <formula>"???"</formula>
    </cfRule>
  </conditionalFormatting>
  <conditionalFormatting sqref="N43:O43 Q43 P42:P43 T43:X43 X42 Z43:AA43 D44:E44">
    <cfRule type="containsText" dxfId="371" priority="84" operator="containsText" text="check">
      <formula>NOT(ISERROR(SEARCH("check",D42)))</formula>
    </cfRule>
    <cfRule type="cellIs" dxfId="370" priority="85" operator="equal">
      <formula>"???"</formula>
    </cfRule>
  </conditionalFormatting>
  <conditionalFormatting sqref="T43">
    <cfRule type="cellIs" dxfId="369" priority="83" operator="equal">
      <formula>"Yes"</formula>
    </cfRule>
  </conditionalFormatting>
  <conditionalFormatting sqref="F42:G42 N42:O42 Q42:W42 R43:S43 Y42:AB42 Y43">
    <cfRule type="containsText" dxfId="368" priority="81" operator="containsText" text="check">
      <formula>NOT(ISERROR(SEARCH("check",F42)))</formula>
    </cfRule>
    <cfRule type="cellIs" dxfId="367" priority="82" operator="equal">
      <formula>"???"</formula>
    </cfRule>
  </conditionalFormatting>
  <conditionalFormatting sqref="R42:R43">
    <cfRule type="containsText" dxfId="366" priority="80" operator="containsText" text="SI">
      <formula>NOT(ISERROR(SEARCH("SI",R42)))</formula>
    </cfRule>
  </conditionalFormatting>
  <conditionalFormatting sqref="T42">
    <cfRule type="cellIs" dxfId="365" priority="79" operator="equal">
      <formula>"Yes"</formula>
    </cfRule>
  </conditionalFormatting>
  <conditionalFormatting sqref="C42:C44">
    <cfRule type="containsText" dxfId="364" priority="77" operator="containsText" text="check">
      <formula>NOT(ISERROR(SEARCH("check",C42)))</formula>
    </cfRule>
    <cfRule type="cellIs" dxfId="363" priority="78" operator="equal">
      <formula>"???"</formula>
    </cfRule>
  </conditionalFormatting>
  <conditionalFormatting sqref="C42:C44">
    <cfRule type="cellIs" dxfId="362" priority="75" operator="equal">
      <formula>"TMO"</formula>
    </cfRule>
    <cfRule type="cellIs" dxfId="361" priority="76" operator="equal">
      <formula>"FMO"</formula>
    </cfRule>
  </conditionalFormatting>
  <conditionalFormatting sqref="E42:E43">
    <cfRule type="containsText" dxfId="360" priority="73" operator="containsText" text="check">
      <formula>NOT(ISERROR(SEARCH("check",E42)))</formula>
    </cfRule>
    <cfRule type="cellIs" dxfId="359" priority="74" operator="equal">
      <formula>"???"</formula>
    </cfRule>
  </conditionalFormatting>
  <conditionalFormatting sqref="H42">
    <cfRule type="containsText" dxfId="358" priority="71" operator="containsText" text="check">
      <formula>NOT(ISERROR(SEARCH("check",H42)))</formula>
    </cfRule>
    <cfRule type="cellIs" dxfId="357" priority="72" operator="equal">
      <formula>"???"</formula>
    </cfRule>
  </conditionalFormatting>
  <conditionalFormatting sqref="D42:D43">
    <cfRule type="containsText" dxfId="356" priority="67" operator="containsText" text="check">
      <formula>NOT(ISERROR(SEARCH("check",D42)))</formula>
    </cfRule>
    <cfRule type="cellIs" dxfId="355" priority="68" operator="equal">
      <formula>"???"</formula>
    </cfRule>
  </conditionalFormatting>
  <conditionalFormatting sqref="F43">
    <cfRule type="containsText" dxfId="354" priority="65" operator="containsText" text="check">
      <formula>NOT(ISERROR(SEARCH("check",F43)))</formula>
    </cfRule>
    <cfRule type="cellIs" dxfId="353" priority="66" operator="equal">
      <formula>"???"</formula>
    </cfRule>
  </conditionalFormatting>
  <conditionalFormatting sqref="G43">
    <cfRule type="containsText" dxfId="352" priority="63" operator="containsText" text="check">
      <formula>NOT(ISERROR(SEARCH("check",G43)))</formula>
    </cfRule>
    <cfRule type="cellIs" dxfId="351" priority="64" operator="equal">
      <formula>"???"</formula>
    </cfRule>
  </conditionalFormatting>
  <conditionalFormatting sqref="K43">
    <cfRule type="containsText" dxfId="350" priority="61" operator="containsText" text="check">
      <formula>NOT(ISERROR(SEARCH("check",K43)))</formula>
    </cfRule>
    <cfRule type="cellIs" dxfId="349" priority="62" operator="equal">
      <formula>"???"</formula>
    </cfRule>
  </conditionalFormatting>
  <conditionalFormatting sqref="AB43">
    <cfRule type="containsText" dxfId="348" priority="57" operator="containsText" text="check">
      <formula>NOT(ISERROR(SEARCH("check",AB43)))</formula>
    </cfRule>
    <cfRule type="cellIs" dxfId="347" priority="58" operator="equal">
      <formula>"???"</formula>
    </cfRule>
  </conditionalFormatting>
  <conditionalFormatting sqref="X44">
    <cfRule type="containsText" dxfId="346" priority="55" operator="containsText" text="check">
      <formula>NOT(ISERROR(SEARCH("check",X44)))</formula>
    </cfRule>
    <cfRule type="cellIs" dxfId="345" priority="56" operator="equal">
      <formula>"???"</formula>
    </cfRule>
  </conditionalFormatting>
  <conditionalFormatting sqref="F44:G44 N44:O44 R44:W44 Y44:AB44">
    <cfRule type="containsText" dxfId="344" priority="53" operator="containsText" text="check">
      <formula>NOT(ISERROR(SEARCH("check",F44)))</formula>
    </cfRule>
    <cfRule type="cellIs" dxfId="343" priority="54" operator="equal">
      <formula>"???"</formula>
    </cfRule>
  </conditionalFormatting>
  <conditionalFormatting sqref="R44">
    <cfRule type="containsText" dxfId="342" priority="52" operator="containsText" text="SI">
      <formula>NOT(ISERROR(SEARCH("SI",R44)))</formula>
    </cfRule>
  </conditionalFormatting>
  <conditionalFormatting sqref="T44">
    <cfRule type="cellIs" dxfId="341" priority="51" operator="equal">
      <formula>"Yes"</formula>
    </cfRule>
  </conditionalFormatting>
  <conditionalFormatting sqref="H44">
    <cfRule type="containsText" dxfId="340" priority="49" operator="containsText" text="check">
      <formula>NOT(ISERROR(SEARCH("check",H44)))</formula>
    </cfRule>
    <cfRule type="cellIs" dxfId="339" priority="50" operator="equal">
      <formula>"???"</formula>
    </cfRule>
  </conditionalFormatting>
  <conditionalFormatting sqref="P44:Q44">
    <cfRule type="containsText" dxfId="338" priority="45" operator="containsText" text="check">
      <formula>NOT(ISERROR(SEARCH("check",P44)))</formula>
    </cfRule>
    <cfRule type="cellIs" dxfId="337" priority="46" operator="equal">
      <formula>"???"</formula>
    </cfRule>
  </conditionalFormatting>
  <conditionalFormatting sqref="K42:M42">
    <cfRule type="containsText" dxfId="336" priority="43" operator="containsText" text="check">
      <formula>NOT(ISERROR(SEARCH("check",K42)))</formula>
    </cfRule>
    <cfRule type="cellIs" dxfId="335" priority="44" operator="equal">
      <formula>"???"</formula>
    </cfRule>
  </conditionalFormatting>
  <conditionalFormatting sqref="H43:J43">
    <cfRule type="containsText" dxfId="334" priority="41" operator="containsText" text="check">
      <formula>NOT(ISERROR(SEARCH("check",H43)))</formula>
    </cfRule>
    <cfRule type="cellIs" dxfId="333" priority="42" operator="equal">
      <formula>"???"</formula>
    </cfRule>
  </conditionalFormatting>
  <conditionalFormatting sqref="P45:T45">
    <cfRule type="containsText" dxfId="332" priority="37" operator="containsText" text="check">
      <formula>NOT(ISERROR(SEARCH("check",P45)))</formula>
    </cfRule>
    <cfRule type="cellIs" dxfId="331" priority="38" operator="equal">
      <formula>"???"</formula>
    </cfRule>
  </conditionalFormatting>
  <conditionalFormatting sqref="R45">
    <cfRule type="containsText" dxfId="330" priority="36" operator="containsText" text="SI">
      <formula>NOT(ISERROR(SEARCH("SI",R45)))</formula>
    </cfRule>
  </conditionalFormatting>
  <conditionalFormatting sqref="T45">
    <cfRule type="cellIs" dxfId="329" priority="35" operator="equal">
      <formula>"Yes"</formula>
    </cfRule>
  </conditionalFormatting>
  <conditionalFormatting sqref="E9">
    <cfRule type="containsText" dxfId="328" priority="34" operator="containsText" text="Issue">
      <formula>NOT(ISERROR(SEARCH("Issue",E9)))</formula>
    </cfRule>
  </conditionalFormatting>
  <conditionalFormatting sqref="E11">
    <cfRule type="containsText" dxfId="327" priority="32" operator="containsText" text="Test OK">
      <formula>NOT(ISERROR(SEARCH("Test OK",E11)))</formula>
    </cfRule>
  </conditionalFormatting>
  <conditionalFormatting sqref="E12">
    <cfRule type="containsText" dxfId="326" priority="31" operator="containsText" text="Issue">
      <formula>NOT(ISERROR(SEARCH("Issue",E12)))</formula>
    </cfRule>
  </conditionalFormatting>
  <conditionalFormatting sqref="E1:E47 E50:E1048576">
    <cfRule type="containsText" dxfId="325" priority="29" operator="containsText" text="Test ok">
      <formula>NOT(ISERROR(SEARCH("Test ok",E1)))</formula>
    </cfRule>
    <cfRule type="containsText" dxfId="324" priority="30" operator="containsText" text="issue">
      <formula>NOT(ISERROR(SEARCH("issue",E1)))</formula>
    </cfRule>
  </conditionalFormatting>
  <conditionalFormatting sqref="H47:J47">
    <cfRule type="containsText" dxfId="323" priority="27" operator="containsText" text="check">
      <formula>NOT(ISERROR(SEARCH("check",H47)))</formula>
    </cfRule>
    <cfRule type="cellIs" dxfId="322" priority="28" operator="equal">
      <formula>"???"</formula>
    </cfRule>
  </conditionalFormatting>
  <conditionalFormatting sqref="F47:G47">
    <cfRule type="containsText" dxfId="321" priority="25" operator="containsText" text="check">
      <formula>NOT(ISERROR(SEARCH("check",F47)))</formula>
    </cfRule>
    <cfRule type="cellIs" dxfId="320" priority="26" operator="equal">
      <formula>"???"</formula>
    </cfRule>
  </conditionalFormatting>
  <conditionalFormatting sqref="P47:Q47">
    <cfRule type="containsText" dxfId="319" priority="23" operator="containsText" text="check">
      <formula>NOT(ISERROR(SEARCH("check",P47)))</formula>
    </cfRule>
    <cfRule type="cellIs" dxfId="318" priority="24" operator="equal">
      <formula>"???"</formula>
    </cfRule>
  </conditionalFormatting>
  <conditionalFormatting sqref="A48:J48 N48:AB48">
    <cfRule type="containsText" dxfId="317" priority="21" operator="containsText" text="check">
      <formula>NOT(ISERROR(SEARCH("check",A48)))</formula>
    </cfRule>
    <cfRule type="cellIs" dxfId="316" priority="22" operator="equal">
      <formula>"???"</formula>
    </cfRule>
  </conditionalFormatting>
  <conditionalFormatting sqref="C48">
    <cfRule type="cellIs" dxfId="315" priority="19" operator="equal">
      <formula>"TMO"</formula>
    </cfRule>
    <cfRule type="cellIs" dxfId="314" priority="20" operator="equal">
      <formula>"FMO"</formula>
    </cfRule>
  </conditionalFormatting>
  <conditionalFormatting sqref="R48">
    <cfRule type="containsText" dxfId="313" priority="18" operator="containsText" text="SI">
      <formula>NOT(ISERROR(SEARCH("SI",R48)))</formula>
    </cfRule>
  </conditionalFormatting>
  <conditionalFormatting sqref="T48">
    <cfRule type="cellIs" dxfId="312" priority="17" operator="equal">
      <formula>"Yes"</formula>
    </cfRule>
  </conditionalFormatting>
  <conditionalFormatting sqref="K44:M44">
    <cfRule type="containsText" dxfId="311" priority="15" operator="containsText" text="check">
      <formula>NOT(ISERROR(SEARCH("check",K44)))</formula>
    </cfRule>
    <cfRule type="cellIs" dxfId="310" priority="16" operator="equal">
      <formula>"???"</formula>
    </cfRule>
  </conditionalFormatting>
  <conditionalFormatting sqref="K48:M48">
    <cfRule type="containsText" dxfId="309" priority="13" operator="containsText" text="check">
      <formula>NOT(ISERROR(SEARCH("check",K48)))</formula>
    </cfRule>
    <cfRule type="cellIs" dxfId="308" priority="14" operator="equal">
      <formula>"???"</formula>
    </cfRule>
  </conditionalFormatting>
  <conditionalFormatting sqref="K49 R49:AB49 A49:G49 N49:O49">
    <cfRule type="containsText" dxfId="307" priority="11" operator="containsText" text="check">
      <formula>NOT(ISERROR(SEARCH("check",A49)))</formula>
    </cfRule>
    <cfRule type="cellIs" dxfId="306" priority="12" operator="equal">
      <formula>"???"</formula>
    </cfRule>
  </conditionalFormatting>
  <conditionalFormatting sqref="C49">
    <cfRule type="cellIs" dxfId="305" priority="9" operator="equal">
      <formula>"TMO"</formula>
    </cfRule>
    <cfRule type="cellIs" dxfId="304" priority="10" operator="equal">
      <formula>"FMO"</formula>
    </cfRule>
  </conditionalFormatting>
  <conditionalFormatting sqref="R49">
    <cfRule type="containsText" dxfId="303" priority="8" operator="containsText" text="SI">
      <formula>NOT(ISERROR(SEARCH("SI",R49)))</formula>
    </cfRule>
  </conditionalFormatting>
  <conditionalFormatting sqref="T49">
    <cfRule type="cellIs" dxfId="302" priority="7" operator="equal">
      <formula>"Yes"</formula>
    </cfRule>
  </conditionalFormatting>
  <conditionalFormatting sqref="P49:Q49">
    <cfRule type="containsText" dxfId="301" priority="5" operator="containsText" text="check">
      <formula>NOT(ISERROR(SEARCH("check",P49)))</formula>
    </cfRule>
    <cfRule type="cellIs" dxfId="300" priority="6" operator="equal">
      <formula>"???"</formula>
    </cfRule>
  </conditionalFormatting>
  <conditionalFormatting sqref="H49:J49">
    <cfRule type="containsText" dxfId="299" priority="3" operator="containsText" text="check">
      <formula>NOT(ISERROR(SEARCH("check",H49)))</formula>
    </cfRule>
    <cfRule type="cellIs" dxfId="298" priority="4" operator="equal">
      <formula>"???"</formula>
    </cfRule>
  </conditionalFormatting>
  <conditionalFormatting sqref="L49:M49">
    <cfRule type="containsText" dxfId="297" priority="1" operator="containsText" text="check">
      <formula>NOT(ISERROR(SEARCH("check",L49)))</formula>
    </cfRule>
    <cfRule type="cellIs" dxfId="296" priority="2" operator="equal">
      <formula>"???"</formula>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33" operator="containsText" id="{80B052CC-08AD-4624-A875-16357D8B535F}">
            <xm:f>NOT(ISERROR(SEARCH($B$11,E11)))</xm:f>
            <xm:f>$B$11</xm:f>
            <x14:dxf>
              <font>
                <color rgb="FF006100"/>
              </font>
              <fill>
                <patternFill>
                  <bgColor rgb="FFC6EFCE"/>
                </patternFill>
              </fill>
            </x14:dxf>
          </x14:cfRule>
          <xm:sqref>E11</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87CB0256-B0DD-4552-B492-39F13161FFA6}">
          <x14:formula1>
            <xm:f>Tables!$B$7:$B$10</xm:f>
          </x14:formula1>
          <xm:sqref>T41 T43 T45:T109</xm:sqref>
        </x14:dataValidation>
        <x14:dataValidation type="list" allowBlank="1" showInputMessage="1" showErrorMessage="1" xr:uid="{FE590CF4-2A81-49A2-A66C-1546D8A47566}">
          <x14:formula1>
            <xm:f>Tables!$J$7:$J$19</xm:f>
          </x14:formula1>
          <xm:sqref>R41 R45:R109</xm:sqref>
        </x14:dataValidation>
        <x14:dataValidation type="list" allowBlank="1" showInputMessage="1" showErrorMessage="1" xr:uid="{0D35085D-DFF9-421B-B491-A59EC02319C5}">
          <x14:formula1>
            <xm:f>Tables!$D$7:$D$10</xm:f>
          </x14:formula1>
          <xm:sqref>S41 S45:S109</xm:sqref>
        </x14:dataValidation>
        <x14:dataValidation type="list" allowBlank="1" showInputMessage="1" showErrorMessage="1" xr:uid="{E4F6EDE3-190E-4F5C-989C-DD7825A37DDC}">
          <x14:formula1>
            <xm:f>Tables!$E$7:$E$11</xm:f>
          </x14:formula1>
          <xm:sqref>Y41 Y45:Y109</xm:sqref>
        </x14:dataValidation>
        <x14:dataValidation type="list" allowBlank="1" showInputMessage="1" showErrorMessage="1" xr:uid="{88FB726E-6D37-468A-B978-21FE3DD47B2F}">
          <x14:formula1>
            <xm:f>Tables!$G$7:$G$11</xm:f>
          </x14:formula1>
          <xm:sqref>X41:X109</xm:sqref>
        </x14:dataValidation>
        <x14:dataValidation type="list" allowBlank="1" showInputMessage="1" showErrorMessage="1" xr:uid="{91FC7F38-ECB0-41B7-99FF-CA862BA87F2B}">
          <x14:formula1>
            <xm:f>Tables!$C$7:$C$70</xm:f>
          </x14:formula1>
          <xm:sqref>P28 P41:P43 P45:P46 P48 P50:P109</xm:sqref>
        </x14:dataValidation>
        <x14:dataValidation type="list" allowBlank="1" showInputMessage="1" showErrorMessage="1" xr:uid="{C14E0F7D-366B-4424-B8A3-778C9F2C3F86}">
          <x14:formula1>
            <xm:f>Tables!$Y$7:$Y$15</xm:f>
          </x14:formula1>
          <xm:sqref>C7:C109</xm:sqref>
        </x14:dataValidation>
        <x14:dataValidation type="list" allowBlank="1" showInputMessage="1" showErrorMessage="1" xr:uid="{0CF2C275-83D2-4255-8EED-6D89AFAB6941}">
          <x14:formula1>
            <xm:f>Tables!$L$7:$L$19</xm:f>
          </x14:formula1>
          <xm:sqref>E7:E109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5">
    <tabColor theme="4" tint="-0.499984740745262"/>
  </sheetPr>
  <dimension ref="A1:AB116"/>
  <sheetViews>
    <sheetView zoomScale="87" zoomScaleNormal="70" workbookViewId="0">
      <pane xSplit="7" ySplit="6" topLeftCell="U47" activePane="bottomRight" state="frozen"/>
      <selection pane="topRight" activeCell="H1" sqref="H1"/>
      <selection pane="bottomLeft" activeCell="A7" sqref="A7"/>
      <selection pane="bottomRight" activeCell="AA50" sqref="AA50"/>
    </sheetView>
  </sheetViews>
  <sheetFormatPr baseColWidth="10" defaultColWidth="9.1640625" defaultRowHeight="15" outlineLevelRow="1" outlineLevelCol="1" x14ac:dyDescent="0.2"/>
  <cols>
    <col min="1" max="1" width="12.33203125" style="2" customWidth="1"/>
    <col min="2" max="2" width="8.1640625" style="48" customWidth="1"/>
    <col min="3" max="3" width="10" style="10" customWidth="1"/>
    <col min="4" max="4" width="32.33203125" style="10" customWidth="1"/>
    <col min="5" max="5" width="16.1640625" style="25" customWidth="1"/>
    <col min="6" max="6" width="16.33203125" style="2" customWidth="1"/>
    <col min="7" max="7" width="17.5" style="2" customWidth="1"/>
    <col min="8" max="9" width="22.83203125" style="2" customWidth="1"/>
    <col min="10" max="10" width="20.33203125" style="2" customWidth="1"/>
    <col min="11" max="11" width="22.33203125" style="2" bestFit="1" customWidth="1"/>
    <col min="12" max="12" width="22.33203125" style="2" customWidth="1"/>
    <col min="13" max="13" width="24.33203125" style="2" bestFit="1" customWidth="1"/>
    <col min="14" max="14" width="34.5" style="2" customWidth="1"/>
    <col min="15" max="15" width="33.1640625" style="2" customWidth="1"/>
    <col min="16" max="17" width="16.33203125" style="10" customWidth="1"/>
    <col min="18" max="18" width="14.83203125" style="15" customWidth="1"/>
    <col min="19" max="19" width="19.1640625" style="2" customWidth="1"/>
    <col min="20" max="20" width="11.33203125" style="10" customWidth="1"/>
    <col min="21" max="21" width="19.1640625" style="10" customWidth="1"/>
    <col min="22" max="22" width="16.83203125" style="2" customWidth="1" outlineLevel="1"/>
    <col min="23" max="23" width="16.5" style="2" customWidth="1" outlineLevel="1"/>
    <col min="24" max="24" width="15" style="10" customWidth="1" outlineLevel="1"/>
    <col min="25" max="25" width="22" style="10" customWidth="1"/>
    <col min="26" max="26" width="21" style="2" customWidth="1"/>
    <col min="27" max="27" width="41.83203125" style="2" customWidth="1"/>
    <col min="28" max="28" width="72.5" style="2" customWidth="1"/>
    <col min="29" max="16384" width="9.1640625" style="2"/>
  </cols>
  <sheetData>
    <row r="1" spans="1:28" outlineLevel="1" x14ac:dyDescent="0.2"/>
    <row r="2" spans="1:28" ht="24.75" customHeight="1" outlineLevel="1" x14ac:dyDescent="0.2">
      <c r="B2" s="49"/>
      <c r="C2" s="8"/>
      <c r="D2" s="8"/>
      <c r="E2" s="24"/>
      <c r="F2" s="5"/>
      <c r="G2" s="5"/>
      <c r="H2" s="57" t="s">
        <v>912</v>
      </c>
      <c r="I2" s="57"/>
      <c r="J2" s="5"/>
      <c r="K2" s="5"/>
      <c r="L2" s="5"/>
      <c r="M2" s="5"/>
      <c r="N2" s="5"/>
      <c r="O2" s="5" t="s">
        <v>687</v>
      </c>
      <c r="P2" s="8"/>
      <c r="Q2" s="8"/>
      <c r="R2" s="14"/>
      <c r="S2" s="5"/>
      <c r="T2" s="8"/>
      <c r="U2" s="8"/>
      <c r="V2" s="5"/>
      <c r="W2" s="5"/>
      <c r="X2" s="8"/>
      <c r="Y2" s="8"/>
      <c r="Z2" s="5"/>
      <c r="AA2" s="5"/>
      <c r="AB2" s="5"/>
    </row>
    <row r="3" spans="1:28" ht="24" outlineLevel="1" x14ac:dyDescent="0.3">
      <c r="B3" s="49"/>
      <c r="C3" s="8"/>
      <c r="D3" s="29"/>
      <c r="E3" s="24"/>
      <c r="F3" s="5" t="s">
        <v>264</v>
      </c>
      <c r="G3" s="5" t="str">
        <f>Versioning!F29</f>
        <v>2.01</v>
      </c>
      <c r="H3" s="11" t="s">
        <v>265</v>
      </c>
      <c r="I3" s="11"/>
      <c r="J3" s="5"/>
      <c r="K3" s="5"/>
      <c r="L3" s="231" t="str">
        <f>Versioning!G6</f>
        <v>DIM-Infosphere</v>
      </c>
      <c r="M3" s="231"/>
      <c r="N3" s="8"/>
      <c r="O3" s="95" t="s">
        <v>109</v>
      </c>
      <c r="P3" s="8"/>
      <c r="Q3" s="8"/>
      <c r="R3" s="8"/>
      <c r="S3" s="5"/>
      <c r="T3" s="8"/>
      <c r="U3" s="8"/>
      <c r="V3" s="5"/>
      <c r="W3" s="5"/>
      <c r="X3" s="8"/>
      <c r="Y3" s="8"/>
      <c r="Z3" s="5"/>
      <c r="AA3" s="5"/>
      <c r="AB3" s="5"/>
    </row>
    <row r="4" spans="1:28" ht="16.5" customHeight="1" outlineLevel="1" x14ac:dyDescent="0.2">
      <c r="B4" s="49"/>
      <c r="C4" s="8"/>
      <c r="D4" s="8"/>
      <c r="E4" s="24"/>
      <c r="F4" s="5"/>
      <c r="G4" s="5"/>
      <c r="H4" s="33" t="s">
        <v>266</v>
      </c>
      <c r="I4" s="33"/>
      <c r="J4" s="5"/>
      <c r="K4" s="5"/>
      <c r="L4" s="41" t="s">
        <v>267</v>
      </c>
      <c r="M4" s="5"/>
      <c r="N4" s="41"/>
      <c r="O4" s="5"/>
      <c r="P4" s="8"/>
      <c r="Q4" s="8"/>
      <c r="R4" s="14"/>
      <c r="S4" s="5"/>
      <c r="T4" s="8"/>
      <c r="U4" s="8"/>
      <c r="V4" s="5"/>
      <c r="W4" s="5"/>
      <c r="X4" s="8"/>
      <c r="Y4" s="8"/>
      <c r="Z4" s="5"/>
      <c r="AA4" s="5"/>
      <c r="AB4" s="5"/>
    </row>
    <row r="5" spans="1:28" outlineLevel="1" x14ac:dyDescent="0.2">
      <c r="B5" s="238"/>
      <c r="C5" s="238"/>
      <c r="D5" s="238"/>
      <c r="E5" s="238"/>
      <c r="F5" s="238"/>
      <c r="J5" s="19"/>
      <c r="K5" s="19"/>
      <c r="L5" s="19"/>
      <c r="M5" s="22"/>
      <c r="N5" s="22"/>
      <c r="O5" s="22"/>
      <c r="P5" s="22"/>
      <c r="Q5" s="2"/>
    </row>
    <row r="6" spans="1:28" ht="69" customHeight="1" x14ac:dyDescent="0.2">
      <c r="A6" s="87" t="s">
        <v>688</v>
      </c>
      <c r="B6" s="89" t="s">
        <v>145</v>
      </c>
      <c r="C6" s="27" t="s">
        <v>689</v>
      </c>
      <c r="D6" s="27" t="s">
        <v>270</v>
      </c>
      <c r="E6" s="92" t="s">
        <v>690</v>
      </c>
      <c r="F6" s="1" t="s">
        <v>604</v>
      </c>
      <c r="G6" s="40" t="s">
        <v>273</v>
      </c>
      <c r="H6" s="1" t="s">
        <v>691</v>
      </c>
      <c r="I6" s="1" t="s">
        <v>692</v>
      </c>
      <c r="J6" s="1" t="s">
        <v>693</v>
      </c>
      <c r="K6" s="91" t="s">
        <v>694</v>
      </c>
      <c r="L6" s="85" t="s">
        <v>695</v>
      </c>
      <c r="M6" s="86" t="s">
        <v>279</v>
      </c>
      <c r="N6" s="20" t="s">
        <v>696</v>
      </c>
      <c r="O6" s="20" t="s">
        <v>697</v>
      </c>
      <c r="P6" s="21" t="s">
        <v>280</v>
      </c>
      <c r="Q6" s="21" t="s">
        <v>281</v>
      </c>
      <c r="R6" s="87" t="s">
        <v>698</v>
      </c>
      <c r="S6" s="80" t="s">
        <v>283</v>
      </c>
      <c r="T6" s="88" t="s">
        <v>699</v>
      </c>
      <c r="U6" s="89" t="s">
        <v>700</v>
      </c>
      <c r="V6" s="1" t="s">
        <v>284</v>
      </c>
      <c r="W6" s="1" t="s">
        <v>285</v>
      </c>
      <c r="X6" s="27" t="s">
        <v>286</v>
      </c>
      <c r="Y6" s="87" t="s">
        <v>287</v>
      </c>
      <c r="Z6" s="90" t="s">
        <v>202</v>
      </c>
      <c r="AA6" s="80" t="s">
        <v>701</v>
      </c>
      <c r="AB6" s="79" t="s">
        <v>288</v>
      </c>
    </row>
    <row r="7" spans="1:28" ht="32" x14ac:dyDescent="0.2">
      <c r="A7" s="61" t="s">
        <v>517</v>
      </c>
      <c r="B7" s="124">
        <v>1</v>
      </c>
      <c r="C7" s="76" t="s">
        <v>205</v>
      </c>
      <c r="D7" s="76" t="s">
        <v>291</v>
      </c>
      <c r="E7" s="76" t="s">
        <v>1148</v>
      </c>
      <c r="F7" s="61" t="s">
        <v>292</v>
      </c>
      <c r="G7" s="133" t="s">
        <v>703</v>
      </c>
      <c r="H7" s="61" t="s">
        <v>295</v>
      </c>
      <c r="I7" s="61" t="s">
        <v>705</v>
      </c>
      <c r="J7" s="104" t="s">
        <v>705</v>
      </c>
      <c r="K7" s="61" t="s">
        <v>518</v>
      </c>
      <c r="L7" s="61" t="s">
        <v>913</v>
      </c>
      <c r="M7" s="104" t="s">
        <v>914</v>
      </c>
      <c r="N7" s="104" t="e">
        <f t="shared" ref="N7:N39" si="0" xml:space="preserve"> RetrieveZone( J7 )</f>
        <v>#VALUE!</v>
      </c>
      <c r="O7" s="104" t="str">
        <f t="shared" ref="O7:O39" si="1" xml:space="preserve"> RetrieveZone( M7 )</f>
        <v xml:space="preserve">PRIVCLOUD OTAP BO SEC-ZONE
</v>
      </c>
      <c r="P7" s="76" t="s">
        <v>300</v>
      </c>
      <c r="Q7" s="61"/>
      <c r="R7" s="76" t="s">
        <v>293</v>
      </c>
      <c r="S7" s="76" t="s">
        <v>301</v>
      </c>
      <c r="T7" s="76" t="s">
        <v>293</v>
      </c>
      <c r="U7" s="61"/>
      <c r="V7" s="61"/>
      <c r="W7" s="61"/>
      <c r="X7" s="76" t="s">
        <v>302</v>
      </c>
      <c r="Y7" s="76" t="s">
        <v>303</v>
      </c>
      <c r="Z7" s="61" t="s">
        <v>708</v>
      </c>
      <c r="AA7" s="61" t="s">
        <v>915</v>
      </c>
      <c r="AB7" s="61"/>
    </row>
    <row r="8" spans="1:28" ht="48" x14ac:dyDescent="0.2">
      <c r="A8" s="61" t="s">
        <v>521</v>
      </c>
      <c r="B8" s="124">
        <v>2</v>
      </c>
      <c r="C8" s="76" t="s">
        <v>400</v>
      </c>
      <c r="D8" s="76" t="s">
        <v>305</v>
      </c>
      <c r="E8" s="76" t="s">
        <v>710</v>
      </c>
      <c r="F8" s="61" t="s">
        <v>292</v>
      </c>
      <c r="G8" s="133" t="s">
        <v>916</v>
      </c>
      <c r="H8" s="61" t="s">
        <v>295</v>
      </c>
      <c r="I8" s="61" t="s">
        <v>705</v>
      </c>
      <c r="J8" s="104" t="s">
        <v>865</v>
      </c>
      <c r="K8" s="61" t="s">
        <v>522</v>
      </c>
      <c r="L8" s="61" t="s">
        <v>523</v>
      </c>
      <c r="M8" s="104" t="s">
        <v>524</v>
      </c>
      <c r="N8" s="104" t="str">
        <f t="shared" si="0"/>
        <v>[** NO ZONE **]</v>
      </c>
      <c r="O8" s="104" t="str">
        <f t="shared" si="1"/>
        <v>[** NO ZONE **]
Check: inconsistent zones</v>
      </c>
      <c r="P8" s="76" t="s">
        <v>300</v>
      </c>
      <c r="Q8" s="61"/>
      <c r="R8" s="76" t="s">
        <v>293</v>
      </c>
      <c r="S8" s="76" t="s">
        <v>310</v>
      </c>
      <c r="T8" s="76" t="s">
        <v>293</v>
      </c>
      <c r="U8" s="61"/>
      <c r="V8" s="61"/>
      <c r="W8" s="61"/>
      <c r="X8" s="76" t="s">
        <v>302</v>
      </c>
      <c r="Y8" s="76" t="s">
        <v>303</v>
      </c>
      <c r="Z8" s="61" t="s">
        <v>708</v>
      </c>
      <c r="AA8" s="61"/>
      <c r="AB8" s="61"/>
    </row>
    <row r="9" spans="1:28" ht="48" x14ac:dyDescent="0.2">
      <c r="A9" s="61" t="s">
        <v>525</v>
      </c>
      <c r="B9" s="124">
        <v>3</v>
      </c>
      <c r="C9" s="76" t="s">
        <v>205</v>
      </c>
      <c r="D9" s="76" t="s">
        <v>312</v>
      </c>
      <c r="E9" s="76" t="s">
        <v>839</v>
      </c>
      <c r="F9" s="61" t="s">
        <v>313</v>
      </c>
      <c r="G9" s="133" t="s">
        <v>916</v>
      </c>
      <c r="H9" s="61" t="s">
        <v>313</v>
      </c>
      <c r="I9" s="61" t="s">
        <v>917</v>
      </c>
      <c r="J9" s="104" t="s">
        <v>918</v>
      </c>
      <c r="K9" s="61" t="s">
        <v>522</v>
      </c>
      <c r="L9" s="61" t="s">
        <v>919</v>
      </c>
      <c r="M9" s="104" t="s">
        <v>920</v>
      </c>
      <c r="N9" s="104" t="str">
        <f t="shared" si="0"/>
        <v xml:space="preserve">PRIVCLOUD OTAP FO SEC-ZONE
PRIVCLOUD OTAP FO SEC-ZONE
</v>
      </c>
      <c r="O9" s="104" t="str">
        <f t="shared" si="1"/>
        <v xml:space="preserve">PRIVCLOUD OTAP BO SEC-ZONE
</v>
      </c>
      <c r="P9" s="76" t="s">
        <v>317</v>
      </c>
      <c r="Q9" s="61"/>
      <c r="R9" s="76" t="s">
        <v>293</v>
      </c>
      <c r="S9" s="76" t="s">
        <v>310</v>
      </c>
      <c r="T9" s="76" t="s">
        <v>293</v>
      </c>
      <c r="U9" s="61"/>
      <c r="V9" s="61"/>
      <c r="W9" s="61"/>
      <c r="X9" s="76" t="s">
        <v>302</v>
      </c>
      <c r="Y9" s="76" t="s">
        <v>575</v>
      </c>
      <c r="Z9" s="61" t="s">
        <v>319</v>
      </c>
      <c r="AA9" s="61" t="s">
        <v>915</v>
      </c>
      <c r="AB9" s="61"/>
    </row>
    <row r="10" spans="1:28" ht="128" x14ac:dyDescent="0.2">
      <c r="A10" s="61" t="s">
        <v>529</v>
      </c>
      <c r="B10" s="124">
        <v>4</v>
      </c>
      <c r="C10" s="76" t="s">
        <v>205</v>
      </c>
      <c r="D10" s="76" t="s">
        <v>833</v>
      </c>
      <c r="E10" s="76" t="s">
        <v>839</v>
      </c>
      <c r="F10" s="61" t="s">
        <v>313</v>
      </c>
      <c r="G10" s="61" t="s">
        <v>921</v>
      </c>
      <c r="H10" s="61" t="s">
        <v>313</v>
      </c>
      <c r="I10" s="61" t="s">
        <v>917</v>
      </c>
      <c r="J10" s="104" t="s">
        <v>918</v>
      </c>
      <c r="K10" s="61" t="s">
        <v>530</v>
      </c>
      <c r="L10" s="61" t="s">
        <v>922</v>
      </c>
      <c r="M10" s="104" t="s">
        <v>923</v>
      </c>
      <c r="N10" s="104" t="str">
        <f t="shared" si="0"/>
        <v xml:space="preserve">PRIVCLOUD OTAP FO SEC-ZONE
PRIVCLOUD OTAP FO SEC-ZONE
</v>
      </c>
      <c r="O10" s="104" t="str">
        <f t="shared" si="1"/>
        <v>PRIVCLOUD OTAP BO SEC-ZONE
PRIVCLOUD OTAP BO SEC-ZONE
PRIVCLOUD OTAP BO SEC-ZONE
[** NO ZONE **]
[** NO ZONE **]
PRIVCLOUD OTAP BO SEC-ZONE
PRIVCLOUD OTAP BO SEC-ZONE
Check: inconsistent zones</v>
      </c>
      <c r="P10" s="76" t="s">
        <v>326</v>
      </c>
      <c r="Q10" s="61"/>
      <c r="R10" s="76" t="s">
        <v>293</v>
      </c>
      <c r="S10" s="76" t="s">
        <v>310</v>
      </c>
      <c r="T10" s="76" t="s">
        <v>293</v>
      </c>
      <c r="U10" s="61"/>
      <c r="V10" s="61"/>
      <c r="W10" s="61"/>
      <c r="X10" s="76" t="s">
        <v>302</v>
      </c>
      <c r="Y10" s="76" t="s">
        <v>575</v>
      </c>
      <c r="Z10" s="61" t="s">
        <v>327</v>
      </c>
      <c r="AA10" s="61" t="s">
        <v>924</v>
      </c>
      <c r="AB10" s="61" t="s">
        <v>925</v>
      </c>
    </row>
    <row r="11" spans="1:28" ht="64" x14ac:dyDescent="0.2">
      <c r="A11" s="61" t="s">
        <v>529</v>
      </c>
      <c r="B11" s="124" t="s">
        <v>719</v>
      </c>
      <c r="C11" s="76" t="s">
        <v>205</v>
      </c>
      <c r="D11" s="76" t="s">
        <v>833</v>
      </c>
      <c r="E11" s="76" t="s">
        <v>826</v>
      </c>
      <c r="F11" s="61" t="s">
        <v>926</v>
      </c>
      <c r="G11" s="61" t="s">
        <v>840</v>
      </c>
      <c r="H11" s="61" t="s">
        <v>313</v>
      </c>
      <c r="I11" s="61" t="s">
        <v>917</v>
      </c>
      <c r="J11" s="104" t="s">
        <v>918</v>
      </c>
      <c r="K11" s="61" t="s">
        <v>530</v>
      </c>
      <c r="L11" s="61" t="s">
        <v>927</v>
      </c>
      <c r="M11" s="104" t="s">
        <v>928</v>
      </c>
      <c r="N11" s="104" t="str">
        <f t="shared" ref="N11" si="2" xml:space="preserve"> RetrieveZone( J11 )</f>
        <v xml:space="preserve">PRIVCLOUD OTAP FO SEC-ZONE
PRIVCLOUD OTAP FO SEC-ZONE
</v>
      </c>
      <c r="O11" s="104" t="str">
        <f t="shared" ref="O11" si="3" xml:space="preserve"> RetrieveZone( M11 )</f>
        <v>[** NO ZONE **]
Check: inconsistent zones</v>
      </c>
      <c r="P11" s="76" t="s">
        <v>352</v>
      </c>
      <c r="Q11" s="61">
        <v>1526</v>
      </c>
      <c r="R11" s="76" t="s">
        <v>293</v>
      </c>
      <c r="S11" s="76" t="s">
        <v>310</v>
      </c>
      <c r="T11" s="76" t="s">
        <v>293</v>
      </c>
      <c r="U11" s="61"/>
      <c r="V11" s="61"/>
      <c r="W11" s="61"/>
      <c r="X11" s="76" t="s">
        <v>302</v>
      </c>
      <c r="Y11" s="76" t="s">
        <v>575</v>
      </c>
      <c r="Z11" s="61"/>
      <c r="AA11" s="61" t="s">
        <v>725</v>
      </c>
      <c r="AB11" s="61" t="s">
        <v>843</v>
      </c>
    </row>
    <row r="12" spans="1:28" ht="48" x14ac:dyDescent="0.2">
      <c r="A12" s="61" t="s">
        <v>533</v>
      </c>
      <c r="B12" s="124">
        <v>5</v>
      </c>
      <c r="C12" s="76" t="s">
        <v>205</v>
      </c>
      <c r="D12" s="76" t="s">
        <v>329</v>
      </c>
      <c r="E12" s="76" t="s">
        <v>826</v>
      </c>
      <c r="F12" s="61" t="s">
        <v>313</v>
      </c>
      <c r="G12" s="61" t="s">
        <v>727</v>
      </c>
      <c r="H12" s="61" t="s">
        <v>313</v>
      </c>
      <c r="I12" s="61" t="s">
        <v>917</v>
      </c>
      <c r="J12" s="104" t="s">
        <v>918</v>
      </c>
      <c r="K12" s="61" t="s">
        <v>534</v>
      </c>
      <c r="L12" s="61" t="s">
        <v>929</v>
      </c>
      <c r="M12" s="104" t="s">
        <v>930</v>
      </c>
      <c r="N12" s="104" t="str">
        <f t="shared" si="0"/>
        <v xml:space="preserve">PRIVCLOUD OTAP FO SEC-ZONE
PRIVCLOUD OTAP FO SEC-ZONE
</v>
      </c>
      <c r="O12" s="104" t="str">
        <f t="shared" si="1"/>
        <v xml:space="preserve">PRIVCLOUD OTAP BO SEC-ZONE
</v>
      </c>
      <c r="P12" s="76" t="s">
        <v>334</v>
      </c>
      <c r="Q12" s="61">
        <v>31538</v>
      </c>
      <c r="R12" s="76" t="s">
        <v>293</v>
      </c>
      <c r="S12" s="76" t="s">
        <v>301</v>
      </c>
      <c r="T12" s="76" t="s">
        <v>293</v>
      </c>
      <c r="U12" s="61"/>
      <c r="V12" s="61"/>
      <c r="W12" s="61"/>
      <c r="X12" s="76" t="s">
        <v>302</v>
      </c>
      <c r="Y12" s="76" t="s">
        <v>575</v>
      </c>
      <c r="Z12" s="61" t="s">
        <v>708</v>
      </c>
      <c r="AA12" s="61" t="s">
        <v>915</v>
      </c>
      <c r="AB12" s="61"/>
    </row>
    <row r="13" spans="1:28" ht="48" x14ac:dyDescent="0.2">
      <c r="A13" s="61" t="s">
        <v>537</v>
      </c>
      <c r="B13" s="124">
        <v>6</v>
      </c>
      <c r="C13" s="76" t="s">
        <v>205</v>
      </c>
      <c r="D13" s="76" t="s">
        <v>846</v>
      </c>
      <c r="E13" s="76" t="s">
        <v>826</v>
      </c>
      <c r="F13" s="61" t="s">
        <v>313</v>
      </c>
      <c r="G13" s="133" t="s">
        <v>931</v>
      </c>
      <c r="H13" s="61" t="s">
        <v>313</v>
      </c>
      <c r="I13" s="61" t="s">
        <v>917</v>
      </c>
      <c r="J13" s="104" t="s">
        <v>918</v>
      </c>
      <c r="K13" s="61" t="s">
        <v>538</v>
      </c>
      <c r="L13" s="61" t="s">
        <v>932</v>
      </c>
      <c r="M13" s="104" t="s">
        <v>933</v>
      </c>
      <c r="N13" s="104" t="str">
        <f t="shared" si="0"/>
        <v xml:space="preserve">PRIVCLOUD OTAP FO SEC-ZONE
PRIVCLOUD OTAP FO SEC-ZONE
</v>
      </c>
      <c r="O13" s="104" t="str">
        <f t="shared" si="1"/>
        <v xml:space="preserve">PRIVCLOUD OTAP BO SEC-ZONE
</v>
      </c>
      <c r="P13" s="76" t="s">
        <v>334</v>
      </c>
      <c r="Q13" s="61">
        <v>9443</v>
      </c>
      <c r="R13" s="76" t="s">
        <v>293</v>
      </c>
      <c r="S13" s="76" t="s">
        <v>301</v>
      </c>
      <c r="T13" s="76" t="s">
        <v>293</v>
      </c>
      <c r="U13" s="61"/>
      <c r="V13" s="61"/>
      <c r="W13" s="61"/>
      <c r="X13" s="76" t="s">
        <v>302</v>
      </c>
      <c r="Y13" s="76" t="s">
        <v>575</v>
      </c>
      <c r="Z13" s="61" t="s">
        <v>708</v>
      </c>
      <c r="AA13" s="61" t="s">
        <v>915</v>
      </c>
      <c r="AB13" s="61"/>
    </row>
    <row r="14" spans="1:28" ht="48" x14ac:dyDescent="0.2">
      <c r="A14" s="61" t="s">
        <v>541</v>
      </c>
      <c r="B14" s="124">
        <v>7</v>
      </c>
      <c r="C14" s="76" t="s">
        <v>205</v>
      </c>
      <c r="D14" s="135" t="s">
        <v>849</v>
      </c>
      <c r="E14" s="76" t="s">
        <v>826</v>
      </c>
      <c r="F14" s="61" t="s">
        <v>313</v>
      </c>
      <c r="G14" s="133" t="s">
        <v>934</v>
      </c>
      <c r="H14" s="61" t="s">
        <v>313</v>
      </c>
      <c r="I14" s="61" t="s">
        <v>917</v>
      </c>
      <c r="J14" s="104" t="s">
        <v>918</v>
      </c>
      <c r="K14" s="61" t="s">
        <v>518</v>
      </c>
      <c r="L14" s="61" t="s">
        <v>913</v>
      </c>
      <c r="M14" s="104" t="s">
        <v>914</v>
      </c>
      <c r="N14" s="104" t="str">
        <f t="shared" si="0"/>
        <v xml:space="preserve">PRIVCLOUD OTAP FO SEC-ZONE
PRIVCLOUD OTAP FO SEC-ZONE
</v>
      </c>
      <c r="O14" s="104" t="str">
        <f t="shared" si="1"/>
        <v xml:space="preserve">PRIVCLOUD OTAP BO SEC-ZONE
</v>
      </c>
      <c r="P14" s="76" t="s">
        <v>334</v>
      </c>
      <c r="Q14" s="61">
        <v>443</v>
      </c>
      <c r="R14" s="76" t="s">
        <v>293</v>
      </c>
      <c r="S14" s="76" t="s">
        <v>301</v>
      </c>
      <c r="T14" s="76" t="s">
        <v>293</v>
      </c>
      <c r="U14" s="61"/>
      <c r="V14" s="61"/>
      <c r="W14" s="61"/>
      <c r="X14" s="76" t="s">
        <v>302</v>
      </c>
      <c r="Y14" s="76" t="s">
        <v>575</v>
      </c>
      <c r="Z14" s="61" t="s">
        <v>708</v>
      </c>
      <c r="AA14" s="61" t="s">
        <v>915</v>
      </c>
      <c r="AB14" s="61"/>
    </row>
    <row r="15" spans="1:28" ht="48" x14ac:dyDescent="0.2">
      <c r="A15" s="61" t="s">
        <v>542</v>
      </c>
      <c r="B15" s="124">
        <v>8</v>
      </c>
      <c r="C15" s="76" t="s">
        <v>205</v>
      </c>
      <c r="D15" s="135" t="s">
        <v>850</v>
      </c>
      <c r="E15" s="76" t="s">
        <v>826</v>
      </c>
      <c r="F15" s="133" t="s">
        <v>730</v>
      </c>
      <c r="G15" s="133" t="s">
        <v>916</v>
      </c>
      <c r="H15" s="61" t="s">
        <v>538</v>
      </c>
      <c r="I15" s="174" t="s">
        <v>932</v>
      </c>
      <c r="J15" s="104" t="s">
        <v>933</v>
      </c>
      <c r="K15" s="61" t="s">
        <v>522</v>
      </c>
      <c r="L15" s="61" t="s">
        <v>919</v>
      </c>
      <c r="M15" s="104" t="s">
        <v>920</v>
      </c>
      <c r="N15" s="104" t="str">
        <f t="shared" si="0"/>
        <v xml:space="preserve">PRIVCLOUD OTAP BO SEC-ZONE
</v>
      </c>
      <c r="O15" s="104" t="str">
        <f t="shared" si="1"/>
        <v xml:space="preserve">PRIVCLOUD OTAP BO SEC-ZONE
</v>
      </c>
      <c r="P15" s="76" t="s">
        <v>345</v>
      </c>
      <c r="Q15" s="61">
        <v>19443</v>
      </c>
      <c r="R15" s="76" t="s">
        <v>293</v>
      </c>
      <c r="S15" s="76" t="s">
        <v>310</v>
      </c>
      <c r="T15" s="76" t="s">
        <v>293</v>
      </c>
      <c r="U15" s="61"/>
      <c r="V15" s="61"/>
      <c r="W15" s="61"/>
      <c r="X15" s="76" t="s">
        <v>302</v>
      </c>
      <c r="Y15" s="76" t="s">
        <v>575</v>
      </c>
      <c r="Z15" s="61" t="s">
        <v>708</v>
      </c>
      <c r="AA15" s="61" t="s">
        <v>915</v>
      </c>
      <c r="AB15" s="61"/>
    </row>
    <row r="16" spans="1:28" ht="48" x14ac:dyDescent="0.2">
      <c r="A16" s="61" t="s">
        <v>543</v>
      </c>
      <c r="B16" s="124">
        <v>9</v>
      </c>
      <c r="C16" s="76" t="s">
        <v>205</v>
      </c>
      <c r="D16" s="135" t="s">
        <v>935</v>
      </c>
      <c r="E16" s="76" t="s">
        <v>826</v>
      </c>
      <c r="F16" s="133" t="s">
        <v>936</v>
      </c>
      <c r="G16" s="133" t="s">
        <v>937</v>
      </c>
      <c r="H16" s="61" t="s">
        <v>522</v>
      </c>
      <c r="I16" s="61" t="s">
        <v>919</v>
      </c>
      <c r="J16" s="104" t="s">
        <v>920</v>
      </c>
      <c r="K16" s="166" t="s">
        <v>856</v>
      </c>
      <c r="L16" s="61" t="s">
        <v>927</v>
      </c>
      <c r="M16" s="104" t="s">
        <v>928</v>
      </c>
      <c r="N16" s="104" t="str">
        <f t="shared" si="0"/>
        <v xml:space="preserve">PRIVCLOUD OTAP BO SEC-ZONE
</v>
      </c>
      <c r="O16" s="104" t="str">
        <f t="shared" si="1"/>
        <v>[** NO ZONE **]
Check: inconsistent zones</v>
      </c>
      <c r="P16" s="76" t="s">
        <v>352</v>
      </c>
      <c r="Q16" s="61">
        <v>1526</v>
      </c>
      <c r="R16" s="76" t="s">
        <v>293</v>
      </c>
      <c r="S16" s="76" t="s">
        <v>301</v>
      </c>
      <c r="T16" s="76" t="s">
        <v>293</v>
      </c>
      <c r="U16" s="61"/>
      <c r="V16" s="61"/>
      <c r="W16" s="61"/>
      <c r="X16" s="76" t="s">
        <v>302</v>
      </c>
      <c r="Y16" s="76" t="s">
        <v>575</v>
      </c>
      <c r="Z16" s="61" t="s">
        <v>708</v>
      </c>
      <c r="AA16" s="61" t="s">
        <v>924</v>
      </c>
      <c r="AB16" s="61" t="s">
        <v>925</v>
      </c>
    </row>
    <row r="17" spans="1:28" ht="32" x14ac:dyDescent="0.2">
      <c r="A17" s="61" t="s">
        <v>549</v>
      </c>
      <c r="B17" s="124">
        <v>10</v>
      </c>
      <c r="C17" s="76" t="s">
        <v>205</v>
      </c>
      <c r="D17" s="76" t="s">
        <v>938</v>
      </c>
      <c r="E17" s="76" t="s">
        <v>826</v>
      </c>
      <c r="F17" s="133" t="s">
        <v>737</v>
      </c>
      <c r="G17" s="133" t="s">
        <v>937</v>
      </c>
      <c r="H17" s="61" t="s">
        <v>534</v>
      </c>
      <c r="I17" s="61" t="s">
        <v>929</v>
      </c>
      <c r="J17" s="104" t="s">
        <v>930</v>
      </c>
      <c r="K17" s="166" t="s">
        <v>856</v>
      </c>
      <c r="L17" s="61" t="s">
        <v>927</v>
      </c>
      <c r="M17" s="104" t="s">
        <v>928</v>
      </c>
      <c r="N17" s="104" t="str">
        <f t="shared" si="0"/>
        <v xml:space="preserve">PRIVCLOUD OTAP BO SEC-ZONE
</v>
      </c>
      <c r="O17" s="104" t="str">
        <f t="shared" si="1"/>
        <v>[** NO ZONE **]
Check: inconsistent zones</v>
      </c>
      <c r="P17" s="76" t="s">
        <v>352</v>
      </c>
      <c r="Q17" s="61">
        <v>1526</v>
      </c>
      <c r="R17" s="76" t="s">
        <v>293</v>
      </c>
      <c r="S17" s="76" t="s">
        <v>301</v>
      </c>
      <c r="T17" s="76" t="s">
        <v>293</v>
      </c>
      <c r="U17" s="61"/>
      <c r="V17" s="61"/>
      <c r="W17" s="61"/>
      <c r="X17" s="76" t="s">
        <v>302</v>
      </c>
      <c r="Y17" s="76" t="s">
        <v>575</v>
      </c>
      <c r="Z17" s="61" t="s">
        <v>708</v>
      </c>
      <c r="AA17" s="61" t="s">
        <v>924</v>
      </c>
      <c r="AB17" s="61" t="s">
        <v>925</v>
      </c>
    </row>
    <row r="18" spans="1:28" ht="64" x14ac:dyDescent="0.2">
      <c r="A18" s="61" t="s">
        <v>551</v>
      </c>
      <c r="B18" s="124">
        <v>11</v>
      </c>
      <c r="C18" s="76" t="s">
        <v>205</v>
      </c>
      <c r="D18" s="76" t="s">
        <v>939</v>
      </c>
      <c r="E18" s="76" t="s">
        <v>826</v>
      </c>
      <c r="F18" s="133" t="s">
        <v>940</v>
      </c>
      <c r="G18" s="132" t="s">
        <v>739</v>
      </c>
      <c r="H18" s="166" t="s">
        <v>941</v>
      </c>
      <c r="I18" s="61" t="s">
        <v>942</v>
      </c>
      <c r="J18" s="104" t="s">
        <v>943</v>
      </c>
      <c r="K18" s="61" t="s">
        <v>944</v>
      </c>
      <c r="L18" s="61" t="s">
        <v>945</v>
      </c>
      <c r="M18" s="104" t="s">
        <v>946</v>
      </c>
      <c r="N18" s="104" t="str">
        <f t="shared" si="0"/>
        <v>[** NO ZONE **]
PRIVCLOUD OTAP BO SEC-ZONE
Check: inconsistent zones</v>
      </c>
      <c r="O18" s="104" t="str">
        <f t="shared" si="1"/>
        <v xml:space="preserve">PRIVCLOUD OTAP BO SEC-ZONE
PRIVCLOUD OTAP BO SEC-ZONE
</v>
      </c>
      <c r="P18" s="76" t="s">
        <v>947</v>
      </c>
      <c r="Q18" s="61" t="s">
        <v>360</v>
      </c>
      <c r="R18" s="76" t="s">
        <v>293</v>
      </c>
      <c r="S18" s="76" t="s">
        <v>301</v>
      </c>
      <c r="T18" s="76" t="s">
        <v>293</v>
      </c>
      <c r="U18" s="61"/>
      <c r="V18" s="61"/>
      <c r="W18" s="61"/>
      <c r="X18" s="76" t="s">
        <v>302</v>
      </c>
      <c r="Y18" s="76" t="s">
        <v>575</v>
      </c>
      <c r="Z18" s="61" t="s">
        <v>708</v>
      </c>
      <c r="AA18" s="61" t="s">
        <v>948</v>
      </c>
      <c r="AB18" s="61"/>
    </row>
    <row r="19" spans="1:28" s="190" customFormat="1" ht="112" x14ac:dyDescent="0.2">
      <c r="A19" s="185" t="s">
        <v>553</v>
      </c>
      <c r="B19" s="186">
        <v>12</v>
      </c>
      <c r="C19" s="187" t="s">
        <v>400</v>
      </c>
      <c r="D19" s="187" t="s">
        <v>949</v>
      </c>
      <c r="E19" s="187" t="s">
        <v>400</v>
      </c>
      <c r="F19" s="188" t="s">
        <v>737</v>
      </c>
      <c r="G19" s="185" t="s">
        <v>742</v>
      </c>
      <c r="H19" s="185" t="s">
        <v>534</v>
      </c>
      <c r="I19" s="185" t="s">
        <v>929</v>
      </c>
      <c r="J19" s="189" t="s">
        <v>930</v>
      </c>
      <c r="K19" s="185" t="s">
        <v>556</v>
      </c>
      <c r="L19" s="185" t="s">
        <v>557</v>
      </c>
      <c r="M19" s="189" t="s">
        <v>558</v>
      </c>
      <c r="N19" s="189" t="str">
        <f t="shared" si="0"/>
        <v xml:space="preserve">PRIVCLOUD OTAP BO SEC-ZONE
</v>
      </c>
      <c r="O19" s="189" t="str">
        <f t="shared" si="1"/>
        <v xml:space="preserve">IBM Acceptatie Secure Zone
</v>
      </c>
      <c r="P19" s="187" t="s">
        <v>559</v>
      </c>
      <c r="Q19" s="185"/>
      <c r="R19" s="187" t="s">
        <v>560</v>
      </c>
      <c r="S19" s="187" t="s">
        <v>301</v>
      </c>
      <c r="T19" s="187" t="s">
        <v>293</v>
      </c>
      <c r="U19" s="185"/>
      <c r="V19" s="185"/>
      <c r="W19" s="185"/>
      <c r="X19" s="187" t="s">
        <v>302</v>
      </c>
      <c r="Y19" s="187" t="s">
        <v>575</v>
      </c>
      <c r="Z19" s="185" t="s">
        <v>708</v>
      </c>
      <c r="AA19" s="185"/>
      <c r="AB19" s="185"/>
    </row>
    <row r="20" spans="1:28" s="190" customFormat="1" ht="112" x14ac:dyDescent="0.2">
      <c r="A20" s="185" t="s">
        <v>562</v>
      </c>
      <c r="B20" s="186">
        <v>13</v>
      </c>
      <c r="C20" s="187" t="s">
        <v>400</v>
      </c>
      <c r="D20" s="187" t="s">
        <v>950</v>
      </c>
      <c r="E20" s="187" t="s">
        <v>400</v>
      </c>
      <c r="F20" s="185" t="s">
        <v>742</v>
      </c>
      <c r="G20" s="188" t="s">
        <v>737</v>
      </c>
      <c r="H20" s="185" t="s">
        <v>564</v>
      </c>
      <c r="I20" s="185" t="s">
        <v>565</v>
      </c>
      <c r="J20" s="189" t="s">
        <v>566</v>
      </c>
      <c r="K20" s="185" t="s">
        <v>534</v>
      </c>
      <c r="L20" s="185" t="s">
        <v>929</v>
      </c>
      <c r="M20" s="189" t="s">
        <v>930</v>
      </c>
      <c r="N20" s="189" t="str">
        <f t="shared" si="0"/>
        <v xml:space="preserve">IBM Acceptatie Secure Zone
IBM Acceptatie Secure Zone
</v>
      </c>
      <c r="O20" s="189" t="str">
        <f t="shared" si="1"/>
        <v xml:space="preserve">PRIVCLOUD OTAP BO SEC-ZONE
</v>
      </c>
      <c r="P20" s="187" t="s">
        <v>559</v>
      </c>
      <c r="Q20" s="185"/>
      <c r="R20" s="187" t="s">
        <v>560</v>
      </c>
      <c r="S20" s="187" t="s">
        <v>301</v>
      </c>
      <c r="T20" s="187" t="s">
        <v>293</v>
      </c>
      <c r="U20" s="185"/>
      <c r="V20" s="185"/>
      <c r="W20" s="185"/>
      <c r="X20" s="187" t="s">
        <v>302</v>
      </c>
      <c r="Y20" s="187" t="s">
        <v>575</v>
      </c>
      <c r="Z20" s="185" t="s">
        <v>567</v>
      </c>
      <c r="AA20" s="185"/>
      <c r="AB20" s="185"/>
    </row>
    <row r="21" spans="1:28" ht="32" x14ac:dyDescent="0.2">
      <c r="A21" s="61" t="s">
        <v>568</v>
      </c>
      <c r="B21" s="124">
        <v>14</v>
      </c>
      <c r="C21" s="76" t="s">
        <v>400</v>
      </c>
      <c r="D21" s="76" t="s">
        <v>369</v>
      </c>
      <c r="E21" s="76" t="s">
        <v>710</v>
      </c>
      <c r="F21" s="61" t="s">
        <v>330</v>
      </c>
      <c r="G21" s="61"/>
      <c r="H21" s="61"/>
      <c r="I21" s="61"/>
      <c r="J21" s="104" t="s">
        <v>865</v>
      </c>
      <c r="K21" s="61"/>
      <c r="L21" s="61"/>
      <c r="M21" s="104" t="s">
        <v>865</v>
      </c>
      <c r="N21" s="104" t="str">
        <f t="shared" si="0"/>
        <v>[** NO ZONE **]</v>
      </c>
      <c r="O21" s="104" t="str">
        <f t="shared" si="1"/>
        <v>[** NO ZONE **]</v>
      </c>
      <c r="P21" s="76"/>
      <c r="Q21" s="61"/>
      <c r="R21" s="76"/>
      <c r="S21" s="76"/>
      <c r="T21" s="76" t="s">
        <v>293</v>
      </c>
      <c r="U21" s="61"/>
      <c r="V21" s="61"/>
      <c r="W21" s="61"/>
      <c r="X21" s="76"/>
      <c r="Y21" s="76" t="s">
        <v>400</v>
      </c>
      <c r="Z21" s="61" t="s">
        <v>708</v>
      </c>
      <c r="AA21" s="61"/>
      <c r="AB21" s="61"/>
    </row>
    <row r="22" spans="1:28" ht="32" x14ac:dyDescent="0.2">
      <c r="A22" s="61" t="s">
        <v>569</v>
      </c>
      <c r="B22" s="124">
        <v>15</v>
      </c>
      <c r="C22" s="76" t="s">
        <v>400</v>
      </c>
      <c r="D22" s="76" t="s">
        <v>570</v>
      </c>
      <c r="E22" s="76" t="s">
        <v>1148</v>
      </c>
      <c r="F22" s="61" t="s">
        <v>737</v>
      </c>
      <c r="G22" s="61" t="s">
        <v>571</v>
      </c>
      <c r="H22" s="61" t="s">
        <v>534</v>
      </c>
      <c r="I22" s="61" t="s">
        <v>929</v>
      </c>
      <c r="J22" s="104" t="s">
        <v>930</v>
      </c>
      <c r="K22" s="61" t="s">
        <v>572</v>
      </c>
      <c r="L22" s="61" t="s">
        <v>572</v>
      </c>
      <c r="M22" s="104" t="s">
        <v>573</v>
      </c>
      <c r="N22" s="104" t="str">
        <f t="shared" si="0"/>
        <v xml:space="preserve">PRIVCLOUD OTAP BO SEC-ZONE
</v>
      </c>
      <c r="O22" s="104" t="str">
        <f t="shared" si="1"/>
        <v xml:space="preserve">A-FrontOffice_SEC-ZONE
</v>
      </c>
      <c r="P22" s="76" t="s">
        <v>334</v>
      </c>
      <c r="Q22" s="61" t="s">
        <v>574</v>
      </c>
      <c r="R22" s="76" t="s">
        <v>293</v>
      </c>
      <c r="S22" s="76" t="s">
        <v>400</v>
      </c>
      <c r="T22" s="76" t="s">
        <v>293</v>
      </c>
      <c r="U22" s="61"/>
      <c r="V22" s="61"/>
      <c r="W22" s="61"/>
      <c r="X22" s="76" t="s">
        <v>302</v>
      </c>
      <c r="Y22" s="76" t="s">
        <v>575</v>
      </c>
      <c r="Z22" s="61" t="s">
        <v>708</v>
      </c>
      <c r="AA22" s="61"/>
      <c r="AB22" s="61"/>
    </row>
    <row r="23" spans="1:28" ht="32" x14ac:dyDescent="0.2">
      <c r="A23" s="61" t="s">
        <v>576</v>
      </c>
      <c r="B23" s="124">
        <v>16</v>
      </c>
      <c r="C23" s="76" t="s">
        <v>400</v>
      </c>
      <c r="D23" s="76" t="s">
        <v>577</v>
      </c>
      <c r="E23" s="76" t="s">
        <v>1148</v>
      </c>
      <c r="F23" s="61" t="s">
        <v>571</v>
      </c>
      <c r="G23" s="61" t="s">
        <v>737</v>
      </c>
      <c r="H23" s="61" t="s">
        <v>572</v>
      </c>
      <c r="I23" s="61" t="s">
        <v>572</v>
      </c>
      <c r="J23" s="104" t="s">
        <v>573</v>
      </c>
      <c r="K23" s="61" t="s">
        <v>534</v>
      </c>
      <c r="L23" s="61" t="s">
        <v>929</v>
      </c>
      <c r="M23" s="104" t="s">
        <v>930</v>
      </c>
      <c r="N23" s="104" t="str">
        <f t="shared" si="0"/>
        <v xml:space="preserve">A-FrontOffice_SEC-ZONE
</v>
      </c>
      <c r="O23" s="104" t="str">
        <f t="shared" si="1"/>
        <v xml:space="preserve">PRIVCLOUD OTAP BO SEC-ZONE
</v>
      </c>
      <c r="P23" s="76" t="s">
        <v>334</v>
      </c>
      <c r="Q23" s="61" t="s">
        <v>3241</v>
      </c>
      <c r="R23" s="76" t="s">
        <v>293</v>
      </c>
      <c r="S23" s="76" t="s">
        <v>400</v>
      </c>
      <c r="T23" s="76" t="s">
        <v>293</v>
      </c>
      <c r="U23" s="61"/>
      <c r="V23" s="61"/>
      <c r="W23" s="61"/>
      <c r="X23" s="76" t="s">
        <v>302</v>
      </c>
      <c r="Y23" s="76" t="s">
        <v>575</v>
      </c>
      <c r="Z23" s="61" t="s">
        <v>708</v>
      </c>
      <c r="AA23" s="61"/>
      <c r="AB23" s="61"/>
    </row>
    <row r="24" spans="1:28" ht="16" x14ac:dyDescent="0.2">
      <c r="A24" s="61" t="s">
        <v>578</v>
      </c>
      <c r="B24" s="124">
        <v>17</v>
      </c>
      <c r="C24" s="76" t="s">
        <v>400</v>
      </c>
      <c r="D24" s="76" t="s">
        <v>579</v>
      </c>
      <c r="E24" s="76" t="s">
        <v>710</v>
      </c>
      <c r="F24" s="61" t="s">
        <v>330</v>
      </c>
      <c r="G24" s="61"/>
      <c r="H24" s="61"/>
      <c r="I24" s="61"/>
      <c r="J24" s="104" t="s">
        <v>865</v>
      </c>
      <c r="K24" s="61"/>
      <c r="L24" s="61"/>
      <c r="M24" s="104" t="s">
        <v>865</v>
      </c>
      <c r="N24" s="104" t="str">
        <f t="shared" si="0"/>
        <v>[** NO ZONE **]</v>
      </c>
      <c r="O24" s="104" t="str">
        <f t="shared" si="1"/>
        <v>[** NO ZONE **]</v>
      </c>
      <c r="P24" s="76"/>
      <c r="Q24" s="61"/>
      <c r="R24" s="76"/>
      <c r="S24" s="76"/>
      <c r="T24" s="76" t="s">
        <v>293</v>
      </c>
      <c r="U24" s="61"/>
      <c r="V24" s="61"/>
      <c r="W24" s="61"/>
      <c r="X24" s="76"/>
      <c r="Y24" s="76" t="s">
        <v>400</v>
      </c>
      <c r="Z24" s="61" t="s">
        <v>708</v>
      </c>
      <c r="AA24" s="61"/>
      <c r="AB24" s="61"/>
    </row>
    <row r="25" spans="1:28" ht="32" x14ac:dyDescent="0.2">
      <c r="A25" s="61" t="s">
        <v>580</v>
      </c>
      <c r="B25" s="124">
        <v>18</v>
      </c>
      <c r="C25" s="76" t="s">
        <v>205</v>
      </c>
      <c r="D25" s="76" t="s">
        <v>379</v>
      </c>
      <c r="E25" s="76" t="s">
        <v>839</v>
      </c>
      <c r="F25" s="133" t="s">
        <v>737</v>
      </c>
      <c r="G25" s="61" t="s">
        <v>380</v>
      </c>
      <c r="H25" s="61" t="s">
        <v>534</v>
      </c>
      <c r="I25" s="61" t="s">
        <v>929</v>
      </c>
      <c r="J25" s="104" t="s">
        <v>930</v>
      </c>
      <c r="K25" s="61" t="s">
        <v>381</v>
      </c>
      <c r="L25" s="61" t="s">
        <v>382</v>
      </c>
      <c r="M25" s="104" t="s">
        <v>865</v>
      </c>
      <c r="N25" s="104" t="str">
        <f t="shared" si="0"/>
        <v xml:space="preserve">PRIVCLOUD OTAP BO SEC-ZONE
</v>
      </c>
      <c r="O25" s="104" t="str">
        <f t="shared" si="1"/>
        <v>[** NO ZONE **]</v>
      </c>
      <c r="P25" s="76" t="s">
        <v>383</v>
      </c>
      <c r="Q25" s="61"/>
      <c r="R25" s="76" t="s">
        <v>293</v>
      </c>
      <c r="S25" s="76" t="s">
        <v>301</v>
      </c>
      <c r="T25" s="76" t="s">
        <v>293</v>
      </c>
      <c r="U25" s="61"/>
      <c r="V25" s="61"/>
      <c r="W25" s="61"/>
      <c r="X25" s="76" t="s">
        <v>302</v>
      </c>
      <c r="Y25" s="76" t="s">
        <v>303</v>
      </c>
      <c r="Z25" s="61" t="s">
        <v>708</v>
      </c>
      <c r="AA25" s="61" t="s">
        <v>951</v>
      </c>
      <c r="AB25" s="61"/>
    </row>
    <row r="26" spans="1:28" ht="32" x14ac:dyDescent="0.2">
      <c r="A26" s="61" t="s">
        <v>581</v>
      </c>
      <c r="B26" s="124">
        <v>19</v>
      </c>
      <c r="C26" s="76" t="s">
        <v>400</v>
      </c>
      <c r="D26" s="76" t="s">
        <v>385</v>
      </c>
      <c r="E26" s="76" t="s">
        <v>710</v>
      </c>
      <c r="F26" s="61" t="s">
        <v>364</v>
      </c>
      <c r="G26" s="61" t="s">
        <v>364</v>
      </c>
      <c r="H26" s="61"/>
      <c r="I26" s="61"/>
      <c r="J26" s="104" t="s">
        <v>865</v>
      </c>
      <c r="K26" s="61"/>
      <c r="L26" s="61"/>
      <c r="M26" s="104" t="s">
        <v>865</v>
      </c>
      <c r="N26" s="104" t="str">
        <f t="shared" si="0"/>
        <v>[** NO ZONE **]</v>
      </c>
      <c r="O26" s="104" t="str">
        <f t="shared" si="1"/>
        <v>[** NO ZONE **]</v>
      </c>
      <c r="P26" s="76"/>
      <c r="Q26" s="61"/>
      <c r="R26" s="76"/>
      <c r="S26" s="76"/>
      <c r="T26" s="76" t="s">
        <v>293</v>
      </c>
      <c r="U26" s="61"/>
      <c r="V26" s="61"/>
      <c r="W26" s="61"/>
      <c r="X26" s="76" t="s">
        <v>302</v>
      </c>
      <c r="Y26" s="76" t="s">
        <v>400</v>
      </c>
      <c r="Z26" s="61" t="s">
        <v>708</v>
      </c>
      <c r="AA26" s="61"/>
      <c r="AB26" s="61"/>
    </row>
    <row r="27" spans="1:28" ht="80" x14ac:dyDescent="0.2">
      <c r="A27" s="61" t="s">
        <v>582</v>
      </c>
      <c r="B27" s="124">
        <v>20</v>
      </c>
      <c r="C27" s="76" t="s">
        <v>205</v>
      </c>
      <c r="D27" s="76" t="s">
        <v>393</v>
      </c>
      <c r="E27" s="76" t="s">
        <v>839</v>
      </c>
      <c r="F27" s="133" t="s">
        <v>952</v>
      </c>
      <c r="G27" s="61" t="s">
        <v>395</v>
      </c>
      <c r="H27" s="61" t="s">
        <v>538</v>
      </c>
      <c r="I27" s="174" t="s">
        <v>932</v>
      </c>
      <c r="J27" s="104" t="s">
        <v>933</v>
      </c>
      <c r="K27" s="61"/>
      <c r="L27" s="61" t="s">
        <v>396</v>
      </c>
      <c r="M27" s="104" t="s">
        <v>746</v>
      </c>
      <c r="N27" s="104" t="str">
        <f t="shared" si="0"/>
        <v xml:space="preserve">PRIVCLOUD OTAP BO SEC-ZONE
</v>
      </c>
      <c r="O27" s="104" t="str">
        <f t="shared" si="1"/>
        <v>[** NO ZONE **]
[** NO ZONE **]
[** NO ZONE **]
[** NO ZONE **]
Check: inconsistent zones</v>
      </c>
      <c r="P27" s="76" t="s">
        <v>397</v>
      </c>
      <c r="Q27" s="61"/>
      <c r="R27" s="76" t="s">
        <v>293</v>
      </c>
      <c r="S27" s="76" t="s">
        <v>391</v>
      </c>
      <c r="T27" s="76" t="s">
        <v>293</v>
      </c>
      <c r="U27" s="61"/>
      <c r="V27" s="61"/>
      <c r="W27" s="61"/>
      <c r="X27" s="76" t="s">
        <v>302</v>
      </c>
      <c r="Y27" s="76" t="s">
        <v>303</v>
      </c>
      <c r="Z27" s="61" t="s">
        <v>708</v>
      </c>
      <c r="AA27" s="61" t="s">
        <v>953</v>
      </c>
      <c r="AB27" s="61"/>
    </row>
    <row r="28" spans="1:28" ht="80" x14ac:dyDescent="0.2">
      <c r="A28" s="61" t="s">
        <v>582</v>
      </c>
      <c r="B28" s="124" t="s">
        <v>748</v>
      </c>
      <c r="C28" s="76" t="s">
        <v>205</v>
      </c>
      <c r="D28" s="76" t="s">
        <v>393</v>
      </c>
      <c r="E28" s="76" t="s">
        <v>826</v>
      </c>
      <c r="F28" s="133" t="s">
        <v>952</v>
      </c>
      <c r="G28" s="61" t="s">
        <v>395</v>
      </c>
      <c r="H28" s="61" t="s">
        <v>538</v>
      </c>
      <c r="I28" s="174" t="s">
        <v>932</v>
      </c>
      <c r="J28" s="104" t="s">
        <v>933</v>
      </c>
      <c r="K28" s="61"/>
      <c r="L28" s="61" t="s">
        <v>396</v>
      </c>
      <c r="M28" s="104" t="s">
        <v>746</v>
      </c>
      <c r="N28" s="104" t="str">
        <f t="shared" ref="N28:N29" si="4" xml:space="preserve"> RetrieveZone( J28 )</f>
        <v xml:space="preserve">PRIVCLOUD OTAP BO SEC-ZONE
</v>
      </c>
      <c r="O28" s="104" t="str">
        <f t="shared" ref="O28:O29" si="5" xml:space="preserve"> RetrieveZone( M28 )</f>
        <v>[** NO ZONE **]
[** NO ZONE **]
[** NO ZONE **]
[** NO ZONE **]
Check: inconsistent zones</v>
      </c>
      <c r="P28" s="76" t="s">
        <v>345</v>
      </c>
      <c r="Q28" s="197" t="s">
        <v>954</v>
      </c>
      <c r="R28" s="76" t="s">
        <v>293</v>
      </c>
      <c r="S28" s="76" t="s">
        <v>391</v>
      </c>
      <c r="T28" s="76" t="s">
        <v>293</v>
      </c>
      <c r="U28" s="61"/>
      <c r="V28" s="61"/>
      <c r="W28" s="61"/>
      <c r="X28" s="76" t="s">
        <v>302</v>
      </c>
      <c r="Y28" s="76" t="s">
        <v>303</v>
      </c>
      <c r="Z28" s="61" t="s">
        <v>708</v>
      </c>
      <c r="AA28" s="61" t="s">
        <v>955</v>
      </c>
      <c r="AB28" s="61"/>
    </row>
    <row r="29" spans="1:28" ht="80" x14ac:dyDescent="0.2">
      <c r="A29" s="61" t="s">
        <v>582</v>
      </c>
      <c r="B29" s="124" t="s">
        <v>751</v>
      </c>
      <c r="C29" s="76" t="s">
        <v>205</v>
      </c>
      <c r="D29" s="76" t="s">
        <v>752</v>
      </c>
      <c r="E29" s="76" t="s">
        <v>826</v>
      </c>
      <c r="F29" s="133" t="s">
        <v>956</v>
      </c>
      <c r="G29" s="61" t="s">
        <v>395</v>
      </c>
      <c r="H29" s="61" t="s">
        <v>877</v>
      </c>
      <c r="I29" s="61" t="s">
        <v>927</v>
      </c>
      <c r="J29" s="104" t="s">
        <v>928</v>
      </c>
      <c r="K29" s="61"/>
      <c r="L29" s="61" t="s">
        <v>396</v>
      </c>
      <c r="M29" s="104" t="s">
        <v>746</v>
      </c>
      <c r="N29" s="104" t="str">
        <f t="shared" si="4"/>
        <v>[** NO ZONE **]
Check: inconsistent zones</v>
      </c>
      <c r="O29" s="104" t="str">
        <f t="shared" si="5"/>
        <v>[** NO ZONE **]
[** NO ZONE **]
[** NO ZONE **]
[** NO ZONE **]
Check: inconsistent zones</v>
      </c>
      <c r="P29" s="76" t="s">
        <v>345</v>
      </c>
      <c r="Q29" s="61" t="s">
        <v>756</v>
      </c>
      <c r="R29" s="76" t="s">
        <v>293</v>
      </c>
      <c r="S29" s="76" t="s">
        <v>391</v>
      </c>
      <c r="T29" s="76" t="s">
        <v>293</v>
      </c>
      <c r="U29" s="61"/>
      <c r="V29" s="61"/>
      <c r="W29" s="61"/>
      <c r="X29" s="76" t="s">
        <v>302</v>
      </c>
      <c r="Y29" s="76" t="s">
        <v>303</v>
      </c>
      <c r="Z29" s="61" t="s">
        <v>708</v>
      </c>
      <c r="AA29" s="61" t="s">
        <v>957</v>
      </c>
      <c r="AB29" s="61"/>
    </row>
    <row r="30" spans="1:28" ht="48" x14ac:dyDescent="0.2">
      <c r="A30" s="61" t="s">
        <v>583</v>
      </c>
      <c r="B30" s="124">
        <v>21</v>
      </c>
      <c r="C30" s="76" t="s">
        <v>205</v>
      </c>
      <c r="D30" s="76" t="s">
        <v>399</v>
      </c>
      <c r="E30" s="76" t="s">
        <v>826</v>
      </c>
      <c r="F30" s="133" t="s">
        <v>958</v>
      </c>
      <c r="G30" s="133" t="s">
        <v>703</v>
      </c>
      <c r="H30" s="61" t="s">
        <v>538</v>
      </c>
      <c r="I30" s="174" t="s">
        <v>932</v>
      </c>
      <c r="J30" s="104" t="s">
        <v>933</v>
      </c>
      <c r="K30" s="61" t="s">
        <v>518</v>
      </c>
      <c r="L30" s="61" t="s">
        <v>913</v>
      </c>
      <c r="M30" s="104" t="s">
        <v>914</v>
      </c>
      <c r="N30" s="104" t="str">
        <f t="shared" si="0"/>
        <v xml:space="preserve">PRIVCLOUD OTAP BO SEC-ZONE
</v>
      </c>
      <c r="O30" s="104" t="str">
        <f t="shared" si="1"/>
        <v xml:space="preserve">PRIVCLOUD OTAP BO SEC-ZONE
</v>
      </c>
      <c r="P30" s="76" t="s">
        <v>345</v>
      </c>
      <c r="Q30" s="61">
        <v>2181</v>
      </c>
      <c r="R30" s="76" t="s">
        <v>293</v>
      </c>
      <c r="S30" s="76" t="s">
        <v>400</v>
      </c>
      <c r="T30" s="76" t="s">
        <v>293</v>
      </c>
      <c r="U30" s="61"/>
      <c r="V30" s="61"/>
      <c r="W30" s="61"/>
      <c r="X30" s="76" t="s">
        <v>302</v>
      </c>
      <c r="Y30" s="76" t="s">
        <v>575</v>
      </c>
      <c r="Z30" s="61" t="s">
        <v>708</v>
      </c>
      <c r="AA30" s="61" t="s">
        <v>915</v>
      </c>
      <c r="AB30" s="61"/>
    </row>
    <row r="31" spans="1:28" ht="36.75" customHeight="1" x14ac:dyDescent="0.2">
      <c r="A31" s="61" t="s">
        <v>584</v>
      </c>
      <c r="B31" s="124">
        <v>22</v>
      </c>
      <c r="C31" s="76" t="s">
        <v>205</v>
      </c>
      <c r="D31" s="76" t="s">
        <v>959</v>
      </c>
      <c r="E31" s="76" t="s">
        <v>826</v>
      </c>
      <c r="F31" s="133" t="s">
        <v>958</v>
      </c>
      <c r="G31" s="133" t="s">
        <v>937</v>
      </c>
      <c r="H31" s="61" t="s">
        <v>538</v>
      </c>
      <c r="I31" s="174" t="s">
        <v>932</v>
      </c>
      <c r="J31" s="104" t="s">
        <v>933</v>
      </c>
      <c r="K31" s="166" t="s">
        <v>856</v>
      </c>
      <c r="L31" s="61" t="s">
        <v>927</v>
      </c>
      <c r="M31" s="104" t="s">
        <v>928</v>
      </c>
      <c r="N31" s="104" t="str">
        <f t="shared" si="0"/>
        <v xml:space="preserve">PRIVCLOUD OTAP BO SEC-ZONE
</v>
      </c>
      <c r="O31" s="104" t="str">
        <f t="shared" si="1"/>
        <v>[** NO ZONE **]
Check: inconsistent zones</v>
      </c>
      <c r="P31" s="76" t="s">
        <v>352</v>
      </c>
      <c r="Q31" s="61">
        <v>1526</v>
      </c>
      <c r="R31" s="76" t="s">
        <v>293</v>
      </c>
      <c r="S31" s="76" t="s">
        <v>301</v>
      </c>
      <c r="T31" s="76" t="s">
        <v>293</v>
      </c>
      <c r="U31" s="61"/>
      <c r="V31" s="61"/>
      <c r="W31" s="61"/>
      <c r="X31" s="76" t="s">
        <v>302</v>
      </c>
      <c r="Y31" s="76" t="s">
        <v>575</v>
      </c>
      <c r="Z31" s="61" t="s">
        <v>708</v>
      </c>
      <c r="AA31" s="61" t="s">
        <v>915</v>
      </c>
      <c r="AB31" s="61"/>
    </row>
    <row r="32" spans="1:28" ht="48" x14ac:dyDescent="0.2">
      <c r="A32" s="61" t="s">
        <v>586</v>
      </c>
      <c r="B32" s="124">
        <v>23</v>
      </c>
      <c r="C32" s="76" t="s">
        <v>205</v>
      </c>
      <c r="D32" s="76" t="s">
        <v>404</v>
      </c>
      <c r="E32" s="76" t="s">
        <v>1148</v>
      </c>
      <c r="F32" s="133" t="s">
        <v>758</v>
      </c>
      <c r="G32" s="133" t="s">
        <v>703</v>
      </c>
      <c r="H32" s="61" t="s">
        <v>587</v>
      </c>
      <c r="I32" s="61" t="s">
        <v>960</v>
      </c>
      <c r="J32" s="104" t="s">
        <v>961</v>
      </c>
      <c r="K32" s="61" t="s">
        <v>518</v>
      </c>
      <c r="L32" s="61" t="s">
        <v>913</v>
      </c>
      <c r="M32" s="104" t="s">
        <v>914</v>
      </c>
      <c r="N32" s="104" t="str">
        <f t="shared" si="0"/>
        <v xml:space="preserve">PRIVCLOUD OTAP BO SEC-ZONE
PRIVCLOUD OTAP BO SEC-ZONE
</v>
      </c>
      <c r="O32" s="104" t="str">
        <f t="shared" si="1"/>
        <v xml:space="preserve">PRIVCLOUD OTAP BO SEC-ZONE
</v>
      </c>
      <c r="P32" s="76" t="s">
        <v>345</v>
      </c>
      <c r="Q32" s="61">
        <v>9092</v>
      </c>
      <c r="R32" s="76" t="s">
        <v>293</v>
      </c>
      <c r="S32" s="76" t="s">
        <v>400</v>
      </c>
      <c r="T32" s="76" t="s">
        <v>293</v>
      </c>
      <c r="U32" s="61"/>
      <c r="V32" s="61"/>
      <c r="W32" s="61"/>
      <c r="X32" s="76" t="s">
        <v>302</v>
      </c>
      <c r="Y32" s="76" t="s">
        <v>575</v>
      </c>
      <c r="Z32" s="61" t="s">
        <v>708</v>
      </c>
      <c r="AA32" s="61" t="s">
        <v>924</v>
      </c>
      <c r="AB32" s="61" t="s">
        <v>925</v>
      </c>
    </row>
    <row r="33" spans="1:28" ht="32" x14ac:dyDescent="0.2">
      <c r="A33" s="61" t="s">
        <v>590</v>
      </c>
      <c r="B33" s="124">
        <v>24</v>
      </c>
      <c r="C33" s="76" t="s">
        <v>205</v>
      </c>
      <c r="D33" s="76" t="s">
        <v>962</v>
      </c>
      <c r="E33" s="76" t="s">
        <v>1148</v>
      </c>
      <c r="F33" s="61" t="s">
        <v>703</v>
      </c>
      <c r="G33" s="61" t="s">
        <v>734</v>
      </c>
      <c r="H33" s="61" t="s">
        <v>518</v>
      </c>
      <c r="I33" s="61" t="s">
        <v>913</v>
      </c>
      <c r="J33" s="104" t="s">
        <v>914</v>
      </c>
      <c r="K33" s="166" t="s">
        <v>856</v>
      </c>
      <c r="L33" s="61" t="s">
        <v>927</v>
      </c>
      <c r="M33" s="104" t="s">
        <v>928</v>
      </c>
      <c r="N33" s="104" t="str">
        <f t="shared" si="0"/>
        <v xml:space="preserve">PRIVCLOUD OTAP BO SEC-ZONE
</v>
      </c>
      <c r="O33" s="104" t="str">
        <f t="shared" si="1"/>
        <v>[** NO ZONE **]
Check: inconsistent zones</v>
      </c>
      <c r="P33" s="76" t="s">
        <v>352</v>
      </c>
      <c r="Q33" s="61">
        <v>1526</v>
      </c>
      <c r="R33" s="76" t="s">
        <v>293</v>
      </c>
      <c r="S33" s="76" t="s">
        <v>301</v>
      </c>
      <c r="T33" s="76" t="s">
        <v>293</v>
      </c>
      <c r="U33" s="61"/>
      <c r="V33" s="61"/>
      <c r="W33" s="61"/>
      <c r="X33" s="76"/>
      <c r="Y33" s="76" t="s">
        <v>575</v>
      </c>
      <c r="Z33" s="61" t="s">
        <v>708</v>
      </c>
      <c r="AA33" s="61" t="s">
        <v>924</v>
      </c>
      <c r="AB33" s="61" t="s">
        <v>925</v>
      </c>
    </row>
    <row r="34" spans="1:28" ht="48" x14ac:dyDescent="0.2">
      <c r="A34" s="61" t="s">
        <v>592</v>
      </c>
      <c r="B34" s="124">
        <v>25</v>
      </c>
      <c r="C34" s="76" t="s">
        <v>400</v>
      </c>
      <c r="D34" s="76" t="s">
        <v>411</v>
      </c>
      <c r="E34" s="76" t="s">
        <v>710</v>
      </c>
      <c r="F34" s="61" t="s">
        <v>364</v>
      </c>
      <c r="G34" s="61" t="s">
        <v>364</v>
      </c>
      <c r="H34" s="61"/>
      <c r="I34" s="61"/>
      <c r="J34" s="104" t="s">
        <v>865</v>
      </c>
      <c r="K34" s="61"/>
      <c r="L34" s="61"/>
      <c r="M34" s="104" t="s">
        <v>865</v>
      </c>
      <c r="N34" s="104" t="str">
        <f t="shared" si="0"/>
        <v>[** NO ZONE **]</v>
      </c>
      <c r="O34" s="104" t="str">
        <f t="shared" si="1"/>
        <v>[** NO ZONE **]</v>
      </c>
      <c r="P34" s="76"/>
      <c r="Q34" s="61"/>
      <c r="R34" s="76"/>
      <c r="S34" s="76"/>
      <c r="T34" s="76" t="s">
        <v>293</v>
      </c>
      <c r="U34" s="61"/>
      <c r="V34" s="61"/>
      <c r="W34" s="61"/>
      <c r="X34" s="76" t="s">
        <v>302</v>
      </c>
      <c r="Y34" s="76" t="s">
        <v>400</v>
      </c>
      <c r="Z34" s="61" t="s">
        <v>708</v>
      </c>
      <c r="AA34" s="61"/>
      <c r="AB34" s="61"/>
    </row>
    <row r="35" spans="1:28" ht="80" x14ac:dyDescent="0.2">
      <c r="A35" s="61" t="s">
        <v>593</v>
      </c>
      <c r="B35" s="124">
        <v>26</v>
      </c>
      <c r="C35" s="76" t="s">
        <v>205</v>
      </c>
      <c r="D35" s="76" t="s">
        <v>963</v>
      </c>
      <c r="E35" s="76" t="s">
        <v>1148</v>
      </c>
      <c r="F35" s="61" t="s">
        <v>964</v>
      </c>
      <c r="G35" s="133" t="s">
        <v>763</v>
      </c>
      <c r="H35" s="133" t="s">
        <v>965</v>
      </c>
      <c r="I35" s="61" t="s">
        <v>765</v>
      </c>
      <c r="J35" s="104" t="s">
        <v>766</v>
      </c>
      <c r="K35" s="61" t="s">
        <v>966</v>
      </c>
      <c r="L35" s="61" t="s">
        <v>967</v>
      </c>
      <c r="M35" s="104" t="s">
        <v>968</v>
      </c>
      <c r="N35" s="104" t="str">
        <f t="shared" si="0"/>
        <v>[** NO ZONE **]
Check: inconsistent zones</v>
      </c>
      <c r="O35" s="104" t="str">
        <f t="shared" si="1"/>
        <v>PRIVCLOUD OTAP BO SEC-ZONE
PRIVCLOUD OTAP BO SEC-ZONE
PRIVCLOUD OTAP BO SEC-ZONE
[** NO ZONE **]
Check: inconsistent zones</v>
      </c>
      <c r="P35" s="76" t="s">
        <v>326</v>
      </c>
      <c r="Q35" s="61"/>
      <c r="R35" s="76" t="s">
        <v>293</v>
      </c>
      <c r="S35" s="76" t="s">
        <v>310</v>
      </c>
      <c r="T35" s="76" t="s">
        <v>293</v>
      </c>
      <c r="U35" s="61"/>
      <c r="V35" s="61"/>
      <c r="W35" s="61"/>
      <c r="X35" s="76"/>
      <c r="Y35" s="76" t="s">
        <v>575</v>
      </c>
      <c r="Z35" s="61" t="s">
        <v>420</v>
      </c>
      <c r="AA35" s="61" t="s">
        <v>924</v>
      </c>
      <c r="AB35" s="61" t="s">
        <v>925</v>
      </c>
    </row>
    <row r="36" spans="1:28" ht="80" x14ac:dyDescent="0.2">
      <c r="A36" s="61" t="s">
        <v>599</v>
      </c>
      <c r="B36" s="124">
        <v>27</v>
      </c>
      <c r="C36" s="76" t="s">
        <v>205</v>
      </c>
      <c r="D36" s="76" t="s">
        <v>969</v>
      </c>
      <c r="E36" s="76" t="s">
        <v>1148</v>
      </c>
      <c r="F36" s="133" t="s">
        <v>763</v>
      </c>
      <c r="G36" s="61" t="s">
        <v>964</v>
      </c>
      <c r="H36" s="61" t="s">
        <v>966</v>
      </c>
      <c r="I36" s="61" t="s">
        <v>970</v>
      </c>
      <c r="J36" s="104" t="s">
        <v>971</v>
      </c>
      <c r="K36" s="133" t="s">
        <v>965</v>
      </c>
      <c r="L36" s="61" t="s">
        <v>765</v>
      </c>
      <c r="M36" s="104" t="s">
        <v>766</v>
      </c>
      <c r="N36" s="104" t="str">
        <f t="shared" si="0"/>
        <v>PRIVCLOUD OTAP BO SEC-ZONE
PRIVCLOUD OTAP BO SEC-ZONE
PRIVCLOUD OTAP BO SEC-ZONE
[** NO ZONE **]
Check: inconsistent zones</v>
      </c>
      <c r="O36" s="104" t="str">
        <f t="shared" si="1"/>
        <v>[** NO ZONE **]
Check: inconsistent zones</v>
      </c>
      <c r="P36" s="76" t="s">
        <v>326</v>
      </c>
      <c r="Q36" s="61"/>
      <c r="R36" s="76" t="s">
        <v>293</v>
      </c>
      <c r="S36" s="76" t="s">
        <v>310</v>
      </c>
      <c r="T36" s="76" t="s">
        <v>293</v>
      </c>
      <c r="U36" s="61"/>
      <c r="V36" s="61"/>
      <c r="W36" s="61"/>
      <c r="X36" s="76"/>
      <c r="Y36" s="76" t="s">
        <v>575</v>
      </c>
      <c r="Z36" s="61" t="s">
        <v>424</v>
      </c>
      <c r="AA36" s="61" t="s">
        <v>915</v>
      </c>
      <c r="AB36" s="61"/>
    </row>
    <row r="37" spans="1:28" ht="80" x14ac:dyDescent="0.2">
      <c r="A37" s="61" t="s">
        <v>600</v>
      </c>
      <c r="B37" s="124">
        <v>28</v>
      </c>
      <c r="C37" s="76" t="s">
        <v>400</v>
      </c>
      <c r="D37" s="76" t="s">
        <v>426</v>
      </c>
      <c r="E37" s="76" t="s">
        <v>710</v>
      </c>
      <c r="F37" s="61" t="s">
        <v>772</v>
      </c>
      <c r="G37" s="61" t="s">
        <v>428</v>
      </c>
      <c r="H37" s="61" t="s">
        <v>596</v>
      </c>
      <c r="I37" s="61" t="s">
        <v>972</v>
      </c>
      <c r="J37" s="104" t="s">
        <v>973</v>
      </c>
      <c r="K37" s="61" t="s">
        <v>432</v>
      </c>
      <c r="L37" s="61" t="s">
        <v>433</v>
      </c>
      <c r="M37" s="104" t="s">
        <v>434</v>
      </c>
      <c r="N37" s="104" t="str">
        <f t="shared" si="0"/>
        <v xml:space="preserve">PRIVCLOUD OTAP BO SEC-ZONE
PRIVCLOUD OTAP BO SEC-ZONE
PRIVCLOUD OTAP BO SEC-ZONE
PRIVCLOUD OTAP BO SEC-ZONE
</v>
      </c>
      <c r="O37" s="104" t="str">
        <f t="shared" si="1"/>
        <v xml:space="preserve">IBM Application Mgmt
</v>
      </c>
      <c r="P37" s="76" t="s">
        <v>435</v>
      </c>
      <c r="Q37" s="61"/>
      <c r="R37" s="76" t="s">
        <v>293</v>
      </c>
      <c r="S37" s="76" t="s">
        <v>310</v>
      </c>
      <c r="T37" s="76" t="s">
        <v>293</v>
      </c>
      <c r="U37" s="61"/>
      <c r="V37" s="61"/>
      <c r="W37" s="61"/>
      <c r="X37" s="76" t="s">
        <v>302</v>
      </c>
      <c r="Y37" s="76" t="s">
        <v>575</v>
      </c>
      <c r="Z37" s="61" t="s">
        <v>708</v>
      </c>
      <c r="AA37" s="61"/>
      <c r="AB37" s="61"/>
    </row>
    <row r="38" spans="1:28" ht="80" x14ac:dyDescent="0.2">
      <c r="A38" s="61" t="s">
        <v>601</v>
      </c>
      <c r="B38" s="124">
        <v>29</v>
      </c>
      <c r="C38" s="76" t="s">
        <v>400</v>
      </c>
      <c r="D38" s="61" t="s">
        <v>678</v>
      </c>
      <c r="E38" s="76" t="s">
        <v>710</v>
      </c>
      <c r="F38" s="61" t="s">
        <v>892</v>
      </c>
      <c r="G38" s="61" t="s">
        <v>439</v>
      </c>
      <c r="H38" s="61" t="s">
        <v>596</v>
      </c>
      <c r="I38" s="61" t="s">
        <v>597</v>
      </c>
      <c r="J38" s="104" t="s">
        <v>598</v>
      </c>
      <c r="K38" s="61" t="s">
        <v>440</v>
      </c>
      <c r="L38" s="61" t="s">
        <v>441</v>
      </c>
      <c r="M38" s="104" t="s">
        <v>442</v>
      </c>
      <c r="N38" s="104" t="str">
        <f t="shared" si="0"/>
        <v>[** NO ZONE **]
[** NO ZONE **]
[** NO ZONE **]
[** NO ZONE **]
Check: inconsistent zones</v>
      </c>
      <c r="O38" s="104" t="str">
        <f t="shared" si="1"/>
        <v xml:space="preserve">IBM Productie Secure Zone
IBM Productie Secure Zone
</v>
      </c>
      <c r="P38" s="76" t="s">
        <v>334</v>
      </c>
      <c r="Q38" s="61" t="s">
        <v>443</v>
      </c>
      <c r="R38" s="76" t="s">
        <v>293</v>
      </c>
      <c r="S38" s="76" t="s">
        <v>391</v>
      </c>
      <c r="T38" s="76" t="s">
        <v>293</v>
      </c>
      <c r="U38" s="61"/>
      <c r="V38" s="61"/>
      <c r="W38" s="61"/>
      <c r="X38" s="76" t="s">
        <v>302</v>
      </c>
      <c r="Y38" s="76" t="s">
        <v>575</v>
      </c>
      <c r="Z38" s="61" t="s">
        <v>708</v>
      </c>
      <c r="AA38" s="61"/>
      <c r="AB38" s="61"/>
    </row>
    <row r="39" spans="1:28" ht="16" x14ac:dyDescent="0.2">
      <c r="A39" s="61" t="s">
        <v>602</v>
      </c>
      <c r="B39" s="124">
        <v>30</v>
      </c>
      <c r="C39" s="76" t="s">
        <v>400</v>
      </c>
      <c r="D39" s="76" t="s">
        <v>680</v>
      </c>
      <c r="E39" s="76" t="s">
        <v>710</v>
      </c>
      <c r="F39" s="61" t="s">
        <v>364</v>
      </c>
      <c r="G39" s="61" t="s">
        <v>364</v>
      </c>
      <c r="H39" s="61"/>
      <c r="I39" s="61"/>
      <c r="J39" s="104" t="s">
        <v>865</v>
      </c>
      <c r="K39" s="61"/>
      <c r="L39" s="61"/>
      <c r="M39" s="104" t="s">
        <v>865</v>
      </c>
      <c r="N39" s="104" t="str">
        <f t="shared" si="0"/>
        <v>[** NO ZONE **]</v>
      </c>
      <c r="O39" s="104" t="str">
        <f t="shared" si="1"/>
        <v>[** NO ZONE **]</v>
      </c>
      <c r="P39" s="76"/>
      <c r="Q39" s="61"/>
      <c r="R39" s="76"/>
      <c r="S39" s="76"/>
      <c r="T39" s="76" t="s">
        <v>293</v>
      </c>
      <c r="U39" s="61"/>
      <c r="V39" s="61"/>
      <c r="W39" s="61"/>
      <c r="X39" s="76"/>
      <c r="Y39" s="76" t="s">
        <v>400</v>
      </c>
      <c r="Z39" s="61" t="s">
        <v>708</v>
      </c>
      <c r="AA39" s="61"/>
      <c r="AB39" s="61"/>
    </row>
    <row r="40" spans="1:28" ht="48" x14ac:dyDescent="0.2">
      <c r="A40" s="61" t="s">
        <v>603</v>
      </c>
      <c r="B40" s="124">
        <v>31</v>
      </c>
      <c r="C40" s="76" t="s">
        <v>205</v>
      </c>
      <c r="D40" s="76" t="s">
        <v>974</v>
      </c>
      <c r="E40" s="76" t="s">
        <v>1148</v>
      </c>
      <c r="F40" s="133" t="s">
        <v>916</v>
      </c>
      <c r="G40" s="133" t="s">
        <v>780</v>
      </c>
      <c r="H40" s="61" t="s">
        <v>522</v>
      </c>
      <c r="I40" s="61" t="s">
        <v>919</v>
      </c>
      <c r="J40" s="104" t="s">
        <v>920</v>
      </c>
      <c r="K40" s="61" t="s">
        <v>538</v>
      </c>
      <c r="L40" s="61" t="s">
        <v>932</v>
      </c>
      <c r="M40" s="104" t="s">
        <v>933</v>
      </c>
      <c r="N40" s="104" t="str">
        <f t="shared" ref="N40:N107" si="6" xml:space="preserve"> RetrieveZone( J40 )</f>
        <v xml:space="preserve">PRIVCLOUD OTAP BO SEC-ZONE
</v>
      </c>
      <c r="O40" s="104" t="str">
        <f t="shared" ref="O40:O107" si="7" xml:space="preserve"> RetrieveZone( M40 )</f>
        <v xml:space="preserve">PRIVCLOUD OTAP BO SEC-ZONE
</v>
      </c>
      <c r="P40" s="76" t="s">
        <v>334</v>
      </c>
      <c r="Q40" s="61">
        <v>9443</v>
      </c>
      <c r="R40" s="76" t="s">
        <v>293</v>
      </c>
      <c r="S40" s="76" t="s">
        <v>301</v>
      </c>
      <c r="T40" s="76" t="s">
        <v>293</v>
      </c>
      <c r="U40" s="61"/>
      <c r="V40" s="61"/>
      <c r="W40" s="61"/>
      <c r="X40" s="76" t="s">
        <v>302</v>
      </c>
      <c r="Y40" s="76" t="s">
        <v>575</v>
      </c>
      <c r="Z40" s="61" t="s">
        <v>708</v>
      </c>
      <c r="AA40" s="61" t="s">
        <v>915</v>
      </c>
      <c r="AB40" s="61"/>
    </row>
    <row r="41" spans="1:28" ht="32" x14ac:dyDescent="0.2">
      <c r="A41" s="61"/>
      <c r="B41" s="124">
        <v>33</v>
      </c>
      <c r="C41" s="76" t="s">
        <v>205</v>
      </c>
      <c r="D41" s="76" t="s">
        <v>789</v>
      </c>
      <c r="E41" s="76" t="s">
        <v>1148</v>
      </c>
      <c r="F41" s="61" t="s">
        <v>790</v>
      </c>
      <c r="G41" s="61" t="s">
        <v>791</v>
      </c>
      <c r="H41" s="61" t="s">
        <v>790</v>
      </c>
      <c r="I41" s="170" t="s">
        <v>765</v>
      </c>
      <c r="J41" s="171" t="s">
        <v>766</v>
      </c>
      <c r="K41" s="61" t="s">
        <v>901</v>
      </c>
      <c r="L41" s="61" t="s">
        <v>927</v>
      </c>
      <c r="M41" s="104" t="s">
        <v>928</v>
      </c>
      <c r="N41" s="61" t="str">
        <f xml:space="preserve"> RetrieveZone( J41 )</f>
        <v>[** NO ZONE **]
Check: inconsistent zones</v>
      </c>
      <c r="O41" s="61" t="str">
        <f xml:space="preserve"> RetrieveZone( M41 )</f>
        <v>[** NO ZONE **]
Check: inconsistent zones</v>
      </c>
      <c r="P41" s="76" t="s">
        <v>326</v>
      </c>
      <c r="Q41" s="61"/>
      <c r="R41" s="76" t="s">
        <v>293</v>
      </c>
      <c r="S41" s="76" t="s">
        <v>310</v>
      </c>
      <c r="T41" s="76" t="s">
        <v>293</v>
      </c>
      <c r="U41" s="61"/>
      <c r="V41" s="61"/>
      <c r="W41" s="61"/>
      <c r="X41" s="76" t="s">
        <v>302</v>
      </c>
      <c r="Y41" s="76" t="s">
        <v>575</v>
      </c>
      <c r="Z41" s="61"/>
      <c r="AA41" s="61" t="s">
        <v>975</v>
      </c>
      <c r="AB41" s="61" t="s">
        <v>736</v>
      </c>
    </row>
    <row r="42" spans="1:28" ht="32" x14ac:dyDescent="0.2">
      <c r="A42" s="61"/>
      <c r="B42" s="124">
        <v>34</v>
      </c>
      <c r="C42" s="76" t="s">
        <v>205</v>
      </c>
      <c r="D42" s="76" t="s">
        <v>793</v>
      </c>
      <c r="E42" s="76" t="s">
        <v>1148</v>
      </c>
      <c r="F42" s="61" t="s">
        <v>791</v>
      </c>
      <c r="G42" s="61" t="s">
        <v>790</v>
      </c>
      <c r="H42" s="61" t="s">
        <v>901</v>
      </c>
      <c r="I42" s="61" t="s">
        <v>927</v>
      </c>
      <c r="J42" s="104" t="s">
        <v>928</v>
      </c>
      <c r="K42" s="61" t="s">
        <v>790</v>
      </c>
      <c r="L42" s="170" t="s">
        <v>765</v>
      </c>
      <c r="M42" s="171" t="s">
        <v>766</v>
      </c>
      <c r="N42" s="61" t="str">
        <f xml:space="preserve"> RetrieveZone( J42 )</f>
        <v>[** NO ZONE **]
Check: inconsistent zones</v>
      </c>
      <c r="O42" s="61" t="str">
        <f xml:space="preserve"> RetrieveZone( M42 )</f>
        <v>[** NO ZONE **]
Check: inconsistent zones</v>
      </c>
      <c r="P42" s="76" t="s">
        <v>326</v>
      </c>
      <c r="Q42" s="61"/>
      <c r="R42" s="76" t="s">
        <v>293</v>
      </c>
      <c r="S42" s="76" t="s">
        <v>310</v>
      </c>
      <c r="T42" s="76" t="s">
        <v>293</v>
      </c>
      <c r="U42" s="61"/>
      <c r="V42" s="61"/>
      <c r="W42" s="61"/>
      <c r="X42" s="76" t="s">
        <v>302</v>
      </c>
      <c r="Y42" s="76" t="s">
        <v>575</v>
      </c>
      <c r="Z42" s="61"/>
      <c r="AA42" s="61" t="s">
        <v>975</v>
      </c>
      <c r="AB42" s="61" t="s">
        <v>736</v>
      </c>
    </row>
    <row r="43" spans="1:28" ht="32" x14ac:dyDescent="0.2">
      <c r="A43" s="61"/>
      <c r="B43" s="124">
        <v>35</v>
      </c>
      <c r="C43" s="76" t="s">
        <v>205</v>
      </c>
      <c r="D43" s="76" t="s">
        <v>794</v>
      </c>
      <c r="E43" s="76" t="s">
        <v>1148</v>
      </c>
      <c r="F43" s="61" t="s">
        <v>790</v>
      </c>
      <c r="G43" s="61" t="s">
        <v>791</v>
      </c>
      <c r="H43" s="61" t="s">
        <v>790</v>
      </c>
      <c r="I43" s="170" t="s">
        <v>765</v>
      </c>
      <c r="J43" s="171" t="s">
        <v>766</v>
      </c>
      <c r="K43" s="61" t="s">
        <v>901</v>
      </c>
      <c r="L43" s="61" t="s">
        <v>927</v>
      </c>
      <c r="M43" s="104" t="s">
        <v>928</v>
      </c>
      <c r="N43" s="61" t="str">
        <f xml:space="preserve"> RetrieveZone( J43 )</f>
        <v>[** NO ZONE **]
Check: inconsistent zones</v>
      </c>
      <c r="O43" s="61" t="str">
        <f xml:space="preserve"> RetrieveZone( M43 )</f>
        <v>[** NO ZONE **]
Check: inconsistent zones</v>
      </c>
      <c r="P43" s="76" t="s">
        <v>778</v>
      </c>
      <c r="Q43" s="61">
        <v>1526</v>
      </c>
      <c r="R43" s="76" t="s">
        <v>293</v>
      </c>
      <c r="S43" s="76" t="s">
        <v>391</v>
      </c>
      <c r="T43" s="76" t="s">
        <v>293</v>
      </c>
      <c r="U43" s="61"/>
      <c r="V43" s="61"/>
      <c r="W43" s="61"/>
      <c r="X43" s="76" t="s">
        <v>302</v>
      </c>
      <c r="Y43" s="76" t="s">
        <v>575</v>
      </c>
      <c r="Z43" s="61"/>
      <c r="AA43" s="61" t="s">
        <v>975</v>
      </c>
      <c r="AB43" s="61" t="s">
        <v>736</v>
      </c>
    </row>
    <row r="44" spans="1:28" ht="48" x14ac:dyDescent="0.2">
      <c r="A44" s="61"/>
      <c r="B44" s="124">
        <v>36</v>
      </c>
      <c r="C44" s="76" t="s">
        <v>205</v>
      </c>
      <c r="D44" s="76" t="s">
        <v>976</v>
      </c>
      <c r="E44" s="76" t="s">
        <v>1148</v>
      </c>
      <c r="F44" s="61" t="s">
        <v>956</v>
      </c>
      <c r="G44" s="61" t="s">
        <v>977</v>
      </c>
      <c r="H44" s="61" t="s">
        <v>956</v>
      </c>
      <c r="I44" s="61" t="s">
        <v>927</v>
      </c>
      <c r="J44" s="104" t="s">
        <v>978</v>
      </c>
      <c r="K44" s="61" t="s">
        <v>977</v>
      </c>
      <c r="L44" s="61" t="s">
        <v>979</v>
      </c>
      <c r="M44" s="104" t="s">
        <v>980</v>
      </c>
      <c r="N44" s="104" t="s">
        <v>981</v>
      </c>
      <c r="O44" s="104" t="str">
        <f t="shared" si="7"/>
        <v xml:space="preserve">PRIVCLOUD OTAP BO SEC-ZONE
PRIVCLOUD OTAP BO SEC-ZONE
</v>
      </c>
      <c r="P44" s="76" t="s">
        <v>334</v>
      </c>
      <c r="Q44" s="61" t="s">
        <v>802</v>
      </c>
      <c r="R44" s="76" t="s">
        <v>293</v>
      </c>
      <c r="S44" s="76" t="s">
        <v>803</v>
      </c>
      <c r="T44" s="76" t="s">
        <v>293</v>
      </c>
      <c r="U44" s="61"/>
      <c r="V44" s="61"/>
      <c r="W44" s="61"/>
      <c r="X44" s="76" t="s">
        <v>302</v>
      </c>
      <c r="Y44" s="76" t="s">
        <v>400</v>
      </c>
      <c r="Z44" s="61"/>
      <c r="AA44" s="61" t="s">
        <v>804</v>
      </c>
      <c r="AB44" s="61"/>
    </row>
    <row r="45" spans="1:28" ht="48" x14ac:dyDescent="0.2">
      <c r="A45" s="61"/>
      <c r="B45" s="124">
        <v>38</v>
      </c>
      <c r="C45" s="76" t="s">
        <v>205</v>
      </c>
      <c r="D45" s="76" t="s">
        <v>982</v>
      </c>
      <c r="E45" s="76" t="s">
        <v>1148</v>
      </c>
      <c r="F45" s="61" t="s">
        <v>813</v>
      </c>
      <c r="G45" s="61" t="s">
        <v>983</v>
      </c>
      <c r="H45" s="61" t="s">
        <v>813</v>
      </c>
      <c r="I45" s="61" t="s">
        <v>814</v>
      </c>
      <c r="J45" s="104" t="s">
        <v>815</v>
      </c>
      <c r="K45" s="61" t="s">
        <v>983</v>
      </c>
      <c r="L45" s="61" t="s">
        <v>927</v>
      </c>
      <c r="M45" s="104" t="s">
        <v>928</v>
      </c>
      <c r="N45" s="104" t="str">
        <f t="shared" si="6"/>
        <v xml:space="preserve">IBM Productie Secure Zone
IBM Productie Secure Zone
</v>
      </c>
      <c r="O45" s="104" t="str">
        <f t="shared" si="7"/>
        <v>[** NO ZONE **]
Check: inconsistent zones</v>
      </c>
      <c r="P45" s="76" t="s">
        <v>345</v>
      </c>
      <c r="Q45" s="61">
        <v>1526</v>
      </c>
      <c r="R45" s="76" t="s">
        <v>400</v>
      </c>
      <c r="S45" s="76" t="s">
        <v>400</v>
      </c>
      <c r="T45" s="76" t="s">
        <v>293</v>
      </c>
      <c r="U45" s="61"/>
      <c r="V45" s="61"/>
      <c r="W45" s="61"/>
      <c r="X45" s="76" t="s">
        <v>302</v>
      </c>
      <c r="Y45" s="76" t="s">
        <v>400</v>
      </c>
      <c r="Z45" s="61"/>
      <c r="AA45" s="61" t="s">
        <v>816</v>
      </c>
      <c r="AB45" s="61" t="s">
        <v>817</v>
      </c>
    </row>
    <row r="46" spans="1:28" ht="32" x14ac:dyDescent="0.2">
      <c r="A46" s="61"/>
      <c r="B46" s="124">
        <v>39</v>
      </c>
      <c r="C46" s="76" t="s">
        <v>205</v>
      </c>
      <c r="D46" s="76" t="s">
        <v>680</v>
      </c>
      <c r="E46" s="76" t="s">
        <v>1148</v>
      </c>
      <c r="F46" s="61" t="s">
        <v>3194</v>
      </c>
      <c r="G46" s="61" t="s">
        <v>447</v>
      </c>
      <c r="H46" s="61" t="s">
        <v>956</v>
      </c>
      <c r="I46" s="61" t="s">
        <v>927</v>
      </c>
      <c r="J46" s="104" t="s">
        <v>978</v>
      </c>
      <c r="K46" s="61" t="s">
        <v>447</v>
      </c>
      <c r="L46" s="61" t="s">
        <v>3195</v>
      </c>
      <c r="M46" s="104" t="s">
        <v>3197</v>
      </c>
      <c r="N46" s="104" t="str">
        <f t="shared" si="6"/>
        <v>[** NO ZONE **]
Check: inconsistent zones</v>
      </c>
      <c r="O46" s="104" t="str">
        <f t="shared" si="7"/>
        <v xml:space="preserve">PRIVCLOUD OTAP BO SEC-ZONE
</v>
      </c>
      <c r="P46" s="76" t="s">
        <v>778</v>
      </c>
      <c r="Q46" s="61"/>
      <c r="R46" s="76" t="s">
        <v>400</v>
      </c>
      <c r="S46" s="76" t="s">
        <v>400</v>
      </c>
      <c r="T46" s="76" t="s">
        <v>293</v>
      </c>
      <c r="U46" s="61"/>
      <c r="V46" s="61"/>
      <c r="W46" s="61"/>
      <c r="X46" s="76" t="s">
        <v>302</v>
      </c>
      <c r="Y46" s="76" t="s">
        <v>400</v>
      </c>
      <c r="Z46" s="61"/>
      <c r="AA46" s="61" t="s">
        <v>3199</v>
      </c>
      <c r="AB46" s="61"/>
    </row>
    <row r="47" spans="1:28" ht="160" x14ac:dyDescent="0.2">
      <c r="A47" s="61"/>
      <c r="B47" s="124">
        <v>40</v>
      </c>
      <c r="C47" s="76" t="s">
        <v>205</v>
      </c>
      <c r="D47" s="76" t="s">
        <v>3222</v>
      </c>
      <c r="E47" s="76" t="s">
        <v>702</v>
      </c>
      <c r="F47" s="61" t="s">
        <v>3223</v>
      </c>
      <c r="G47" s="61" t="s">
        <v>3224</v>
      </c>
      <c r="H47" s="61" t="s">
        <v>727</v>
      </c>
      <c r="I47" s="61" t="s">
        <v>929</v>
      </c>
      <c r="J47" s="104" t="s">
        <v>930</v>
      </c>
      <c r="K47" s="61" t="s">
        <v>3225</v>
      </c>
      <c r="L47" s="61" t="s">
        <v>3226</v>
      </c>
      <c r="M47" s="104" t="s">
        <v>3227</v>
      </c>
      <c r="N47" s="104" t="str">
        <f t="shared" si="6"/>
        <v xml:space="preserve">PRIVCLOUD OTAP BO SEC-ZONE
</v>
      </c>
      <c r="O47" s="104" t="str">
        <f t="shared" si="7"/>
        <v xml:space="preserve">PRIVCLOUD OTAP BO SEC-ZONE
</v>
      </c>
      <c r="P47" s="76" t="s">
        <v>300</v>
      </c>
      <c r="Q47" s="61" t="s">
        <v>3228</v>
      </c>
      <c r="R47" s="76" t="s">
        <v>400</v>
      </c>
      <c r="S47" s="76" t="s">
        <v>400</v>
      </c>
      <c r="T47" s="76" t="s">
        <v>293</v>
      </c>
      <c r="U47" s="61"/>
      <c r="V47" s="61"/>
      <c r="W47" s="61"/>
      <c r="X47" s="76" t="s">
        <v>302</v>
      </c>
      <c r="Y47" s="76" t="s">
        <v>400</v>
      </c>
      <c r="Z47" s="61"/>
      <c r="AA47" s="61" t="s">
        <v>3238</v>
      </c>
      <c r="AB47" s="61" t="s">
        <v>3229</v>
      </c>
    </row>
    <row r="48" spans="1:28" ht="144" x14ac:dyDescent="0.2">
      <c r="A48" s="61"/>
      <c r="B48" s="124">
        <v>41</v>
      </c>
      <c r="C48" s="76" t="s">
        <v>205</v>
      </c>
      <c r="D48" s="76" t="s">
        <v>3230</v>
      </c>
      <c r="E48" s="76" t="s">
        <v>702</v>
      </c>
      <c r="F48" s="61" t="s">
        <v>3231</v>
      </c>
      <c r="G48" s="61" t="s">
        <v>3232</v>
      </c>
      <c r="H48" s="61" t="s">
        <v>727</v>
      </c>
      <c r="I48" s="61" t="s">
        <v>929</v>
      </c>
      <c r="J48" s="104" t="s">
        <v>930</v>
      </c>
      <c r="K48" s="61" t="s">
        <v>3235</v>
      </c>
      <c r="L48" s="61" t="s">
        <v>3233</v>
      </c>
      <c r="M48" s="104" t="s">
        <v>3234</v>
      </c>
      <c r="N48" s="104" t="str">
        <f t="shared" si="6"/>
        <v xml:space="preserve">PRIVCLOUD OTAP BO SEC-ZONE
</v>
      </c>
      <c r="O48" s="104" t="str">
        <f t="shared" si="7"/>
        <v xml:space="preserve">PRIVCLOUD OTAP BO SEC-ZONE
</v>
      </c>
      <c r="P48" s="76" t="s">
        <v>300</v>
      </c>
      <c r="Q48" s="61" t="s">
        <v>3228</v>
      </c>
      <c r="R48" s="76" t="s">
        <v>400</v>
      </c>
      <c r="S48" s="76" t="s">
        <v>400</v>
      </c>
      <c r="T48" s="76" t="s">
        <v>293</v>
      </c>
      <c r="U48" s="61"/>
      <c r="V48" s="61"/>
      <c r="W48" s="61"/>
      <c r="X48" s="76" t="s">
        <v>302</v>
      </c>
      <c r="Y48" s="76" t="s">
        <v>400</v>
      </c>
      <c r="Z48" s="61"/>
      <c r="AA48" s="61" t="s">
        <v>3238</v>
      </c>
      <c r="AB48" s="61" t="s">
        <v>3236</v>
      </c>
    </row>
    <row r="49" spans="1:28" ht="32" x14ac:dyDescent="0.2">
      <c r="A49" s="61"/>
      <c r="B49" s="54">
        <v>42</v>
      </c>
      <c r="C49" s="76" t="s">
        <v>205</v>
      </c>
      <c r="D49" s="76" t="s">
        <v>3253</v>
      </c>
      <c r="E49" s="76" t="s">
        <v>702</v>
      </c>
      <c r="F49" s="61" t="s">
        <v>3201</v>
      </c>
      <c r="G49" s="61" t="s">
        <v>791</v>
      </c>
      <c r="H49" s="61" t="s">
        <v>3201</v>
      </c>
      <c r="I49" s="61" t="s">
        <v>3202</v>
      </c>
      <c r="J49" s="177" t="s">
        <v>3203</v>
      </c>
      <c r="K49" s="61" t="s">
        <v>983</v>
      </c>
      <c r="L49" s="61" t="s">
        <v>927</v>
      </c>
      <c r="M49" s="104" t="s">
        <v>928</v>
      </c>
      <c r="N49" s="104" t="str">
        <f xml:space="preserve"> RetrieveZone( J49 )</f>
        <v xml:space="preserve">PRIVCLOUD OTAP BO SEC-ZONE
</v>
      </c>
      <c r="O49" s="104" t="str">
        <f t="shared" si="7"/>
        <v>[** NO ZONE **]
Check: inconsistent zones</v>
      </c>
      <c r="P49" s="76" t="s">
        <v>326</v>
      </c>
      <c r="Q49" s="61"/>
      <c r="R49" s="76" t="s">
        <v>400</v>
      </c>
      <c r="S49" s="76" t="s">
        <v>400</v>
      </c>
      <c r="T49" s="76" t="s">
        <v>293</v>
      </c>
      <c r="U49" s="61"/>
      <c r="V49" s="61"/>
      <c r="W49" s="61"/>
      <c r="X49" s="76" t="s">
        <v>302</v>
      </c>
      <c r="Y49" s="76" t="s">
        <v>400</v>
      </c>
      <c r="Z49" s="61"/>
      <c r="AA49" s="61"/>
      <c r="AB49" s="61"/>
    </row>
    <row r="50" spans="1:28" ht="48" x14ac:dyDescent="0.2">
      <c r="A50" s="61"/>
      <c r="B50" s="54">
        <v>43</v>
      </c>
      <c r="C50" s="76" t="s">
        <v>205</v>
      </c>
      <c r="D50" s="76" t="s">
        <v>3280</v>
      </c>
      <c r="E50" s="76" t="s">
        <v>1148</v>
      </c>
      <c r="F50" s="61" t="s">
        <v>3275</v>
      </c>
      <c r="G50" s="61" t="s">
        <v>791</v>
      </c>
      <c r="H50" s="61" t="s">
        <v>614</v>
      </c>
      <c r="I50" s="61" t="s">
        <v>3269</v>
      </c>
      <c r="J50" s="104" t="s">
        <v>3270</v>
      </c>
      <c r="K50" s="61" t="s">
        <v>791</v>
      </c>
      <c r="L50" s="61" t="s">
        <v>927</v>
      </c>
      <c r="M50" s="104" t="s">
        <v>928</v>
      </c>
      <c r="N50" s="104" t="str">
        <f t="shared" ref="N50" si="8" xml:space="preserve"> RetrieveZone( J50 )</f>
        <v xml:space="preserve">PRIVCLOUD OTAP BO SEC-ZONE
PRIVCLOUD OTAP BO SEC-ZONE
</v>
      </c>
      <c r="O50" s="104" t="str">
        <f t="shared" si="7"/>
        <v>[** NO ZONE **]
Check: inconsistent zones</v>
      </c>
      <c r="P50" s="76" t="s">
        <v>778</v>
      </c>
      <c r="Q50" s="61">
        <v>1526</v>
      </c>
      <c r="R50" s="76" t="s">
        <v>400</v>
      </c>
      <c r="S50" s="76" t="s">
        <v>400</v>
      </c>
      <c r="T50" s="76" t="s">
        <v>293</v>
      </c>
      <c r="U50" s="61"/>
      <c r="V50" s="61"/>
      <c r="W50" s="61"/>
      <c r="X50" s="76" t="s">
        <v>302</v>
      </c>
      <c r="Y50" s="76" t="s">
        <v>400</v>
      </c>
      <c r="Z50" s="61"/>
      <c r="AA50" s="61" t="s">
        <v>3281</v>
      </c>
      <c r="AB50" s="61"/>
    </row>
    <row r="51" spans="1:28" ht="16" x14ac:dyDescent="0.2">
      <c r="A51" s="61"/>
      <c r="B51" s="124">
        <v>44</v>
      </c>
      <c r="C51" s="76" t="s">
        <v>400</v>
      </c>
      <c r="D51" s="76"/>
      <c r="E51" s="76" t="s">
        <v>400</v>
      </c>
      <c r="F51" s="61"/>
      <c r="G51" s="61"/>
      <c r="H51" s="61"/>
      <c r="I51" s="61"/>
      <c r="J51" s="61"/>
      <c r="K51" s="61"/>
      <c r="L51" s="61"/>
      <c r="M51" s="61"/>
      <c r="N51" s="104" t="str">
        <f t="shared" si="6"/>
        <v>[** NO ZONE **]</v>
      </c>
      <c r="O51" s="104" t="str">
        <f t="shared" si="7"/>
        <v>[** NO ZONE **]</v>
      </c>
      <c r="P51" s="76" t="s">
        <v>400</v>
      </c>
      <c r="Q51" s="61"/>
      <c r="R51" s="76" t="s">
        <v>400</v>
      </c>
      <c r="S51" s="76" t="s">
        <v>400</v>
      </c>
      <c r="T51" s="76" t="s">
        <v>293</v>
      </c>
      <c r="U51" s="61"/>
      <c r="V51" s="61"/>
      <c r="W51" s="61"/>
      <c r="X51" s="76" t="s">
        <v>302</v>
      </c>
      <c r="Y51" s="76" t="s">
        <v>400</v>
      </c>
      <c r="Z51" s="61"/>
      <c r="AA51" s="61"/>
      <c r="AB51" s="61"/>
    </row>
    <row r="52" spans="1:28" ht="16" x14ac:dyDescent="0.2">
      <c r="A52" s="61"/>
      <c r="B52" s="124">
        <v>45</v>
      </c>
      <c r="C52" s="76" t="s">
        <v>400</v>
      </c>
      <c r="D52" s="76"/>
      <c r="E52" s="76" t="s">
        <v>400</v>
      </c>
      <c r="F52" s="61"/>
      <c r="G52" s="61"/>
      <c r="H52" s="61"/>
      <c r="I52" s="61"/>
      <c r="J52" s="61"/>
      <c r="K52" s="61"/>
      <c r="L52" s="61"/>
      <c r="M52" s="61"/>
      <c r="N52" s="104" t="str">
        <f t="shared" si="6"/>
        <v>[** NO ZONE **]</v>
      </c>
      <c r="O52" s="104" t="str">
        <f t="shared" si="7"/>
        <v>[** NO ZONE **]</v>
      </c>
      <c r="P52" s="76" t="s">
        <v>400</v>
      </c>
      <c r="Q52" s="61"/>
      <c r="R52" s="76" t="s">
        <v>400</v>
      </c>
      <c r="S52" s="76" t="s">
        <v>400</v>
      </c>
      <c r="T52" s="76" t="s">
        <v>293</v>
      </c>
      <c r="U52" s="61"/>
      <c r="V52" s="61"/>
      <c r="W52" s="61"/>
      <c r="X52" s="76" t="s">
        <v>302</v>
      </c>
      <c r="Y52" s="76" t="s">
        <v>400</v>
      </c>
      <c r="Z52" s="61"/>
      <c r="AA52" s="61"/>
      <c r="AB52" s="61"/>
    </row>
    <row r="53" spans="1:28" ht="16" x14ac:dyDescent="0.2">
      <c r="A53" s="61"/>
      <c r="B53" s="124">
        <v>46</v>
      </c>
      <c r="C53" s="76" t="s">
        <v>400</v>
      </c>
      <c r="D53" s="76"/>
      <c r="E53" s="76" t="s">
        <v>400</v>
      </c>
      <c r="F53" s="61"/>
      <c r="G53" s="61"/>
      <c r="H53" s="61"/>
      <c r="I53" s="61"/>
      <c r="J53" s="61"/>
      <c r="K53" s="61"/>
      <c r="L53" s="61"/>
      <c r="M53" s="61"/>
      <c r="N53" s="104" t="str">
        <f t="shared" si="6"/>
        <v>[** NO ZONE **]</v>
      </c>
      <c r="O53" s="104" t="str">
        <f t="shared" si="7"/>
        <v>[** NO ZONE **]</v>
      </c>
      <c r="P53" s="76" t="s">
        <v>400</v>
      </c>
      <c r="Q53" s="61"/>
      <c r="R53" s="76" t="s">
        <v>400</v>
      </c>
      <c r="S53" s="76" t="s">
        <v>400</v>
      </c>
      <c r="T53" s="76" t="s">
        <v>293</v>
      </c>
      <c r="U53" s="61"/>
      <c r="V53" s="61"/>
      <c r="W53" s="61"/>
      <c r="X53" s="76" t="s">
        <v>302</v>
      </c>
      <c r="Y53" s="76" t="s">
        <v>400</v>
      </c>
      <c r="Z53" s="61"/>
      <c r="AA53" s="61"/>
      <c r="AB53" s="61"/>
    </row>
    <row r="54" spans="1:28" ht="16" x14ac:dyDescent="0.2">
      <c r="A54" s="61"/>
      <c r="B54" s="124">
        <v>47</v>
      </c>
      <c r="C54" s="76" t="s">
        <v>400</v>
      </c>
      <c r="D54" s="76"/>
      <c r="E54" s="76" t="s">
        <v>400</v>
      </c>
      <c r="F54" s="61"/>
      <c r="G54" s="61"/>
      <c r="H54" s="61"/>
      <c r="I54" s="61"/>
      <c r="J54" s="61"/>
      <c r="K54" s="61"/>
      <c r="L54" s="61"/>
      <c r="M54" s="61"/>
      <c r="N54" s="104" t="str">
        <f t="shared" si="6"/>
        <v>[** NO ZONE **]</v>
      </c>
      <c r="O54" s="104" t="str">
        <f t="shared" si="7"/>
        <v>[** NO ZONE **]</v>
      </c>
      <c r="P54" s="76" t="s">
        <v>400</v>
      </c>
      <c r="Q54" s="61"/>
      <c r="R54" s="76" t="s">
        <v>400</v>
      </c>
      <c r="S54" s="76" t="s">
        <v>400</v>
      </c>
      <c r="T54" s="76" t="s">
        <v>293</v>
      </c>
      <c r="U54" s="61"/>
      <c r="V54" s="61"/>
      <c r="W54" s="61"/>
      <c r="X54" s="76" t="s">
        <v>302</v>
      </c>
      <c r="Y54" s="76" t="s">
        <v>400</v>
      </c>
      <c r="Z54" s="61"/>
      <c r="AA54" s="61"/>
      <c r="AB54" s="61"/>
    </row>
    <row r="55" spans="1:28" ht="16" x14ac:dyDescent="0.2">
      <c r="A55" s="61"/>
      <c r="B55" s="124">
        <v>48</v>
      </c>
      <c r="C55" s="76" t="s">
        <v>400</v>
      </c>
      <c r="D55" s="76"/>
      <c r="E55" s="76" t="s">
        <v>400</v>
      </c>
      <c r="F55" s="61"/>
      <c r="G55" s="61"/>
      <c r="H55" s="61"/>
      <c r="I55" s="61"/>
      <c r="J55" s="61"/>
      <c r="K55" s="61"/>
      <c r="L55" s="61"/>
      <c r="M55" s="61"/>
      <c r="N55" s="104" t="str">
        <f t="shared" si="6"/>
        <v>[** NO ZONE **]</v>
      </c>
      <c r="O55" s="104" t="str">
        <f t="shared" si="7"/>
        <v>[** NO ZONE **]</v>
      </c>
      <c r="P55" s="76" t="s">
        <v>400</v>
      </c>
      <c r="Q55" s="61"/>
      <c r="R55" s="76" t="s">
        <v>400</v>
      </c>
      <c r="S55" s="76" t="s">
        <v>400</v>
      </c>
      <c r="T55" s="76" t="s">
        <v>293</v>
      </c>
      <c r="U55" s="61"/>
      <c r="V55" s="61"/>
      <c r="W55" s="61"/>
      <c r="X55" s="76" t="s">
        <v>302</v>
      </c>
      <c r="Y55" s="76" t="s">
        <v>400</v>
      </c>
      <c r="Z55" s="61"/>
      <c r="AA55" s="61"/>
      <c r="AB55" s="61"/>
    </row>
    <row r="56" spans="1:28" ht="16" x14ac:dyDescent="0.2">
      <c r="A56" s="61"/>
      <c r="B56" s="124">
        <v>49</v>
      </c>
      <c r="C56" s="76" t="s">
        <v>400</v>
      </c>
      <c r="D56" s="76"/>
      <c r="E56" s="76" t="s">
        <v>400</v>
      </c>
      <c r="F56" s="61"/>
      <c r="G56" s="61"/>
      <c r="H56" s="61"/>
      <c r="I56" s="61"/>
      <c r="J56" s="61"/>
      <c r="K56" s="61"/>
      <c r="L56" s="61"/>
      <c r="M56" s="61"/>
      <c r="N56" s="104" t="str">
        <f t="shared" si="6"/>
        <v>[** NO ZONE **]</v>
      </c>
      <c r="O56" s="104" t="str">
        <f t="shared" si="7"/>
        <v>[** NO ZONE **]</v>
      </c>
      <c r="P56" s="76" t="s">
        <v>400</v>
      </c>
      <c r="Q56" s="61"/>
      <c r="R56" s="76" t="s">
        <v>400</v>
      </c>
      <c r="S56" s="76" t="s">
        <v>400</v>
      </c>
      <c r="T56" s="76" t="s">
        <v>293</v>
      </c>
      <c r="U56" s="61"/>
      <c r="V56" s="61"/>
      <c r="W56" s="61"/>
      <c r="X56" s="76" t="s">
        <v>302</v>
      </c>
      <c r="Y56" s="76" t="s">
        <v>400</v>
      </c>
      <c r="Z56" s="61"/>
      <c r="AA56" s="61"/>
      <c r="AB56" s="61"/>
    </row>
    <row r="57" spans="1:28" ht="16" x14ac:dyDescent="0.2">
      <c r="A57" s="61"/>
      <c r="B57" s="124">
        <v>50</v>
      </c>
      <c r="C57" s="76" t="s">
        <v>400</v>
      </c>
      <c r="D57" s="76"/>
      <c r="E57" s="76" t="s">
        <v>400</v>
      </c>
      <c r="F57" s="61"/>
      <c r="G57" s="61"/>
      <c r="H57" s="61"/>
      <c r="I57" s="61"/>
      <c r="J57" s="61"/>
      <c r="K57" s="61"/>
      <c r="L57" s="61"/>
      <c r="M57" s="61"/>
      <c r="N57" s="104" t="str">
        <f t="shared" si="6"/>
        <v>[** NO ZONE **]</v>
      </c>
      <c r="O57" s="104" t="str">
        <f t="shared" si="7"/>
        <v>[** NO ZONE **]</v>
      </c>
      <c r="P57" s="76" t="s">
        <v>400</v>
      </c>
      <c r="Q57" s="61"/>
      <c r="R57" s="76" t="s">
        <v>400</v>
      </c>
      <c r="S57" s="76" t="s">
        <v>400</v>
      </c>
      <c r="T57" s="76" t="s">
        <v>293</v>
      </c>
      <c r="U57" s="61"/>
      <c r="V57" s="61"/>
      <c r="W57" s="61"/>
      <c r="X57" s="76" t="s">
        <v>302</v>
      </c>
      <c r="Y57" s="76" t="s">
        <v>400</v>
      </c>
      <c r="Z57" s="61"/>
      <c r="AA57" s="61"/>
      <c r="AB57" s="61"/>
    </row>
    <row r="58" spans="1:28" ht="16" x14ac:dyDescent="0.2">
      <c r="A58" s="61"/>
      <c r="B58" s="124">
        <v>51</v>
      </c>
      <c r="C58" s="76" t="s">
        <v>400</v>
      </c>
      <c r="D58" s="76"/>
      <c r="E58" s="76" t="s">
        <v>400</v>
      </c>
      <c r="F58" s="61"/>
      <c r="G58" s="61"/>
      <c r="H58" s="61"/>
      <c r="I58" s="61"/>
      <c r="J58" s="61"/>
      <c r="K58" s="61"/>
      <c r="L58" s="61"/>
      <c r="M58" s="61"/>
      <c r="N58" s="104" t="str">
        <f t="shared" si="6"/>
        <v>[** NO ZONE **]</v>
      </c>
      <c r="O58" s="104" t="str">
        <f t="shared" si="7"/>
        <v>[** NO ZONE **]</v>
      </c>
      <c r="P58" s="76" t="s">
        <v>400</v>
      </c>
      <c r="Q58" s="61"/>
      <c r="R58" s="76" t="s">
        <v>400</v>
      </c>
      <c r="S58" s="76" t="s">
        <v>400</v>
      </c>
      <c r="T58" s="76" t="s">
        <v>293</v>
      </c>
      <c r="U58" s="61"/>
      <c r="V58" s="61"/>
      <c r="W58" s="61"/>
      <c r="X58" s="76" t="s">
        <v>302</v>
      </c>
      <c r="Y58" s="76" t="s">
        <v>400</v>
      </c>
      <c r="Z58" s="61"/>
      <c r="AA58" s="61"/>
      <c r="AB58" s="61"/>
    </row>
    <row r="59" spans="1:28" ht="16" x14ac:dyDescent="0.2">
      <c r="A59" s="61"/>
      <c r="B59" s="124">
        <v>52</v>
      </c>
      <c r="C59" s="76" t="s">
        <v>400</v>
      </c>
      <c r="D59" s="76"/>
      <c r="E59" s="76" t="s">
        <v>400</v>
      </c>
      <c r="F59" s="61"/>
      <c r="G59" s="61"/>
      <c r="H59" s="61"/>
      <c r="I59" s="61"/>
      <c r="J59" s="61"/>
      <c r="K59" s="61"/>
      <c r="L59" s="61"/>
      <c r="M59" s="61"/>
      <c r="N59" s="104" t="str">
        <f t="shared" si="6"/>
        <v>[** NO ZONE **]</v>
      </c>
      <c r="O59" s="104" t="str">
        <f t="shared" si="7"/>
        <v>[** NO ZONE **]</v>
      </c>
      <c r="P59" s="76" t="s">
        <v>400</v>
      </c>
      <c r="Q59" s="61"/>
      <c r="R59" s="76" t="s">
        <v>400</v>
      </c>
      <c r="S59" s="76" t="s">
        <v>400</v>
      </c>
      <c r="T59" s="76" t="s">
        <v>293</v>
      </c>
      <c r="U59" s="61"/>
      <c r="V59" s="61"/>
      <c r="W59" s="61"/>
      <c r="X59" s="76" t="s">
        <v>302</v>
      </c>
      <c r="Y59" s="76" t="s">
        <v>400</v>
      </c>
      <c r="Z59" s="61"/>
      <c r="AA59" s="61"/>
      <c r="AB59" s="61"/>
    </row>
    <row r="60" spans="1:28" ht="16" x14ac:dyDescent="0.2">
      <c r="A60" s="61"/>
      <c r="B60" s="124">
        <v>53</v>
      </c>
      <c r="C60" s="76" t="s">
        <v>400</v>
      </c>
      <c r="D60" s="76"/>
      <c r="E60" s="76" t="s">
        <v>400</v>
      </c>
      <c r="F60" s="61"/>
      <c r="G60" s="61"/>
      <c r="H60" s="61"/>
      <c r="I60" s="61"/>
      <c r="J60" s="61"/>
      <c r="K60" s="61"/>
      <c r="L60" s="61"/>
      <c r="M60" s="61"/>
      <c r="N60" s="104" t="str">
        <f t="shared" si="6"/>
        <v>[** NO ZONE **]</v>
      </c>
      <c r="O60" s="104" t="str">
        <f t="shared" si="7"/>
        <v>[** NO ZONE **]</v>
      </c>
      <c r="P60" s="76" t="s">
        <v>400</v>
      </c>
      <c r="Q60" s="61"/>
      <c r="R60" s="76" t="s">
        <v>400</v>
      </c>
      <c r="S60" s="76" t="s">
        <v>400</v>
      </c>
      <c r="T60" s="76" t="s">
        <v>293</v>
      </c>
      <c r="U60" s="61"/>
      <c r="V60" s="61"/>
      <c r="W60" s="61"/>
      <c r="X60" s="76" t="s">
        <v>302</v>
      </c>
      <c r="Y60" s="76" t="s">
        <v>400</v>
      </c>
      <c r="Z60" s="61"/>
      <c r="AA60" s="61"/>
      <c r="AB60" s="61"/>
    </row>
    <row r="61" spans="1:28" ht="16" x14ac:dyDescent="0.2">
      <c r="A61" s="61"/>
      <c r="B61" s="124">
        <v>54</v>
      </c>
      <c r="C61" s="76" t="s">
        <v>400</v>
      </c>
      <c r="D61" s="76"/>
      <c r="E61" s="76" t="s">
        <v>400</v>
      </c>
      <c r="F61" s="61"/>
      <c r="G61" s="61"/>
      <c r="H61" s="61"/>
      <c r="I61" s="61"/>
      <c r="J61" s="61"/>
      <c r="K61" s="61"/>
      <c r="L61" s="61"/>
      <c r="M61" s="61"/>
      <c r="N61" s="104" t="str">
        <f t="shared" si="6"/>
        <v>[** NO ZONE **]</v>
      </c>
      <c r="O61" s="104" t="str">
        <f t="shared" si="7"/>
        <v>[** NO ZONE **]</v>
      </c>
      <c r="P61" s="76" t="s">
        <v>400</v>
      </c>
      <c r="Q61" s="61"/>
      <c r="R61" s="76" t="s">
        <v>400</v>
      </c>
      <c r="S61" s="76" t="s">
        <v>400</v>
      </c>
      <c r="T61" s="76" t="s">
        <v>293</v>
      </c>
      <c r="U61" s="61"/>
      <c r="V61" s="61"/>
      <c r="W61" s="61"/>
      <c r="X61" s="76" t="s">
        <v>302</v>
      </c>
      <c r="Y61" s="76" t="s">
        <v>400</v>
      </c>
      <c r="Z61" s="61"/>
      <c r="AA61" s="61"/>
      <c r="AB61" s="61"/>
    </row>
    <row r="62" spans="1:28" ht="16" x14ac:dyDescent="0.2">
      <c r="A62" s="61"/>
      <c r="B62" s="124">
        <v>55</v>
      </c>
      <c r="C62" s="76" t="s">
        <v>400</v>
      </c>
      <c r="D62" s="76"/>
      <c r="E62" s="76" t="s">
        <v>400</v>
      </c>
      <c r="F62" s="61"/>
      <c r="G62" s="61"/>
      <c r="H62" s="61"/>
      <c r="I62" s="61"/>
      <c r="J62" s="61"/>
      <c r="K62" s="61"/>
      <c r="L62" s="61"/>
      <c r="M62" s="61"/>
      <c r="N62" s="104" t="str">
        <f t="shared" si="6"/>
        <v>[** NO ZONE **]</v>
      </c>
      <c r="O62" s="104" t="str">
        <f t="shared" si="7"/>
        <v>[** NO ZONE **]</v>
      </c>
      <c r="P62" s="76" t="s">
        <v>400</v>
      </c>
      <c r="Q62" s="61"/>
      <c r="R62" s="76" t="s">
        <v>400</v>
      </c>
      <c r="S62" s="76" t="s">
        <v>400</v>
      </c>
      <c r="T62" s="76" t="s">
        <v>293</v>
      </c>
      <c r="U62" s="61"/>
      <c r="V62" s="61"/>
      <c r="W62" s="61"/>
      <c r="X62" s="76" t="s">
        <v>302</v>
      </c>
      <c r="Y62" s="76" t="s">
        <v>400</v>
      </c>
      <c r="Z62" s="61"/>
      <c r="AA62" s="61"/>
      <c r="AB62" s="61"/>
    </row>
    <row r="63" spans="1:28" ht="16" x14ac:dyDescent="0.2">
      <c r="A63" s="61"/>
      <c r="B63" s="124">
        <v>56</v>
      </c>
      <c r="C63" s="76" t="s">
        <v>400</v>
      </c>
      <c r="D63" s="76"/>
      <c r="E63" s="76" t="s">
        <v>400</v>
      </c>
      <c r="F63" s="61"/>
      <c r="G63" s="61"/>
      <c r="H63" s="61"/>
      <c r="I63" s="61"/>
      <c r="J63" s="61"/>
      <c r="K63" s="61"/>
      <c r="L63" s="61"/>
      <c r="M63" s="61"/>
      <c r="N63" s="104" t="str">
        <f t="shared" si="6"/>
        <v>[** NO ZONE **]</v>
      </c>
      <c r="O63" s="104" t="str">
        <f t="shared" si="7"/>
        <v>[** NO ZONE **]</v>
      </c>
      <c r="P63" s="76" t="s">
        <v>400</v>
      </c>
      <c r="Q63" s="61"/>
      <c r="R63" s="76" t="s">
        <v>400</v>
      </c>
      <c r="S63" s="76" t="s">
        <v>400</v>
      </c>
      <c r="T63" s="76" t="s">
        <v>293</v>
      </c>
      <c r="U63" s="61"/>
      <c r="V63" s="61"/>
      <c r="W63" s="61"/>
      <c r="X63" s="76" t="s">
        <v>302</v>
      </c>
      <c r="Y63" s="76" t="s">
        <v>400</v>
      </c>
      <c r="Z63" s="61"/>
      <c r="AA63" s="61"/>
      <c r="AB63" s="61"/>
    </row>
    <row r="64" spans="1:28" ht="16" x14ac:dyDescent="0.2">
      <c r="A64" s="61"/>
      <c r="B64" s="124">
        <v>57</v>
      </c>
      <c r="C64" s="76" t="s">
        <v>400</v>
      </c>
      <c r="D64" s="76"/>
      <c r="E64" s="76" t="s">
        <v>400</v>
      </c>
      <c r="F64" s="61"/>
      <c r="G64" s="61"/>
      <c r="H64" s="61"/>
      <c r="I64" s="61"/>
      <c r="J64" s="61"/>
      <c r="K64" s="61"/>
      <c r="L64" s="61"/>
      <c r="M64" s="61"/>
      <c r="N64" s="104" t="str">
        <f t="shared" si="6"/>
        <v>[** NO ZONE **]</v>
      </c>
      <c r="O64" s="104" t="str">
        <f t="shared" si="7"/>
        <v>[** NO ZONE **]</v>
      </c>
      <c r="P64" s="76" t="s">
        <v>400</v>
      </c>
      <c r="Q64" s="61"/>
      <c r="R64" s="76" t="s">
        <v>400</v>
      </c>
      <c r="S64" s="76" t="s">
        <v>400</v>
      </c>
      <c r="T64" s="76" t="s">
        <v>293</v>
      </c>
      <c r="U64" s="61"/>
      <c r="V64" s="61"/>
      <c r="W64" s="61"/>
      <c r="X64" s="76" t="s">
        <v>302</v>
      </c>
      <c r="Y64" s="76" t="s">
        <v>400</v>
      </c>
      <c r="Z64" s="61"/>
      <c r="AA64" s="61"/>
      <c r="AB64" s="61"/>
    </row>
    <row r="65" spans="1:28" ht="16" x14ac:dyDescent="0.2">
      <c r="A65" s="61"/>
      <c r="B65" s="124">
        <v>58</v>
      </c>
      <c r="C65" s="76" t="s">
        <v>400</v>
      </c>
      <c r="D65" s="76"/>
      <c r="E65" s="76" t="s">
        <v>400</v>
      </c>
      <c r="F65" s="61"/>
      <c r="G65" s="61"/>
      <c r="H65" s="61"/>
      <c r="I65" s="61"/>
      <c r="J65" s="61"/>
      <c r="K65" s="61"/>
      <c r="L65" s="61"/>
      <c r="M65" s="61"/>
      <c r="N65" s="104" t="str">
        <f t="shared" si="6"/>
        <v>[** NO ZONE **]</v>
      </c>
      <c r="O65" s="104" t="str">
        <f t="shared" si="7"/>
        <v>[** NO ZONE **]</v>
      </c>
      <c r="P65" s="76" t="s">
        <v>400</v>
      </c>
      <c r="Q65" s="61"/>
      <c r="R65" s="76" t="s">
        <v>400</v>
      </c>
      <c r="S65" s="76" t="s">
        <v>400</v>
      </c>
      <c r="T65" s="76" t="s">
        <v>293</v>
      </c>
      <c r="U65" s="61"/>
      <c r="V65" s="61"/>
      <c r="W65" s="61"/>
      <c r="X65" s="76" t="s">
        <v>302</v>
      </c>
      <c r="Y65" s="76" t="s">
        <v>400</v>
      </c>
      <c r="Z65" s="61"/>
      <c r="AA65" s="61"/>
      <c r="AB65" s="61"/>
    </row>
    <row r="66" spans="1:28" ht="16" x14ac:dyDescent="0.2">
      <c r="A66" s="61"/>
      <c r="B66" s="124">
        <v>59</v>
      </c>
      <c r="C66" s="76" t="s">
        <v>400</v>
      </c>
      <c r="D66" s="76"/>
      <c r="E66" s="76" t="s">
        <v>400</v>
      </c>
      <c r="F66" s="61"/>
      <c r="G66" s="61"/>
      <c r="H66" s="61"/>
      <c r="I66" s="61"/>
      <c r="J66" s="61"/>
      <c r="K66" s="61"/>
      <c r="L66" s="61"/>
      <c r="M66" s="61"/>
      <c r="N66" s="104" t="str">
        <f t="shared" si="6"/>
        <v>[** NO ZONE **]</v>
      </c>
      <c r="O66" s="104" t="str">
        <f t="shared" si="7"/>
        <v>[** NO ZONE **]</v>
      </c>
      <c r="P66" s="76" t="s">
        <v>400</v>
      </c>
      <c r="Q66" s="61"/>
      <c r="R66" s="76" t="s">
        <v>400</v>
      </c>
      <c r="S66" s="76" t="s">
        <v>400</v>
      </c>
      <c r="T66" s="76" t="s">
        <v>293</v>
      </c>
      <c r="U66" s="61"/>
      <c r="V66" s="61"/>
      <c r="W66" s="61"/>
      <c r="X66" s="76" t="s">
        <v>302</v>
      </c>
      <c r="Y66" s="76" t="s">
        <v>400</v>
      </c>
      <c r="Z66" s="61"/>
      <c r="AA66" s="61"/>
      <c r="AB66" s="61"/>
    </row>
    <row r="67" spans="1:28" ht="16" x14ac:dyDescent="0.2">
      <c r="A67" s="61"/>
      <c r="B67" s="124">
        <v>60</v>
      </c>
      <c r="C67" s="76" t="s">
        <v>400</v>
      </c>
      <c r="D67" s="76"/>
      <c r="E67" s="76" t="s">
        <v>400</v>
      </c>
      <c r="F67" s="61"/>
      <c r="G67" s="61"/>
      <c r="H67" s="61"/>
      <c r="I67" s="61"/>
      <c r="J67" s="61"/>
      <c r="K67" s="61"/>
      <c r="L67" s="61"/>
      <c r="M67" s="61"/>
      <c r="N67" s="104" t="str">
        <f t="shared" si="6"/>
        <v>[** NO ZONE **]</v>
      </c>
      <c r="O67" s="104" t="str">
        <f t="shared" si="7"/>
        <v>[** NO ZONE **]</v>
      </c>
      <c r="P67" s="76" t="s">
        <v>400</v>
      </c>
      <c r="Q67" s="61"/>
      <c r="R67" s="76" t="s">
        <v>400</v>
      </c>
      <c r="S67" s="76" t="s">
        <v>400</v>
      </c>
      <c r="T67" s="76" t="s">
        <v>293</v>
      </c>
      <c r="U67" s="61"/>
      <c r="V67" s="61"/>
      <c r="W67" s="61"/>
      <c r="X67" s="76" t="s">
        <v>302</v>
      </c>
      <c r="Y67" s="76" t="s">
        <v>400</v>
      </c>
      <c r="Z67" s="61"/>
      <c r="AA67" s="61"/>
      <c r="AB67" s="61"/>
    </row>
    <row r="68" spans="1:28" ht="16" x14ac:dyDescent="0.2">
      <c r="A68" s="61"/>
      <c r="B68" s="124">
        <v>61</v>
      </c>
      <c r="C68" s="76" t="s">
        <v>400</v>
      </c>
      <c r="D68" s="76"/>
      <c r="E68" s="76" t="s">
        <v>400</v>
      </c>
      <c r="F68" s="61"/>
      <c r="G68" s="61"/>
      <c r="H68" s="61"/>
      <c r="I68" s="61"/>
      <c r="J68" s="61"/>
      <c r="K68" s="61"/>
      <c r="L68" s="61"/>
      <c r="M68" s="61"/>
      <c r="N68" s="104" t="str">
        <f t="shared" si="6"/>
        <v>[** NO ZONE **]</v>
      </c>
      <c r="O68" s="104" t="str">
        <f t="shared" si="7"/>
        <v>[** NO ZONE **]</v>
      </c>
      <c r="P68" s="76" t="s">
        <v>400</v>
      </c>
      <c r="Q68" s="61"/>
      <c r="R68" s="76" t="s">
        <v>400</v>
      </c>
      <c r="S68" s="76" t="s">
        <v>400</v>
      </c>
      <c r="T68" s="76" t="s">
        <v>293</v>
      </c>
      <c r="U68" s="61"/>
      <c r="V68" s="61"/>
      <c r="W68" s="61"/>
      <c r="X68" s="76" t="s">
        <v>302</v>
      </c>
      <c r="Y68" s="76" t="s">
        <v>400</v>
      </c>
      <c r="Z68" s="61"/>
      <c r="AA68" s="61"/>
      <c r="AB68" s="61"/>
    </row>
    <row r="69" spans="1:28" ht="16" x14ac:dyDescent="0.2">
      <c r="A69" s="61"/>
      <c r="B69" s="124">
        <v>62</v>
      </c>
      <c r="C69" s="76" t="s">
        <v>400</v>
      </c>
      <c r="D69" s="76"/>
      <c r="E69" s="76" t="s">
        <v>400</v>
      </c>
      <c r="F69" s="61"/>
      <c r="G69" s="61"/>
      <c r="H69" s="61"/>
      <c r="I69" s="61"/>
      <c r="J69" s="61"/>
      <c r="K69" s="61"/>
      <c r="L69" s="61"/>
      <c r="M69" s="61"/>
      <c r="N69" s="104" t="str">
        <f t="shared" si="6"/>
        <v>[** NO ZONE **]</v>
      </c>
      <c r="O69" s="104" t="str">
        <f t="shared" si="7"/>
        <v>[** NO ZONE **]</v>
      </c>
      <c r="P69" s="76" t="s">
        <v>400</v>
      </c>
      <c r="Q69" s="61"/>
      <c r="R69" s="76" t="s">
        <v>400</v>
      </c>
      <c r="S69" s="76" t="s">
        <v>400</v>
      </c>
      <c r="T69" s="76" t="s">
        <v>293</v>
      </c>
      <c r="U69" s="61"/>
      <c r="V69" s="61"/>
      <c r="W69" s="61"/>
      <c r="X69" s="76" t="s">
        <v>302</v>
      </c>
      <c r="Y69" s="76" t="s">
        <v>400</v>
      </c>
      <c r="Z69" s="61"/>
      <c r="AA69" s="61"/>
      <c r="AB69" s="61"/>
    </row>
    <row r="70" spans="1:28" ht="16" x14ac:dyDescent="0.2">
      <c r="A70" s="61"/>
      <c r="B70" s="124">
        <v>63</v>
      </c>
      <c r="C70" s="76" t="s">
        <v>400</v>
      </c>
      <c r="D70" s="76"/>
      <c r="E70" s="76" t="s">
        <v>400</v>
      </c>
      <c r="F70" s="61"/>
      <c r="G70" s="61"/>
      <c r="H70" s="61"/>
      <c r="I70" s="61"/>
      <c r="J70" s="61"/>
      <c r="K70" s="61"/>
      <c r="L70" s="61"/>
      <c r="M70" s="61"/>
      <c r="N70" s="104" t="str">
        <f t="shared" si="6"/>
        <v>[** NO ZONE **]</v>
      </c>
      <c r="O70" s="104" t="str">
        <f t="shared" si="7"/>
        <v>[** NO ZONE **]</v>
      </c>
      <c r="P70" s="76" t="s">
        <v>400</v>
      </c>
      <c r="Q70" s="61"/>
      <c r="R70" s="76" t="s">
        <v>400</v>
      </c>
      <c r="S70" s="76" t="s">
        <v>400</v>
      </c>
      <c r="T70" s="76" t="s">
        <v>293</v>
      </c>
      <c r="U70" s="61"/>
      <c r="V70" s="61"/>
      <c r="W70" s="61"/>
      <c r="X70" s="76" t="s">
        <v>302</v>
      </c>
      <c r="Y70" s="76" t="s">
        <v>400</v>
      </c>
      <c r="Z70" s="61"/>
      <c r="AA70" s="61"/>
      <c r="AB70" s="61"/>
    </row>
    <row r="71" spans="1:28" ht="16" x14ac:dyDescent="0.2">
      <c r="A71" s="61"/>
      <c r="B71" s="124">
        <v>64</v>
      </c>
      <c r="C71" s="76" t="s">
        <v>400</v>
      </c>
      <c r="D71" s="76"/>
      <c r="E71" s="76" t="s">
        <v>400</v>
      </c>
      <c r="F71" s="61"/>
      <c r="G71" s="61"/>
      <c r="H71" s="61"/>
      <c r="I71" s="61"/>
      <c r="J71" s="61"/>
      <c r="K71" s="61"/>
      <c r="L71" s="61"/>
      <c r="M71" s="61"/>
      <c r="N71" s="104" t="str">
        <f t="shared" si="6"/>
        <v>[** NO ZONE **]</v>
      </c>
      <c r="O71" s="104" t="str">
        <f t="shared" si="7"/>
        <v>[** NO ZONE **]</v>
      </c>
      <c r="P71" s="76" t="s">
        <v>400</v>
      </c>
      <c r="Q71" s="61"/>
      <c r="R71" s="76" t="s">
        <v>400</v>
      </c>
      <c r="S71" s="76" t="s">
        <v>400</v>
      </c>
      <c r="T71" s="76" t="s">
        <v>293</v>
      </c>
      <c r="U71" s="61"/>
      <c r="V71" s="61"/>
      <c r="W71" s="61"/>
      <c r="X71" s="76" t="s">
        <v>302</v>
      </c>
      <c r="Y71" s="76" t="s">
        <v>400</v>
      </c>
      <c r="Z71" s="61"/>
      <c r="AA71" s="61"/>
      <c r="AB71" s="61"/>
    </row>
    <row r="72" spans="1:28" ht="16" x14ac:dyDescent="0.2">
      <c r="A72" s="61"/>
      <c r="B72" s="124">
        <v>65</v>
      </c>
      <c r="C72" s="76" t="s">
        <v>400</v>
      </c>
      <c r="D72" s="76"/>
      <c r="E72" s="76" t="s">
        <v>400</v>
      </c>
      <c r="F72" s="61"/>
      <c r="G72" s="61"/>
      <c r="H72" s="61"/>
      <c r="I72" s="61"/>
      <c r="J72" s="61"/>
      <c r="K72" s="61"/>
      <c r="L72" s="61"/>
      <c r="M72" s="61"/>
      <c r="N72" s="104" t="str">
        <f t="shared" si="6"/>
        <v>[** NO ZONE **]</v>
      </c>
      <c r="O72" s="104" t="str">
        <f t="shared" si="7"/>
        <v>[** NO ZONE **]</v>
      </c>
      <c r="P72" s="76" t="s">
        <v>400</v>
      </c>
      <c r="Q72" s="61"/>
      <c r="R72" s="76" t="s">
        <v>400</v>
      </c>
      <c r="S72" s="76" t="s">
        <v>400</v>
      </c>
      <c r="T72" s="76" t="s">
        <v>293</v>
      </c>
      <c r="U72" s="61"/>
      <c r="V72" s="61"/>
      <c r="W72" s="61"/>
      <c r="X72" s="76" t="s">
        <v>302</v>
      </c>
      <c r="Y72" s="76" t="s">
        <v>400</v>
      </c>
      <c r="Z72" s="61"/>
      <c r="AA72" s="61"/>
      <c r="AB72" s="61"/>
    </row>
    <row r="73" spans="1:28" ht="16" x14ac:dyDescent="0.2">
      <c r="A73" s="61"/>
      <c r="B73" s="124">
        <v>66</v>
      </c>
      <c r="C73" s="76" t="s">
        <v>400</v>
      </c>
      <c r="D73" s="76"/>
      <c r="E73" s="76" t="s">
        <v>400</v>
      </c>
      <c r="F73" s="61"/>
      <c r="G73" s="61"/>
      <c r="H73" s="61"/>
      <c r="I73" s="61"/>
      <c r="J73" s="61"/>
      <c r="K73" s="61"/>
      <c r="L73" s="61"/>
      <c r="M73" s="61"/>
      <c r="N73" s="104" t="str">
        <f t="shared" si="6"/>
        <v>[** NO ZONE **]</v>
      </c>
      <c r="O73" s="104" t="str">
        <f t="shared" si="7"/>
        <v>[** NO ZONE **]</v>
      </c>
      <c r="P73" s="76" t="s">
        <v>400</v>
      </c>
      <c r="Q73" s="61"/>
      <c r="R73" s="76" t="s">
        <v>400</v>
      </c>
      <c r="S73" s="76" t="s">
        <v>400</v>
      </c>
      <c r="T73" s="76" t="s">
        <v>293</v>
      </c>
      <c r="U73" s="61"/>
      <c r="V73" s="61"/>
      <c r="W73" s="61"/>
      <c r="X73" s="76" t="s">
        <v>302</v>
      </c>
      <c r="Y73" s="76" t="s">
        <v>400</v>
      </c>
      <c r="Z73" s="61"/>
      <c r="AA73" s="61"/>
      <c r="AB73" s="61"/>
    </row>
    <row r="74" spans="1:28" ht="16" x14ac:dyDescent="0.2">
      <c r="A74" s="61"/>
      <c r="B74" s="124">
        <v>67</v>
      </c>
      <c r="C74" s="76" t="s">
        <v>400</v>
      </c>
      <c r="D74" s="76"/>
      <c r="E74" s="76" t="s">
        <v>400</v>
      </c>
      <c r="F74" s="61"/>
      <c r="G74" s="61"/>
      <c r="H74" s="61"/>
      <c r="I74" s="61"/>
      <c r="J74" s="61"/>
      <c r="K74" s="61"/>
      <c r="L74" s="61"/>
      <c r="M74" s="61"/>
      <c r="N74" s="104" t="str">
        <f t="shared" si="6"/>
        <v>[** NO ZONE **]</v>
      </c>
      <c r="O74" s="104" t="str">
        <f t="shared" si="7"/>
        <v>[** NO ZONE **]</v>
      </c>
      <c r="P74" s="76" t="s">
        <v>400</v>
      </c>
      <c r="Q74" s="61"/>
      <c r="R74" s="76" t="s">
        <v>400</v>
      </c>
      <c r="S74" s="76" t="s">
        <v>400</v>
      </c>
      <c r="T74" s="76" t="s">
        <v>293</v>
      </c>
      <c r="U74" s="61"/>
      <c r="V74" s="61"/>
      <c r="W74" s="61"/>
      <c r="X74" s="76" t="s">
        <v>302</v>
      </c>
      <c r="Y74" s="76" t="s">
        <v>400</v>
      </c>
      <c r="Z74" s="61"/>
      <c r="AA74" s="61"/>
      <c r="AB74" s="61"/>
    </row>
    <row r="75" spans="1:28" ht="16" x14ac:dyDescent="0.2">
      <c r="A75" s="61"/>
      <c r="B75" s="124">
        <v>68</v>
      </c>
      <c r="C75" s="76" t="s">
        <v>400</v>
      </c>
      <c r="D75" s="76"/>
      <c r="E75" s="76" t="s">
        <v>400</v>
      </c>
      <c r="F75" s="61"/>
      <c r="G75" s="61"/>
      <c r="H75" s="61"/>
      <c r="I75" s="61"/>
      <c r="J75" s="61"/>
      <c r="K75" s="61"/>
      <c r="L75" s="61"/>
      <c r="M75" s="61"/>
      <c r="N75" s="104" t="str">
        <f t="shared" si="6"/>
        <v>[** NO ZONE **]</v>
      </c>
      <c r="O75" s="104" t="str">
        <f t="shared" si="7"/>
        <v>[** NO ZONE **]</v>
      </c>
      <c r="P75" s="76" t="s">
        <v>400</v>
      </c>
      <c r="Q75" s="61"/>
      <c r="R75" s="76" t="s">
        <v>400</v>
      </c>
      <c r="S75" s="76" t="s">
        <v>400</v>
      </c>
      <c r="T75" s="76" t="s">
        <v>293</v>
      </c>
      <c r="U75" s="61"/>
      <c r="V75" s="61"/>
      <c r="W75" s="61"/>
      <c r="X75" s="76" t="s">
        <v>302</v>
      </c>
      <c r="Y75" s="76" t="s">
        <v>400</v>
      </c>
      <c r="Z75" s="61"/>
      <c r="AA75" s="61"/>
      <c r="AB75" s="61"/>
    </row>
    <row r="76" spans="1:28" ht="16" x14ac:dyDescent="0.2">
      <c r="A76" s="61"/>
      <c r="B76" s="124">
        <v>69</v>
      </c>
      <c r="C76" s="76" t="s">
        <v>400</v>
      </c>
      <c r="D76" s="76"/>
      <c r="E76" s="76" t="s">
        <v>400</v>
      </c>
      <c r="F76" s="61"/>
      <c r="G76" s="61"/>
      <c r="H76" s="61"/>
      <c r="I76" s="61"/>
      <c r="J76" s="61"/>
      <c r="K76" s="61"/>
      <c r="L76" s="61"/>
      <c r="M76" s="61"/>
      <c r="N76" s="104" t="str">
        <f t="shared" si="6"/>
        <v>[** NO ZONE **]</v>
      </c>
      <c r="O76" s="104" t="str">
        <f t="shared" si="7"/>
        <v>[** NO ZONE **]</v>
      </c>
      <c r="P76" s="76" t="s">
        <v>400</v>
      </c>
      <c r="Q76" s="61"/>
      <c r="R76" s="76" t="s">
        <v>400</v>
      </c>
      <c r="S76" s="76" t="s">
        <v>400</v>
      </c>
      <c r="T76" s="76" t="s">
        <v>293</v>
      </c>
      <c r="U76" s="61"/>
      <c r="V76" s="61"/>
      <c r="W76" s="61"/>
      <c r="X76" s="76" t="s">
        <v>302</v>
      </c>
      <c r="Y76" s="76" t="s">
        <v>400</v>
      </c>
      <c r="Z76" s="61"/>
      <c r="AA76" s="61"/>
      <c r="AB76" s="61"/>
    </row>
    <row r="77" spans="1:28" ht="16" x14ac:dyDescent="0.2">
      <c r="A77" s="61"/>
      <c r="B77" s="124">
        <v>70</v>
      </c>
      <c r="C77" s="76" t="s">
        <v>400</v>
      </c>
      <c r="D77" s="76"/>
      <c r="E77" s="76" t="s">
        <v>400</v>
      </c>
      <c r="F77" s="61"/>
      <c r="G77" s="61"/>
      <c r="H77" s="61"/>
      <c r="I77" s="61"/>
      <c r="J77" s="61"/>
      <c r="K77" s="61"/>
      <c r="L77" s="61"/>
      <c r="M77" s="61"/>
      <c r="N77" s="104" t="str">
        <f t="shared" si="6"/>
        <v>[** NO ZONE **]</v>
      </c>
      <c r="O77" s="104" t="str">
        <f t="shared" si="7"/>
        <v>[** NO ZONE **]</v>
      </c>
      <c r="P77" s="76" t="s">
        <v>400</v>
      </c>
      <c r="Q77" s="61"/>
      <c r="R77" s="76" t="s">
        <v>400</v>
      </c>
      <c r="S77" s="76" t="s">
        <v>400</v>
      </c>
      <c r="T77" s="76" t="s">
        <v>293</v>
      </c>
      <c r="U77" s="61"/>
      <c r="V77" s="61"/>
      <c r="W77" s="61"/>
      <c r="X77" s="76" t="s">
        <v>302</v>
      </c>
      <c r="Y77" s="76" t="s">
        <v>400</v>
      </c>
      <c r="Z77" s="61"/>
      <c r="AA77" s="61"/>
      <c r="AB77" s="61"/>
    </row>
    <row r="78" spans="1:28" ht="16" x14ac:dyDescent="0.2">
      <c r="A78" s="61"/>
      <c r="B78" s="124">
        <v>71</v>
      </c>
      <c r="C78" s="76" t="s">
        <v>400</v>
      </c>
      <c r="D78" s="76"/>
      <c r="E78" s="76" t="s">
        <v>400</v>
      </c>
      <c r="F78" s="61"/>
      <c r="G78" s="61"/>
      <c r="H78" s="61"/>
      <c r="I78" s="61"/>
      <c r="J78" s="61"/>
      <c r="K78" s="61"/>
      <c r="L78" s="61"/>
      <c r="M78" s="61"/>
      <c r="N78" s="104" t="str">
        <f t="shared" ref="N78" si="9" xml:space="preserve"> RetrieveZone( J78 )</f>
        <v>[** NO ZONE **]</v>
      </c>
      <c r="O78" s="104" t="str">
        <f t="shared" ref="O78" si="10" xml:space="preserve"> RetrieveZone( M78 )</f>
        <v>[** NO ZONE **]</v>
      </c>
      <c r="P78" s="76" t="s">
        <v>400</v>
      </c>
      <c r="Q78" s="61"/>
      <c r="R78" s="76" t="s">
        <v>400</v>
      </c>
      <c r="S78" s="76" t="s">
        <v>400</v>
      </c>
      <c r="T78" s="76" t="s">
        <v>293</v>
      </c>
      <c r="U78" s="61"/>
      <c r="V78" s="61"/>
      <c r="W78" s="61"/>
      <c r="X78" s="76" t="s">
        <v>302</v>
      </c>
      <c r="Y78" s="76" t="s">
        <v>400</v>
      </c>
      <c r="Z78" s="61"/>
      <c r="AA78" s="61"/>
      <c r="AB78" s="61"/>
    </row>
    <row r="79" spans="1:28" ht="16" x14ac:dyDescent="0.2">
      <c r="A79" s="61"/>
      <c r="B79" s="124">
        <v>72</v>
      </c>
      <c r="C79" s="76" t="s">
        <v>400</v>
      </c>
      <c r="D79" s="76"/>
      <c r="E79" s="76" t="s">
        <v>400</v>
      </c>
      <c r="F79" s="61"/>
      <c r="G79" s="61"/>
      <c r="H79" s="61"/>
      <c r="I79" s="61"/>
      <c r="J79" s="61"/>
      <c r="K79" s="61"/>
      <c r="L79" s="61"/>
      <c r="M79" s="61"/>
      <c r="N79" s="104" t="str">
        <f t="shared" si="6"/>
        <v>[** NO ZONE **]</v>
      </c>
      <c r="O79" s="104" t="str">
        <f t="shared" si="7"/>
        <v>[** NO ZONE **]</v>
      </c>
      <c r="P79" s="76" t="s">
        <v>400</v>
      </c>
      <c r="Q79" s="61"/>
      <c r="R79" s="76" t="s">
        <v>400</v>
      </c>
      <c r="S79" s="76" t="s">
        <v>400</v>
      </c>
      <c r="T79" s="76" t="s">
        <v>293</v>
      </c>
      <c r="U79" s="61"/>
      <c r="V79" s="61"/>
      <c r="W79" s="61"/>
      <c r="X79" s="76" t="s">
        <v>302</v>
      </c>
      <c r="Y79" s="76" t="s">
        <v>400</v>
      </c>
      <c r="Z79" s="61"/>
      <c r="AA79" s="61"/>
      <c r="AB79" s="61"/>
    </row>
    <row r="80" spans="1:28" ht="16" x14ac:dyDescent="0.2">
      <c r="A80" s="61"/>
      <c r="B80" s="124">
        <v>73</v>
      </c>
      <c r="C80" s="76" t="s">
        <v>400</v>
      </c>
      <c r="D80" s="76"/>
      <c r="E80" s="76" t="s">
        <v>400</v>
      </c>
      <c r="F80" s="61"/>
      <c r="G80" s="61"/>
      <c r="H80" s="61"/>
      <c r="I80" s="61"/>
      <c r="J80" s="61"/>
      <c r="K80" s="61"/>
      <c r="L80" s="61"/>
      <c r="M80" s="61"/>
      <c r="N80" s="104" t="str">
        <f t="shared" si="6"/>
        <v>[** NO ZONE **]</v>
      </c>
      <c r="O80" s="104" t="str">
        <f t="shared" si="7"/>
        <v>[** NO ZONE **]</v>
      </c>
      <c r="P80" s="76" t="s">
        <v>400</v>
      </c>
      <c r="Q80" s="61"/>
      <c r="R80" s="76" t="s">
        <v>400</v>
      </c>
      <c r="S80" s="76" t="s">
        <v>400</v>
      </c>
      <c r="T80" s="76" t="s">
        <v>293</v>
      </c>
      <c r="U80" s="61"/>
      <c r="V80" s="61"/>
      <c r="W80" s="61"/>
      <c r="X80" s="76" t="s">
        <v>302</v>
      </c>
      <c r="Y80" s="76" t="s">
        <v>400</v>
      </c>
      <c r="Z80" s="61"/>
      <c r="AA80" s="61"/>
      <c r="AB80" s="61"/>
    </row>
    <row r="81" spans="1:28" ht="16" x14ac:dyDescent="0.2">
      <c r="A81" s="61"/>
      <c r="B81" s="124">
        <v>74</v>
      </c>
      <c r="C81" s="76" t="s">
        <v>400</v>
      </c>
      <c r="D81" s="76"/>
      <c r="E81" s="76" t="s">
        <v>400</v>
      </c>
      <c r="F81" s="61"/>
      <c r="G81" s="61"/>
      <c r="H81" s="61"/>
      <c r="I81" s="61"/>
      <c r="J81" s="61"/>
      <c r="K81" s="61"/>
      <c r="L81" s="61"/>
      <c r="M81" s="61"/>
      <c r="N81" s="104" t="str">
        <f t="shared" si="6"/>
        <v>[** NO ZONE **]</v>
      </c>
      <c r="O81" s="104" t="str">
        <f t="shared" si="7"/>
        <v>[** NO ZONE **]</v>
      </c>
      <c r="P81" s="76" t="s">
        <v>400</v>
      </c>
      <c r="Q81" s="61"/>
      <c r="R81" s="76" t="s">
        <v>400</v>
      </c>
      <c r="S81" s="76" t="s">
        <v>400</v>
      </c>
      <c r="T81" s="76" t="s">
        <v>293</v>
      </c>
      <c r="U81" s="61"/>
      <c r="V81" s="61"/>
      <c r="W81" s="61"/>
      <c r="X81" s="76" t="s">
        <v>302</v>
      </c>
      <c r="Y81" s="76" t="s">
        <v>400</v>
      </c>
      <c r="Z81" s="61"/>
      <c r="AA81" s="61"/>
      <c r="AB81" s="61"/>
    </row>
    <row r="82" spans="1:28" ht="16" x14ac:dyDescent="0.2">
      <c r="A82" s="61"/>
      <c r="B82" s="124">
        <v>75</v>
      </c>
      <c r="C82" s="76" t="s">
        <v>400</v>
      </c>
      <c r="D82" s="76"/>
      <c r="E82" s="76" t="s">
        <v>400</v>
      </c>
      <c r="F82" s="61"/>
      <c r="G82" s="61"/>
      <c r="H82" s="61"/>
      <c r="I82" s="61"/>
      <c r="J82" s="61"/>
      <c r="K82" s="61"/>
      <c r="L82" s="61"/>
      <c r="M82" s="61"/>
      <c r="N82" s="104" t="str">
        <f t="shared" si="6"/>
        <v>[** NO ZONE **]</v>
      </c>
      <c r="O82" s="104" t="str">
        <f t="shared" si="7"/>
        <v>[** NO ZONE **]</v>
      </c>
      <c r="P82" s="76" t="s">
        <v>400</v>
      </c>
      <c r="Q82" s="61"/>
      <c r="R82" s="76" t="s">
        <v>400</v>
      </c>
      <c r="S82" s="76" t="s">
        <v>400</v>
      </c>
      <c r="T82" s="76" t="s">
        <v>293</v>
      </c>
      <c r="U82" s="61"/>
      <c r="V82" s="61"/>
      <c r="W82" s="61"/>
      <c r="X82" s="76" t="s">
        <v>302</v>
      </c>
      <c r="Y82" s="76" t="s">
        <v>400</v>
      </c>
      <c r="Z82" s="61"/>
      <c r="AA82" s="61"/>
      <c r="AB82" s="61"/>
    </row>
    <row r="83" spans="1:28" ht="16" x14ac:dyDescent="0.2">
      <c r="A83" s="61"/>
      <c r="B83" s="124">
        <v>76</v>
      </c>
      <c r="C83" s="76" t="s">
        <v>400</v>
      </c>
      <c r="D83" s="76"/>
      <c r="E83" s="76" t="s">
        <v>400</v>
      </c>
      <c r="F83" s="61"/>
      <c r="G83" s="61"/>
      <c r="H83" s="61"/>
      <c r="I83" s="61"/>
      <c r="J83" s="61"/>
      <c r="K83" s="61"/>
      <c r="L83" s="61"/>
      <c r="M83" s="61"/>
      <c r="N83" s="104" t="str">
        <f t="shared" si="6"/>
        <v>[** NO ZONE **]</v>
      </c>
      <c r="O83" s="104" t="str">
        <f t="shared" si="7"/>
        <v>[** NO ZONE **]</v>
      </c>
      <c r="P83" s="76" t="s">
        <v>400</v>
      </c>
      <c r="Q83" s="61"/>
      <c r="R83" s="76" t="s">
        <v>400</v>
      </c>
      <c r="S83" s="76" t="s">
        <v>400</v>
      </c>
      <c r="T83" s="76" t="s">
        <v>293</v>
      </c>
      <c r="U83" s="61"/>
      <c r="V83" s="61"/>
      <c r="W83" s="61"/>
      <c r="X83" s="76" t="s">
        <v>302</v>
      </c>
      <c r="Y83" s="76" t="s">
        <v>400</v>
      </c>
      <c r="Z83" s="61"/>
      <c r="AA83" s="61"/>
      <c r="AB83" s="61"/>
    </row>
    <row r="84" spans="1:28" ht="16" x14ac:dyDescent="0.2">
      <c r="A84" s="61"/>
      <c r="B84" s="124">
        <v>77</v>
      </c>
      <c r="C84" s="76" t="s">
        <v>400</v>
      </c>
      <c r="D84" s="76"/>
      <c r="E84" s="76" t="s">
        <v>400</v>
      </c>
      <c r="F84" s="61"/>
      <c r="G84" s="61"/>
      <c r="H84" s="61"/>
      <c r="I84" s="61"/>
      <c r="J84" s="61"/>
      <c r="K84" s="61"/>
      <c r="L84" s="61"/>
      <c r="M84" s="61"/>
      <c r="N84" s="104" t="str">
        <f t="shared" si="6"/>
        <v>[** NO ZONE **]</v>
      </c>
      <c r="O84" s="104" t="str">
        <f t="shared" si="7"/>
        <v>[** NO ZONE **]</v>
      </c>
      <c r="P84" s="76" t="s">
        <v>400</v>
      </c>
      <c r="Q84" s="61"/>
      <c r="R84" s="76" t="s">
        <v>400</v>
      </c>
      <c r="S84" s="76" t="s">
        <v>400</v>
      </c>
      <c r="T84" s="76" t="s">
        <v>293</v>
      </c>
      <c r="U84" s="61"/>
      <c r="V84" s="61"/>
      <c r="W84" s="61"/>
      <c r="X84" s="76" t="s">
        <v>302</v>
      </c>
      <c r="Y84" s="76" t="s">
        <v>400</v>
      </c>
      <c r="Z84" s="61"/>
      <c r="AA84" s="61"/>
      <c r="AB84" s="61"/>
    </row>
    <row r="85" spans="1:28" ht="16" x14ac:dyDescent="0.2">
      <c r="A85" s="61"/>
      <c r="B85" s="124">
        <v>78</v>
      </c>
      <c r="C85" s="76" t="s">
        <v>400</v>
      </c>
      <c r="D85" s="76"/>
      <c r="E85" s="76" t="s">
        <v>400</v>
      </c>
      <c r="F85" s="61"/>
      <c r="G85" s="61"/>
      <c r="H85" s="61"/>
      <c r="I85" s="61"/>
      <c r="J85" s="61"/>
      <c r="K85" s="61"/>
      <c r="L85" s="61"/>
      <c r="M85" s="61"/>
      <c r="N85" s="104" t="str">
        <f t="shared" si="6"/>
        <v>[** NO ZONE **]</v>
      </c>
      <c r="O85" s="104" t="str">
        <f t="shared" si="7"/>
        <v>[** NO ZONE **]</v>
      </c>
      <c r="P85" s="76" t="s">
        <v>400</v>
      </c>
      <c r="Q85" s="61"/>
      <c r="R85" s="76" t="s">
        <v>400</v>
      </c>
      <c r="S85" s="76" t="s">
        <v>400</v>
      </c>
      <c r="T85" s="76" t="s">
        <v>293</v>
      </c>
      <c r="U85" s="61"/>
      <c r="V85" s="61"/>
      <c r="W85" s="61"/>
      <c r="X85" s="76" t="s">
        <v>302</v>
      </c>
      <c r="Y85" s="76" t="s">
        <v>400</v>
      </c>
      <c r="Z85" s="61"/>
      <c r="AA85" s="61"/>
      <c r="AB85" s="61"/>
    </row>
    <row r="86" spans="1:28" ht="16" x14ac:dyDescent="0.2">
      <c r="A86" s="61"/>
      <c r="B86" s="124">
        <v>79</v>
      </c>
      <c r="C86" s="76" t="s">
        <v>400</v>
      </c>
      <c r="D86" s="76"/>
      <c r="E86" s="76" t="s">
        <v>400</v>
      </c>
      <c r="F86" s="61"/>
      <c r="G86" s="61"/>
      <c r="H86" s="61"/>
      <c r="I86" s="61"/>
      <c r="J86" s="61"/>
      <c r="K86" s="61"/>
      <c r="L86" s="61"/>
      <c r="M86" s="61"/>
      <c r="N86" s="104" t="str">
        <f t="shared" si="6"/>
        <v>[** NO ZONE **]</v>
      </c>
      <c r="O86" s="104" t="str">
        <f t="shared" si="7"/>
        <v>[** NO ZONE **]</v>
      </c>
      <c r="P86" s="76" t="s">
        <v>400</v>
      </c>
      <c r="Q86" s="61"/>
      <c r="R86" s="76" t="s">
        <v>400</v>
      </c>
      <c r="S86" s="76" t="s">
        <v>400</v>
      </c>
      <c r="T86" s="76" t="s">
        <v>293</v>
      </c>
      <c r="U86" s="61"/>
      <c r="V86" s="61"/>
      <c r="W86" s="61"/>
      <c r="X86" s="76" t="s">
        <v>302</v>
      </c>
      <c r="Y86" s="76" t="s">
        <v>400</v>
      </c>
      <c r="Z86" s="61"/>
      <c r="AA86" s="61"/>
      <c r="AB86" s="61"/>
    </row>
    <row r="87" spans="1:28" ht="16" x14ac:dyDescent="0.2">
      <c r="A87" s="61"/>
      <c r="B87" s="124">
        <v>80</v>
      </c>
      <c r="C87" s="76" t="s">
        <v>400</v>
      </c>
      <c r="D87" s="76"/>
      <c r="E87" s="76" t="s">
        <v>400</v>
      </c>
      <c r="F87" s="61"/>
      <c r="G87" s="61"/>
      <c r="H87" s="61"/>
      <c r="I87" s="61"/>
      <c r="J87" s="61"/>
      <c r="K87" s="61"/>
      <c r="L87" s="61"/>
      <c r="M87" s="61"/>
      <c r="N87" s="104" t="str">
        <f t="shared" ref="N87:N104" si="11" xml:space="preserve"> RetrieveZone( J87 )</f>
        <v>[** NO ZONE **]</v>
      </c>
      <c r="O87" s="104" t="str">
        <f t="shared" ref="O87:O104" si="12" xml:space="preserve"> RetrieveZone( M87 )</f>
        <v>[** NO ZONE **]</v>
      </c>
      <c r="P87" s="76" t="s">
        <v>400</v>
      </c>
      <c r="Q87" s="61"/>
      <c r="R87" s="76" t="s">
        <v>400</v>
      </c>
      <c r="S87" s="76" t="s">
        <v>400</v>
      </c>
      <c r="T87" s="76" t="s">
        <v>293</v>
      </c>
      <c r="U87" s="61"/>
      <c r="V87" s="61"/>
      <c r="W87" s="61"/>
      <c r="X87" s="76" t="s">
        <v>302</v>
      </c>
      <c r="Y87" s="76" t="s">
        <v>400</v>
      </c>
      <c r="Z87" s="61"/>
      <c r="AA87" s="61"/>
      <c r="AB87" s="61"/>
    </row>
    <row r="88" spans="1:28" ht="16" x14ac:dyDescent="0.2">
      <c r="A88" s="61"/>
      <c r="B88" s="124">
        <v>81</v>
      </c>
      <c r="C88" s="76" t="s">
        <v>400</v>
      </c>
      <c r="D88" s="76"/>
      <c r="E88" s="76" t="s">
        <v>400</v>
      </c>
      <c r="F88" s="61"/>
      <c r="G88" s="61"/>
      <c r="H88" s="61"/>
      <c r="I88" s="61"/>
      <c r="J88" s="61"/>
      <c r="K88" s="61"/>
      <c r="L88" s="61"/>
      <c r="M88" s="61"/>
      <c r="N88" s="104" t="str">
        <f t="shared" si="11"/>
        <v>[** NO ZONE **]</v>
      </c>
      <c r="O88" s="104" t="str">
        <f t="shared" si="12"/>
        <v>[** NO ZONE **]</v>
      </c>
      <c r="P88" s="76" t="s">
        <v>400</v>
      </c>
      <c r="Q88" s="61"/>
      <c r="R88" s="76" t="s">
        <v>400</v>
      </c>
      <c r="S88" s="76" t="s">
        <v>400</v>
      </c>
      <c r="T88" s="76" t="s">
        <v>293</v>
      </c>
      <c r="U88" s="61"/>
      <c r="V88" s="61"/>
      <c r="W88" s="61"/>
      <c r="X88" s="76" t="s">
        <v>302</v>
      </c>
      <c r="Y88" s="76" t="s">
        <v>400</v>
      </c>
      <c r="Z88" s="61"/>
      <c r="AA88" s="61"/>
      <c r="AB88" s="61"/>
    </row>
    <row r="89" spans="1:28" ht="16" x14ac:dyDescent="0.2">
      <c r="A89" s="61"/>
      <c r="B89" s="124">
        <v>82</v>
      </c>
      <c r="C89" s="76" t="s">
        <v>400</v>
      </c>
      <c r="D89" s="76"/>
      <c r="E89" s="76" t="s">
        <v>400</v>
      </c>
      <c r="F89" s="61"/>
      <c r="G89" s="61"/>
      <c r="H89" s="61"/>
      <c r="I89" s="61"/>
      <c r="J89" s="61"/>
      <c r="K89" s="61"/>
      <c r="L89" s="61"/>
      <c r="M89" s="61"/>
      <c r="N89" s="104" t="str">
        <f t="shared" si="11"/>
        <v>[** NO ZONE **]</v>
      </c>
      <c r="O89" s="104" t="str">
        <f t="shared" si="12"/>
        <v>[** NO ZONE **]</v>
      </c>
      <c r="P89" s="76" t="s">
        <v>400</v>
      </c>
      <c r="Q89" s="61"/>
      <c r="R89" s="76" t="s">
        <v>400</v>
      </c>
      <c r="S89" s="76" t="s">
        <v>400</v>
      </c>
      <c r="T89" s="76" t="s">
        <v>293</v>
      </c>
      <c r="U89" s="61"/>
      <c r="V89" s="61"/>
      <c r="W89" s="61"/>
      <c r="X89" s="76" t="s">
        <v>302</v>
      </c>
      <c r="Y89" s="76" t="s">
        <v>400</v>
      </c>
      <c r="Z89" s="61"/>
      <c r="AA89" s="61"/>
      <c r="AB89" s="61"/>
    </row>
    <row r="90" spans="1:28" ht="16" x14ac:dyDescent="0.2">
      <c r="A90" s="61"/>
      <c r="B90" s="124">
        <v>83</v>
      </c>
      <c r="C90" s="76" t="s">
        <v>400</v>
      </c>
      <c r="D90" s="76"/>
      <c r="E90" s="76" t="s">
        <v>400</v>
      </c>
      <c r="F90" s="61"/>
      <c r="G90" s="61"/>
      <c r="H90" s="61"/>
      <c r="I90" s="61"/>
      <c r="J90" s="61"/>
      <c r="K90" s="61"/>
      <c r="L90" s="61"/>
      <c r="M90" s="61"/>
      <c r="N90" s="104" t="str">
        <f t="shared" si="11"/>
        <v>[** NO ZONE **]</v>
      </c>
      <c r="O90" s="104" t="str">
        <f t="shared" si="12"/>
        <v>[** NO ZONE **]</v>
      </c>
      <c r="P90" s="76" t="s">
        <v>400</v>
      </c>
      <c r="Q90" s="61"/>
      <c r="R90" s="76" t="s">
        <v>400</v>
      </c>
      <c r="S90" s="76" t="s">
        <v>400</v>
      </c>
      <c r="T90" s="76" t="s">
        <v>293</v>
      </c>
      <c r="U90" s="61"/>
      <c r="V90" s="61"/>
      <c r="W90" s="61"/>
      <c r="X90" s="76" t="s">
        <v>302</v>
      </c>
      <c r="Y90" s="76" t="s">
        <v>400</v>
      </c>
      <c r="Z90" s="61"/>
      <c r="AA90" s="61"/>
      <c r="AB90" s="61"/>
    </row>
    <row r="91" spans="1:28" ht="16" x14ac:dyDescent="0.2">
      <c r="A91" s="61"/>
      <c r="B91" s="124">
        <v>84</v>
      </c>
      <c r="C91" s="76" t="s">
        <v>400</v>
      </c>
      <c r="D91" s="76"/>
      <c r="E91" s="76" t="s">
        <v>400</v>
      </c>
      <c r="F91" s="61"/>
      <c r="G91" s="61"/>
      <c r="H91" s="61"/>
      <c r="I91" s="61"/>
      <c r="J91" s="61"/>
      <c r="K91" s="61"/>
      <c r="L91" s="61"/>
      <c r="M91" s="61"/>
      <c r="N91" s="104" t="str">
        <f t="shared" si="11"/>
        <v>[** NO ZONE **]</v>
      </c>
      <c r="O91" s="104" t="str">
        <f t="shared" si="12"/>
        <v>[** NO ZONE **]</v>
      </c>
      <c r="P91" s="76" t="s">
        <v>400</v>
      </c>
      <c r="Q91" s="61"/>
      <c r="R91" s="76" t="s">
        <v>400</v>
      </c>
      <c r="S91" s="76" t="s">
        <v>400</v>
      </c>
      <c r="T91" s="76" t="s">
        <v>293</v>
      </c>
      <c r="U91" s="61"/>
      <c r="V91" s="61"/>
      <c r="W91" s="61"/>
      <c r="X91" s="76" t="s">
        <v>302</v>
      </c>
      <c r="Y91" s="76" t="s">
        <v>400</v>
      </c>
      <c r="Z91" s="61"/>
      <c r="AA91" s="61"/>
      <c r="AB91" s="61"/>
    </row>
    <row r="92" spans="1:28" ht="16" x14ac:dyDescent="0.2">
      <c r="A92" s="61"/>
      <c r="B92" s="124">
        <v>85</v>
      </c>
      <c r="C92" s="76" t="s">
        <v>400</v>
      </c>
      <c r="D92" s="76"/>
      <c r="E92" s="76" t="s">
        <v>400</v>
      </c>
      <c r="F92" s="61"/>
      <c r="G92" s="61"/>
      <c r="H92" s="61"/>
      <c r="I92" s="61"/>
      <c r="J92" s="61"/>
      <c r="K92" s="61"/>
      <c r="L92" s="61"/>
      <c r="M92" s="61"/>
      <c r="N92" s="104" t="str">
        <f t="shared" si="11"/>
        <v>[** NO ZONE **]</v>
      </c>
      <c r="O92" s="104" t="str">
        <f t="shared" si="12"/>
        <v>[** NO ZONE **]</v>
      </c>
      <c r="P92" s="76" t="s">
        <v>400</v>
      </c>
      <c r="Q92" s="61"/>
      <c r="R92" s="76" t="s">
        <v>400</v>
      </c>
      <c r="S92" s="76" t="s">
        <v>400</v>
      </c>
      <c r="T92" s="76" t="s">
        <v>293</v>
      </c>
      <c r="U92" s="61"/>
      <c r="V92" s="61"/>
      <c r="W92" s="61"/>
      <c r="X92" s="76" t="s">
        <v>302</v>
      </c>
      <c r="Y92" s="76" t="s">
        <v>400</v>
      </c>
      <c r="Z92" s="61"/>
      <c r="AA92" s="61"/>
      <c r="AB92" s="61"/>
    </row>
    <row r="93" spans="1:28" ht="16" x14ac:dyDescent="0.2">
      <c r="A93" s="61"/>
      <c r="B93" s="124">
        <v>86</v>
      </c>
      <c r="C93" s="76" t="s">
        <v>400</v>
      </c>
      <c r="D93" s="76"/>
      <c r="E93" s="76" t="s">
        <v>400</v>
      </c>
      <c r="F93" s="61"/>
      <c r="G93" s="61"/>
      <c r="H93" s="61"/>
      <c r="I93" s="61"/>
      <c r="J93" s="61"/>
      <c r="K93" s="61"/>
      <c r="L93" s="61"/>
      <c r="M93" s="61"/>
      <c r="N93" s="104" t="str">
        <f t="shared" si="11"/>
        <v>[** NO ZONE **]</v>
      </c>
      <c r="O93" s="104" t="str">
        <f t="shared" si="12"/>
        <v>[** NO ZONE **]</v>
      </c>
      <c r="P93" s="76" t="s">
        <v>400</v>
      </c>
      <c r="Q93" s="61"/>
      <c r="R93" s="76" t="s">
        <v>400</v>
      </c>
      <c r="S93" s="76" t="s">
        <v>400</v>
      </c>
      <c r="T93" s="76" t="s">
        <v>293</v>
      </c>
      <c r="U93" s="61"/>
      <c r="V93" s="61"/>
      <c r="W93" s="61"/>
      <c r="X93" s="76" t="s">
        <v>302</v>
      </c>
      <c r="Y93" s="76" t="s">
        <v>400</v>
      </c>
      <c r="Z93" s="61"/>
      <c r="AA93" s="61"/>
      <c r="AB93" s="61"/>
    </row>
    <row r="94" spans="1:28" ht="16" x14ac:dyDescent="0.2">
      <c r="A94" s="61"/>
      <c r="B94" s="124">
        <v>87</v>
      </c>
      <c r="C94" s="76" t="s">
        <v>400</v>
      </c>
      <c r="D94" s="76"/>
      <c r="E94" s="76" t="s">
        <v>400</v>
      </c>
      <c r="F94" s="61"/>
      <c r="G94" s="61"/>
      <c r="H94" s="61"/>
      <c r="I94" s="61"/>
      <c r="J94" s="61"/>
      <c r="K94" s="61"/>
      <c r="L94" s="61"/>
      <c r="M94" s="61"/>
      <c r="N94" s="104" t="str">
        <f t="shared" si="11"/>
        <v>[** NO ZONE **]</v>
      </c>
      <c r="O94" s="104" t="str">
        <f t="shared" si="12"/>
        <v>[** NO ZONE **]</v>
      </c>
      <c r="P94" s="76" t="s">
        <v>400</v>
      </c>
      <c r="Q94" s="61"/>
      <c r="R94" s="76" t="s">
        <v>400</v>
      </c>
      <c r="S94" s="76" t="s">
        <v>400</v>
      </c>
      <c r="T94" s="76" t="s">
        <v>293</v>
      </c>
      <c r="U94" s="61"/>
      <c r="V94" s="61"/>
      <c r="W94" s="61"/>
      <c r="X94" s="76" t="s">
        <v>302</v>
      </c>
      <c r="Y94" s="76" t="s">
        <v>400</v>
      </c>
      <c r="Z94" s="61"/>
      <c r="AA94" s="61"/>
      <c r="AB94" s="61"/>
    </row>
    <row r="95" spans="1:28" ht="16" x14ac:dyDescent="0.2">
      <c r="A95" s="61"/>
      <c r="B95" s="124">
        <v>88</v>
      </c>
      <c r="C95" s="76" t="s">
        <v>400</v>
      </c>
      <c r="D95" s="76"/>
      <c r="E95" s="76" t="s">
        <v>400</v>
      </c>
      <c r="F95" s="61"/>
      <c r="G95" s="61"/>
      <c r="H95" s="61"/>
      <c r="I95" s="61"/>
      <c r="J95" s="61"/>
      <c r="K95" s="61"/>
      <c r="L95" s="61"/>
      <c r="M95" s="61"/>
      <c r="N95" s="104" t="str">
        <f t="shared" si="11"/>
        <v>[** NO ZONE **]</v>
      </c>
      <c r="O95" s="104" t="str">
        <f t="shared" si="12"/>
        <v>[** NO ZONE **]</v>
      </c>
      <c r="P95" s="76" t="s">
        <v>400</v>
      </c>
      <c r="Q95" s="61"/>
      <c r="R95" s="76" t="s">
        <v>400</v>
      </c>
      <c r="S95" s="76" t="s">
        <v>400</v>
      </c>
      <c r="T95" s="76" t="s">
        <v>293</v>
      </c>
      <c r="U95" s="61"/>
      <c r="V95" s="61"/>
      <c r="W95" s="61"/>
      <c r="X95" s="76" t="s">
        <v>302</v>
      </c>
      <c r="Y95" s="76" t="s">
        <v>400</v>
      </c>
      <c r="Z95" s="61"/>
      <c r="AA95" s="61"/>
      <c r="AB95" s="61"/>
    </row>
    <row r="96" spans="1:28" ht="16" x14ac:dyDescent="0.2">
      <c r="A96" s="61"/>
      <c r="B96" s="124">
        <v>89</v>
      </c>
      <c r="C96" s="76" t="s">
        <v>400</v>
      </c>
      <c r="D96" s="76"/>
      <c r="E96" s="76" t="s">
        <v>400</v>
      </c>
      <c r="F96" s="61"/>
      <c r="G96" s="61"/>
      <c r="H96" s="61"/>
      <c r="I96" s="61"/>
      <c r="J96" s="61"/>
      <c r="K96" s="61"/>
      <c r="L96" s="61"/>
      <c r="M96" s="61"/>
      <c r="N96" s="104" t="str">
        <f t="shared" si="11"/>
        <v>[** NO ZONE **]</v>
      </c>
      <c r="O96" s="104" t="str">
        <f t="shared" si="12"/>
        <v>[** NO ZONE **]</v>
      </c>
      <c r="P96" s="76" t="s">
        <v>400</v>
      </c>
      <c r="Q96" s="61"/>
      <c r="R96" s="76" t="s">
        <v>400</v>
      </c>
      <c r="S96" s="76" t="s">
        <v>400</v>
      </c>
      <c r="T96" s="76" t="s">
        <v>293</v>
      </c>
      <c r="U96" s="61"/>
      <c r="V96" s="61"/>
      <c r="W96" s="61"/>
      <c r="X96" s="76" t="s">
        <v>302</v>
      </c>
      <c r="Y96" s="76" t="s">
        <v>400</v>
      </c>
      <c r="Z96" s="61"/>
      <c r="AA96" s="61"/>
      <c r="AB96" s="61"/>
    </row>
    <row r="97" spans="1:28" ht="16" x14ac:dyDescent="0.2">
      <c r="A97" s="61"/>
      <c r="B97" s="124">
        <v>90</v>
      </c>
      <c r="C97" s="76" t="s">
        <v>400</v>
      </c>
      <c r="D97" s="76"/>
      <c r="E97" s="76" t="s">
        <v>400</v>
      </c>
      <c r="F97" s="61"/>
      <c r="G97" s="61"/>
      <c r="H97" s="61"/>
      <c r="I97" s="61"/>
      <c r="J97" s="61"/>
      <c r="K97" s="61"/>
      <c r="L97" s="61"/>
      <c r="M97" s="61"/>
      <c r="N97" s="104" t="str">
        <f t="shared" si="11"/>
        <v>[** NO ZONE **]</v>
      </c>
      <c r="O97" s="104" t="str">
        <f t="shared" si="12"/>
        <v>[** NO ZONE **]</v>
      </c>
      <c r="P97" s="76" t="s">
        <v>400</v>
      </c>
      <c r="Q97" s="61"/>
      <c r="R97" s="76" t="s">
        <v>400</v>
      </c>
      <c r="S97" s="76" t="s">
        <v>400</v>
      </c>
      <c r="T97" s="76" t="s">
        <v>293</v>
      </c>
      <c r="U97" s="61"/>
      <c r="V97" s="61"/>
      <c r="W97" s="61"/>
      <c r="X97" s="76" t="s">
        <v>302</v>
      </c>
      <c r="Y97" s="76" t="s">
        <v>400</v>
      </c>
      <c r="Z97" s="61"/>
      <c r="AA97" s="61"/>
      <c r="AB97" s="61"/>
    </row>
    <row r="98" spans="1:28" ht="16" x14ac:dyDescent="0.2">
      <c r="A98" s="61"/>
      <c r="B98" s="124">
        <v>91</v>
      </c>
      <c r="C98" s="76" t="s">
        <v>400</v>
      </c>
      <c r="D98" s="76"/>
      <c r="E98" s="76" t="s">
        <v>400</v>
      </c>
      <c r="F98" s="61"/>
      <c r="G98" s="61"/>
      <c r="H98" s="61"/>
      <c r="I98" s="61"/>
      <c r="J98" s="61"/>
      <c r="K98" s="61"/>
      <c r="L98" s="61"/>
      <c r="M98" s="61"/>
      <c r="N98" s="104" t="str">
        <f t="shared" si="11"/>
        <v>[** NO ZONE **]</v>
      </c>
      <c r="O98" s="104" t="str">
        <f t="shared" si="12"/>
        <v>[** NO ZONE **]</v>
      </c>
      <c r="P98" s="76" t="s">
        <v>400</v>
      </c>
      <c r="Q98" s="61"/>
      <c r="R98" s="76" t="s">
        <v>400</v>
      </c>
      <c r="S98" s="76" t="s">
        <v>400</v>
      </c>
      <c r="T98" s="76" t="s">
        <v>293</v>
      </c>
      <c r="U98" s="61"/>
      <c r="V98" s="61"/>
      <c r="W98" s="61"/>
      <c r="X98" s="76" t="s">
        <v>302</v>
      </c>
      <c r="Y98" s="76" t="s">
        <v>400</v>
      </c>
      <c r="Z98" s="61"/>
      <c r="AA98" s="61"/>
      <c r="AB98" s="61"/>
    </row>
    <row r="99" spans="1:28" ht="16" x14ac:dyDescent="0.2">
      <c r="A99" s="61"/>
      <c r="B99" s="124">
        <v>92</v>
      </c>
      <c r="C99" s="76" t="s">
        <v>400</v>
      </c>
      <c r="D99" s="76"/>
      <c r="E99" s="76" t="s">
        <v>400</v>
      </c>
      <c r="F99" s="61"/>
      <c r="G99" s="61"/>
      <c r="H99" s="61"/>
      <c r="I99" s="61"/>
      <c r="J99" s="61"/>
      <c r="K99" s="61"/>
      <c r="L99" s="61"/>
      <c r="M99" s="61"/>
      <c r="N99" s="104" t="str">
        <f t="shared" si="11"/>
        <v>[** NO ZONE **]</v>
      </c>
      <c r="O99" s="104" t="str">
        <f t="shared" si="12"/>
        <v>[** NO ZONE **]</v>
      </c>
      <c r="P99" s="76" t="s">
        <v>400</v>
      </c>
      <c r="Q99" s="61"/>
      <c r="R99" s="76" t="s">
        <v>400</v>
      </c>
      <c r="S99" s="76" t="s">
        <v>400</v>
      </c>
      <c r="T99" s="76" t="s">
        <v>293</v>
      </c>
      <c r="U99" s="61"/>
      <c r="V99" s="61"/>
      <c r="W99" s="61"/>
      <c r="X99" s="76" t="s">
        <v>302</v>
      </c>
      <c r="Y99" s="76" t="s">
        <v>400</v>
      </c>
      <c r="Z99" s="61"/>
      <c r="AA99" s="61"/>
      <c r="AB99" s="61"/>
    </row>
    <row r="100" spans="1:28" ht="16" x14ac:dyDescent="0.2">
      <c r="A100" s="61"/>
      <c r="B100" s="124">
        <v>93</v>
      </c>
      <c r="C100" s="76" t="s">
        <v>400</v>
      </c>
      <c r="D100" s="76"/>
      <c r="E100" s="76" t="s">
        <v>400</v>
      </c>
      <c r="F100" s="61"/>
      <c r="G100" s="61"/>
      <c r="H100" s="61"/>
      <c r="I100" s="61"/>
      <c r="J100" s="61"/>
      <c r="K100" s="61"/>
      <c r="L100" s="61"/>
      <c r="M100" s="61"/>
      <c r="N100" s="104" t="str">
        <f t="shared" si="11"/>
        <v>[** NO ZONE **]</v>
      </c>
      <c r="O100" s="104" t="str">
        <f t="shared" si="12"/>
        <v>[** NO ZONE **]</v>
      </c>
      <c r="P100" s="76" t="s">
        <v>400</v>
      </c>
      <c r="Q100" s="61"/>
      <c r="R100" s="76" t="s">
        <v>400</v>
      </c>
      <c r="S100" s="76" t="s">
        <v>400</v>
      </c>
      <c r="T100" s="76" t="s">
        <v>293</v>
      </c>
      <c r="U100" s="61"/>
      <c r="V100" s="61"/>
      <c r="W100" s="61"/>
      <c r="X100" s="76" t="s">
        <v>302</v>
      </c>
      <c r="Y100" s="76" t="s">
        <v>400</v>
      </c>
      <c r="Z100" s="61"/>
      <c r="AA100" s="61"/>
      <c r="AB100" s="61"/>
    </row>
    <row r="101" spans="1:28" ht="16" x14ac:dyDescent="0.2">
      <c r="A101" s="61"/>
      <c r="B101" s="124">
        <v>94</v>
      </c>
      <c r="C101" s="76" t="s">
        <v>400</v>
      </c>
      <c r="D101" s="76"/>
      <c r="E101" s="76" t="s">
        <v>400</v>
      </c>
      <c r="F101" s="61"/>
      <c r="G101" s="61"/>
      <c r="H101" s="61"/>
      <c r="I101" s="61"/>
      <c r="J101" s="61"/>
      <c r="K101" s="61"/>
      <c r="L101" s="61"/>
      <c r="M101" s="61"/>
      <c r="N101" s="104" t="str">
        <f t="shared" si="11"/>
        <v>[** NO ZONE **]</v>
      </c>
      <c r="O101" s="104" t="str">
        <f t="shared" si="12"/>
        <v>[** NO ZONE **]</v>
      </c>
      <c r="P101" s="76" t="s">
        <v>400</v>
      </c>
      <c r="Q101" s="61"/>
      <c r="R101" s="76" t="s">
        <v>400</v>
      </c>
      <c r="S101" s="76" t="s">
        <v>400</v>
      </c>
      <c r="T101" s="76" t="s">
        <v>293</v>
      </c>
      <c r="U101" s="61"/>
      <c r="V101" s="61"/>
      <c r="W101" s="61"/>
      <c r="X101" s="76" t="s">
        <v>302</v>
      </c>
      <c r="Y101" s="76" t="s">
        <v>400</v>
      </c>
      <c r="Z101" s="61"/>
      <c r="AA101" s="61"/>
      <c r="AB101" s="61"/>
    </row>
    <row r="102" spans="1:28" ht="16" x14ac:dyDescent="0.2">
      <c r="A102" s="61"/>
      <c r="B102" s="124">
        <v>95</v>
      </c>
      <c r="C102" s="76" t="s">
        <v>400</v>
      </c>
      <c r="D102" s="76"/>
      <c r="E102" s="76" t="s">
        <v>400</v>
      </c>
      <c r="F102" s="61"/>
      <c r="G102" s="61"/>
      <c r="H102" s="61"/>
      <c r="I102" s="61"/>
      <c r="J102" s="61"/>
      <c r="K102" s="61"/>
      <c r="L102" s="61"/>
      <c r="M102" s="61"/>
      <c r="N102" s="104" t="str">
        <f t="shared" si="11"/>
        <v>[** NO ZONE **]</v>
      </c>
      <c r="O102" s="104" t="str">
        <f t="shared" si="12"/>
        <v>[** NO ZONE **]</v>
      </c>
      <c r="P102" s="76" t="s">
        <v>400</v>
      </c>
      <c r="Q102" s="61"/>
      <c r="R102" s="76" t="s">
        <v>400</v>
      </c>
      <c r="S102" s="76" t="s">
        <v>400</v>
      </c>
      <c r="T102" s="76" t="s">
        <v>293</v>
      </c>
      <c r="U102" s="61"/>
      <c r="V102" s="61"/>
      <c r="W102" s="61"/>
      <c r="X102" s="76" t="s">
        <v>302</v>
      </c>
      <c r="Y102" s="76" t="s">
        <v>400</v>
      </c>
      <c r="Z102" s="61"/>
      <c r="AA102" s="61"/>
      <c r="AB102" s="61"/>
    </row>
    <row r="103" spans="1:28" ht="16" x14ac:dyDescent="0.2">
      <c r="A103" s="61"/>
      <c r="B103" s="124">
        <v>96</v>
      </c>
      <c r="C103" s="76" t="s">
        <v>400</v>
      </c>
      <c r="D103" s="76"/>
      <c r="E103" s="76" t="s">
        <v>400</v>
      </c>
      <c r="F103" s="61"/>
      <c r="G103" s="61"/>
      <c r="H103" s="61"/>
      <c r="I103" s="61"/>
      <c r="J103" s="61"/>
      <c r="K103" s="61"/>
      <c r="L103" s="61"/>
      <c r="M103" s="61"/>
      <c r="N103" s="104" t="str">
        <f t="shared" si="11"/>
        <v>[** NO ZONE **]</v>
      </c>
      <c r="O103" s="104" t="str">
        <f t="shared" si="12"/>
        <v>[** NO ZONE **]</v>
      </c>
      <c r="P103" s="76" t="s">
        <v>400</v>
      </c>
      <c r="Q103" s="61"/>
      <c r="R103" s="76" t="s">
        <v>400</v>
      </c>
      <c r="S103" s="76" t="s">
        <v>400</v>
      </c>
      <c r="T103" s="76" t="s">
        <v>293</v>
      </c>
      <c r="U103" s="61"/>
      <c r="V103" s="61"/>
      <c r="W103" s="61"/>
      <c r="X103" s="76" t="s">
        <v>302</v>
      </c>
      <c r="Y103" s="76" t="s">
        <v>400</v>
      </c>
      <c r="Z103" s="61"/>
      <c r="AA103" s="61"/>
      <c r="AB103" s="61"/>
    </row>
    <row r="104" spans="1:28" ht="16" x14ac:dyDescent="0.2">
      <c r="A104" s="61"/>
      <c r="B104" s="124">
        <v>97</v>
      </c>
      <c r="C104" s="76" t="s">
        <v>400</v>
      </c>
      <c r="D104" s="76"/>
      <c r="E104" s="76" t="s">
        <v>400</v>
      </c>
      <c r="F104" s="61"/>
      <c r="G104" s="61"/>
      <c r="H104" s="61"/>
      <c r="I104" s="61"/>
      <c r="J104" s="61"/>
      <c r="K104" s="61"/>
      <c r="L104" s="61"/>
      <c r="M104" s="61"/>
      <c r="N104" s="104" t="str">
        <f t="shared" si="11"/>
        <v>[** NO ZONE **]</v>
      </c>
      <c r="O104" s="104" t="str">
        <f t="shared" si="12"/>
        <v>[** NO ZONE **]</v>
      </c>
      <c r="P104" s="76" t="s">
        <v>400</v>
      </c>
      <c r="Q104" s="61"/>
      <c r="R104" s="76" t="s">
        <v>400</v>
      </c>
      <c r="S104" s="76" t="s">
        <v>400</v>
      </c>
      <c r="T104" s="76" t="s">
        <v>293</v>
      </c>
      <c r="U104" s="61"/>
      <c r="V104" s="61"/>
      <c r="W104" s="61"/>
      <c r="X104" s="76" t="s">
        <v>302</v>
      </c>
      <c r="Y104" s="76" t="s">
        <v>400</v>
      </c>
      <c r="Z104" s="61"/>
      <c r="AA104" s="61"/>
      <c r="AB104" s="61"/>
    </row>
    <row r="105" spans="1:28" ht="16" x14ac:dyDescent="0.2">
      <c r="A105" s="61"/>
      <c r="B105" s="124">
        <v>98</v>
      </c>
      <c r="C105" s="76" t="s">
        <v>400</v>
      </c>
      <c r="D105" s="76"/>
      <c r="E105" s="76" t="s">
        <v>400</v>
      </c>
      <c r="F105" s="61"/>
      <c r="G105" s="61"/>
      <c r="H105" s="61"/>
      <c r="I105" s="61"/>
      <c r="J105" s="61"/>
      <c r="K105" s="61"/>
      <c r="L105" s="61"/>
      <c r="M105" s="61"/>
      <c r="N105" s="104" t="str">
        <f t="shared" si="6"/>
        <v>[** NO ZONE **]</v>
      </c>
      <c r="O105" s="104" t="str">
        <f t="shared" si="7"/>
        <v>[** NO ZONE **]</v>
      </c>
      <c r="P105" s="76" t="s">
        <v>400</v>
      </c>
      <c r="Q105" s="61"/>
      <c r="R105" s="76" t="s">
        <v>400</v>
      </c>
      <c r="S105" s="76" t="s">
        <v>400</v>
      </c>
      <c r="T105" s="76" t="s">
        <v>293</v>
      </c>
      <c r="U105" s="61"/>
      <c r="V105" s="61"/>
      <c r="W105" s="61"/>
      <c r="X105" s="76" t="s">
        <v>302</v>
      </c>
      <c r="Y105" s="76" t="s">
        <v>400</v>
      </c>
      <c r="Z105" s="61"/>
      <c r="AA105" s="61"/>
      <c r="AB105" s="61"/>
    </row>
    <row r="106" spans="1:28" ht="16" x14ac:dyDescent="0.2">
      <c r="A106" s="61"/>
      <c r="B106" s="124">
        <v>99</v>
      </c>
      <c r="C106" s="76" t="s">
        <v>400</v>
      </c>
      <c r="D106" s="76"/>
      <c r="E106" s="76" t="s">
        <v>400</v>
      </c>
      <c r="F106" s="61"/>
      <c r="G106" s="61"/>
      <c r="H106" s="61"/>
      <c r="I106" s="61"/>
      <c r="J106" s="61"/>
      <c r="K106" s="61"/>
      <c r="L106" s="61"/>
      <c r="M106" s="61"/>
      <c r="N106" s="104" t="str">
        <f t="shared" si="6"/>
        <v>[** NO ZONE **]</v>
      </c>
      <c r="O106" s="104" t="str">
        <f t="shared" si="7"/>
        <v>[** NO ZONE **]</v>
      </c>
      <c r="P106" s="76" t="s">
        <v>400</v>
      </c>
      <c r="Q106" s="61"/>
      <c r="R106" s="76" t="s">
        <v>400</v>
      </c>
      <c r="S106" s="76" t="s">
        <v>400</v>
      </c>
      <c r="T106" s="76" t="s">
        <v>293</v>
      </c>
      <c r="U106" s="61"/>
      <c r="V106" s="61"/>
      <c r="W106" s="61"/>
      <c r="X106" s="76" t="s">
        <v>302</v>
      </c>
      <c r="Y106" s="76" t="s">
        <v>400</v>
      </c>
      <c r="Z106" s="61"/>
      <c r="AA106" s="61"/>
      <c r="AB106" s="61"/>
    </row>
    <row r="107" spans="1:28" ht="16" x14ac:dyDescent="0.2">
      <c r="A107" s="61"/>
      <c r="B107" s="124">
        <v>100</v>
      </c>
      <c r="C107" s="76" t="s">
        <v>400</v>
      </c>
      <c r="D107" s="76"/>
      <c r="E107" s="76" t="s">
        <v>400</v>
      </c>
      <c r="F107" s="61"/>
      <c r="G107" s="61"/>
      <c r="H107" s="61"/>
      <c r="I107" s="61"/>
      <c r="J107" s="61"/>
      <c r="K107" s="61"/>
      <c r="L107" s="61"/>
      <c r="M107" s="61"/>
      <c r="N107" s="104" t="str">
        <f t="shared" si="6"/>
        <v>[** NO ZONE **]</v>
      </c>
      <c r="O107" s="104" t="str">
        <f t="shared" si="7"/>
        <v>[** NO ZONE **]</v>
      </c>
      <c r="P107" s="76" t="s">
        <v>400</v>
      </c>
      <c r="Q107" s="61"/>
      <c r="R107" s="76" t="s">
        <v>400</v>
      </c>
      <c r="S107" s="76" t="s">
        <v>400</v>
      </c>
      <c r="T107" s="76" t="s">
        <v>293</v>
      </c>
      <c r="U107" s="61"/>
      <c r="V107" s="61"/>
      <c r="W107" s="61"/>
      <c r="X107" s="76" t="s">
        <v>302</v>
      </c>
      <c r="Y107" s="76" t="s">
        <v>400</v>
      </c>
      <c r="Z107" s="61"/>
      <c r="AA107" s="61"/>
      <c r="AB107" s="61"/>
    </row>
    <row r="108" spans="1:28" x14ac:dyDescent="0.2">
      <c r="B108" s="55" t="s">
        <v>453</v>
      </c>
      <c r="D108" s="2"/>
      <c r="P108" s="2"/>
      <c r="Q108" s="2"/>
    </row>
    <row r="109" spans="1:28" x14ac:dyDescent="0.2">
      <c r="D109" s="2"/>
      <c r="P109" s="2"/>
      <c r="Q109" s="2"/>
    </row>
    <row r="110" spans="1:28" x14ac:dyDescent="0.2">
      <c r="D110" s="2"/>
      <c r="P110" s="2"/>
      <c r="Q110" s="2"/>
    </row>
    <row r="111" spans="1:28" x14ac:dyDescent="0.2">
      <c r="D111" s="2"/>
      <c r="P111" s="2"/>
      <c r="Q111" s="2"/>
    </row>
    <row r="112" spans="1:28" x14ac:dyDescent="0.2">
      <c r="D112" s="2"/>
      <c r="P112" s="2"/>
      <c r="Q112" s="2"/>
    </row>
    <row r="113" spans="4:17" x14ac:dyDescent="0.2">
      <c r="D113" s="2"/>
      <c r="P113" s="2"/>
      <c r="Q113" s="2"/>
    </row>
    <row r="114" spans="4:17" x14ac:dyDescent="0.2">
      <c r="D114" s="2"/>
      <c r="J114" s="109"/>
      <c r="M114" s="109"/>
      <c r="P114" s="2"/>
      <c r="Q114" s="2"/>
    </row>
    <row r="115" spans="4:17" x14ac:dyDescent="0.2">
      <c r="D115" s="2"/>
      <c r="P115" s="2"/>
      <c r="Q115" s="2"/>
    </row>
    <row r="116" spans="4:17" x14ac:dyDescent="0.2">
      <c r="P116" s="2"/>
      <c r="Q116" s="2"/>
    </row>
  </sheetData>
  <autoFilter ref="A6:AB108" xr:uid="{00000000-0009-0000-0000-000006000000}"/>
  <mergeCells count="2">
    <mergeCell ref="B5:F5"/>
    <mergeCell ref="L3:M3"/>
  </mergeCells>
  <conditionalFormatting sqref="J7:AB7 F10:G10 F8:H9 J8:X8 A8:E10 H37:X38 A38:C38 E38 F35:G35 L36:Z36 F18 H18:X18 H36:J36 A39:X40 K9:X10 F15:X17 F19:X21 I35:Z35 Y37:AB40 Y8:AB10 AA35:AB36 Y12:AB21 K12:X14 A12:E21 F12:G14 A11:G11 K11:AB11 F30:AB34 R28:AB29 A29:P29 A28:O28 A44:O44 U44:AB44 A41:B43 A45:E45 K45:AB45 E40:E44 A30:E37 A7:H7 A46:AB48 A24:AB27 A51:AB107">
    <cfRule type="containsText" dxfId="294" priority="162" operator="containsText" text="check">
      <formula>NOT(ISERROR(SEARCH("check",A7)))</formula>
    </cfRule>
    <cfRule type="cellIs" dxfId="293" priority="163" operator="equal">
      <formula>"???"</formula>
    </cfRule>
  </conditionalFormatting>
  <conditionalFormatting sqref="C7:C21 C44:C48 C24:C40 C51:C107">
    <cfRule type="cellIs" dxfId="292" priority="160" operator="equal">
      <formula>"TMO"</formula>
    </cfRule>
    <cfRule type="cellIs" dxfId="291" priority="161" operator="equal">
      <formula>"FMO"</formula>
    </cfRule>
  </conditionalFormatting>
  <conditionalFormatting sqref="R7:R21 R45:R48 R24:R40 R51:R107">
    <cfRule type="containsText" dxfId="290" priority="159" operator="containsText" text="SI">
      <formula>NOT(ISERROR(SEARCH("SI",R7)))</formula>
    </cfRule>
  </conditionalFormatting>
  <conditionalFormatting sqref="T7:T21 T45:T48 T24:T40 T51:T107">
    <cfRule type="cellIs" dxfId="289" priority="158" operator="equal">
      <formula>"Yes"</formula>
    </cfRule>
  </conditionalFormatting>
  <conditionalFormatting sqref="I7">
    <cfRule type="containsText" dxfId="288" priority="156" operator="containsText" text="check">
      <formula>NOT(ISERROR(SEARCH("check",I7)))</formula>
    </cfRule>
    <cfRule type="cellIs" dxfId="287" priority="157" operator="equal">
      <formula>"???"</formula>
    </cfRule>
  </conditionalFormatting>
  <conditionalFormatting sqref="I8">
    <cfRule type="containsText" dxfId="286" priority="154" operator="containsText" text="check">
      <formula>NOT(ISERROR(SEARCH("check",I8)))</formula>
    </cfRule>
    <cfRule type="cellIs" dxfId="285" priority="155" operator="equal">
      <formula>"???"</formula>
    </cfRule>
  </conditionalFormatting>
  <conditionalFormatting sqref="I9">
    <cfRule type="containsText" dxfId="284" priority="152" operator="containsText" text="check">
      <formula>NOT(ISERROR(SEARCH("check",I9)))</formula>
    </cfRule>
    <cfRule type="cellIs" dxfId="283" priority="153" operator="equal">
      <formula>"???"</formula>
    </cfRule>
  </conditionalFormatting>
  <conditionalFormatting sqref="J9">
    <cfRule type="containsText" dxfId="282" priority="150" operator="containsText" text="check">
      <formula>NOT(ISERROR(SEARCH("check",J9)))</formula>
    </cfRule>
    <cfRule type="cellIs" dxfId="281" priority="151" operator="equal">
      <formula>"???"</formula>
    </cfRule>
  </conditionalFormatting>
  <conditionalFormatting sqref="H10:H14">
    <cfRule type="containsText" dxfId="280" priority="148" operator="containsText" text="check">
      <formula>NOT(ISERROR(SEARCH("check",H10)))</formula>
    </cfRule>
    <cfRule type="cellIs" dxfId="279" priority="149" operator="equal">
      <formula>"???"</formula>
    </cfRule>
  </conditionalFormatting>
  <conditionalFormatting sqref="I10:I14">
    <cfRule type="containsText" dxfId="278" priority="146" operator="containsText" text="check">
      <formula>NOT(ISERROR(SEARCH("check",I10)))</formula>
    </cfRule>
    <cfRule type="cellIs" dxfId="277" priority="147" operator="equal">
      <formula>"???"</formula>
    </cfRule>
  </conditionalFormatting>
  <conditionalFormatting sqref="J10:J14">
    <cfRule type="containsText" dxfId="276" priority="144" operator="containsText" text="check">
      <formula>NOT(ISERROR(SEARCH("check",J10)))</formula>
    </cfRule>
    <cfRule type="cellIs" dxfId="275" priority="145" operator="equal">
      <formula>"???"</formula>
    </cfRule>
  </conditionalFormatting>
  <conditionalFormatting sqref="F36">
    <cfRule type="containsText" dxfId="274" priority="130" operator="containsText" text="check">
      <formula>NOT(ISERROR(SEARCH("check",F36)))</formula>
    </cfRule>
    <cfRule type="cellIs" dxfId="273" priority="131" operator="equal">
      <formula>"???"</formula>
    </cfRule>
  </conditionalFormatting>
  <conditionalFormatting sqref="G36">
    <cfRule type="containsText" dxfId="272" priority="128" operator="containsText" text="check">
      <formula>NOT(ISERROR(SEARCH("check",G36)))</formula>
    </cfRule>
    <cfRule type="cellIs" dxfId="271" priority="129" operator="equal">
      <formula>"???"</formula>
    </cfRule>
  </conditionalFormatting>
  <conditionalFormatting sqref="F37:G37">
    <cfRule type="containsText" dxfId="270" priority="126" operator="containsText" text="check">
      <formula>NOT(ISERROR(SEARCH("check",F37)))</formula>
    </cfRule>
    <cfRule type="cellIs" dxfId="269" priority="127" operator="equal">
      <formula>"???"</formula>
    </cfRule>
  </conditionalFormatting>
  <conditionalFormatting sqref="F38:G38">
    <cfRule type="containsText" dxfId="268" priority="124" operator="containsText" text="check">
      <formula>NOT(ISERROR(SEARCH("check",F38)))</formula>
    </cfRule>
    <cfRule type="cellIs" dxfId="267" priority="125" operator="equal">
      <formula>"???"</formula>
    </cfRule>
  </conditionalFormatting>
  <conditionalFormatting sqref="D38">
    <cfRule type="containsText" dxfId="266" priority="104" operator="containsText" text="check">
      <formula>NOT(ISERROR(SEARCH("check",D38)))</formula>
    </cfRule>
    <cfRule type="cellIs" dxfId="265" priority="105" operator="equal">
      <formula>"???"</formula>
    </cfRule>
  </conditionalFormatting>
  <conditionalFormatting sqref="H35">
    <cfRule type="containsText" dxfId="264" priority="102" operator="containsText" text="check">
      <formula>NOT(ISERROR(SEARCH("check",H35)))</formula>
    </cfRule>
    <cfRule type="cellIs" dxfId="263" priority="103" operator="equal">
      <formula>"???"</formula>
    </cfRule>
  </conditionalFormatting>
  <conditionalFormatting sqref="G18">
    <cfRule type="containsText" dxfId="262" priority="98" operator="containsText" text="check">
      <formula>NOT(ISERROR(SEARCH("check",G18)))</formula>
    </cfRule>
    <cfRule type="cellIs" dxfId="261" priority="99" operator="equal">
      <formula>"???"</formula>
    </cfRule>
  </conditionalFormatting>
  <conditionalFormatting sqref="K36">
    <cfRule type="containsText" dxfId="260" priority="96" operator="containsText" text="check">
      <formula>NOT(ISERROR(SEARCH("check",K36)))</formula>
    </cfRule>
    <cfRule type="cellIs" dxfId="259" priority="97" operator="equal">
      <formula>"???"</formula>
    </cfRule>
  </conditionalFormatting>
  <conditionalFormatting sqref="Q29">
    <cfRule type="containsText" dxfId="258" priority="94" operator="containsText" text="check">
      <formula>NOT(ISERROR(SEARCH("check",Q29)))</formula>
    </cfRule>
    <cfRule type="cellIs" dxfId="257" priority="95" operator="equal">
      <formula>"???"</formula>
    </cfRule>
  </conditionalFormatting>
  <conditionalFormatting sqref="P28">
    <cfRule type="containsText" dxfId="256" priority="92" operator="containsText" text="check">
      <formula>NOT(ISERROR(SEARCH("check",P28)))</formula>
    </cfRule>
    <cfRule type="cellIs" dxfId="255" priority="93" operator="equal">
      <formula>"???"</formula>
    </cfRule>
  </conditionalFormatting>
  <conditionalFormatting sqref="Q28">
    <cfRule type="containsText" dxfId="254" priority="90" operator="containsText" text="check">
      <formula>NOT(ISERROR(SEARCH("check",Q28)))</formula>
    </cfRule>
    <cfRule type="cellIs" dxfId="253" priority="91" operator="equal">
      <formula>"???"</formula>
    </cfRule>
  </conditionalFormatting>
  <conditionalFormatting sqref="N42:O42 Q42 P41:P42 T42:X42 X41 Z42 D43:E43">
    <cfRule type="containsText" dxfId="252" priority="88" operator="containsText" text="check">
      <formula>NOT(ISERROR(SEARCH("check",D41)))</formula>
    </cfRule>
    <cfRule type="cellIs" dxfId="251" priority="89" operator="equal">
      <formula>"???"</formula>
    </cfRule>
  </conditionalFormatting>
  <conditionalFormatting sqref="T42">
    <cfRule type="cellIs" dxfId="250" priority="87" operator="equal">
      <formula>"Yes"</formula>
    </cfRule>
  </conditionalFormatting>
  <conditionalFormatting sqref="F41:G41 N41:O41 Q41:W41 R42:S42 Y41:AB41 Y42">
    <cfRule type="containsText" dxfId="249" priority="85" operator="containsText" text="check">
      <formula>NOT(ISERROR(SEARCH("check",F41)))</formula>
    </cfRule>
    <cfRule type="cellIs" dxfId="248" priority="86" operator="equal">
      <formula>"???"</formula>
    </cfRule>
  </conditionalFormatting>
  <conditionalFormatting sqref="R41:R42">
    <cfRule type="containsText" dxfId="247" priority="84" operator="containsText" text="SI">
      <formula>NOT(ISERROR(SEARCH("SI",R41)))</formula>
    </cfRule>
  </conditionalFormatting>
  <conditionalFormatting sqref="T41">
    <cfRule type="cellIs" dxfId="246" priority="83" operator="equal">
      <formula>"Yes"</formula>
    </cfRule>
  </conditionalFormatting>
  <conditionalFormatting sqref="C41:C43">
    <cfRule type="containsText" dxfId="245" priority="81" operator="containsText" text="check">
      <formula>NOT(ISERROR(SEARCH("check",C41)))</formula>
    </cfRule>
    <cfRule type="cellIs" dxfId="244" priority="82" operator="equal">
      <formula>"???"</formula>
    </cfRule>
  </conditionalFormatting>
  <conditionalFormatting sqref="C41:C43">
    <cfRule type="cellIs" dxfId="243" priority="79" operator="equal">
      <formula>"TMO"</formula>
    </cfRule>
    <cfRule type="cellIs" dxfId="242" priority="80" operator="equal">
      <formula>"FMO"</formula>
    </cfRule>
  </conditionalFormatting>
  <conditionalFormatting sqref="E41:E42">
    <cfRule type="containsText" dxfId="241" priority="77" operator="containsText" text="check">
      <formula>NOT(ISERROR(SEARCH("check",E41)))</formula>
    </cfRule>
    <cfRule type="cellIs" dxfId="240" priority="78" operator="equal">
      <formula>"???"</formula>
    </cfRule>
  </conditionalFormatting>
  <conditionalFormatting sqref="H41">
    <cfRule type="containsText" dxfId="239" priority="75" operator="containsText" text="check">
      <formula>NOT(ISERROR(SEARCH("check",H41)))</formula>
    </cfRule>
    <cfRule type="cellIs" dxfId="238" priority="76" operator="equal">
      <formula>"???"</formula>
    </cfRule>
  </conditionalFormatting>
  <conditionalFormatting sqref="D41:D42">
    <cfRule type="containsText" dxfId="237" priority="73" operator="containsText" text="check">
      <formula>NOT(ISERROR(SEARCH("check",D41)))</formula>
    </cfRule>
    <cfRule type="cellIs" dxfId="236" priority="74" operator="equal">
      <formula>"???"</formula>
    </cfRule>
  </conditionalFormatting>
  <conditionalFormatting sqref="F42">
    <cfRule type="containsText" dxfId="235" priority="71" operator="containsText" text="check">
      <formula>NOT(ISERROR(SEARCH("check",F42)))</formula>
    </cfRule>
    <cfRule type="cellIs" dxfId="234" priority="72" operator="equal">
      <formula>"???"</formula>
    </cfRule>
  </conditionalFormatting>
  <conditionalFormatting sqref="G42">
    <cfRule type="containsText" dxfId="233" priority="69" operator="containsText" text="check">
      <formula>NOT(ISERROR(SEARCH("check",G42)))</formula>
    </cfRule>
    <cfRule type="cellIs" dxfId="232" priority="70" operator="equal">
      <formula>"???"</formula>
    </cfRule>
  </conditionalFormatting>
  <conditionalFormatting sqref="K42">
    <cfRule type="containsText" dxfId="231" priority="67" operator="containsText" text="check">
      <formula>NOT(ISERROR(SEARCH("check",K42)))</formula>
    </cfRule>
    <cfRule type="cellIs" dxfId="230" priority="68" operator="equal">
      <formula>"???"</formula>
    </cfRule>
  </conditionalFormatting>
  <conditionalFormatting sqref="AB42">
    <cfRule type="containsText" dxfId="229" priority="65" operator="containsText" text="check">
      <formula>NOT(ISERROR(SEARCH("check",AB42)))</formula>
    </cfRule>
    <cfRule type="cellIs" dxfId="228" priority="66" operator="equal">
      <formula>"???"</formula>
    </cfRule>
  </conditionalFormatting>
  <conditionalFormatting sqref="X43">
    <cfRule type="containsText" dxfId="227" priority="63" operator="containsText" text="check">
      <formula>NOT(ISERROR(SEARCH("check",X43)))</formula>
    </cfRule>
    <cfRule type="cellIs" dxfId="226" priority="64" operator="equal">
      <formula>"???"</formula>
    </cfRule>
  </conditionalFormatting>
  <conditionalFormatting sqref="F43:G43 N43:O43 R43:W43 Y43:Z43 AB43">
    <cfRule type="containsText" dxfId="225" priority="61" operator="containsText" text="check">
      <formula>NOT(ISERROR(SEARCH("check",F43)))</formula>
    </cfRule>
    <cfRule type="cellIs" dxfId="224" priority="62" operator="equal">
      <formula>"???"</formula>
    </cfRule>
  </conditionalFormatting>
  <conditionalFormatting sqref="R43">
    <cfRule type="containsText" dxfId="223" priority="60" operator="containsText" text="SI">
      <formula>NOT(ISERROR(SEARCH("SI",R43)))</formula>
    </cfRule>
  </conditionalFormatting>
  <conditionalFormatting sqref="T43">
    <cfRule type="cellIs" dxfId="222" priority="59" operator="equal">
      <formula>"Yes"</formula>
    </cfRule>
  </conditionalFormatting>
  <conditionalFormatting sqref="H43">
    <cfRule type="containsText" dxfId="221" priority="57" operator="containsText" text="check">
      <formula>NOT(ISERROR(SEARCH("check",H43)))</formula>
    </cfRule>
    <cfRule type="cellIs" dxfId="220" priority="58" operator="equal">
      <formula>"???"</formula>
    </cfRule>
  </conditionalFormatting>
  <conditionalFormatting sqref="P43:Q43">
    <cfRule type="containsText" dxfId="219" priority="55" operator="containsText" text="check">
      <formula>NOT(ISERROR(SEARCH("check",P43)))</formula>
    </cfRule>
    <cfRule type="cellIs" dxfId="218" priority="56" operator="equal">
      <formula>"???"</formula>
    </cfRule>
  </conditionalFormatting>
  <conditionalFormatting sqref="K41">
    <cfRule type="containsText" dxfId="217" priority="53" operator="containsText" text="check">
      <formula>NOT(ISERROR(SEARCH("check",K41)))</formula>
    </cfRule>
    <cfRule type="cellIs" dxfId="216" priority="54" operator="equal">
      <formula>"???"</formula>
    </cfRule>
  </conditionalFormatting>
  <conditionalFormatting sqref="H42">
    <cfRule type="containsText" dxfId="215" priority="51" operator="containsText" text="check">
      <formula>NOT(ISERROR(SEARCH("check",H42)))</formula>
    </cfRule>
    <cfRule type="cellIs" dxfId="214" priority="52" operator="equal">
      <formula>"???"</formula>
    </cfRule>
  </conditionalFormatting>
  <conditionalFormatting sqref="K43">
    <cfRule type="containsText" dxfId="213" priority="49" operator="containsText" text="check">
      <formula>NOT(ISERROR(SEARCH("check",K43)))</formula>
    </cfRule>
    <cfRule type="cellIs" dxfId="212" priority="50" operator="equal">
      <formula>"???"</formula>
    </cfRule>
  </conditionalFormatting>
  <conditionalFormatting sqref="L41:M41">
    <cfRule type="containsText" dxfId="211" priority="47" operator="containsText" text="check">
      <formula>NOT(ISERROR(SEARCH("check",L41)))</formula>
    </cfRule>
    <cfRule type="cellIs" dxfId="210" priority="48" operator="equal">
      <formula>"???"</formula>
    </cfRule>
  </conditionalFormatting>
  <conditionalFormatting sqref="I42:J42">
    <cfRule type="containsText" dxfId="209" priority="45" operator="containsText" text="check">
      <formula>NOT(ISERROR(SEARCH("check",I42)))</formula>
    </cfRule>
    <cfRule type="cellIs" dxfId="208" priority="46" operator="equal">
      <formula>"???"</formula>
    </cfRule>
  </conditionalFormatting>
  <conditionalFormatting sqref="L43:M43">
    <cfRule type="containsText" dxfId="207" priority="43" operator="containsText" text="check">
      <formula>NOT(ISERROR(SEARCH("check",L43)))</formula>
    </cfRule>
    <cfRule type="cellIs" dxfId="206" priority="44" operator="equal">
      <formula>"???"</formula>
    </cfRule>
  </conditionalFormatting>
  <conditionalFormatting sqref="P44:T44">
    <cfRule type="containsText" dxfId="205" priority="41" operator="containsText" text="check">
      <formula>NOT(ISERROR(SEARCH("check",P44)))</formula>
    </cfRule>
    <cfRule type="cellIs" dxfId="204" priority="42" operator="equal">
      <formula>"???"</formula>
    </cfRule>
  </conditionalFormatting>
  <conditionalFormatting sqref="R44">
    <cfRule type="containsText" dxfId="203" priority="40" operator="containsText" text="SI">
      <formula>NOT(ISERROR(SEARCH("SI",R44)))</formula>
    </cfRule>
  </conditionalFormatting>
  <conditionalFormatting sqref="T44">
    <cfRule type="cellIs" dxfId="202" priority="39" operator="equal">
      <formula>"Yes"</formula>
    </cfRule>
  </conditionalFormatting>
  <conditionalFormatting sqref="E1:E21 E24:E48 E51:E1048576">
    <cfRule type="containsText" dxfId="201" priority="37" operator="containsText" text="issue">
      <formula>NOT(ISERROR(SEARCH("issue",E1)))</formula>
    </cfRule>
    <cfRule type="containsText" dxfId="200" priority="38" operator="containsText" text="Test OK">
      <formula>NOT(ISERROR(SEARCH("Test OK",E1)))</formula>
    </cfRule>
  </conditionalFormatting>
  <conditionalFormatting sqref="AA42">
    <cfRule type="containsText" dxfId="199" priority="35" operator="containsText" text="check">
      <formula>NOT(ISERROR(SEARCH("check",AA42)))</formula>
    </cfRule>
    <cfRule type="cellIs" dxfId="198" priority="36" operator="equal">
      <formula>"???"</formula>
    </cfRule>
  </conditionalFormatting>
  <conditionalFormatting sqref="AA43">
    <cfRule type="containsText" dxfId="197" priority="33" operator="containsText" text="check">
      <formula>NOT(ISERROR(SEARCH("check",AA43)))</formula>
    </cfRule>
    <cfRule type="cellIs" dxfId="196" priority="34" operator="equal">
      <formula>"???"</formula>
    </cfRule>
  </conditionalFormatting>
  <conditionalFormatting sqref="H45:J45">
    <cfRule type="containsText" dxfId="195" priority="31" operator="containsText" text="check">
      <formula>NOT(ISERROR(SEARCH("check",H45)))</formula>
    </cfRule>
    <cfRule type="cellIs" dxfId="194" priority="32" operator="equal">
      <formula>"???"</formula>
    </cfRule>
  </conditionalFormatting>
  <conditionalFormatting sqref="F45:G45">
    <cfRule type="containsText" dxfId="193" priority="29" operator="containsText" text="check">
      <formula>NOT(ISERROR(SEARCH("check",F45)))</formula>
    </cfRule>
    <cfRule type="cellIs" dxfId="192" priority="30" operator="equal">
      <formula>"???"</formula>
    </cfRule>
  </conditionalFormatting>
  <conditionalFormatting sqref="A22:AB23">
    <cfRule type="containsText" dxfId="191" priority="27" operator="containsText" text="check">
      <formula>NOT(ISERROR(SEARCH("check",A22)))</formula>
    </cfRule>
    <cfRule type="cellIs" dxfId="190" priority="28" operator="equal">
      <formula>"???"</formula>
    </cfRule>
  </conditionalFormatting>
  <conditionalFormatting sqref="C22:C23">
    <cfRule type="cellIs" dxfId="189" priority="25" operator="equal">
      <formula>"TMO"</formula>
    </cfRule>
    <cfRule type="cellIs" dxfId="188" priority="26" operator="equal">
      <formula>"FMO"</formula>
    </cfRule>
  </conditionalFormatting>
  <conditionalFormatting sqref="R22:R23">
    <cfRule type="containsText" dxfId="187" priority="24" operator="containsText" text="SI">
      <formula>NOT(ISERROR(SEARCH("SI",R22)))</formula>
    </cfRule>
  </conditionalFormatting>
  <conditionalFormatting sqref="T22:T23">
    <cfRule type="cellIs" dxfId="186" priority="23" operator="equal">
      <formula>"Yes"</formula>
    </cfRule>
  </conditionalFormatting>
  <conditionalFormatting sqref="E22:E23">
    <cfRule type="containsText" dxfId="185" priority="21" operator="containsText" text="issue">
      <formula>NOT(ISERROR(SEARCH("issue",E22)))</formula>
    </cfRule>
    <cfRule type="containsText" dxfId="184" priority="22" operator="containsText" text="Test OK">
      <formula>NOT(ISERROR(SEARCH("Test OK",E22)))</formula>
    </cfRule>
  </conditionalFormatting>
  <conditionalFormatting sqref="A49:J49 N49:AB49">
    <cfRule type="containsText" dxfId="183" priority="19" operator="containsText" text="check">
      <formula>NOT(ISERROR(SEARCH("check",A49)))</formula>
    </cfRule>
    <cfRule type="cellIs" dxfId="182" priority="20" operator="equal">
      <formula>"???"</formula>
    </cfRule>
  </conditionalFormatting>
  <conditionalFormatting sqref="C49">
    <cfRule type="cellIs" dxfId="181" priority="17" operator="equal">
      <formula>"TMO"</formula>
    </cfRule>
    <cfRule type="cellIs" dxfId="180" priority="18" operator="equal">
      <formula>"FMO"</formula>
    </cfRule>
  </conditionalFormatting>
  <conditionalFormatting sqref="R49">
    <cfRule type="containsText" dxfId="179" priority="16" operator="containsText" text="SI">
      <formula>NOT(ISERROR(SEARCH("SI",R49)))</formula>
    </cfRule>
  </conditionalFormatting>
  <conditionalFormatting sqref="T49">
    <cfRule type="cellIs" dxfId="178" priority="15" operator="equal">
      <formula>"Yes"</formula>
    </cfRule>
  </conditionalFormatting>
  <conditionalFormatting sqref="K49:M49">
    <cfRule type="containsText" dxfId="177" priority="13" operator="containsText" text="check">
      <formula>NOT(ISERROR(SEARCH("check",K49)))</formula>
    </cfRule>
    <cfRule type="cellIs" dxfId="176" priority="14" operator="equal">
      <formula>"???"</formula>
    </cfRule>
  </conditionalFormatting>
  <conditionalFormatting sqref="K50 R50:AB50 A50:G50 N50:O50">
    <cfRule type="containsText" dxfId="175" priority="11" operator="containsText" text="check">
      <formula>NOT(ISERROR(SEARCH("check",A50)))</formula>
    </cfRule>
    <cfRule type="cellIs" dxfId="174" priority="12" operator="equal">
      <formula>"???"</formula>
    </cfRule>
  </conditionalFormatting>
  <conditionalFormatting sqref="C50">
    <cfRule type="cellIs" dxfId="173" priority="9" operator="equal">
      <formula>"TMO"</formula>
    </cfRule>
    <cfRule type="cellIs" dxfId="172" priority="10" operator="equal">
      <formula>"FMO"</formula>
    </cfRule>
  </conditionalFormatting>
  <conditionalFormatting sqref="R50">
    <cfRule type="containsText" dxfId="171" priority="8" operator="containsText" text="SI">
      <formula>NOT(ISERROR(SEARCH("SI",R50)))</formula>
    </cfRule>
  </conditionalFormatting>
  <conditionalFormatting sqref="T50">
    <cfRule type="cellIs" dxfId="170" priority="7" operator="equal">
      <formula>"Yes"</formula>
    </cfRule>
  </conditionalFormatting>
  <conditionalFormatting sqref="P50:Q50">
    <cfRule type="containsText" dxfId="169" priority="5" operator="containsText" text="check">
      <formula>NOT(ISERROR(SEARCH("check",P50)))</formula>
    </cfRule>
    <cfRule type="cellIs" dxfId="168" priority="6" operator="equal">
      <formula>"???"</formula>
    </cfRule>
  </conditionalFormatting>
  <conditionalFormatting sqref="H50:J50">
    <cfRule type="containsText" dxfId="167" priority="3" operator="containsText" text="check">
      <formula>NOT(ISERROR(SEARCH("check",H50)))</formula>
    </cfRule>
    <cfRule type="cellIs" dxfId="166" priority="4" operator="equal">
      <formula>"???"</formula>
    </cfRule>
  </conditionalFormatting>
  <conditionalFormatting sqref="L50:M50">
    <cfRule type="containsText" dxfId="165" priority="1" operator="containsText" text="check">
      <formula>NOT(ISERROR(SEARCH("check",L50)))</formula>
    </cfRule>
    <cfRule type="cellIs" dxfId="164" priority="2" operator="equal">
      <formula>"???"</formula>
    </cfRule>
  </conditionalFormatting>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600-000000000000}">
          <x14:formula1>
            <xm:f>Tables!$C$7:$C$70</xm:f>
          </x14:formula1>
          <xm:sqref>P7:P42 P44:P49 P51:P107</xm:sqref>
        </x14:dataValidation>
        <x14:dataValidation type="list" allowBlank="1" showInputMessage="1" showErrorMessage="1" xr:uid="{00000000-0002-0000-0600-000002000000}">
          <x14:formula1>
            <xm:f>Tables!$E$7:$E$11</xm:f>
          </x14:formula1>
          <xm:sqref>Y7:Y40 Y44:Y107</xm:sqref>
        </x14:dataValidation>
        <x14:dataValidation type="list" allowBlank="1" showInputMessage="1" showErrorMessage="1" xr:uid="{00000000-0002-0000-0600-000003000000}">
          <x14:formula1>
            <xm:f>Tables!$D$7:$D$10</xm:f>
          </x14:formula1>
          <xm:sqref>S7:S40 S44:S107</xm:sqref>
        </x14:dataValidation>
        <x14:dataValidation type="list" allowBlank="1" showInputMessage="1" showErrorMessage="1" xr:uid="{00000000-0002-0000-0600-000004000000}">
          <x14:formula1>
            <xm:f>Tables!$J$7:$J$19</xm:f>
          </x14:formula1>
          <xm:sqref>R7:R40 R44:R107</xm:sqref>
        </x14:dataValidation>
        <x14:dataValidation type="list" allowBlank="1" showInputMessage="1" showErrorMessage="1" xr:uid="{00000000-0002-0000-0600-000006000000}">
          <x14:formula1>
            <xm:f>Tables!$B$7:$B$10</xm:f>
          </x14:formula1>
          <xm:sqref>T7:T40 T42 T44:T107</xm:sqref>
        </x14:dataValidation>
        <x14:dataValidation type="list" allowBlank="1" showInputMessage="1" showErrorMessage="1" xr:uid="{00000000-0002-0000-0600-000001000000}">
          <x14:formula1>
            <xm:f>Tables!$G$7:$G$11</xm:f>
          </x14:formula1>
          <xm:sqref>X7:X107</xm:sqref>
        </x14:dataValidation>
        <x14:dataValidation type="list" allowBlank="1" showInputMessage="1" showErrorMessage="1" xr:uid="{00000000-0002-0000-0600-000005000000}">
          <x14:formula1>
            <xm:f>Tables!$L$7:$L$19</xm:f>
          </x14:formula1>
          <xm:sqref>E7:E107</xm:sqref>
        </x14:dataValidation>
        <x14:dataValidation type="list" allowBlank="1" showInputMessage="1" showErrorMessage="1" xr:uid="{00000000-0002-0000-0600-000007000000}">
          <x14:formula1>
            <xm:f>Tables!$Y$7:$Y$15</xm:f>
          </x14:formula1>
          <xm:sqref>C7:C107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6">
    <tabColor theme="4" tint="-0.499984740745262"/>
  </sheetPr>
  <dimension ref="A1:AB120"/>
  <sheetViews>
    <sheetView zoomScale="85" zoomScaleNormal="85" workbookViewId="0">
      <pane xSplit="7" ySplit="6" topLeftCell="H40" activePane="bottomRight" state="frozen"/>
      <selection pane="topRight" activeCell="H1" sqref="H1"/>
      <selection pane="bottomLeft" activeCell="A7" sqref="A7"/>
      <selection pane="bottomRight" activeCell="I47" sqref="I47:J47"/>
    </sheetView>
  </sheetViews>
  <sheetFormatPr baseColWidth="10" defaultColWidth="9.1640625" defaultRowHeight="15" outlineLevelRow="1" outlineLevelCol="1" x14ac:dyDescent="0.2"/>
  <cols>
    <col min="1" max="1" width="12.5" style="2" customWidth="1"/>
    <col min="2" max="2" width="9.33203125" style="48" customWidth="1"/>
    <col min="3" max="3" width="9.5" style="10" customWidth="1"/>
    <col min="4" max="4" width="37.1640625" style="10" customWidth="1"/>
    <col min="5" max="5" width="14.1640625" style="25" customWidth="1"/>
    <col min="6" max="6" width="16.33203125" style="2" customWidth="1"/>
    <col min="7" max="7" width="16.5" style="2" customWidth="1"/>
    <col min="8" max="8" width="20" style="2" customWidth="1"/>
    <col min="9" max="9" width="22.83203125" style="2" customWidth="1"/>
    <col min="10" max="10" width="22.6640625" style="2" customWidth="1"/>
    <col min="11" max="11" width="22.33203125" style="2" bestFit="1" customWidth="1"/>
    <col min="12" max="12" width="22.33203125" style="2" customWidth="1"/>
    <col min="13" max="13" width="24.33203125" style="2" bestFit="1" customWidth="1"/>
    <col min="14" max="14" width="30.83203125" style="2" customWidth="1"/>
    <col min="15" max="15" width="28.33203125" style="2" customWidth="1"/>
    <col min="16" max="17" width="16.33203125" style="10" customWidth="1"/>
    <col min="18" max="18" width="14.5" style="15" customWidth="1"/>
    <col min="19" max="19" width="19.1640625" style="2" customWidth="1"/>
    <col min="20" max="20" width="11.33203125" style="10" customWidth="1"/>
    <col min="21" max="21" width="19.1640625" style="10" customWidth="1"/>
    <col min="22" max="22" width="16.83203125" style="2" customWidth="1" outlineLevel="1"/>
    <col min="23" max="23" width="16.5" style="2" customWidth="1" outlineLevel="1"/>
    <col min="24" max="24" width="15" style="10" customWidth="1" outlineLevel="1"/>
    <col min="25" max="25" width="22" style="10" customWidth="1"/>
    <col min="26" max="26" width="21" style="2" customWidth="1"/>
    <col min="27" max="27" width="28.33203125" style="2" customWidth="1"/>
    <col min="28" max="28" width="72.5" style="2" customWidth="1"/>
    <col min="29" max="16384" width="9.1640625" style="2"/>
  </cols>
  <sheetData>
    <row r="1" spans="1:28" outlineLevel="1" x14ac:dyDescent="0.2"/>
    <row r="2" spans="1:28" ht="24.75" customHeight="1" outlineLevel="1" x14ac:dyDescent="0.2">
      <c r="B2" s="49"/>
      <c r="C2" s="8"/>
      <c r="D2" s="8"/>
      <c r="E2" s="24"/>
      <c r="F2" s="5"/>
      <c r="G2" s="5"/>
      <c r="H2" s="56" t="s">
        <v>984</v>
      </c>
      <c r="I2" s="56"/>
      <c r="J2" s="5"/>
      <c r="K2" s="5"/>
      <c r="L2" s="5"/>
      <c r="M2" s="5"/>
      <c r="N2" s="5"/>
      <c r="O2" s="5" t="s">
        <v>687</v>
      </c>
      <c r="P2" s="8"/>
      <c r="Q2" s="8"/>
      <c r="R2" s="14"/>
      <c r="S2" s="5"/>
      <c r="T2" s="8"/>
      <c r="U2" s="8"/>
      <c r="V2" s="5"/>
      <c r="W2" s="5"/>
      <c r="X2" s="8"/>
      <c r="Y2" s="8"/>
      <c r="Z2" s="5"/>
      <c r="AA2" s="5"/>
      <c r="AB2" s="5"/>
    </row>
    <row r="3" spans="1:28" ht="24" outlineLevel="1" x14ac:dyDescent="0.3">
      <c r="B3" s="49"/>
      <c r="C3" s="8"/>
      <c r="D3" s="29"/>
      <c r="E3" s="24"/>
      <c r="F3" s="5" t="s">
        <v>264</v>
      </c>
      <c r="G3" s="5" t="str">
        <f>Versioning!F29</f>
        <v>2.01</v>
      </c>
      <c r="H3" s="11" t="s">
        <v>265</v>
      </c>
      <c r="I3" s="11"/>
      <c r="J3" s="5"/>
      <c r="K3" s="5"/>
      <c r="L3" s="231" t="str">
        <f>Versioning!G6</f>
        <v>DIM-Infosphere</v>
      </c>
      <c r="M3" s="231"/>
      <c r="N3" s="41"/>
      <c r="O3" s="95" t="s">
        <v>113</v>
      </c>
      <c r="P3" s="8"/>
      <c r="Q3" s="8"/>
      <c r="R3" s="14"/>
      <c r="S3" s="5"/>
      <c r="T3" s="8"/>
      <c r="U3" s="8"/>
      <c r="V3" s="5"/>
      <c r="W3" s="5"/>
      <c r="X3" s="8"/>
      <c r="Y3" s="8"/>
      <c r="Z3" s="5"/>
      <c r="AA3" s="5"/>
      <c r="AB3" s="5"/>
    </row>
    <row r="4" spans="1:28" ht="16.5" customHeight="1" outlineLevel="1" x14ac:dyDescent="0.2">
      <c r="B4" s="49"/>
      <c r="C4" s="8"/>
      <c r="D4" s="8"/>
      <c r="E4" s="24"/>
      <c r="F4" s="5"/>
      <c r="G4" s="5"/>
      <c r="H4" s="33" t="s">
        <v>266</v>
      </c>
      <c r="I4" s="33"/>
      <c r="J4" s="5"/>
      <c r="K4" s="5"/>
      <c r="L4" s="41" t="s">
        <v>267</v>
      </c>
      <c r="M4" s="5"/>
      <c r="N4" s="41"/>
      <c r="O4" s="5"/>
      <c r="P4" s="8"/>
      <c r="Q4" s="8"/>
      <c r="R4" s="14"/>
      <c r="S4" s="5"/>
      <c r="T4" s="8"/>
      <c r="U4" s="8"/>
      <c r="V4" s="5"/>
      <c r="W4" s="5"/>
      <c r="X4" s="8"/>
      <c r="Y4" s="8"/>
      <c r="Z4" s="5"/>
      <c r="AA4" s="5"/>
      <c r="AB4" s="5"/>
    </row>
    <row r="5" spans="1:28" outlineLevel="1" x14ac:dyDescent="0.2">
      <c r="B5" s="238"/>
      <c r="C5" s="238"/>
      <c r="D5" s="238"/>
      <c r="E5" s="238"/>
      <c r="F5" s="238"/>
      <c r="J5" s="19"/>
      <c r="L5" s="19"/>
      <c r="M5" s="22"/>
      <c r="N5" s="22"/>
      <c r="O5" s="22"/>
      <c r="P5" s="22"/>
      <c r="Q5" s="2"/>
    </row>
    <row r="6" spans="1:28" ht="69" customHeight="1" x14ac:dyDescent="0.2">
      <c r="A6" s="87" t="s">
        <v>688</v>
      </c>
      <c r="B6" s="98" t="s">
        <v>145</v>
      </c>
      <c r="C6" s="27" t="s">
        <v>689</v>
      </c>
      <c r="D6" s="27" t="s">
        <v>270</v>
      </c>
      <c r="E6" s="92" t="s">
        <v>690</v>
      </c>
      <c r="F6" s="1" t="s">
        <v>604</v>
      </c>
      <c r="G6" s="40" t="s">
        <v>273</v>
      </c>
      <c r="H6" s="1" t="s">
        <v>691</v>
      </c>
      <c r="I6" s="1" t="s">
        <v>692</v>
      </c>
      <c r="J6" s="1" t="s">
        <v>693</v>
      </c>
      <c r="K6" s="91" t="s">
        <v>694</v>
      </c>
      <c r="L6" s="85" t="s">
        <v>985</v>
      </c>
      <c r="M6" s="84" t="s">
        <v>279</v>
      </c>
      <c r="N6" s="20" t="s">
        <v>696</v>
      </c>
      <c r="O6" s="20" t="s">
        <v>697</v>
      </c>
      <c r="P6" s="21" t="s">
        <v>280</v>
      </c>
      <c r="Q6" s="21" t="s">
        <v>281</v>
      </c>
      <c r="R6" s="87" t="s">
        <v>698</v>
      </c>
      <c r="S6" s="90" t="s">
        <v>283</v>
      </c>
      <c r="T6" s="92" t="s">
        <v>699</v>
      </c>
      <c r="U6" s="89" t="s">
        <v>700</v>
      </c>
      <c r="V6" s="1" t="s">
        <v>284</v>
      </c>
      <c r="W6" s="1" t="s">
        <v>285</v>
      </c>
      <c r="X6" s="27" t="s">
        <v>286</v>
      </c>
      <c r="Y6" s="73" t="s">
        <v>287</v>
      </c>
      <c r="Z6" s="93" t="s">
        <v>202</v>
      </c>
      <c r="AA6" s="93" t="s">
        <v>701</v>
      </c>
      <c r="AB6" s="78" t="s">
        <v>288</v>
      </c>
    </row>
    <row r="7" spans="1:28" ht="32" x14ac:dyDescent="0.2">
      <c r="A7" s="61" t="s">
        <v>605</v>
      </c>
      <c r="B7" s="54">
        <v>1</v>
      </c>
      <c r="C7" s="76" t="s">
        <v>205</v>
      </c>
      <c r="D7" s="76" t="s">
        <v>291</v>
      </c>
      <c r="E7" s="76" t="s">
        <v>1148</v>
      </c>
      <c r="F7" s="61" t="s">
        <v>292</v>
      </c>
      <c r="G7" s="133" t="s">
        <v>703</v>
      </c>
      <c r="H7" s="61" t="s">
        <v>295</v>
      </c>
      <c r="I7" s="61" t="s">
        <v>296</v>
      </c>
      <c r="J7" s="104" t="s">
        <v>705</v>
      </c>
      <c r="K7" s="61" t="s">
        <v>606</v>
      </c>
      <c r="L7" s="61" t="s">
        <v>986</v>
      </c>
      <c r="M7" s="104" t="s">
        <v>987</v>
      </c>
      <c r="N7" s="104" t="e">
        <f xml:space="preserve"> RetrieveZone( J7 )</f>
        <v>#VALUE!</v>
      </c>
      <c r="O7" s="104" t="str">
        <f t="shared" ref="O7:O34" si="0" xml:space="preserve"> RetrieveZone( M7 )</f>
        <v xml:space="preserve">PRIVCLOUD OTAP BO SEC-ZONE
</v>
      </c>
      <c r="P7" s="76" t="s">
        <v>300</v>
      </c>
      <c r="Q7" s="61"/>
      <c r="R7" s="76" t="s">
        <v>293</v>
      </c>
      <c r="S7" s="76" t="s">
        <v>301</v>
      </c>
      <c r="T7" s="76" t="s">
        <v>293</v>
      </c>
      <c r="U7" s="61"/>
      <c r="V7" s="61"/>
      <c r="W7" s="61"/>
      <c r="X7" s="76" t="s">
        <v>302</v>
      </c>
      <c r="Y7" s="76" t="s">
        <v>303</v>
      </c>
      <c r="Z7" s="61" t="s">
        <v>708</v>
      </c>
      <c r="AA7" s="61" t="s">
        <v>988</v>
      </c>
      <c r="AB7" s="61"/>
    </row>
    <row r="8" spans="1:28" ht="48" x14ac:dyDescent="0.2">
      <c r="A8" s="61" t="s">
        <v>609</v>
      </c>
      <c r="B8" s="54">
        <v>2</v>
      </c>
      <c r="C8" s="76" t="s">
        <v>400</v>
      </c>
      <c r="D8" s="76" t="s">
        <v>305</v>
      </c>
      <c r="E8" s="76" t="s">
        <v>1148</v>
      </c>
      <c r="F8" s="61" t="s">
        <v>292</v>
      </c>
      <c r="G8" s="133" t="s">
        <v>711</v>
      </c>
      <c r="H8" s="61" t="s">
        <v>295</v>
      </c>
      <c r="I8" s="61" t="s">
        <v>296</v>
      </c>
      <c r="J8" s="104" t="s">
        <v>705</v>
      </c>
      <c r="K8" s="61" t="s">
        <v>610</v>
      </c>
      <c r="L8" s="61" t="s">
        <v>989</v>
      </c>
      <c r="M8" s="104" t="s">
        <v>990</v>
      </c>
      <c r="N8" s="104" t="e">
        <f xml:space="preserve"> RetrieveZone( J8 )</f>
        <v>#VALUE!</v>
      </c>
      <c r="O8" s="104" t="str">
        <f t="shared" si="0"/>
        <v xml:space="preserve">PRIVCLOUD OTAP BO SEC-ZONE
</v>
      </c>
      <c r="P8" s="76" t="s">
        <v>300</v>
      </c>
      <c r="Q8" s="61"/>
      <c r="R8" s="76" t="s">
        <v>293</v>
      </c>
      <c r="S8" s="76" t="s">
        <v>310</v>
      </c>
      <c r="T8" s="76" t="s">
        <v>293</v>
      </c>
      <c r="U8" s="61"/>
      <c r="V8" s="61"/>
      <c r="W8" s="61"/>
      <c r="X8" s="76" t="s">
        <v>302</v>
      </c>
      <c r="Y8" s="76" t="s">
        <v>303</v>
      </c>
      <c r="Z8" s="61" t="s">
        <v>708</v>
      </c>
      <c r="AA8" s="61"/>
      <c r="AB8" s="61"/>
    </row>
    <row r="9" spans="1:28" ht="48" x14ac:dyDescent="0.2">
      <c r="A9" s="61" t="s">
        <v>613</v>
      </c>
      <c r="B9" s="54">
        <v>3</v>
      </c>
      <c r="C9" s="76" t="s">
        <v>205</v>
      </c>
      <c r="D9" s="76" t="s">
        <v>312</v>
      </c>
      <c r="E9" s="76" t="s">
        <v>1148</v>
      </c>
      <c r="F9" s="61" t="s">
        <v>991</v>
      </c>
      <c r="G9" s="133" t="s">
        <v>711</v>
      </c>
      <c r="H9" s="61" t="s">
        <v>614</v>
      </c>
      <c r="I9" s="61" t="s">
        <v>3240</v>
      </c>
      <c r="J9" s="104" t="s">
        <v>993</v>
      </c>
      <c r="K9" s="61" t="s">
        <v>610</v>
      </c>
      <c r="L9" s="61" t="s">
        <v>989</v>
      </c>
      <c r="M9" s="104" t="s">
        <v>990</v>
      </c>
      <c r="N9" s="104" t="str">
        <f xml:space="preserve"> RetrieveZone( J9 )</f>
        <v xml:space="preserve">PRIVCLOUD OTAP FO SEC-ZONE
PRIVCLOUD OTAP FO SEC-ZONE
</v>
      </c>
      <c r="O9" s="104" t="str">
        <f t="shared" si="0"/>
        <v xml:space="preserve">PRIVCLOUD OTAP BO SEC-ZONE
</v>
      </c>
      <c r="P9" s="76" t="s">
        <v>317</v>
      </c>
      <c r="Q9" s="61"/>
      <c r="R9" s="76" t="s">
        <v>293</v>
      </c>
      <c r="S9" s="76" t="s">
        <v>310</v>
      </c>
      <c r="T9" s="76" t="s">
        <v>293</v>
      </c>
      <c r="U9" s="61"/>
      <c r="V9" s="61"/>
      <c r="W9" s="61"/>
      <c r="X9" s="76" t="s">
        <v>302</v>
      </c>
      <c r="Y9" s="76" t="s">
        <v>575</v>
      </c>
      <c r="Z9" s="61" t="s">
        <v>319</v>
      </c>
      <c r="AA9" s="61" t="s">
        <v>988</v>
      </c>
      <c r="AB9" s="61"/>
    </row>
    <row r="10" spans="1:28" ht="128" x14ac:dyDescent="0.2">
      <c r="A10" s="61" t="s">
        <v>618</v>
      </c>
      <c r="B10" s="54">
        <v>4</v>
      </c>
      <c r="C10" s="76" t="s">
        <v>205</v>
      </c>
      <c r="D10" s="135" t="s">
        <v>833</v>
      </c>
      <c r="E10" s="76" t="s">
        <v>1148</v>
      </c>
      <c r="F10" s="61" t="s">
        <v>991</v>
      </c>
      <c r="G10" s="133" t="s">
        <v>921</v>
      </c>
      <c r="H10" s="61" t="s">
        <v>614</v>
      </c>
      <c r="I10" s="61" t="s">
        <v>992</v>
      </c>
      <c r="J10" s="104" t="s">
        <v>993</v>
      </c>
      <c r="K10" s="61" t="s">
        <v>619</v>
      </c>
      <c r="L10" s="61" t="s">
        <v>994</v>
      </c>
      <c r="M10" s="104" t="s">
        <v>995</v>
      </c>
      <c r="N10" s="104" t="str">
        <f t="shared" ref="N10:N16" si="1" xml:space="preserve"> RetrieveZone( J10 )</f>
        <v xml:space="preserve">PRIVCLOUD OTAP FO SEC-ZONE
PRIVCLOUD OTAP FO SEC-ZONE
</v>
      </c>
      <c r="O10" s="104" t="str">
        <f t="shared" si="0"/>
        <v>PRIVCLOUD OTAP BO SEC-ZONE
PRIVCLOUD OTAP BO SEC-ZONE
PRIVCLOUD OTAP BO SEC-ZONE
[** NO ZONE **]
[** NO ZONE **]
PRIVCLOUD OTAP BO SEC-ZONE
PRIVCLOUD OTAP BO SEC-ZONE
Check: inconsistent zones</v>
      </c>
      <c r="P10" s="76" t="s">
        <v>326</v>
      </c>
      <c r="Q10" s="61"/>
      <c r="R10" s="76" t="s">
        <v>293</v>
      </c>
      <c r="S10" s="76" t="s">
        <v>310</v>
      </c>
      <c r="T10" s="76" t="s">
        <v>293</v>
      </c>
      <c r="U10" s="61"/>
      <c r="V10" s="61"/>
      <c r="W10" s="61"/>
      <c r="X10" s="76" t="s">
        <v>302</v>
      </c>
      <c r="Y10" s="76" t="s">
        <v>575</v>
      </c>
      <c r="Z10" s="61" t="s">
        <v>327</v>
      </c>
      <c r="AA10" s="61" t="s">
        <v>988</v>
      </c>
      <c r="AB10" s="61"/>
    </row>
    <row r="11" spans="1:28" ht="48" x14ac:dyDescent="0.2">
      <c r="A11" s="61" t="s">
        <v>618</v>
      </c>
      <c r="B11" s="54" t="s">
        <v>719</v>
      </c>
      <c r="C11" s="76" t="s">
        <v>205</v>
      </c>
      <c r="D11" s="135" t="s">
        <v>996</v>
      </c>
      <c r="E11" s="76" t="s">
        <v>1148</v>
      </c>
      <c r="F11" s="61" t="s">
        <v>991</v>
      </c>
      <c r="G11" s="133" t="s">
        <v>840</v>
      </c>
      <c r="H11" s="61" t="s">
        <v>614</v>
      </c>
      <c r="I11" s="61" t="s">
        <v>992</v>
      </c>
      <c r="J11" s="104" t="s">
        <v>993</v>
      </c>
      <c r="K11" s="61" t="s">
        <v>619</v>
      </c>
      <c r="L11" s="61" t="s">
        <v>997</v>
      </c>
      <c r="M11" s="104" t="s">
        <v>998</v>
      </c>
      <c r="N11" s="104" t="str">
        <f t="shared" ref="N11" si="2" xml:space="preserve"> RetrieveZone( J11 )</f>
        <v xml:space="preserve">PRIVCLOUD OTAP FO SEC-ZONE
PRIVCLOUD OTAP FO SEC-ZONE
</v>
      </c>
      <c r="O11" s="104" t="str">
        <f t="shared" ref="O11" si="3" xml:space="preserve"> RetrieveZone( M11 )</f>
        <v>[** NO ZONE **]
Check: inconsistent zones</v>
      </c>
      <c r="P11" s="76" t="s">
        <v>352</v>
      </c>
      <c r="Q11" s="61">
        <v>1526</v>
      </c>
      <c r="R11" s="76" t="s">
        <v>293</v>
      </c>
      <c r="S11" s="76" t="s">
        <v>310</v>
      </c>
      <c r="T11" s="76" t="s">
        <v>293</v>
      </c>
      <c r="U11" s="61"/>
      <c r="V11" s="61"/>
      <c r="W11" s="61"/>
      <c r="X11" s="76" t="s">
        <v>302</v>
      </c>
      <c r="Y11" s="76" t="s">
        <v>575</v>
      </c>
      <c r="Z11" s="61"/>
      <c r="AA11" s="61" t="s">
        <v>725</v>
      </c>
      <c r="AB11" s="61" t="s">
        <v>843</v>
      </c>
    </row>
    <row r="12" spans="1:28" ht="48" x14ac:dyDescent="0.2">
      <c r="A12" s="61" t="s">
        <v>622</v>
      </c>
      <c r="B12" s="54">
        <v>5</v>
      </c>
      <c r="C12" s="76" t="s">
        <v>205</v>
      </c>
      <c r="D12" s="76" t="s">
        <v>329</v>
      </c>
      <c r="E12" s="76" t="s">
        <v>1148</v>
      </c>
      <c r="F12" s="61" t="s">
        <v>991</v>
      </c>
      <c r="G12" s="133" t="s">
        <v>727</v>
      </c>
      <c r="H12" s="61" t="s">
        <v>614</v>
      </c>
      <c r="I12" s="61" t="s">
        <v>992</v>
      </c>
      <c r="J12" s="104" t="s">
        <v>993</v>
      </c>
      <c r="K12" s="61" t="s">
        <v>623</v>
      </c>
      <c r="L12" s="61" t="s">
        <v>999</v>
      </c>
      <c r="M12" s="104" t="s">
        <v>1000</v>
      </c>
      <c r="N12" s="104" t="str">
        <f t="shared" si="1"/>
        <v xml:space="preserve">PRIVCLOUD OTAP FO SEC-ZONE
PRIVCLOUD OTAP FO SEC-ZONE
</v>
      </c>
      <c r="O12" s="104" t="str">
        <f t="shared" si="0"/>
        <v xml:space="preserve">PRIVCLOUD OTAP BO SEC-ZONE
</v>
      </c>
      <c r="P12" s="76" t="s">
        <v>334</v>
      </c>
      <c r="Q12" s="61">
        <v>31538</v>
      </c>
      <c r="R12" s="76" t="s">
        <v>293</v>
      </c>
      <c r="S12" s="76" t="s">
        <v>301</v>
      </c>
      <c r="T12" s="76" t="s">
        <v>293</v>
      </c>
      <c r="U12" s="61"/>
      <c r="V12" s="61"/>
      <c r="W12" s="61"/>
      <c r="X12" s="76" t="s">
        <v>302</v>
      </c>
      <c r="Y12" s="76" t="s">
        <v>575</v>
      </c>
      <c r="Z12" s="61" t="s">
        <v>708</v>
      </c>
      <c r="AA12" s="61" t="s">
        <v>988</v>
      </c>
      <c r="AB12" s="61"/>
    </row>
    <row r="13" spans="1:28" ht="48" x14ac:dyDescent="0.2">
      <c r="A13" s="61" t="s">
        <v>626</v>
      </c>
      <c r="B13" s="54">
        <v>6</v>
      </c>
      <c r="C13" s="76" t="s">
        <v>205</v>
      </c>
      <c r="D13" s="135" t="s">
        <v>846</v>
      </c>
      <c r="E13" s="76" t="s">
        <v>1148</v>
      </c>
      <c r="F13" s="61" t="s">
        <v>991</v>
      </c>
      <c r="G13" s="133" t="s">
        <v>931</v>
      </c>
      <c r="H13" s="61" t="s">
        <v>614</v>
      </c>
      <c r="I13" s="61" t="s">
        <v>992</v>
      </c>
      <c r="J13" s="104" t="s">
        <v>993</v>
      </c>
      <c r="K13" s="61" t="s">
        <v>627</v>
      </c>
      <c r="L13" s="61" t="s">
        <v>1001</v>
      </c>
      <c r="M13" s="104" t="s">
        <v>1002</v>
      </c>
      <c r="N13" s="104" t="str">
        <f t="shared" si="1"/>
        <v xml:space="preserve">PRIVCLOUD OTAP FO SEC-ZONE
PRIVCLOUD OTAP FO SEC-ZONE
</v>
      </c>
      <c r="O13" s="104" t="str">
        <f t="shared" si="0"/>
        <v xml:space="preserve">PRIVCLOUD OTAP BO SEC-ZONE
</v>
      </c>
      <c r="P13" s="76" t="s">
        <v>334</v>
      </c>
      <c r="Q13" s="61">
        <v>9443</v>
      </c>
      <c r="R13" s="76" t="s">
        <v>293</v>
      </c>
      <c r="S13" s="76" t="s">
        <v>301</v>
      </c>
      <c r="T13" s="76" t="s">
        <v>293</v>
      </c>
      <c r="U13" s="61"/>
      <c r="V13" s="61"/>
      <c r="W13" s="61"/>
      <c r="X13" s="76" t="s">
        <v>302</v>
      </c>
      <c r="Y13" s="76" t="s">
        <v>575</v>
      </c>
      <c r="Z13" s="61" t="s">
        <v>708</v>
      </c>
      <c r="AA13" s="61" t="s">
        <v>988</v>
      </c>
      <c r="AB13" s="61"/>
    </row>
    <row r="14" spans="1:28" ht="48" x14ac:dyDescent="0.2">
      <c r="A14" s="61" t="s">
        <v>630</v>
      </c>
      <c r="B14" s="54">
        <v>7</v>
      </c>
      <c r="C14" s="76" t="s">
        <v>205</v>
      </c>
      <c r="D14" s="135" t="s">
        <v>849</v>
      </c>
      <c r="E14" s="76" t="s">
        <v>1148</v>
      </c>
      <c r="F14" s="61" t="s">
        <v>991</v>
      </c>
      <c r="G14" s="133" t="s">
        <v>703</v>
      </c>
      <c r="H14" s="61" t="s">
        <v>614</v>
      </c>
      <c r="I14" s="61" t="s">
        <v>992</v>
      </c>
      <c r="J14" s="104" t="s">
        <v>993</v>
      </c>
      <c r="K14" s="61" t="s">
        <v>606</v>
      </c>
      <c r="L14" s="61" t="s">
        <v>986</v>
      </c>
      <c r="M14" s="104" t="s">
        <v>987</v>
      </c>
      <c r="N14" s="104" t="str">
        <f t="shared" si="1"/>
        <v xml:space="preserve">PRIVCLOUD OTAP FO SEC-ZONE
PRIVCLOUD OTAP FO SEC-ZONE
</v>
      </c>
      <c r="O14" s="104" t="str">
        <f t="shared" si="0"/>
        <v xml:space="preserve">PRIVCLOUD OTAP BO SEC-ZONE
</v>
      </c>
      <c r="P14" s="76" t="s">
        <v>334</v>
      </c>
      <c r="Q14" s="61">
        <v>443</v>
      </c>
      <c r="R14" s="76" t="s">
        <v>293</v>
      </c>
      <c r="S14" s="76" t="s">
        <v>301</v>
      </c>
      <c r="T14" s="76" t="s">
        <v>293</v>
      </c>
      <c r="U14" s="61"/>
      <c r="V14" s="61"/>
      <c r="W14" s="61"/>
      <c r="X14" s="76" t="s">
        <v>302</v>
      </c>
      <c r="Y14" s="76" t="s">
        <v>575</v>
      </c>
      <c r="Z14" s="61" t="s">
        <v>708</v>
      </c>
      <c r="AA14" s="61" t="s">
        <v>988</v>
      </c>
      <c r="AB14" s="61"/>
    </row>
    <row r="15" spans="1:28" ht="48" x14ac:dyDescent="0.2">
      <c r="A15" s="61" t="s">
        <v>631</v>
      </c>
      <c r="B15" s="54">
        <v>8</v>
      </c>
      <c r="C15" s="76" t="s">
        <v>205</v>
      </c>
      <c r="D15" s="135" t="s">
        <v>850</v>
      </c>
      <c r="E15" s="76" t="s">
        <v>1148</v>
      </c>
      <c r="F15" s="133" t="s">
        <v>851</v>
      </c>
      <c r="G15" s="133" t="s">
        <v>852</v>
      </c>
      <c r="H15" s="61" t="s">
        <v>623</v>
      </c>
      <c r="I15" s="61" t="s">
        <v>999</v>
      </c>
      <c r="J15" s="104" t="s">
        <v>1000</v>
      </c>
      <c r="K15" s="61" t="s">
        <v>610</v>
      </c>
      <c r="L15" s="61" t="s">
        <v>989</v>
      </c>
      <c r="M15" s="104" t="s">
        <v>990</v>
      </c>
      <c r="N15" s="104" t="str">
        <f t="shared" si="1"/>
        <v xml:space="preserve">PRIVCLOUD OTAP BO SEC-ZONE
</v>
      </c>
      <c r="O15" s="104" t="str">
        <f t="shared" si="0"/>
        <v xml:space="preserve">PRIVCLOUD OTAP BO SEC-ZONE
</v>
      </c>
      <c r="P15" s="76" t="s">
        <v>345</v>
      </c>
      <c r="Q15" s="61">
        <v>19443</v>
      </c>
      <c r="R15" s="76" t="s">
        <v>293</v>
      </c>
      <c r="S15" s="76" t="s">
        <v>310</v>
      </c>
      <c r="T15" s="76" t="s">
        <v>293</v>
      </c>
      <c r="U15" s="61"/>
      <c r="V15" s="61"/>
      <c r="W15" s="61"/>
      <c r="X15" s="76" t="s">
        <v>302</v>
      </c>
      <c r="Y15" s="76" t="s">
        <v>575</v>
      </c>
      <c r="Z15" s="61" t="s">
        <v>708</v>
      </c>
      <c r="AA15" s="61" t="s">
        <v>988</v>
      </c>
      <c r="AB15" s="61"/>
    </row>
    <row r="16" spans="1:28" ht="32" x14ac:dyDescent="0.2">
      <c r="A16" s="61" t="s">
        <v>632</v>
      </c>
      <c r="B16" s="54">
        <v>9</v>
      </c>
      <c r="C16" s="76" t="s">
        <v>205</v>
      </c>
      <c r="D16" s="135" t="s">
        <v>855</v>
      </c>
      <c r="E16" s="76" t="s">
        <v>1148</v>
      </c>
      <c r="F16" s="133" t="s">
        <v>733</v>
      </c>
      <c r="G16" s="133" t="s">
        <v>734</v>
      </c>
      <c r="H16" s="61" t="s">
        <v>610</v>
      </c>
      <c r="I16" s="61" t="s">
        <v>989</v>
      </c>
      <c r="J16" s="104" t="s">
        <v>990</v>
      </c>
      <c r="K16" s="61" t="s">
        <v>856</v>
      </c>
      <c r="L16" s="61" t="s">
        <v>997</v>
      </c>
      <c r="M16" s="104" t="s">
        <v>998</v>
      </c>
      <c r="N16" s="104" t="str">
        <f t="shared" si="1"/>
        <v xml:space="preserve">PRIVCLOUD OTAP BO SEC-ZONE
</v>
      </c>
      <c r="O16" s="104" t="str">
        <f t="shared" si="0"/>
        <v>[** NO ZONE **]
Check: inconsistent zones</v>
      </c>
      <c r="P16" s="76" t="s">
        <v>352</v>
      </c>
      <c r="Q16" s="61">
        <v>1526</v>
      </c>
      <c r="R16" s="76" t="s">
        <v>293</v>
      </c>
      <c r="S16" s="76" t="s">
        <v>301</v>
      </c>
      <c r="T16" s="76" t="s">
        <v>293</v>
      </c>
      <c r="U16" s="61"/>
      <c r="V16" s="61"/>
      <c r="W16" s="61"/>
      <c r="X16" s="76" t="s">
        <v>302</v>
      </c>
      <c r="Y16" s="76" t="s">
        <v>575</v>
      </c>
      <c r="Z16" s="61" t="s">
        <v>708</v>
      </c>
      <c r="AA16" s="61" t="s">
        <v>988</v>
      </c>
      <c r="AB16" s="61"/>
    </row>
    <row r="17" spans="1:28" ht="32" x14ac:dyDescent="0.2">
      <c r="A17" s="61" t="s">
        <v>637</v>
      </c>
      <c r="B17" s="54">
        <v>10</v>
      </c>
      <c r="C17" s="76" t="s">
        <v>205</v>
      </c>
      <c r="D17" s="76" t="s">
        <v>355</v>
      </c>
      <c r="E17" s="76" t="s">
        <v>1148</v>
      </c>
      <c r="F17" s="133" t="s">
        <v>737</v>
      </c>
      <c r="G17" s="133" t="s">
        <v>734</v>
      </c>
      <c r="H17" s="61" t="s">
        <v>623</v>
      </c>
      <c r="I17" s="61" t="s">
        <v>999</v>
      </c>
      <c r="J17" s="104" t="s">
        <v>1000</v>
      </c>
      <c r="K17" s="61" t="s">
        <v>856</v>
      </c>
      <c r="L17" s="61" t="s">
        <v>997</v>
      </c>
      <c r="M17" s="104" t="s">
        <v>998</v>
      </c>
      <c r="N17" s="104" t="str">
        <f xml:space="preserve"> RetrieveZone( J17 )</f>
        <v xml:space="preserve">PRIVCLOUD OTAP BO SEC-ZONE
</v>
      </c>
      <c r="O17" s="104" t="str">
        <f t="shared" si="0"/>
        <v>[** NO ZONE **]
Check: inconsistent zones</v>
      </c>
      <c r="P17" s="76" t="s">
        <v>352</v>
      </c>
      <c r="Q17" s="61">
        <v>1526</v>
      </c>
      <c r="R17" s="76" t="s">
        <v>293</v>
      </c>
      <c r="S17" s="76" t="s">
        <v>301</v>
      </c>
      <c r="T17" s="76" t="s">
        <v>293</v>
      </c>
      <c r="U17" s="61"/>
      <c r="V17" s="61"/>
      <c r="W17" s="61"/>
      <c r="X17" s="76" t="s">
        <v>302</v>
      </c>
      <c r="Y17" s="76" t="s">
        <v>575</v>
      </c>
      <c r="Z17" s="61" t="s">
        <v>708</v>
      </c>
      <c r="AA17" s="61" t="s">
        <v>988</v>
      </c>
      <c r="AB17" s="61"/>
    </row>
    <row r="18" spans="1:28" ht="64" x14ac:dyDescent="0.2">
      <c r="A18" s="61" t="s">
        <v>638</v>
      </c>
      <c r="B18" s="54">
        <v>11</v>
      </c>
      <c r="C18" s="76" t="s">
        <v>205</v>
      </c>
      <c r="D18" s="76" t="s">
        <v>358</v>
      </c>
      <c r="E18" s="76" t="s">
        <v>1148</v>
      </c>
      <c r="F18" s="203" t="s">
        <v>1003</v>
      </c>
      <c r="G18" s="203" t="s">
        <v>739</v>
      </c>
      <c r="H18" s="61" t="s">
        <v>1004</v>
      </c>
      <c r="I18" s="61" t="s">
        <v>1005</v>
      </c>
      <c r="J18" s="104" t="s">
        <v>1006</v>
      </c>
      <c r="K18" s="197" t="s">
        <v>1007</v>
      </c>
      <c r="L18" s="61" t="s">
        <v>945</v>
      </c>
      <c r="M18" s="104" t="s">
        <v>946</v>
      </c>
      <c r="N18" s="104" t="str">
        <f t="shared" ref="N18:N34" si="4" xml:space="preserve"> RetrieveZone( J18 )</f>
        <v>[** NO ZONE **]
PRIVCLOUD OTAP BO SEC-ZONE
Check: inconsistent zones</v>
      </c>
      <c r="O18" s="104" t="str">
        <f t="shared" si="0"/>
        <v xml:space="preserve">PRIVCLOUD OTAP BO SEC-ZONE
PRIVCLOUD OTAP BO SEC-ZONE
</v>
      </c>
      <c r="P18" s="76" t="s">
        <v>359</v>
      </c>
      <c r="Q18" s="61" t="s">
        <v>360</v>
      </c>
      <c r="R18" s="76" t="s">
        <v>293</v>
      </c>
      <c r="S18" s="76" t="s">
        <v>301</v>
      </c>
      <c r="T18" s="76" t="s">
        <v>293</v>
      </c>
      <c r="U18" s="61"/>
      <c r="V18" s="61"/>
      <c r="W18" s="61"/>
      <c r="X18" s="76" t="s">
        <v>302</v>
      </c>
      <c r="Y18" s="76" t="s">
        <v>575</v>
      </c>
      <c r="Z18" s="61" t="s">
        <v>708</v>
      </c>
      <c r="AA18" s="61" t="s">
        <v>988</v>
      </c>
      <c r="AB18" s="61"/>
    </row>
    <row r="19" spans="1:28" ht="112" x14ac:dyDescent="0.2">
      <c r="A19" s="175" t="s">
        <v>639</v>
      </c>
      <c r="B19" s="54">
        <v>12</v>
      </c>
      <c r="C19" s="76" t="s">
        <v>205</v>
      </c>
      <c r="D19" s="76" t="s">
        <v>554</v>
      </c>
      <c r="E19" s="76" t="s">
        <v>1148</v>
      </c>
      <c r="F19" s="133" t="s">
        <v>741</v>
      </c>
      <c r="G19" s="61" t="s">
        <v>742</v>
      </c>
      <c r="H19" s="61" t="s">
        <v>623</v>
      </c>
      <c r="I19" s="61" t="s">
        <v>999</v>
      </c>
      <c r="J19" s="104" t="s">
        <v>1000</v>
      </c>
      <c r="K19" s="61" t="s">
        <v>640</v>
      </c>
      <c r="L19" s="61" t="s">
        <v>1008</v>
      </c>
      <c r="M19" s="104" t="s">
        <v>1009</v>
      </c>
      <c r="N19" s="104" t="str">
        <f t="shared" si="4"/>
        <v xml:space="preserve">PRIVCLOUD OTAP BO SEC-ZONE
</v>
      </c>
      <c r="O19" s="104" t="str">
        <f t="shared" si="0"/>
        <v xml:space="preserve">PRIVCLOUD OTAP BO SEC-ZONE
</v>
      </c>
      <c r="P19" s="76" t="s">
        <v>559</v>
      </c>
      <c r="Q19" s="61"/>
      <c r="R19" s="76" t="s">
        <v>560</v>
      </c>
      <c r="S19" s="76" t="s">
        <v>301</v>
      </c>
      <c r="T19" s="76" t="s">
        <v>293</v>
      </c>
      <c r="U19" s="61"/>
      <c r="V19" s="61"/>
      <c r="W19" s="61"/>
      <c r="X19" s="76" t="s">
        <v>302</v>
      </c>
      <c r="Y19" s="76" t="s">
        <v>575</v>
      </c>
      <c r="Z19" s="61" t="s">
        <v>708</v>
      </c>
      <c r="AA19" s="61" t="s">
        <v>1010</v>
      </c>
      <c r="AB19" s="61"/>
    </row>
    <row r="20" spans="1:28" ht="112" x14ac:dyDescent="0.2">
      <c r="A20" s="61" t="s">
        <v>643</v>
      </c>
      <c r="B20" s="54">
        <v>13</v>
      </c>
      <c r="C20" s="76" t="s">
        <v>1011</v>
      </c>
      <c r="D20" s="76" t="s">
        <v>563</v>
      </c>
      <c r="E20" s="76" t="s">
        <v>710</v>
      </c>
      <c r="F20" s="61" t="s">
        <v>742</v>
      </c>
      <c r="G20" s="133" t="s">
        <v>727</v>
      </c>
      <c r="H20" s="61" t="s">
        <v>1012</v>
      </c>
      <c r="I20" s="175" t="s">
        <v>645</v>
      </c>
      <c r="J20" s="104" t="s">
        <v>646</v>
      </c>
      <c r="K20" s="61" t="s">
        <v>623</v>
      </c>
      <c r="L20" s="61" t="s">
        <v>999</v>
      </c>
      <c r="M20" s="104" t="s">
        <v>1000</v>
      </c>
      <c r="N20" s="104" t="str">
        <f t="shared" si="4"/>
        <v xml:space="preserve">IBM Productie Secure Zone
IBM Productie Secure Zone
</v>
      </c>
      <c r="O20" s="104" t="str">
        <f t="shared" si="0"/>
        <v xml:space="preserve">PRIVCLOUD OTAP BO SEC-ZONE
</v>
      </c>
      <c r="P20" s="76" t="s">
        <v>559</v>
      </c>
      <c r="Q20" s="61"/>
      <c r="R20" s="76" t="s">
        <v>560</v>
      </c>
      <c r="S20" s="76" t="s">
        <v>301</v>
      </c>
      <c r="T20" s="76" t="s">
        <v>293</v>
      </c>
      <c r="U20" s="61"/>
      <c r="V20" s="61"/>
      <c r="W20" s="61"/>
      <c r="X20" s="76" t="s">
        <v>302</v>
      </c>
      <c r="Y20" s="76" t="s">
        <v>575</v>
      </c>
      <c r="Z20" s="61" t="s">
        <v>567</v>
      </c>
      <c r="AA20" s="61"/>
      <c r="AB20" s="61"/>
    </row>
    <row r="21" spans="1:28" ht="112" x14ac:dyDescent="0.2">
      <c r="A21" s="61" t="s">
        <v>643</v>
      </c>
      <c r="B21" s="54" t="s">
        <v>371</v>
      </c>
      <c r="C21" s="76" t="s">
        <v>205</v>
      </c>
      <c r="D21" s="76" t="s">
        <v>563</v>
      </c>
      <c r="E21" s="76" t="s">
        <v>1148</v>
      </c>
      <c r="F21" s="61" t="s">
        <v>742</v>
      </c>
      <c r="G21" s="133" t="s">
        <v>727</v>
      </c>
      <c r="H21" s="61" t="s">
        <v>1013</v>
      </c>
      <c r="I21" s="176" t="s">
        <v>1014</v>
      </c>
      <c r="J21" s="104" t="s">
        <v>1015</v>
      </c>
      <c r="K21" s="61" t="s">
        <v>623</v>
      </c>
      <c r="L21" s="61" t="s">
        <v>999</v>
      </c>
      <c r="M21" s="104" t="s">
        <v>1000</v>
      </c>
      <c r="N21" s="104" t="str">
        <f t="shared" ref="N21" si="5" xml:space="preserve"> RetrieveZone( J21 )</f>
        <v xml:space="preserve">PRIVCLOUD OTAP BO SEC-ZONE
</v>
      </c>
      <c r="O21" s="104" t="str">
        <f t="shared" ref="O21" si="6" xml:space="preserve"> RetrieveZone( M21 )</f>
        <v xml:space="preserve">PRIVCLOUD OTAP BO SEC-ZONE
</v>
      </c>
      <c r="P21" s="76" t="s">
        <v>559</v>
      </c>
      <c r="Q21" s="61"/>
      <c r="R21" s="76" t="s">
        <v>560</v>
      </c>
      <c r="S21" s="76" t="s">
        <v>301</v>
      </c>
      <c r="T21" s="76" t="s">
        <v>293</v>
      </c>
      <c r="U21" s="61"/>
      <c r="V21" s="61"/>
      <c r="W21" s="61"/>
      <c r="X21" s="76" t="s">
        <v>302</v>
      </c>
      <c r="Y21" s="76" t="s">
        <v>575</v>
      </c>
      <c r="Z21" s="61" t="s">
        <v>567</v>
      </c>
      <c r="AA21" s="61" t="s">
        <v>1016</v>
      </c>
      <c r="AB21" s="61"/>
    </row>
    <row r="22" spans="1:28" ht="32" x14ac:dyDescent="0.2">
      <c r="A22" s="61" t="s">
        <v>647</v>
      </c>
      <c r="B22" s="54">
        <v>14</v>
      </c>
      <c r="C22" s="76" t="s">
        <v>400</v>
      </c>
      <c r="D22" s="76" t="s">
        <v>369</v>
      </c>
      <c r="E22" s="76" t="s">
        <v>710</v>
      </c>
      <c r="F22" s="61" t="s">
        <v>330</v>
      </c>
      <c r="G22" s="61"/>
      <c r="H22" s="61"/>
      <c r="I22" s="61"/>
      <c r="J22" s="104" t="s">
        <v>865</v>
      </c>
      <c r="K22" s="61"/>
      <c r="L22" s="61"/>
      <c r="M22" s="104" t="s">
        <v>865</v>
      </c>
      <c r="N22" s="104" t="str">
        <f t="shared" si="4"/>
        <v>[** NO ZONE **]</v>
      </c>
      <c r="O22" s="104" t="str">
        <f t="shared" si="0"/>
        <v>[** NO ZONE **]</v>
      </c>
      <c r="P22" s="76"/>
      <c r="Q22" s="61"/>
      <c r="R22" s="76"/>
      <c r="S22" s="76"/>
      <c r="T22" s="76" t="s">
        <v>293</v>
      </c>
      <c r="U22" s="61"/>
      <c r="V22" s="61"/>
      <c r="W22" s="61"/>
      <c r="X22" s="76"/>
      <c r="Y22" s="76" t="s">
        <v>400</v>
      </c>
      <c r="Z22" s="61" t="s">
        <v>708</v>
      </c>
      <c r="AA22" s="61"/>
      <c r="AB22" s="61"/>
    </row>
    <row r="23" spans="1:28" ht="64" x14ac:dyDescent="0.2">
      <c r="A23" s="61" t="s">
        <v>648</v>
      </c>
      <c r="B23" s="54">
        <v>15</v>
      </c>
      <c r="C23" s="76" t="s">
        <v>205</v>
      </c>
      <c r="D23" s="76" t="s">
        <v>570</v>
      </c>
      <c r="E23" s="76" t="s">
        <v>1148</v>
      </c>
      <c r="F23" s="133" t="s">
        <v>737</v>
      </c>
      <c r="G23" s="61" t="s">
        <v>571</v>
      </c>
      <c r="H23" s="61" t="s">
        <v>623</v>
      </c>
      <c r="I23" s="61" t="s">
        <v>999</v>
      </c>
      <c r="J23" s="104" t="s">
        <v>1000</v>
      </c>
      <c r="K23" s="61" t="s">
        <v>649</v>
      </c>
      <c r="L23" s="61" t="s">
        <v>649</v>
      </c>
      <c r="M23" s="104" t="s">
        <v>650</v>
      </c>
      <c r="N23" s="104" t="e">
        <f ca="1" xml:space="preserve"> M23RetrieveZone( J23 )</f>
        <v>#NAME?</v>
      </c>
      <c r="O23" s="104" t="str">
        <f t="shared" si="0"/>
        <v xml:space="preserve">P-FrontOffice_SEC-ZONE
P-FrontOffice_SEC-ZONE
P-FrontOffice_SEC-ZONE
</v>
      </c>
      <c r="P23" s="76" t="s">
        <v>334</v>
      </c>
      <c r="Q23" s="61" t="s">
        <v>574</v>
      </c>
      <c r="R23" s="76" t="s">
        <v>293</v>
      </c>
      <c r="S23" s="76" t="s">
        <v>400</v>
      </c>
      <c r="T23" s="76" t="s">
        <v>293</v>
      </c>
      <c r="U23" s="61"/>
      <c r="V23" s="61"/>
      <c r="W23" s="61"/>
      <c r="X23" s="76" t="s">
        <v>302</v>
      </c>
      <c r="Y23" s="76" t="s">
        <v>575</v>
      </c>
      <c r="Z23" s="61" t="s">
        <v>708</v>
      </c>
      <c r="AA23" s="61" t="s">
        <v>988</v>
      </c>
      <c r="AB23" s="61"/>
    </row>
    <row r="24" spans="1:28" ht="48" x14ac:dyDescent="0.2">
      <c r="A24" s="61" t="s">
        <v>651</v>
      </c>
      <c r="B24" s="54">
        <v>16</v>
      </c>
      <c r="C24" s="76" t="s">
        <v>205</v>
      </c>
      <c r="D24" s="76" t="s">
        <v>577</v>
      </c>
      <c r="E24" s="76" t="s">
        <v>1148</v>
      </c>
      <c r="F24" s="61" t="s">
        <v>571</v>
      </c>
      <c r="G24" s="133" t="s">
        <v>737</v>
      </c>
      <c r="H24" s="61" t="s">
        <v>649</v>
      </c>
      <c r="I24" s="61" t="s">
        <v>649</v>
      </c>
      <c r="J24" s="104" t="s">
        <v>652</v>
      </c>
      <c r="K24" s="61" t="s">
        <v>623</v>
      </c>
      <c r="L24" s="61" t="s">
        <v>999</v>
      </c>
      <c r="M24" s="104" t="s">
        <v>1000</v>
      </c>
      <c r="N24" s="104" t="str">
        <f t="shared" si="4"/>
        <v xml:space="preserve">P-FrontOffice_SEC-ZONE
P-FrontOffice_SEC-ZONE
</v>
      </c>
      <c r="O24" s="104" t="str">
        <f t="shared" si="0"/>
        <v xml:space="preserve">PRIVCLOUD OTAP BO SEC-ZONE
</v>
      </c>
      <c r="P24" s="76" t="s">
        <v>334</v>
      </c>
      <c r="Q24" s="61" t="s">
        <v>3241</v>
      </c>
      <c r="R24" s="76" t="s">
        <v>293</v>
      </c>
      <c r="S24" s="76" t="s">
        <v>400</v>
      </c>
      <c r="T24" s="76" t="s">
        <v>293</v>
      </c>
      <c r="U24" s="61"/>
      <c r="V24" s="61"/>
      <c r="W24" s="61"/>
      <c r="X24" s="76" t="s">
        <v>302</v>
      </c>
      <c r="Y24" s="76" t="s">
        <v>575</v>
      </c>
      <c r="Z24" s="61" t="s">
        <v>708</v>
      </c>
      <c r="AA24" s="61" t="s">
        <v>988</v>
      </c>
      <c r="AB24" s="61"/>
    </row>
    <row r="25" spans="1:28" ht="32" x14ac:dyDescent="0.2">
      <c r="A25" s="61" t="s">
        <v>653</v>
      </c>
      <c r="B25" s="54">
        <v>17</v>
      </c>
      <c r="C25" s="76" t="s">
        <v>400</v>
      </c>
      <c r="D25" s="76" t="s">
        <v>579</v>
      </c>
      <c r="E25" s="76" t="s">
        <v>710</v>
      </c>
      <c r="F25" s="133" t="s">
        <v>737</v>
      </c>
      <c r="G25" s="61"/>
      <c r="H25" s="61"/>
      <c r="I25" s="61"/>
      <c r="J25" s="104" t="s">
        <v>865</v>
      </c>
      <c r="K25" s="61"/>
      <c r="L25" s="61"/>
      <c r="M25" s="104" t="s">
        <v>865</v>
      </c>
      <c r="N25" s="104" t="str">
        <f t="shared" si="4"/>
        <v>[** NO ZONE **]</v>
      </c>
      <c r="O25" s="104" t="str">
        <f t="shared" si="0"/>
        <v>[** NO ZONE **]</v>
      </c>
      <c r="P25" s="76"/>
      <c r="Q25" s="61"/>
      <c r="R25" s="76"/>
      <c r="S25" s="76"/>
      <c r="T25" s="76" t="s">
        <v>293</v>
      </c>
      <c r="U25" s="61"/>
      <c r="V25" s="61"/>
      <c r="W25" s="61"/>
      <c r="X25" s="76"/>
      <c r="Y25" s="76" t="s">
        <v>575</v>
      </c>
      <c r="Z25" s="61" t="s">
        <v>708</v>
      </c>
      <c r="AA25" s="61"/>
      <c r="AB25" s="61"/>
    </row>
    <row r="26" spans="1:28" ht="32" x14ac:dyDescent="0.2">
      <c r="A26" s="61" t="s">
        <v>654</v>
      </c>
      <c r="B26" s="54">
        <v>18</v>
      </c>
      <c r="C26" s="76" t="s">
        <v>205</v>
      </c>
      <c r="D26" s="76" t="s">
        <v>379</v>
      </c>
      <c r="E26" s="76" t="s">
        <v>1164</v>
      </c>
      <c r="F26" s="133" t="s">
        <v>737</v>
      </c>
      <c r="G26" s="61" t="s">
        <v>380</v>
      </c>
      <c r="H26" s="61" t="s">
        <v>623</v>
      </c>
      <c r="I26" s="61" t="s">
        <v>999</v>
      </c>
      <c r="J26" s="104" t="s">
        <v>1000</v>
      </c>
      <c r="K26" s="61" t="s">
        <v>381</v>
      </c>
      <c r="L26" s="61" t="s">
        <v>382</v>
      </c>
      <c r="M26" s="104" t="s">
        <v>865</v>
      </c>
      <c r="N26" s="104" t="str">
        <f t="shared" si="4"/>
        <v xml:space="preserve">PRIVCLOUD OTAP BO SEC-ZONE
</v>
      </c>
      <c r="O26" s="104" t="str">
        <f t="shared" si="0"/>
        <v>[** NO ZONE **]</v>
      </c>
      <c r="P26" s="76" t="s">
        <v>383</v>
      </c>
      <c r="Q26" s="61"/>
      <c r="R26" s="76" t="s">
        <v>293</v>
      </c>
      <c r="S26" s="76" t="s">
        <v>301</v>
      </c>
      <c r="T26" s="76" t="s">
        <v>293</v>
      </c>
      <c r="U26" s="61"/>
      <c r="V26" s="61"/>
      <c r="W26" s="61"/>
      <c r="X26" s="76" t="s">
        <v>302</v>
      </c>
      <c r="Y26" s="76" t="s">
        <v>303</v>
      </c>
      <c r="Z26" s="61" t="s">
        <v>708</v>
      </c>
      <c r="AA26" s="61" t="s">
        <v>1017</v>
      </c>
      <c r="AB26" s="61"/>
    </row>
    <row r="27" spans="1:28" ht="32" x14ac:dyDescent="0.2">
      <c r="A27" s="61" t="s">
        <v>655</v>
      </c>
      <c r="B27" s="54">
        <v>19</v>
      </c>
      <c r="C27" s="76" t="s">
        <v>400</v>
      </c>
      <c r="D27" s="76" t="s">
        <v>385</v>
      </c>
      <c r="E27" s="76" t="s">
        <v>710</v>
      </c>
      <c r="F27" s="61" t="s">
        <v>364</v>
      </c>
      <c r="G27" s="61" t="s">
        <v>364</v>
      </c>
      <c r="H27" s="61"/>
      <c r="I27" s="61"/>
      <c r="J27" s="104" t="s">
        <v>865</v>
      </c>
      <c r="K27" s="61"/>
      <c r="L27" s="61"/>
      <c r="M27" s="104" t="s">
        <v>865</v>
      </c>
      <c r="N27" s="104" t="str">
        <f t="shared" si="4"/>
        <v>[** NO ZONE **]</v>
      </c>
      <c r="O27" s="104" t="str">
        <f t="shared" si="0"/>
        <v>[** NO ZONE **]</v>
      </c>
      <c r="P27" s="76"/>
      <c r="Q27" s="61"/>
      <c r="R27" s="76"/>
      <c r="S27" s="76"/>
      <c r="T27" s="76" t="s">
        <v>293</v>
      </c>
      <c r="U27" s="61"/>
      <c r="V27" s="61"/>
      <c r="W27" s="61"/>
      <c r="X27" s="76" t="s">
        <v>302</v>
      </c>
      <c r="Y27" s="76" t="s">
        <v>400</v>
      </c>
      <c r="Z27" s="61" t="s">
        <v>708</v>
      </c>
      <c r="AA27" s="61"/>
      <c r="AB27" s="61"/>
    </row>
    <row r="28" spans="1:28" ht="80" x14ac:dyDescent="0.2">
      <c r="A28" s="61" t="s">
        <v>657</v>
      </c>
      <c r="B28" s="54">
        <v>20</v>
      </c>
      <c r="C28" s="76" t="s">
        <v>205</v>
      </c>
      <c r="D28" s="76" t="s">
        <v>393</v>
      </c>
      <c r="E28" s="76" t="s">
        <v>1164</v>
      </c>
      <c r="F28" s="133" t="s">
        <v>745</v>
      </c>
      <c r="G28" s="61" t="s">
        <v>395</v>
      </c>
      <c r="H28" s="61" t="s">
        <v>627</v>
      </c>
      <c r="I28" s="61" t="s">
        <v>1001</v>
      </c>
      <c r="J28" s="104" t="s">
        <v>1002</v>
      </c>
      <c r="K28" s="61"/>
      <c r="L28" s="61" t="s">
        <v>396</v>
      </c>
      <c r="M28" s="104" t="s">
        <v>1018</v>
      </c>
      <c r="N28" s="104" t="str">
        <f t="shared" si="4"/>
        <v xml:space="preserve">PRIVCLOUD OTAP BO SEC-ZONE
</v>
      </c>
      <c r="O28" s="104" t="str">
        <f t="shared" si="0"/>
        <v>[** NO ZONE **]
[** NO ZONE **]
[** NO ZONE **]
[** NO ZONE **]
Check: inconsistent zones</v>
      </c>
      <c r="P28" s="76" t="s">
        <v>397</v>
      </c>
      <c r="Q28" s="61"/>
      <c r="R28" s="76" t="s">
        <v>293</v>
      </c>
      <c r="S28" s="76" t="s">
        <v>391</v>
      </c>
      <c r="T28" s="76" t="s">
        <v>293</v>
      </c>
      <c r="U28" s="61"/>
      <c r="V28" s="61"/>
      <c r="W28" s="61"/>
      <c r="X28" s="76" t="s">
        <v>302</v>
      </c>
      <c r="Y28" s="76" t="s">
        <v>303</v>
      </c>
      <c r="Z28" s="61" t="s">
        <v>708</v>
      </c>
      <c r="AA28" s="61" t="s">
        <v>1019</v>
      </c>
      <c r="AB28" s="61"/>
    </row>
    <row r="29" spans="1:28" ht="80" x14ac:dyDescent="0.2">
      <c r="A29" s="61" t="s">
        <v>657</v>
      </c>
      <c r="B29" s="54" t="s">
        <v>748</v>
      </c>
      <c r="C29" s="76" t="s">
        <v>205</v>
      </c>
      <c r="D29" s="76" t="s">
        <v>393</v>
      </c>
      <c r="E29" s="76" t="s">
        <v>743</v>
      </c>
      <c r="F29" s="133" t="s">
        <v>745</v>
      </c>
      <c r="G29" s="61" t="s">
        <v>395</v>
      </c>
      <c r="H29" s="61" t="s">
        <v>627</v>
      </c>
      <c r="I29" s="61" t="s">
        <v>1001</v>
      </c>
      <c r="J29" s="104" t="s">
        <v>1002</v>
      </c>
      <c r="K29" s="61"/>
      <c r="L29" s="61" t="s">
        <v>396</v>
      </c>
      <c r="M29" s="104" t="s">
        <v>1018</v>
      </c>
      <c r="N29" s="104" t="str">
        <f t="shared" ref="N29:N30" si="7" xml:space="preserve"> RetrieveZone( J29 )</f>
        <v xml:space="preserve">PRIVCLOUD OTAP BO SEC-ZONE
</v>
      </c>
      <c r="O29" s="104" t="str">
        <f t="shared" ref="O29:O30" si="8" xml:space="preserve"> RetrieveZone( M29 )</f>
        <v>[** NO ZONE **]
[** NO ZONE **]
[** NO ZONE **]
[** NO ZONE **]
Check: inconsistent zones</v>
      </c>
      <c r="P29" s="76" t="s">
        <v>345</v>
      </c>
      <c r="Q29" s="61" t="s">
        <v>874</v>
      </c>
      <c r="R29" s="76" t="s">
        <v>293</v>
      </c>
      <c r="S29" s="76" t="s">
        <v>391</v>
      </c>
      <c r="T29" s="76" t="s">
        <v>293</v>
      </c>
      <c r="U29" s="61"/>
      <c r="V29" s="61"/>
      <c r="W29" s="61"/>
      <c r="X29" s="76" t="s">
        <v>302</v>
      </c>
      <c r="Y29" s="76" t="s">
        <v>303</v>
      </c>
      <c r="Z29" s="61" t="s">
        <v>708</v>
      </c>
      <c r="AA29" s="61" t="s">
        <v>1020</v>
      </c>
      <c r="AB29" s="61"/>
    </row>
    <row r="30" spans="1:28" ht="80" x14ac:dyDescent="0.2">
      <c r="A30" s="61" t="s">
        <v>657</v>
      </c>
      <c r="B30" s="54" t="s">
        <v>751</v>
      </c>
      <c r="C30" s="76" t="s">
        <v>205</v>
      </c>
      <c r="D30" s="76" t="s">
        <v>752</v>
      </c>
      <c r="E30" s="76" t="s">
        <v>743</v>
      </c>
      <c r="F30" s="133" t="s">
        <v>753</v>
      </c>
      <c r="G30" s="61" t="s">
        <v>395</v>
      </c>
      <c r="H30" s="61" t="s">
        <v>877</v>
      </c>
      <c r="I30" s="61" t="s">
        <v>997</v>
      </c>
      <c r="J30" s="104" t="s">
        <v>998</v>
      </c>
      <c r="K30" s="61"/>
      <c r="L30" s="61" t="s">
        <v>396</v>
      </c>
      <c r="M30" s="104" t="s">
        <v>1018</v>
      </c>
      <c r="N30" s="104" t="str">
        <f t="shared" si="7"/>
        <v>[** NO ZONE **]
Check: inconsistent zones</v>
      </c>
      <c r="O30" s="104" t="str">
        <f t="shared" si="8"/>
        <v>[** NO ZONE **]
[** NO ZONE **]
[** NO ZONE **]
[** NO ZONE **]
Check: inconsistent zones</v>
      </c>
      <c r="P30" s="76" t="s">
        <v>345</v>
      </c>
      <c r="Q30" s="61" t="s">
        <v>756</v>
      </c>
      <c r="R30" s="76" t="s">
        <v>293</v>
      </c>
      <c r="S30" s="76" t="s">
        <v>391</v>
      </c>
      <c r="T30" s="76" t="s">
        <v>293</v>
      </c>
      <c r="U30" s="61"/>
      <c r="V30" s="61"/>
      <c r="W30" s="61"/>
      <c r="X30" s="76" t="s">
        <v>302</v>
      </c>
      <c r="Y30" s="76" t="s">
        <v>303</v>
      </c>
      <c r="Z30" s="61" t="s">
        <v>708</v>
      </c>
      <c r="AA30" s="61" t="s">
        <v>1021</v>
      </c>
      <c r="AB30" s="61"/>
    </row>
    <row r="31" spans="1:28" ht="49.5" customHeight="1" x14ac:dyDescent="0.2">
      <c r="A31" s="61" t="s">
        <v>658</v>
      </c>
      <c r="B31" s="54">
        <v>21</v>
      </c>
      <c r="C31" s="76" t="s">
        <v>205</v>
      </c>
      <c r="D31" s="76" t="s">
        <v>399</v>
      </c>
      <c r="E31" s="76" t="s">
        <v>1148</v>
      </c>
      <c r="F31" s="133" t="s">
        <v>745</v>
      </c>
      <c r="G31" s="133" t="s">
        <v>703</v>
      </c>
      <c r="H31" s="61" t="s">
        <v>627</v>
      </c>
      <c r="I31" s="61" t="s">
        <v>1001</v>
      </c>
      <c r="J31" s="104" t="s">
        <v>1002</v>
      </c>
      <c r="K31" s="61" t="s">
        <v>606</v>
      </c>
      <c r="L31" s="61" t="s">
        <v>986</v>
      </c>
      <c r="M31" s="104" t="s">
        <v>987</v>
      </c>
      <c r="N31" s="104" t="str">
        <f t="shared" si="4"/>
        <v xml:space="preserve">PRIVCLOUD OTAP BO SEC-ZONE
</v>
      </c>
      <c r="O31" s="104" t="str">
        <f t="shared" si="0"/>
        <v xml:space="preserve">PRIVCLOUD OTAP BO SEC-ZONE
</v>
      </c>
      <c r="P31" s="76" t="s">
        <v>345</v>
      </c>
      <c r="Q31" s="61">
        <v>2181</v>
      </c>
      <c r="R31" s="76" t="s">
        <v>293</v>
      </c>
      <c r="S31" s="76" t="s">
        <v>400</v>
      </c>
      <c r="T31" s="76" t="s">
        <v>293</v>
      </c>
      <c r="U31" s="61"/>
      <c r="V31" s="61"/>
      <c r="W31" s="61"/>
      <c r="X31" s="76" t="s">
        <v>302</v>
      </c>
      <c r="Y31" s="76" t="s">
        <v>575</v>
      </c>
      <c r="Z31" s="61" t="s">
        <v>708</v>
      </c>
      <c r="AA31" s="61" t="s">
        <v>988</v>
      </c>
      <c r="AB31" s="61"/>
    </row>
    <row r="32" spans="1:28" ht="32" x14ac:dyDescent="0.2">
      <c r="A32" s="61" t="s">
        <v>659</v>
      </c>
      <c r="B32" s="54">
        <v>22</v>
      </c>
      <c r="C32" s="76" t="s">
        <v>205</v>
      </c>
      <c r="D32" s="76" t="s">
        <v>402</v>
      </c>
      <c r="E32" s="76" t="s">
        <v>1148</v>
      </c>
      <c r="F32" s="133" t="s">
        <v>745</v>
      </c>
      <c r="G32" s="133" t="s">
        <v>734</v>
      </c>
      <c r="H32" s="61" t="s">
        <v>627</v>
      </c>
      <c r="I32" s="61" t="s">
        <v>1001</v>
      </c>
      <c r="J32" s="104" t="s">
        <v>1002</v>
      </c>
      <c r="K32" s="61" t="s">
        <v>856</v>
      </c>
      <c r="L32" s="61" t="s">
        <v>997</v>
      </c>
      <c r="M32" s="104" t="s">
        <v>998</v>
      </c>
      <c r="N32" s="104" t="str">
        <f t="shared" si="4"/>
        <v xml:space="preserve">PRIVCLOUD OTAP BO SEC-ZONE
</v>
      </c>
      <c r="O32" s="104" t="str">
        <f t="shared" si="0"/>
        <v>[** NO ZONE **]
Check: inconsistent zones</v>
      </c>
      <c r="P32" s="76" t="s">
        <v>352</v>
      </c>
      <c r="Q32" s="61">
        <v>1526</v>
      </c>
      <c r="R32" s="76" t="s">
        <v>293</v>
      </c>
      <c r="S32" s="76" t="s">
        <v>301</v>
      </c>
      <c r="T32" s="76" t="s">
        <v>293</v>
      </c>
      <c r="U32" s="61"/>
      <c r="V32" s="61"/>
      <c r="W32" s="61"/>
      <c r="X32" s="76" t="s">
        <v>302</v>
      </c>
      <c r="Y32" s="76" t="s">
        <v>575</v>
      </c>
      <c r="Z32" s="61" t="s">
        <v>708</v>
      </c>
      <c r="AA32" s="61" t="s">
        <v>988</v>
      </c>
      <c r="AB32" s="61"/>
    </row>
    <row r="33" spans="1:28" ht="48" x14ac:dyDescent="0.2">
      <c r="A33" s="61" t="s">
        <v>660</v>
      </c>
      <c r="B33" s="54">
        <v>23</v>
      </c>
      <c r="C33" s="76" t="s">
        <v>205</v>
      </c>
      <c r="D33" s="76" t="s">
        <v>404</v>
      </c>
      <c r="E33" s="76" t="s">
        <v>1148</v>
      </c>
      <c r="F33" s="133" t="s">
        <v>758</v>
      </c>
      <c r="G33" s="133" t="s">
        <v>703</v>
      </c>
      <c r="H33" s="61" t="s">
        <v>661</v>
      </c>
      <c r="I33" s="61" t="s">
        <v>1022</v>
      </c>
      <c r="J33" s="104" t="s">
        <v>1023</v>
      </c>
      <c r="K33" s="61" t="s">
        <v>606</v>
      </c>
      <c r="L33" s="61" t="s">
        <v>986</v>
      </c>
      <c r="M33" s="104" t="s">
        <v>987</v>
      </c>
      <c r="N33" s="104" t="str">
        <f t="shared" si="4"/>
        <v>[** NO ZONE **]
PRIVCLOUD OTAP BO SEC-ZONE
Check: inconsistent zones</v>
      </c>
      <c r="O33" s="104" t="str">
        <f t="shared" si="0"/>
        <v xml:space="preserve">PRIVCLOUD OTAP BO SEC-ZONE
</v>
      </c>
      <c r="P33" s="76" t="s">
        <v>345</v>
      </c>
      <c r="Q33" s="61">
        <v>9092</v>
      </c>
      <c r="R33" s="76" t="s">
        <v>293</v>
      </c>
      <c r="S33" s="76" t="s">
        <v>400</v>
      </c>
      <c r="T33" s="76" t="s">
        <v>293</v>
      </c>
      <c r="U33" s="61"/>
      <c r="V33" s="61"/>
      <c r="W33" s="61"/>
      <c r="X33" s="76" t="s">
        <v>302</v>
      </c>
      <c r="Y33" s="76" t="s">
        <v>575</v>
      </c>
      <c r="Z33" s="61" t="s">
        <v>708</v>
      </c>
      <c r="AA33" s="61" t="s">
        <v>988</v>
      </c>
      <c r="AB33" s="61"/>
    </row>
    <row r="34" spans="1:28" ht="32" x14ac:dyDescent="0.2">
      <c r="A34" s="61" t="s">
        <v>664</v>
      </c>
      <c r="B34" s="54">
        <v>24</v>
      </c>
      <c r="C34" s="76" t="s">
        <v>205</v>
      </c>
      <c r="D34" s="76" t="s">
        <v>409</v>
      </c>
      <c r="E34" s="76" t="s">
        <v>1148</v>
      </c>
      <c r="F34" s="133" t="s">
        <v>703</v>
      </c>
      <c r="G34" s="133" t="s">
        <v>734</v>
      </c>
      <c r="H34" s="61" t="s">
        <v>606</v>
      </c>
      <c r="I34" s="61" t="s">
        <v>986</v>
      </c>
      <c r="J34" s="104" t="s">
        <v>987</v>
      </c>
      <c r="K34" s="61" t="s">
        <v>856</v>
      </c>
      <c r="L34" s="61" t="s">
        <v>997</v>
      </c>
      <c r="M34" s="104" t="s">
        <v>998</v>
      </c>
      <c r="N34" s="104" t="str">
        <f t="shared" si="4"/>
        <v xml:space="preserve">PRIVCLOUD OTAP BO SEC-ZONE
</v>
      </c>
      <c r="O34" s="104" t="str">
        <f t="shared" si="0"/>
        <v>[** NO ZONE **]
Check: inconsistent zones</v>
      </c>
      <c r="P34" s="76" t="s">
        <v>352</v>
      </c>
      <c r="Q34" s="61">
        <v>1526</v>
      </c>
      <c r="R34" s="76" t="s">
        <v>293</v>
      </c>
      <c r="S34" s="76" t="s">
        <v>301</v>
      </c>
      <c r="T34" s="76" t="s">
        <v>293</v>
      </c>
      <c r="U34" s="61"/>
      <c r="V34" s="61"/>
      <c r="W34" s="61"/>
      <c r="X34" s="76"/>
      <c r="Y34" s="76" t="s">
        <v>575</v>
      </c>
      <c r="Z34" s="61" t="s">
        <v>708</v>
      </c>
      <c r="AA34" s="61" t="s">
        <v>988</v>
      </c>
      <c r="AB34" s="61"/>
    </row>
    <row r="35" spans="1:28" ht="32" x14ac:dyDescent="0.2">
      <c r="A35" s="61" t="s">
        <v>665</v>
      </c>
      <c r="B35" s="54">
        <v>25</v>
      </c>
      <c r="C35" s="76" t="s">
        <v>400</v>
      </c>
      <c r="D35" s="76" t="s">
        <v>411</v>
      </c>
      <c r="E35" s="76" t="s">
        <v>710</v>
      </c>
      <c r="F35" s="61" t="s">
        <v>394</v>
      </c>
      <c r="G35" s="61" t="s">
        <v>395</v>
      </c>
      <c r="H35" s="61"/>
      <c r="I35" s="61"/>
      <c r="J35" s="104" t="s">
        <v>865</v>
      </c>
      <c r="K35" s="61"/>
      <c r="L35" s="61"/>
      <c r="M35" s="104" t="s">
        <v>865</v>
      </c>
      <c r="N35" s="104" t="str">
        <f t="shared" ref="N35:N40" si="9" xml:space="preserve"> RetrieveZone( J35 )</f>
        <v>[** NO ZONE **]</v>
      </c>
      <c r="O35" s="104" t="str">
        <f t="shared" ref="O35:O47" si="10" xml:space="preserve"> RetrieveZone( M35 )</f>
        <v>[** NO ZONE **]</v>
      </c>
      <c r="P35" s="76"/>
      <c r="Q35" s="61"/>
      <c r="R35" s="76"/>
      <c r="S35" s="76"/>
      <c r="T35" s="76" t="s">
        <v>293</v>
      </c>
      <c r="U35" s="61"/>
      <c r="V35" s="61"/>
      <c r="W35" s="61"/>
      <c r="X35" s="76" t="s">
        <v>302</v>
      </c>
      <c r="Y35" s="76" t="s">
        <v>400</v>
      </c>
      <c r="Z35" s="61" t="s">
        <v>708</v>
      </c>
      <c r="AA35" s="61"/>
      <c r="AB35" s="61"/>
    </row>
    <row r="36" spans="1:28" ht="80" x14ac:dyDescent="0.2">
      <c r="A36" s="61" t="s">
        <v>666</v>
      </c>
      <c r="B36" s="54">
        <v>26</v>
      </c>
      <c r="C36" s="76" t="s">
        <v>205</v>
      </c>
      <c r="D36" s="76" t="s">
        <v>1024</v>
      </c>
      <c r="E36" s="76" t="s">
        <v>1148</v>
      </c>
      <c r="F36" s="61" t="s">
        <v>882</v>
      </c>
      <c r="G36" s="133" t="s">
        <v>763</v>
      </c>
      <c r="H36" s="133" t="s">
        <v>771</v>
      </c>
      <c r="I36" s="61" t="s">
        <v>765</v>
      </c>
      <c r="J36" s="104" t="s">
        <v>766</v>
      </c>
      <c r="K36" s="61" t="s">
        <v>1025</v>
      </c>
      <c r="L36" s="61" t="s">
        <v>1026</v>
      </c>
      <c r="M36" s="104" t="s">
        <v>1027</v>
      </c>
      <c r="N36" s="104" t="str">
        <f t="shared" ref="N36" si="11" xml:space="preserve"> RetrieveZone( J36 )</f>
        <v>[** NO ZONE **]
Check: inconsistent zones</v>
      </c>
      <c r="O36" s="104" t="str">
        <f t="shared" ref="O36" si="12" xml:space="preserve"> RetrieveZone( M36 )</f>
        <v>PRIVCLOUD OTAP BO SEC-ZONE
PRIVCLOUD OTAP BO SEC-ZONE
PRIVCLOUD OTAP BO SEC-ZONE
[** NO ZONE **]
Check: inconsistent zones</v>
      </c>
      <c r="P36" s="76" t="s">
        <v>326</v>
      </c>
      <c r="Q36" s="61"/>
      <c r="R36" s="76" t="s">
        <v>293</v>
      </c>
      <c r="S36" s="76" t="s">
        <v>310</v>
      </c>
      <c r="T36" s="76" t="s">
        <v>293</v>
      </c>
      <c r="U36" s="61"/>
      <c r="V36" s="61"/>
      <c r="W36" s="61"/>
      <c r="X36" s="76"/>
      <c r="Y36" s="76" t="s">
        <v>575</v>
      </c>
      <c r="Z36" s="61" t="s">
        <v>420</v>
      </c>
      <c r="AA36" s="61" t="s">
        <v>988</v>
      </c>
      <c r="AB36" s="61"/>
    </row>
    <row r="37" spans="1:28" ht="80" x14ac:dyDescent="0.2">
      <c r="A37" s="61" t="s">
        <v>671</v>
      </c>
      <c r="B37" s="54">
        <v>27</v>
      </c>
      <c r="C37" s="76" t="s">
        <v>205</v>
      </c>
      <c r="D37" s="76" t="s">
        <v>1028</v>
      </c>
      <c r="E37" s="76" t="s">
        <v>1148</v>
      </c>
      <c r="F37" s="61" t="s">
        <v>1025</v>
      </c>
      <c r="G37" s="61" t="s">
        <v>882</v>
      </c>
      <c r="H37" s="61" t="s">
        <v>619</v>
      </c>
      <c r="I37" s="61" t="s">
        <v>1026</v>
      </c>
      <c r="J37" s="104" t="s">
        <v>1027</v>
      </c>
      <c r="K37" s="133" t="s">
        <v>771</v>
      </c>
      <c r="L37" s="61" t="s">
        <v>765</v>
      </c>
      <c r="M37" s="104" t="s">
        <v>766</v>
      </c>
      <c r="N37" s="104" t="str">
        <f t="shared" ref="N37" si="13" xml:space="preserve"> RetrieveZone( J37 )</f>
        <v>PRIVCLOUD OTAP BO SEC-ZONE
PRIVCLOUD OTAP BO SEC-ZONE
PRIVCLOUD OTAP BO SEC-ZONE
[** NO ZONE **]
Check: inconsistent zones</v>
      </c>
      <c r="O37" s="104" t="str">
        <f t="shared" ref="O37" si="14" xml:space="preserve"> RetrieveZone( M37 )</f>
        <v>[** NO ZONE **]
Check: inconsistent zones</v>
      </c>
      <c r="P37" s="76" t="s">
        <v>326</v>
      </c>
      <c r="Q37" s="61"/>
      <c r="R37" s="76" t="s">
        <v>293</v>
      </c>
      <c r="S37" s="76" t="s">
        <v>310</v>
      </c>
      <c r="T37" s="76" t="s">
        <v>293</v>
      </c>
      <c r="U37" s="61"/>
      <c r="V37" s="61"/>
      <c r="W37" s="61"/>
      <c r="X37" s="76"/>
      <c r="Y37" s="76" t="s">
        <v>575</v>
      </c>
      <c r="Z37" s="61" t="s">
        <v>424</v>
      </c>
      <c r="AA37" s="61" t="s">
        <v>988</v>
      </c>
      <c r="AB37" s="61"/>
    </row>
    <row r="38" spans="1:28" ht="80" x14ac:dyDescent="0.2">
      <c r="A38" s="61" t="s">
        <v>673</v>
      </c>
      <c r="B38" s="54">
        <v>28</v>
      </c>
      <c r="C38" s="76" t="s">
        <v>400</v>
      </c>
      <c r="D38" s="76" t="s">
        <v>426</v>
      </c>
      <c r="E38" s="76" t="s">
        <v>710</v>
      </c>
      <c r="F38" s="61" t="s">
        <v>772</v>
      </c>
      <c r="G38" s="61" t="s">
        <v>428</v>
      </c>
      <c r="H38" s="61" t="s">
        <v>674</v>
      </c>
      <c r="I38" s="61" t="s">
        <v>1029</v>
      </c>
      <c r="J38" s="104" t="s">
        <v>1030</v>
      </c>
      <c r="K38" s="61" t="s">
        <v>432</v>
      </c>
      <c r="L38" s="61" t="s">
        <v>433</v>
      </c>
      <c r="M38" s="104" t="s">
        <v>434</v>
      </c>
      <c r="N38" s="104" t="str">
        <f t="shared" si="9"/>
        <v xml:space="preserve">PRIVCLOUD OTAP BO SEC-ZONE
PRIVCLOUD OTAP BO SEC-ZONE
PRIVCLOUD OTAP BO SEC-ZONE
PRIVCLOUD OTAP BO SEC-ZONE
</v>
      </c>
      <c r="O38" s="104" t="str">
        <f t="shared" si="10"/>
        <v xml:space="preserve">IBM Application Mgmt
</v>
      </c>
      <c r="P38" s="76" t="s">
        <v>435</v>
      </c>
      <c r="Q38" s="61"/>
      <c r="R38" s="76" t="s">
        <v>293</v>
      </c>
      <c r="S38" s="76" t="s">
        <v>310</v>
      </c>
      <c r="T38" s="76" t="s">
        <v>293</v>
      </c>
      <c r="U38" s="61"/>
      <c r="V38" s="61"/>
      <c r="W38" s="61"/>
      <c r="X38" s="76" t="s">
        <v>302</v>
      </c>
      <c r="Y38" s="76" t="s">
        <v>575</v>
      </c>
      <c r="Z38" s="61" t="s">
        <v>708</v>
      </c>
      <c r="AA38" s="61"/>
      <c r="AB38" s="61"/>
    </row>
    <row r="39" spans="1:28" ht="80" x14ac:dyDescent="0.2">
      <c r="A39" s="61" t="s">
        <v>677</v>
      </c>
      <c r="B39" s="54">
        <v>29</v>
      </c>
      <c r="C39" s="76" t="s">
        <v>400</v>
      </c>
      <c r="D39" s="61" t="s">
        <v>678</v>
      </c>
      <c r="E39" s="76" t="s">
        <v>710</v>
      </c>
      <c r="F39" s="61" t="s">
        <v>892</v>
      </c>
      <c r="G39" s="61" t="s">
        <v>439</v>
      </c>
      <c r="H39" s="61" t="s">
        <v>674</v>
      </c>
      <c r="I39" s="61" t="s">
        <v>1031</v>
      </c>
      <c r="J39" s="104" t="s">
        <v>1030</v>
      </c>
      <c r="K39" s="61" t="s">
        <v>1032</v>
      </c>
      <c r="L39" s="61" t="s">
        <v>1032</v>
      </c>
      <c r="M39" s="61" t="s">
        <v>1032</v>
      </c>
      <c r="N39" s="104" t="str">
        <f t="shared" si="9"/>
        <v xml:space="preserve">PRIVCLOUD OTAP BO SEC-ZONE
PRIVCLOUD OTAP BO SEC-ZONE
PRIVCLOUD OTAP BO SEC-ZONE
PRIVCLOUD OTAP BO SEC-ZONE
</v>
      </c>
      <c r="O39" s="104" t="e">
        <f t="shared" si="10"/>
        <v>#VALUE!</v>
      </c>
      <c r="P39" s="76" t="s">
        <v>334</v>
      </c>
      <c r="Q39" s="61" t="s">
        <v>443</v>
      </c>
      <c r="R39" s="76" t="s">
        <v>293</v>
      </c>
      <c r="S39" s="76" t="s">
        <v>391</v>
      </c>
      <c r="T39" s="76" t="s">
        <v>293</v>
      </c>
      <c r="U39" s="61"/>
      <c r="V39" s="61"/>
      <c r="W39" s="61"/>
      <c r="X39" s="76" t="s">
        <v>302</v>
      </c>
      <c r="Y39" s="76" t="s">
        <v>575</v>
      </c>
      <c r="Z39" s="61" t="s">
        <v>708</v>
      </c>
      <c r="AA39" s="61"/>
      <c r="AB39" s="61"/>
    </row>
    <row r="40" spans="1:28" ht="32" x14ac:dyDescent="0.2">
      <c r="A40" s="61" t="s">
        <v>679</v>
      </c>
      <c r="B40" s="54">
        <v>30</v>
      </c>
      <c r="C40" s="76" t="s">
        <v>400</v>
      </c>
      <c r="D40" s="76" t="s">
        <v>680</v>
      </c>
      <c r="E40" s="76" t="s">
        <v>710</v>
      </c>
      <c r="F40" s="133" t="s">
        <v>776</v>
      </c>
      <c r="G40" s="61" t="s">
        <v>447</v>
      </c>
      <c r="H40" s="61" t="s">
        <v>856</v>
      </c>
      <c r="I40" s="61" t="s">
        <v>765</v>
      </c>
      <c r="J40" s="104" t="s">
        <v>766</v>
      </c>
      <c r="K40" s="61" t="s">
        <v>681</v>
      </c>
      <c r="L40" s="61" t="s">
        <v>682</v>
      </c>
      <c r="M40" s="104" t="s">
        <v>683</v>
      </c>
      <c r="N40" s="104" t="str">
        <f t="shared" si="9"/>
        <v>[** NO ZONE **]
Check: inconsistent zones</v>
      </c>
      <c r="O40" s="104" t="str">
        <f t="shared" si="10"/>
        <v xml:space="preserve">IBM Productie Secure Zone
</v>
      </c>
      <c r="P40" s="76" t="s">
        <v>352</v>
      </c>
      <c r="Q40" s="61"/>
      <c r="R40" s="76" t="s">
        <v>293</v>
      </c>
      <c r="S40" s="76" t="s">
        <v>391</v>
      </c>
      <c r="T40" s="76" t="s">
        <v>293</v>
      </c>
      <c r="U40" s="61"/>
      <c r="V40" s="61"/>
      <c r="W40" s="61"/>
      <c r="X40" s="76" t="s">
        <v>302</v>
      </c>
      <c r="Y40" s="76" t="s">
        <v>575</v>
      </c>
      <c r="Z40" s="61" t="s">
        <v>684</v>
      </c>
      <c r="AA40" s="61"/>
      <c r="AB40" s="61"/>
    </row>
    <row r="41" spans="1:28" ht="48" x14ac:dyDescent="0.2">
      <c r="A41" s="61" t="s">
        <v>685</v>
      </c>
      <c r="B41" s="54">
        <v>31</v>
      </c>
      <c r="C41" s="76" t="s">
        <v>205</v>
      </c>
      <c r="D41" s="76" t="s">
        <v>1033</v>
      </c>
      <c r="E41" s="76" t="s">
        <v>1148</v>
      </c>
      <c r="F41" s="133" t="s">
        <v>711</v>
      </c>
      <c r="G41" s="133" t="s">
        <v>780</v>
      </c>
      <c r="H41" s="61" t="s">
        <v>610</v>
      </c>
      <c r="I41" s="61" t="s">
        <v>989</v>
      </c>
      <c r="J41" s="104" t="s">
        <v>990</v>
      </c>
      <c r="K41" s="61" t="s">
        <v>627</v>
      </c>
      <c r="L41" s="61" t="s">
        <v>1001</v>
      </c>
      <c r="M41" s="104" t="s">
        <v>1002</v>
      </c>
      <c r="N41" s="104" t="str">
        <f xml:space="preserve"> RetrieveZone( J41 )</f>
        <v xml:space="preserve">PRIVCLOUD OTAP BO SEC-ZONE
</v>
      </c>
      <c r="O41" s="104" t="str">
        <f t="shared" si="10"/>
        <v xml:space="preserve">PRIVCLOUD OTAP BO SEC-ZONE
</v>
      </c>
      <c r="P41" s="76" t="s">
        <v>334</v>
      </c>
      <c r="Q41" s="61">
        <v>9443</v>
      </c>
      <c r="R41" s="76" t="s">
        <v>293</v>
      </c>
      <c r="S41" s="76" t="s">
        <v>301</v>
      </c>
      <c r="T41" s="76" t="s">
        <v>293</v>
      </c>
      <c r="U41" s="61"/>
      <c r="V41" s="61"/>
      <c r="W41" s="61"/>
      <c r="X41" s="76" t="s">
        <v>302</v>
      </c>
      <c r="Y41" s="76" t="s">
        <v>575</v>
      </c>
      <c r="Z41" s="61" t="s">
        <v>708</v>
      </c>
      <c r="AA41" s="61" t="s">
        <v>988</v>
      </c>
      <c r="AB41" s="61"/>
    </row>
    <row r="42" spans="1:28" ht="32" x14ac:dyDescent="0.2">
      <c r="A42" s="61"/>
      <c r="B42" s="54">
        <v>32</v>
      </c>
      <c r="C42" s="76" t="s">
        <v>205</v>
      </c>
      <c r="D42" s="76" t="s">
        <v>789</v>
      </c>
      <c r="E42" s="76" t="s">
        <v>1148</v>
      </c>
      <c r="F42" s="61" t="s">
        <v>790</v>
      </c>
      <c r="G42" s="61" t="s">
        <v>791</v>
      </c>
      <c r="H42" s="61" t="s">
        <v>790</v>
      </c>
      <c r="I42" s="170" t="s">
        <v>765</v>
      </c>
      <c r="J42" s="171" t="s">
        <v>766</v>
      </c>
      <c r="K42" s="61" t="s">
        <v>901</v>
      </c>
      <c r="L42" s="61" t="s">
        <v>997</v>
      </c>
      <c r="M42" s="104" t="s">
        <v>998</v>
      </c>
      <c r="N42" s="61" t="str">
        <f xml:space="preserve"> RetrieveZone( J42 )</f>
        <v>[** NO ZONE **]
Check: inconsistent zones</v>
      </c>
      <c r="O42" s="61" t="str">
        <f xml:space="preserve"> RetrieveZone( M42 )</f>
        <v>[** NO ZONE **]
Check: inconsistent zones</v>
      </c>
      <c r="P42" s="76" t="s">
        <v>326</v>
      </c>
      <c r="Q42" s="61"/>
      <c r="R42" s="76" t="s">
        <v>293</v>
      </c>
      <c r="S42" s="76" t="s">
        <v>310</v>
      </c>
      <c r="T42" s="76" t="s">
        <v>293</v>
      </c>
      <c r="U42" s="61"/>
      <c r="V42" s="61"/>
      <c r="W42" s="61"/>
      <c r="X42" s="76" t="s">
        <v>302</v>
      </c>
      <c r="Y42" s="76" t="s">
        <v>575</v>
      </c>
      <c r="Z42" s="61"/>
      <c r="AA42" s="61" t="s">
        <v>1034</v>
      </c>
      <c r="AB42" s="61" t="s">
        <v>736</v>
      </c>
    </row>
    <row r="43" spans="1:28" ht="32" x14ac:dyDescent="0.2">
      <c r="A43" s="61"/>
      <c r="B43" s="54">
        <v>33</v>
      </c>
      <c r="C43" s="76" t="s">
        <v>205</v>
      </c>
      <c r="D43" s="76" t="s">
        <v>793</v>
      </c>
      <c r="E43" s="76" t="s">
        <v>1148</v>
      </c>
      <c r="F43" s="61" t="s">
        <v>791</v>
      </c>
      <c r="G43" s="61" t="s">
        <v>790</v>
      </c>
      <c r="H43" s="61" t="s">
        <v>901</v>
      </c>
      <c r="I43" s="61" t="s">
        <v>997</v>
      </c>
      <c r="J43" s="104" t="s">
        <v>998</v>
      </c>
      <c r="K43" s="61" t="s">
        <v>790</v>
      </c>
      <c r="L43" s="170" t="s">
        <v>765</v>
      </c>
      <c r="M43" s="171" t="s">
        <v>766</v>
      </c>
      <c r="N43" s="61" t="str">
        <f xml:space="preserve"> RetrieveZone( J43 )</f>
        <v>[** NO ZONE **]
Check: inconsistent zones</v>
      </c>
      <c r="O43" s="61" t="str">
        <f xml:space="preserve"> RetrieveZone( M43 )</f>
        <v>[** NO ZONE **]
Check: inconsistent zones</v>
      </c>
      <c r="P43" s="76" t="s">
        <v>326</v>
      </c>
      <c r="Q43" s="61"/>
      <c r="R43" s="76" t="s">
        <v>293</v>
      </c>
      <c r="S43" s="76" t="s">
        <v>310</v>
      </c>
      <c r="T43" s="76" t="s">
        <v>293</v>
      </c>
      <c r="U43" s="61"/>
      <c r="V43" s="61"/>
      <c r="W43" s="61"/>
      <c r="X43" s="76" t="s">
        <v>302</v>
      </c>
      <c r="Y43" s="76" t="s">
        <v>575</v>
      </c>
      <c r="Z43" s="61"/>
      <c r="AA43" s="61" t="s">
        <v>1034</v>
      </c>
      <c r="AB43" s="61" t="s">
        <v>736</v>
      </c>
    </row>
    <row r="44" spans="1:28" ht="32" x14ac:dyDescent="0.2">
      <c r="A44" s="61"/>
      <c r="B44" s="54">
        <v>34</v>
      </c>
      <c r="C44" s="76" t="s">
        <v>205</v>
      </c>
      <c r="D44" s="76" t="s">
        <v>794</v>
      </c>
      <c r="E44" s="76" t="s">
        <v>1148</v>
      </c>
      <c r="F44" s="61" t="s">
        <v>790</v>
      </c>
      <c r="G44" s="61" t="s">
        <v>791</v>
      </c>
      <c r="H44" s="61" t="s">
        <v>790</v>
      </c>
      <c r="I44" s="170" t="s">
        <v>765</v>
      </c>
      <c r="J44" s="171" t="s">
        <v>766</v>
      </c>
      <c r="K44" s="61" t="s">
        <v>901</v>
      </c>
      <c r="L44" s="61" t="s">
        <v>997</v>
      </c>
      <c r="M44" s="104" t="s">
        <v>998</v>
      </c>
      <c r="N44" s="61" t="str">
        <f xml:space="preserve"> RetrieveZone( J44 )</f>
        <v>[** NO ZONE **]
Check: inconsistent zones</v>
      </c>
      <c r="O44" s="61" t="str">
        <f xml:space="preserve"> RetrieveZone( M44 )</f>
        <v>[** NO ZONE **]
Check: inconsistent zones</v>
      </c>
      <c r="P44" s="76" t="s">
        <v>778</v>
      </c>
      <c r="Q44" s="61">
        <v>1526</v>
      </c>
      <c r="R44" s="76" t="s">
        <v>293</v>
      </c>
      <c r="S44" s="76" t="s">
        <v>391</v>
      </c>
      <c r="T44" s="76" t="s">
        <v>293</v>
      </c>
      <c r="U44" s="61"/>
      <c r="V44" s="61"/>
      <c r="W44" s="61"/>
      <c r="X44" s="76" t="s">
        <v>302</v>
      </c>
      <c r="Y44" s="76" t="s">
        <v>575</v>
      </c>
      <c r="Z44" s="61"/>
      <c r="AA44" s="61" t="s">
        <v>1034</v>
      </c>
      <c r="AB44" s="61" t="s">
        <v>736</v>
      </c>
    </row>
    <row r="45" spans="1:28" ht="48" x14ac:dyDescent="0.2">
      <c r="A45" s="61"/>
      <c r="B45" s="54">
        <v>35</v>
      </c>
      <c r="C45" s="76" t="s">
        <v>205</v>
      </c>
      <c r="D45" s="76" t="s">
        <v>1035</v>
      </c>
      <c r="E45" s="76" t="s">
        <v>1148</v>
      </c>
      <c r="F45" s="61" t="s">
        <v>753</v>
      </c>
      <c r="G45" s="61" t="s">
        <v>1036</v>
      </c>
      <c r="H45" s="61" t="s">
        <v>753</v>
      </c>
      <c r="I45" s="61" t="s">
        <v>997</v>
      </c>
      <c r="J45" s="104" t="s">
        <v>998</v>
      </c>
      <c r="K45" s="61" t="s">
        <v>1036</v>
      </c>
      <c r="L45" s="61" t="s">
        <v>945</v>
      </c>
      <c r="M45" s="104" t="s">
        <v>946</v>
      </c>
      <c r="N45" s="104" t="s">
        <v>1037</v>
      </c>
      <c r="O45" s="104" t="str">
        <f t="shared" si="10"/>
        <v xml:space="preserve">PRIVCLOUD OTAP BO SEC-ZONE
PRIVCLOUD OTAP BO SEC-ZONE
</v>
      </c>
      <c r="P45" s="76" t="s">
        <v>334</v>
      </c>
      <c r="Q45" s="61" t="s">
        <v>802</v>
      </c>
      <c r="R45" s="76" t="s">
        <v>293</v>
      </c>
      <c r="S45" s="76" t="s">
        <v>803</v>
      </c>
      <c r="T45" s="76" t="s">
        <v>293</v>
      </c>
      <c r="U45" s="61"/>
      <c r="V45" s="61"/>
      <c r="W45" s="61"/>
      <c r="X45" s="76" t="s">
        <v>302</v>
      </c>
      <c r="Y45" s="76" t="s">
        <v>400</v>
      </c>
      <c r="Z45" s="61"/>
      <c r="AA45" s="197" t="s">
        <v>1038</v>
      </c>
      <c r="AB45" s="61"/>
    </row>
    <row r="46" spans="1:28" ht="48" x14ac:dyDescent="0.2">
      <c r="A46" s="61"/>
      <c r="B46" s="54">
        <v>36</v>
      </c>
      <c r="C46" s="76" t="s">
        <v>205</v>
      </c>
      <c r="D46" s="76" t="s">
        <v>1039</v>
      </c>
      <c r="E46" s="76" t="s">
        <v>1148</v>
      </c>
      <c r="F46" s="61" t="s">
        <v>813</v>
      </c>
      <c r="G46" s="61" t="s">
        <v>791</v>
      </c>
      <c r="H46" s="61" t="s">
        <v>1040</v>
      </c>
      <c r="I46" s="61" t="s">
        <v>814</v>
      </c>
      <c r="J46" s="104" t="s">
        <v>815</v>
      </c>
      <c r="K46" s="61" t="s">
        <v>791</v>
      </c>
      <c r="L46" s="61" t="s">
        <v>997</v>
      </c>
      <c r="M46" s="104" t="s">
        <v>998</v>
      </c>
      <c r="N46" s="61" t="str">
        <f xml:space="preserve"> RetrieveZone( J46 )</f>
        <v xml:space="preserve">IBM Productie Secure Zone
IBM Productie Secure Zone
</v>
      </c>
      <c r="O46" s="61" t="str">
        <f xml:space="preserve"> RetrieveZone( M46 )</f>
        <v>[** NO ZONE **]
Check: inconsistent zones</v>
      </c>
      <c r="P46" s="76" t="s">
        <v>778</v>
      </c>
      <c r="Q46" s="61">
        <v>1526</v>
      </c>
      <c r="R46" s="76" t="s">
        <v>400</v>
      </c>
      <c r="S46" s="76" t="s">
        <v>400</v>
      </c>
      <c r="T46" s="76" t="s">
        <v>293</v>
      </c>
      <c r="U46" s="61"/>
      <c r="V46" s="61"/>
      <c r="W46" s="61"/>
      <c r="X46" s="76" t="s">
        <v>302</v>
      </c>
      <c r="Y46" s="76" t="s">
        <v>400</v>
      </c>
      <c r="Z46" s="61"/>
      <c r="AA46" s="61" t="s">
        <v>3273</v>
      </c>
      <c r="AB46" s="61"/>
    </row>
    <row r="47" spans="1:28" ht="48" x14ac:dyDescent="0.2">
      <c r="A47" s="61"/>
      <c r="B47" s="54" t="s">
        <v>3268</v>
      </c>
      <c r="C47" s="76" t="s">
        <v>205</v>
      </c>
      <c r="D47" s="76" t="s">
        <v>3271</v>
      </c>
      <c r="E47" s="76" t="s">
        <v>1148</v>
      </c>
      <c r="F47" s="61" t="s">
        <v>3272</v>
      </c>
      <c r="G47" s="61" t="s">
        <v>791</v>
      </c>
      <c r="H47" s="61" t="s">
        <v>614</v>
      </c>
      <c r="I47" s="61" t="s">
        <v>3269</v>
      </c>
      <c r="J47" s="104" t="s">
        <v>3270</v>
      </c>
      <c r="K47" s="61" t="s">
        <v>791</v>
      </c>
      <c r="L47" s="61" t="s">
        <v>997</v>
      </c>
      <c r="M47" s="104" t="s">
        <v>998</v>
      </c>
      <c r="N47" s="104" t="str">
        <f t="shared" ref="N47" si="15" xml:space="preserve"> RetrieveZone( J47 )</f>
        <v xml:space="preserve">PRIVCLOUD OTAP BO SEC-ZONE
PRIVCLOUD OTAP BO SEC-ZONE
</v>
      </c>
      <c r="O47" s="104" t="str">
        <f t="shared" si="10"/>
        <v>[** NO ZONE **]
Check: inconsistent zones</v>
      </c>
      <c r="P47" s="76" t="s">
        <v>778</v>
      </c>
      <c r="Q47" s="61">
        <v>1526</v>
      </c>
      <c r="R47" s="76" t="s">
        <v>400</v>
      </c>
      <c r="S47" s="76" t="s">
        <v>400</v>
      </c>
      <c r="T47" s="76" t="s">
        <v>293</v>
      </c>
      <c r="U47" s="61"/>
      <c r="V47" s="61"/>
      <c r="W47" s="61"/>
      <c r="X47" s="76" t="s">
        <v>302</v>
      </c>
      <c r="Y47" s="76" t="s">
        <v>400</v>
      </c>
      <c r="Z47" s="61"/>
      <c r="AA47" s="61" t="s">
        <v>3273</v>
      </c>
      <c r="AB47" s="61"/>
    </row>
    <row r="48" spans="1:28" ht="32" x14ac:dyDescent="0.2">
      <c r="A48" s="61"/>
      <c r="B48" s="54">
        <v>37</v>
      </c>
      <c r="C48" s="76" t="s">
        <v>1011</v>
      </c>
      <c r="D48" s="76" t="s">
        <v>1041</v>
      </c>
      <c r="E48" s="76" t="s">
        <v>867</v>
      </c>
      <c r="F48" s="61" t="s">
        <v>791</v>
      </c>
      <c r="G48" s="61" t="s">
        <v>1042</v>
      </c>
      <c r="H48" s="61" t="s">
        <v>790</v>
      </c>
      <c r="I48" s="170" t="s">
        <v>765</v>
      </c>
      <c r="J48" s="171" t="s">
        <v>766</v>
      </c>
      <c r="K48" s="61" t="s">
        <v>1042</v>
      </c>
      <c r="L48" s="61" t="s">
        <v>1043</v>
      </c>
      <c r="M48" s="104" t="s">
        <v>1044</v>
      </c>
      <c r="N48" s="104" t="str">
        <f t="shared" ref="N48:N55" si="16" xml:space="preserve"> RetrieveZone( J48 )</f>
        <v>[** NO ZONE **]
Check: inconsistent zones</v>
      </c>
      <c r="O48" s="104" t="str">
        <f t="shared" ref="O48:O55" si="17" xml:space="preserve"> RetrieveZone( M48 )</f>
        <v xml:space="preserve">IBM Application Mgmt
</v>
      </c>
      <c r="P48" s="76" t="s">
        <v>559</v>
      </c>
      <c r="Q48" s="61">
        <v>22</v>
      </c>
      <c r="R48" s="76" t="s">
        <v>400</v>
      </c>
      <c r="S48" s="76" t="s">
        <v>400</v>
      </c>
      <c r="T48" s="76" t="s">
        <v>293</v>
      </c>
      <c r="U48" s="61"/>
      <c r="V48" s="61"/>
      <c r="W48" s="61"/>
      <c r="X48" s="76" t="s">
        <v>302</v>
      </c>
      <c r="Y48" s="76" t="s">
        <v>400</v>
      </c>
      <c r="Z48" s="61"/>
      <c r="AA48" s="61" t="s">
        <v>1045</v>
      </c>
      <c r="AB48" s="61"/>
    </row>
    <row r="49" spans="1:28" ht="48" x14ac:dyDescent="0.2">
      <c r="A49" s="61"/>
      <c r="B49" s="54">
        <v>38</v>
      </c>
      <c r="C49" s="76" t="s">
        <v>205</v>
      </c>
      <c r="D49" s="76" t="s">
        <v>1046</v>
      </c>
      <c r="E49" s="76" t="s">
        <v>1148</v>
      </c>
      <c r="F49" s="61" t="s">
        <v>813</v>
      </c>
      <c r="G49" s="61" t="s">
        <v>1047</v>
      </c>
      <c r="H49" s="61" t="s">
        <v>813</v>
      </c>
      <c r="I49" s="61" t="s">
        <v>814</v>
      </c>
      <c r="J49" s="104" t="s">
        <v>815</v>
      </c>
      <c r="K49" s="61" t="s">
        <v>1047</v>
      </c>
      <c r="L49" s="61" t="s">
        <v>1048</v>
      </c>
      <c r="M49" s="104" t="s">
        <v>998</v>
      </c>
      <c r="N49" s="104" t="str">
        <f t="shared" ref="N49" si="18" xml:space="preserve"> RetrieveZone( J49 )</f>
        <v xml:space="preserve">IBM Productie Secure Zone
IBM Productie Secure Zone
</v>
      </c>
      <c r="O49" s="104" t="str">
        <f t="shared" ref="O49" si="19" xml:space="preserve"> RetrieveZone( M49 )</f>
        <v>[** NO ZONE **]
Check: inconsistent zones</v>
      </c>
      <c r="P49" s="76" t="s">
        <v>345</v>
      </c>
      <c r="Q49" s="61">
        <v>1526</v>
      </c>
      <c r="R49" s="76" t="s">
        <v>400</v>
      </c>
      <c r="S49" s="76" t="s">
        <v>400</v>
      </c>
      <c r="T49" s="76" t="s">
        <v>293</v>
      </c>
      <c r="U49" s="61"/>
      <c r="V49" s="61"/>
      <c r="W49" s="61"/>
      <c r="X49" s="76" t="s">
        <v>302</v>
      </c>
      <c r="Y49" s="76" t="s">
        <v>400</v>
      </c>
      <c r="Z49" s="61"/>
      <c r="AA49" s="61" t="s">
        <v>816</v>
      </c>
      <c r="AB49" s="61" t="s">
        <v>817</v>
      </c>
    </row>
    <row r="50" spans="1:28" ht="80" x14ac:dyDescent="0.2">
      <c r="A50" s="61"/>
      <c r="B50" s="54">
        <v>39</v>
      </c>
      <c r="C50" s="76" t="s">
        <v>205</v>
      </c>
      <c r="D50" s="76" t="s">
        <v>1049</v>
      </c>
      <c r="E50" s="76" t="s">
        <v>1148</v>
      </c>
      <c r="F50" s="61" t="s">
        <v>1050</v>
      </c>
      <c r="G50" s="61" t="s">
        <v>1051</v>
      </c>
      <c r="H50" s="61" t="s">
        <v>1050</v>
      </c>
      <c r="I50" s="170" t="s">
        <v>765</v>
      </c>
      <c r="J50" s="171" t="s">
        <v>766</v>
      </c>
      <c r="K50" s="61" t="s">
        <v>1051</v>
      </c>
      <c r="L50" s="61" t="s">
        <v>1008</v>
      </c>
      <c r="M50" s="61" t="s">
        <v>1009</v>
      </c>
      <c r="N50" s="104" t="str">
        <f t="shared" ref="N50:N51" si="20" xml:space="preserve"> RetrieveZone( J50 )</f>
        <v>[** NO ZONE **]
Check: inconsistent zones</v>
      </c>
      <c r="O50" s="104" t="str">
        <f t="shared" ref="O50:O51" si="21" xml:space="preserve"> RetrieveZone( M50 )</f>
        <v xml:space="preserve">PRIVCLOUD OTAP BO SEC-ZONE
</v>
      </c>
      <c r="P50" s="76" t="s">
        <v>559</v>
      </c>
      <c r="Q50" s="61">
        <v>22</v>
      </c>
      <c r="R50" s="76" t="s">
        <v>560</v>
      </c>
      <c r="S50" s="76" t="s">
        <v>400</v>
      </c>
      <c r="T50" s="76" t="s">
        <v>293</v>
      </c>
      <c r="U50" s="61"/>
      <c r="V50" s="61"/>
      <c r="W50" s="61"/>
      <c r="X50" s="76" t="s">
        <v>302</v>
      </c>
      <c r="Y50" s="76" t="s">
        <v>400</v>
      </c>
      <c r="Z50" s="61"/>
      <c r="AA50" s="61" t="s">
        <v>1010</v>
      </c>
      <c r="AB50" s="61"/>
    </row>
    <row r="51" spans="1:28" ht="32" x14ac:dyDescent="0.2">
      <c r="A51" s="61"/>
      <c r="B51" s="54">
        <v>40</v>
      </c>
      <c r="C51" s="76" t="s">
        <v>205</v>
      </c>
      <c r="D51" s="76" t="s">
        <v>1052</v>
      </c>
      <c r="E51" s="76" t="s">
        <v>1148</v>
      </c>
      <c r="F51" s="61" t="s">
        <v>1050</v>
      </c>
      <c r="G51" s="61" t="s">
        <v>1053</v>
      </c>
      <c r="H51" s="61" t="s">
        <v>1050</v>
      </c>
      <c r="I51" s="61" t="s">
        <v>765</v>
      </c>
      <c r="J51" s="61" t="s">
        <v>766</v>
      </c>
      <c r="K51" s="61" t="s">
        <v>1053</v>
      </c>
      <c r="L51" s="61" t="s">
        <v>1054</v>
      </c>
      <c r="M51" s="61" t="s">
        <v>1055</v>
      </c>
      <c r="N51" s="104" t="str">
        <f t="shared" si="20"/>
        <v>[** NO ZONE **]
Check: inconsistent zones</v>
      </c>
      <c r="O51" s="104" t="str">
        <f t="shared" si="21"/>
        <v xml:space="preserve">PRIVCLOUD OTAP KLUIS-ZONE
</v>
      </c>
      <c r="P51" s="76" t="s">
        <v>559</v>
      </c>
      <c r="Q51" s="61"/>
      <c r="R51" s="76" t="s">
        <v>293</v>
      </c>
      <c r="S51" s="76" t="s">
        <v>400</v>
      </c>
      <c r="T51" s="76" t="s">
        <v>293</v>
      </c>
      <c r="U51" s="61"/>
      <c r="V51" s="61"/>
      <c r="W51" s="61"/>
      <c r="X51" s="76" t="s">
        <v>302</v>
      </c>
      <c r="Y51" s="76" t="s">
        <v>400</v>
      </c>
      <c r="Z51" s="61"/>
      <c r="AA51" s="61" t="s">
        <v>1056</v>
      </c>
      <c r="AB51" s="61"/>
    </row>
    <row r="52" spans="1:28" ht="32" x14ac:dyDescent="0.2">
      <c r="A52" s="61"/>
      <c r="B52" s="54">
        <v>41</v>
      </c>
      <c r="C52" s="76" t="s">
        <v>205</v>
      </c>
      <c r="D52" s="76" t="s">
        <v>1057</v>
      </c>
      <c r="E52" s="76" t="s">
        <v>1148</v>
      </c>
      <c r="F52" s="61" t="s">
        <v>1053</v>
      </c>
      <c r="G52" s="61" t="s">
        <v>1050</v>
      </c>
      <c r="H52" s="61" t="s">
        <v>1053</v>
      </c>
      <c r="I52" s="61" t="s">
        <v>1054</v>
      </c>
      <c r="J52" s="61" t="s">
        <v>1055</v>
      </c>
      <c r="K52" s="61" t="s">
        <v>1050</v>
      </c>
      <c r="L52" s="61" t="s">
        <v>765</v>
      </c>
      <c r="M52" s="61" t="s">
        <v>766</v>
      </c>
      <c r="N52" s="104" t="str">
        <f t="shared" si="16"/>
        <v xml:space="preserve">PRIVCLOUD OTAP KLUIS-ZONE
</v>
      </c>
      <c r="O52" s="104" t="str">
        <f t="shared" si="17"/>
        <v>[** NO ZONE **]
Check: inconsistent zones</v>
      </c>
      <c r="P52" s="76" t="s">
        <v>559</v>
      </c>
      <c r="Q52" s="61"/>
      <c r="R52" s="76" t="s">
        <v>293</v>
      </c>
      <c r="S52" s="76" t="s">
        <v>400</v>
      </c>
      <c r="T52" s="76" t="s">
        <v>293</v>
      </c>
      <c r="U52" s="61"/>
      <c r="V52" s="61"/>
      <c r="W52" s="61"/>
      <c r="X52" s="76" t="s">
        <v>302</v>
      </c>
      <c r="Y52" s="76" t="s">
        <v>400</v>
      </c>
      <c r="Z52" s="61"/>
      <c r="AA52" s="61" t="s">
        <v>1056</v>
      </c>
      <c r="AB52" s="61"/>
    </row>
    <row r="53" spans="1:28" ht="32" x14ac:dyDescent="0.2">
      <c r="A53" s="61"/>
      <c r="B53" s="54">
        <v>42</v>
      </c>
      <c r="C53" s="76" t="s">
        <v>205</v>
      </c>
      <c r="D53" s="76" t="s">
        <v>680</v>
      </c>
      <c r="E53" s="76" t="s">
        <v>1148</v>
      </c>
      <c r="F53" s="133" t="s">
        <v>776</v>
      </c>
      <c r="G53" s="61" t="s">
        <v>447</v>
      </c>
      <c r="H53" s="61" t="s">
        <v>753</v>
      </c>
      <c r="I53" s="61" t="s">
        <v>997</v>
      </c>
      <c r="J53" s="104" t="s">
        <v>998</v>
      </c>
      <c r="K53" s="61" t="s">
        <v>447</v>
      </c>
      <c r="L53" s="61" t="s">
        <v>3196</v>
      </c>
      <c r="M53" s="104" t="s">
        <v>3198</v>
      </c>
      <c r="N53" s="104" t="str">
        <f t="shared" si="16"/>
        <v>[** NO ZONE **]
Check: inconsistent zones</v>
      </c>
      <c r="O53" s="104" t="str">
        <f t="shared" si="17"/>
        <v xml:space="preserve">PRIVCLOUD OTAP BO SEC-ZONE
</v>
      </c>
      <c r="P53" s="76" t="s">
        <v>352</v>
      </c>
      <c r="Q53" s="61">
        <v>1526</v>
      </c>
      <c r="R53" s="76" t="s">
        <v>293</v>
      </c>
      <c r="S53" s="76" t="s">
        <v>391</v>
      </c>
      <c r="T53" s="76" t="s">
        <v>293</v>
      </c>
      <c r="U53" s="61"/>
      <c r="V53" s="61"/>
      <c r="W53" s="61"/>
      <c r="X53" s="76" t="s">
        <v>302</v>
      </c>
      <c r="Y53" s="76" t="s">
        <v>400</v>
      </c>
      <c r="Z53" s="61"/>
      <c r="AA53" s="61" t="s">
        <v>3200</v>
      </c>
      <c r="AB53" s="61"/>
    </row>
    <row r="54" spans="1:28" ht="80" x14ac:dyDescent="0.2">
      <c r="A54" s="61"/>
      <c r="B54" s="54">
        <v>43</v>
      </c>
      <c r="C54" s="76" t="s">
        <v>205</v>
      </c>
      <c r="D54" s="76" t="s">
        <v>3201</v>
      </c>
      <c r="E54" s="76" t="s">
        <v>702</v>
      </c>
      <c r="F54" s="61" t="s">
        <v>3201</v>
      </c>
      <c r="G54" s="61" t="s">
        <v>3209</v>
      </c>
      <c r="H54" s="61" t="s">
        <v>3201</v>
      </c>
      <c r="I54" s="61" t="s">
        <v>3202</v>
      </c>
      <c r="J54" s="177" t="s">
        <v>3203</v>
      </c>
      <c r="K54" s="61" t="s">
        <v>3209</v>
      </c>
      <c r="L54" s="61" t="s">
        <v>3204</v>
      </c>
      <c r="M54" s="104" t="s">
        <v>3205</v>
      </c>
      <c r="N54" s="104" t="str">
        <f t="shared" si="16"/>
        <v xml:space="preserve">PRIVCLOUD OTAP BO SEC-ZONE
</v>
      </c>
      <c r="O54" s="104" t="str">
        <f t="shared" si="17"/>
        <v xml:space="preserve">PRIVCLOUD OTAP BO SEC-ZONE
PRIVCLOUD OTAP BO SEC-ZONE
PRIVCLOUD OTAP BO SEC-ZONE
PRIVCLOUD OTAP BO SEC-ZONE
</v>
      </c>
      <c r="P54" s="76" t="s">
        <v>317</v>
      </c>
      <c r="Q54" s="61">
        <v>3389</v>
      </c>
      <c r="R54" s="76" t="s">
        <v>400</v>
      </c>
      <c r="S54" s="76" t="s">
        <v>400</v>
      </c>
      <c r="T54" s="76" t="s">
        <v>293</v>
      </c>
      <c r="U54" s="61"/>
      <c r="V54" s="61"/>
      <c r="W54" s="61"/>
      <c r="X54" s="76" t="s">
        <v>302</v>
      </c>
      <c r="Y54" s="76" t="s">
        <v>400</v>
      </c>
      <c r="Z54" s="61"/>
      <c r="AA54" s="61" t="s">
        <v>3221</v>
      </c>
      <c r="AB54" s="61"/>
    </row>
    <row r="55" spans="1:28" ht="80" x14ac:dyDescent="0.2">
      <c r="A55" s="61"/>
      <c r="B55" s="54">
        <v>44</v>
      </c>
      <c r="C55" s="76" t="s">
        <v>205</v>
      </c>
      <c r="D55" s="76"/>
      <c r="E55" s="76" t="s">
        <v>702</v>
      </c>
      <c r="F55" s="61" t="s">
        <v>3201</v>
      </c>
      <c r="G55" s="61" t="s">
        <v>3206</v>
      </c>
      <c r="H55" s="61" t="s">
        <v>3201</v>
      </c>
      <c r="I55" s="61" t="s">
        <v>3202</v>
      </c>
      <c r="J55" s="177" t="s">
        <v>3203</v>
      </c>
      <c r="K55" s="61" t="s">
        <v>3206</v>
      </c>
      <c r="L55" s="61" t="s">
        <v>3207</v>
      </c>
      <c r="M55" s="104" t="s">
        <v>3208</v>
      </c>
      <c r="N55" s="104" t="str">
        <f t="shared" si="16"/>
        <v xml:space="preserve">PRIVCLOUD OTAP BO SEC-ZONE
</v>
      </c>
      <c r="O55" s="104" t="str">
        <f t="shared" si="17"/>
        <v>[** NO ZONE **]
[** NO ZONE **]
[** NO ZONE **]
[** NO ZONE **]
Check: inconsistent zones</v>
      </c>
      <c r="P55" s="76" t="s">
        <v>778</v>
      </c>
      <c r="Q55" s="61">
        <v>1526</v>
      </c>
      <c r="R55" s="76" t="s">
        <v>400</v>
      </c>
      <c r="S55" s="76" t="s">
        <v>400</v>
      </c>
      <c r="T55" s="76" t="s">
        <v>293</v>
      </c>
      <c r="U55" s="61"/>
      <c r="V55" s="61"/>
      <c r="W55" s="61"/>
      <c r="X55" s="76" t="s">
        <v>302</v>
      </c>
      <c r="Y55" s="76" t="s">
        <v>400</v>
      </c>
      <c r="Z55" s="61"/>
      <c r="AA55" s="61" t="s">
        <v>3221</v>
      </c>
      <c r="AB55" s="61"/>
    </row>
    <row r="56" spans="1:28" ht="48" x14ac:dyDescent="0.2">
      <c r="A56" s="61"/>
      <c r="B56" s="209">
        <v>45</v>
      </c>
      <c r="C56" s="210" t="s">
        <v>205</v>
      </c>
      <c r="D56" s="210"/>
      <c r="E56" s="210" t="s">
        <v>702</v>
      </c>
      <c r="F56" s="211" t="s">
        <v>3248</v>
      </c>
      <c r="G56" s="211" t="s">
        <v>3201</v>
      </c>
      <c r="H56" s="211" t="s">
        <v>614</v>
      </c>
      <c r="I56" s="211" t="s">
        <v>992</v>
      </c>
      <c r="J56" s="212" t="s">
        <v>3212</v>
      </c>
      <c r="K56" s="211" t="s">
        <v>3201</v>
      </c>
      <c r="L56" s="211" t="s">
        <v>3202</v>
      </c>
      <c r="M56" s="212" t="s">
        <v>3203</v>
      </c>
      <c r="N56" s="213" t="str">
        <f t="shared" ref="N56" si="22" xml:space="preserve"> RetrieveZone( J56 )</f>
        <v xml:space="preserve">PRIVCLOUD OTAP FO SEC-ZONE
PRIVCLOUD OTAP FO SEC-ZONE
</v>
      </c>
      <c r="O56" s="213" t="str">
        <f t="shared" ref="O56" si="23" xml:space="preserve"> RetrieveZone( M56 )</f>
        <v xml:space="preserve">PRIVCLOUD OTAP BO SEC-ZONE
</v>
      </c>
      <c r="P56" s="210" t="s">
        <v>317</v>
      </c>
      <c r="Q56" s="211">
        <v>3389</v>
      </c>
      <c r="R56" s="210" t="s">
        <v>400</v>
      </c>
      <c r="S56" s="210" t="s">
        <v>400</v>
      </c>
      <c r="T56" s="210" t="s">
        <v>293</v>
      </c>
      <c r="U56" s="211"/>
      <c r="V56" s="211"/>
      <c r="W56" s="211"/>
      <c r="X56" s="210" t="s">
        <v>302</v>
      </c>
      <c r="Y56" s="210" t="s">
        <v>400</v>
      </c>
      <c r="Z56" s="211"/>
      <c r="AA56" s="211" t="s">
        <v>3221</v>
      </c>
      <c r="AB56" s="211"/>
    </row>
    <row r="57" spans="1:28" ht="48" customHeight="1" x14ac:dyDescent="0.2">
      <c r="A57" s="61"/>
      <c r="B57" s="54" t="s">
        <v>3249</v>
      </c>
      <c r="C57" s="76" t="s">
        <v>205</v>
      </c>
      <c r="D57" s="76" t="s">
        <v>3250</v>
      </c>
      <c r="E57" s="76" t="s">
        <v>702</v>
      </c>
      <c r="F57" s="207" t="s">
        <v>3251</v>
      </c>
      <c r="G57" s="61" t="s">
        <v>3201</v>
      </c>
      <c r="H57" s="61"/>
      <c r="I57" s="61" t="s">
        <v>705</v>
      </c>
      <c r="J57" s="208" t="s">
        <v>705</v>
      </c>
      <c r="K57" s="61" t="s">
        <v>3201</v>
      </c>
      <c r="L57" s="61" t="s">
        <v>3202</v>
      </c>
      <c r="M57" s="177" t="s">
        <v>3203</v>
      </c>
      <c r="N57" s="104" t="e">
        <f t="shared" ref="N57:N58" si="24" xml:space="preserve"> RetrieveZone( J57 )</f>
        <v>#VALUE!</v>
      </c>
      <c r="O57" s="104" t="str">
        <f t="shared" ref="O57" si="25" xml:space="preserve"> RetrieveZone( M57 )</f>
        <v xml:space="preserve">PRIVCLOUD OTAP BO SEC-ZONE
</v>
      </c>
      <c r="P57" s="76" t="s">
        <v>317</v>
      </c>
      <c r="Q57" s="61">
        <v>3389</v>
      </c>
      <c r="R57" s="76" t="s">
        <v>400</v>
      </c>
      <c r="S57" s="76" t="s">
        <v>400</v>
      </c>
      <c r="T57" s="76" t="s">
        <v>293</v>
      </c>
      <c r="U57" s="61"/>
      <c r="V57" s="61"/>
      <c r="W57" s="61"/>
      <c r="X57" s="76" t="s">
        <v>302</v>
      </c>
      <c r="Y57" s="76" t="s">
        <v>400</v>
      </c>
      <c r="Z57" s="61"/>
      <c r="AA57" s="61"/>
      <c r="AB57" s="61"/>
    </row>
    <row r="58" spans="1:28" ht="32" x14ac:dyDescent="0.2">
      <c r="A58" s="61"/>
      <c r="B58" s="54">
        <v>46</v>
      </c>
      <c r="C58" s="76" t="s">
        <v>205</v>
      </c>
      <c r="D58" s="76"/>
      <c r="E58" s="76" t="s">
        <v>702</v>
      </c>
      <c r="F58" s="61" t="s">
        <v>3201</v>
      </c>
      <c r="G58" s="61" t="s">
        <v>3213</v>
      </c>
      <c r="H58" s="61" t="s">
        <v>3201</v>
      </c>
      <c r="I58" s="61" t="s">
        <v>3202</v>
      </c>
      <c r="J58" s="177" t="s">
        <v>3203</v>
      </c>
      <c r="K58" s="61" t="s">
        <v>3213</v>
      </c>
      <c r="L58" s="61" t="s">
        <v>3214</v>
      </c>
      <c r="M58" s="177" t="s">
        <v>3215</v>
      </c>
      <c r="N58" s="104" t="str">
        <f t="shared" si="24"/>
        <v xml:space="preserve">PRIVCLOUD OTAP BO SEC-ZONE
</v>
      </c>
      <c r="O58" s="104" t="str">
        <f t="shared" ref="O58" si="26" xml:space="preserve"> RetrieveZone( M58 )</f>
        <v xml:space="preserve">PRIVCLOUD OTAP FO SEC-ZONE
</v>
      </c>
      <c r="P58" s="76" t="s">
        <v>435</v>
      </c>
      <c r="Q58" s="61">
        <v>80</v>
      </c>
      <c r="R58" s="76" t="s">
        <v>400</v>
      </c>
      <c r="S58" s="76" t="s">
        <v>400</v>
      </c>
      <c r="T58" s="76" t="s">
        <v>293</v>
      </c>
      <c r="U58" s="61"/>
      <c r="V58" s="61"/>
      <c r="W58" s="61"/>
      <c r="X58" s="76" t="s">
        <v>302</v>
      </c>
      <c r="Y58" s="76" t="s">
        <v>400</v>
      </c>
      <c r="Z58" s="61"/>
      <c r="AA58" s="61" t="s">
        <v>3221</v>
      </c>
      <c r="AB58" s="61"/>
    </row>
    <row r="59" spans="1:28" ht="80" x14ac:dyDescent="0.2">
      <c r="A59" s="61"/>
      <c r="B59" s="54" t="s">
        <v>3262</v>
      </c>
      <c r="C59" s="76" t="s">
        <v>205</v>
      </c>
      <c r="D59" s="76" t="s">
        <v>3263</v>
      </c>
      <c r="E59" s="76" t="s">
        <v>702</v>
      </c>
      <c r="F59" s="61" t="s">
        <v>3201</v>
      </c>
      <c r="G59" s="61" t="s">
        <v>3213</v>
      </c>
      <c r="H59" s="61" t="s">
        <v>3201</v>
      </c>
      <c r="I59" s="61" t="s">
        <v>3202</v>
      </c>
      <c r="J59" s="177" t="s">
        <v>3203</v>
      </c>
      <c r="K59" s="61" t="s">
        <v>3213</v>
      </c>
      <c r="L59" s="61" t="s">
        <v>3214</v>
      </c>
      <c r="M59" s="177" t="s">
        <v>3215</v>
      </c>
      <c r="N59" s="61" t="str">
        <f xml:space="preserve"> RetrieveZone( J59 )</f>
        <v xml:space="preserve">PRIVCLOUD OTAP BO SEC-ZONE
</v>
      </c>
      <c r="O59" s="61" t="str">
        <f xml:space="preserve"> RetrieveZone( M59 )</f>
        <v xml:space="preserve">PRIVCLOUD OTAP FO SEC-ZONE
</v>
      </c>
      <c r="P59" s="76" t="s">
        <v>345</v>
      </c>
      <c r="Q59" s="61" t="s">
        <v>3264</v>
      </c>
      <c r="R59" s="76" t="s">
        <v>400</v>
      </c>
      <c r="S59" s="76" t="s">
        <v>400</v>
      </c>
      <c r="T59" s="76" t="s">
        <v>293</v>
      </c>
      <c r="U59" s="61"/>
      <c r="V59" s="61"/>
      <c r="W59" s="61"/>
      <c r="X59" s="76" t="s">
        <v>302</v>
      </c>
      <c r="Y59" s="76" t="s">
        <v>400</v>
      </c>
      <c r="Z59" s="61"/>
      <c r="AA59" s="61" t="s">
        <v>3274</v>
      </c>
      <c r="AB59" s="61"/>
    </row>
    <row r="60" spans="1:28" ht="48" x14ac:dyDescent="0.2">
      <c r="A60" s="61"/>
      <c r="B60" s="54" t="s">
        <v>3265</v>
      </c>
      <c r="C60" s="76" t="s">
        <v>205</v>
      </c>
      <c r="D60" s="76" t="s">
        <v>3266</v>
      </c>
      <c r="E60" s="76" t="s">
        <v>702</v>
      </c>
      <c r="F60" s="61" t="s">
        <v>3201</v>
      </c>
      <c r="G60" s="61" t="s">
        <v>3213</v>
      </c>
      <c r="H60" s="61" t="s">
        <v>3201</v>
      </c>
      <c r="I60" s="61" t="s">
        <v>3202</v>
      </c>
      <c r="J60" s="177" t="s">
        <v>3203</v>
      </c>
      <c r="K60" s="61" t="s">
        <v>3213</v>
      </c>
      <c r="L60" s="61" t="s">
        <v>3214</v>
      </c>
      <c r="M60" s="177" t="s">
        <v>3215</v>
      </c>
      <c r="N60" s="61" t="str">
        <f xml:space="preserve"> RetrieveZone( J60 )</f>
        <v xml:space="preserve">PRIVCLOUD OTAP BO SEC-ZONE
</v>
      </c>
      <c r="O60" s="61" t="str">
        <f xml:space="preserve"> RetrieveZone( M60 )</f>
        <v xml:space="preserve">PRIVCLOUD OTAP FO SEC-ZONE
</v>
      </c>
      <c r="P60" s="76" t="s">
        <v>1272</v>
      </c>
      <c r="Q60" s="61" t="s">
        <v>3267</v>
      </c>
      <c r="R60" s="76" t="s">
        <v>400</v>
      </c>
      <c r="S60" s="76" t="s">
        <v>400</v>
      </c>
      <c r="T60" s="76" t="s">
        <v>293</v>
      </c>
      <c r="U60" s="61"/>
      <c r="V60" s="61"/>
      <c r="W60" s="61"/>
      <c r="X60" s="76"/>
      <c r="Y60" s="76"/>
      <c r="Z60" s="61"/>
      <c r="AA60" s="61" t="s">
        <v>3274</v>
      </c>
      <c r="AB60" s="61"/>
    </row>
    <row r="61" spans="1:28" ht="365" x14ac:dyDescent="0.2">
      <c r="A61" s="61"/>
      <c r="B61" s="54">
        <v>47</v>
      </c>
      <c r="C61" s="76" t="s">
        <v>205</v>
      </c>
      <c r="D61" s="76"/>
      <c r="E61" s="76" t="s">
        <v>702</v>
      </c>
      <c r="F61" s="61" t="s">
        <v>3201</v>
      </c>
      <c r="G61" s="61" t="s">
        <v>3216</v>
      </c>
      <c r="H61" s="61" t="s">
        <v>3201</v>
      </c>
      <c r="I61" s="61" t="s">
        <v>3202</v>
      </c>
      <c r="J61" s="177" t="s">
        <v>3203</v>
      </c>
      <c r="K61" s="61"/>
      <c r="L61" s="61" t="s">
        <v>3210</v>
      </c>
      <c r="M61" s="104" t="s">
        <v>3211</v>
      </c>
      <c r="N61" s="104" t="str">
        <f t="shared" ref="N61:N65" si="27" xml:space="preserve"> RetrieveZone( J61 )</f>
        <v xml:space="preserve">PRIVCLOUD OTAP BO SEC-ZONE
</v>
      </c>
      <c r="O61" s="104" t="e">
        <f t="shared" ref="O61:O72" si="28" xml:space="preserve"> RetrieveZone( M61 )</f>
        <v>#VALUE!</v>
      </c>
      <c r="P61" s="76" t="s">
        <v>326</v>
      </c>
      <c r="Q61" s="61">
        <v>22</v>
      </c>
      <c r="R61" s="76" t="s">
        <v>400</v>
      </c>
      <c r="S61" s="76" t="s">
        <v>400</v>
      </c>
      <c r="T61" s="76" t="s">
        <v>293</v>
      </c>
      <c r="U61" s="61"/>
      <c r="V61" s="61"/>
      <c r="W61" s="61"/>
      <c r="X61" s="76" t="s">
        <v>302</v>
      </c>
      <c r="Y61" s="76" t="s">
        <v>400</v>
      </c>
      <c r="Z61" s="61"/>
      <c r="AA61" s="61" t="s">
        <v>3221</v>
      </c>
      <c r="AB61" s="61"/>
    </row>
    <row r="62" spans="1:28" ht="48" x14ac:dyDescent="0.2">
      <c r="A62" s="61"/>
      <c r="B62" s="54">
        <v>48</v>
      </c>
      <c r="C62" s="76" t="s">
        <v>205</v>
      </c>
      <c r="D62" s="76" t="s">
        <v>3220</v>
      </c>
      <c r="E62" s="76" t="s">
        <v>702</v>
      </c>
      <c r="F62" s="61"/>
      <c r="G62" s="61" t="s">
        <v>3261</v>
      </c>
      <c r="H62" s="61"/>
      <c r="I62" s="61" t="s">
        <v>3202</v>
      </c>
      <c r="J62" s="177" t="s">
        <v>3203</v>
      </c>
      <c r="K62" s="61" t="s">
        <v>3219</v>
      </c>
      <c r="L62" s="61" t="s">
        <v>3217</v>
      </c>
      <c r="M62" s="104" t="s">
        <v>3218</v>
      </c>
      <c r="N62" s="104" t="str">
        <f t="shared" si="27"/>
        <v xml:space="preserve">PRIVCLOUD OTAP BO SEC-ZONE
</v>
      </c>
      <c r="O62" s="104" t="str">
        <f t="shared" si="28"/>
        <v xml:space="preserve">PRIVCLOUD OTAP BO SEC-ZONE
</v>
      </c>
      <c r="P62" s="76" t="s">
        <v>1238</v>
      </c>
      <c r="Q62" s="61">
        <v>445</v>
      </c>
      <c r="R62" s="76" t="s">
        <v>400</v>
      </c>
      <c r="S62" s="76" t="s">
        <v>400</v>
      </c>
      <c r="T62" s="76" t="s">
        <v>293</v>
      </c>
      <c r="U62" s="61"/>
      <c r="V62" s="61"/>
      <c r="W62" s="61"/>
      <c r="X62" s="76" t="s">
        <v>302</v>
      </c>
      <c r="Y62" s="76" t="s">
        <v>400</v>
      </c>
      <c r="Z62" s="61"/>
      <c r="AA62" s="61"/>
      <c r="AB62" s="61"/>
    </row>
    <row r="63" spans="1:28" ht="144" x14ac:dyDescent="0.2">
      <c r="A63" s="61"/>
      <c r="B63" s="124">
        <v>49</v>
      </c>
      <c r="C63" s="76" t="s">
        <v>205</v>
      </c>
      <c r="D63" s="76" t="s">
        <v>3222</v>
      </c>
      <c r="E63" s="76" t="s">
        <v>702</v>
      </c>
      <c r="F63" s="61" t="s">
        <v>3239</v>
      </c>
      <c r="G63" s="61" t="s">
        <v>3224</v>
      </c>
      <c r="H63" s="61" t="s">
        <v>727</v>
      </c>
      <c r="I63" s="61" t="s">
        <v>999</v>
      </c>
      <c r="J63" s="104" t="s">
        <v>1000</v>
      </c>
      <c r="K63" s="61" t="s">
        <v>3225</v>
      </c>
      <c r="L63" s="61" t="s">
        <v>3226</v>
      </c>
      <c r="M63" s="104" t="s">
        <v>3227</v>
      </c>
      <c r="N63" s="104" t="str">
        <f t="shared" si="27"/>
        <v xml:space="preserve">PRIVCLOUD OTAP BO SEC-ZONE
</v>
      </c>
      <c r="O63" s="104" t="str">
        <f t="shared" si="28"/>
        <v xml:space="preserve">PRIVCLOUD OTAP BO SEC-ZONE
</v>
      </c>
      <c r="P63" s="76" t="s">
        <v>300</v>
      </c>
      <c r="Q63" s="61" t="s">
        <v>3228</v>
      </c>
      <c r="R63" s="76" t="s">
        <v>400</v>
      </c>
      <c r="S63" s="76" t="s">
        <v>400</v>
      </c>
      <c r="T63" s="76" t="s">
        <v>293</v>
      </c>
      <c r="U63" s="61"/>
      <c r="V63" s="61"/>
      <c r="W63" s="61"/>
      <c r="X63" s="76" t="s">
        <v>302</v>
      </c>
      <c r="Y63" s="76" t="s">
        <v>400</v>
      </c>
      <c r="Z63" s="61"/>
      <c r="AA63" s="61" t="s">
        <v>3237</v>
      </c>
      <c r="AB63" s="61"/>
    </row>
    <row r="64" spans="1:28" ht="112" x14ac:dyDescent="0.2">
      <c r="A64" s="61"/>
      <c r="B64" s="124">
        <v>50</v>
      </c>
      <c r="C64" s="76" t="s">
        <v>205</v>
      </c>
      <c r="D64" s="76" t="s">
        <v>3230</v>
      </c>
      <c r="E64" s="76" t="s">
        <v>702</v>
      </c>
      <c r="F64" s="61" t="s">
        <v>3239</v>
      </c>
      <c r="G64" s="61" t="s">
        <v>3232</v>
      </c>
      <c r="H64" s="61" t="s">
        <v>727</v>
      </c>
      <c r="I64" s="61" t="s">
        <v>999</v>
      </c>
      <c r="J64" s="104" t="s">
        <v>1000</v>
      </c>
      <c r="K64" s="61" t="s">
        <v>3235</v>
      </c>
      <c r="L64" s="61" t="s">
        <v>3233</v>
      </c>
      <c r="M64" s="104" t="s">
        <v>3234</v>
      </c>
      <c r="N64" s="104" t="str">
        <f t="shared" si="27"/>
        <v xml:space="preserve">PRIVCLOUD OTAP BO SEC-ZONE
</v>
      </c>
      <c r="O64" s="104" t="str">
        <f t="shared" si="28"/>
        <v xml:space="preserve">PRIVCLOUD OTAP BO SEC-ZONE
</v>
      </c>
      <c r="P64" s="76" t="s">
        <v>300</v>
      </c>
      <c r="Q64" s="61" t="s">
        <v>3228</v>
      </c>
      <c r="R64" s="76" t="s">
        <v>400</v>
      </c>
      <c r="S64" s="76" t="s">
        <v>400</v>
      </c>
      <c r="T64" s="76" t="s">
        <v>293</v>
      </c>
      <c r="U64" s="61"/>
      <c r="V64" s="61"/>
      <c r="W64" s="61"/>
      <c r="X64" s="76" t="s">
        <v>302</v>
      </c>
      <c r="Y64" s="76" t="s">
        <v>400</v>
      </c>
      <c r="Z64" s="61"/>
      <c r="AA64" s="61" t="s">
        <v>3237</v>
      </c>
      <c r="AB64" s="61"/>
    </row>
    <row r="65" spans="1:28" ht="32" x14ac:dyDescent="0.2">
      <c r="A65" s="61"/>
      <c r="B65" s="54">
        <v>51</v>
      </c>
      <c r="C65" s="76" t="s">
        <v>205</v>
      </c>
      <c r="D65" s="76" t="s">
        <v>3242</v>
      </c>
      <c r="E65" s="76" t="s">
        <v>3243</v>
      </c>
      <c r="F65" s="61" t="s">
        <v>3201</v>
      </c>
      <c r="G65" s="61" t="s">
        <v>3246</v>
      </c>
      <c r="H65" s="61" t="s">
        <v>3201</v>
      </c>
      <c r="I65" s="61" t="s">
        <v>3202</v>
      </c>
      <c r="J65" s="177" t="s">
        <v>3203</v>
      </c>
      <c r="K65" s="61"/>
      <c r="L65" s="206" t="s">
        <v>3244</v>
      </c>
      <c r="M65" s="104" t="s">
        <v>3245</v>
      </c>
      <c r="N65" s="104" t="str">
        <f t="shared" si="27"/>
        <v xml:space="preserve">PRIVCLOUD OTAP BO SEC-ZONE
</v>
      </c>
      <c r="O65" s="104" t="s">
        <v>3247</v>
      </c>
      <c r="P65" s="76" t="s">
        <v>1238</v>
      </c>
      <c r="Q65" s="61"/>
      <c r="R65" s="76"/>
      <c r="S65" s="76"/>
      <c r="T65" s="76"/>
      <c r="U65" s="61"/>
      <c r="V65" s="61"/>
      <c r="W65" s="61"/>
      <c r="X65" s="76"/>
      <c r="Y65" s="76"/>
      <c r="Z65" s="61"/>
      <c r="AA65" s="61"/>
      <c r="AB65" s="61"/>
    </row>
    <row r="66" spans="1:28" ht="40.5" customHeight="1" x14ac:dyDescent="0.2">
      <c r="A66" s="61"/>
      <c r="B66" s="54">
        <v>52</v>
      </c>
      <c r="C66" s="76" t="s">
        <v>205</v>
      </c>
      <c r="D66" s="76" t="s">
        <v>3252</v>
      </c>
      <c r="E66" s="76" t="s">
        <v>702</v>
      </c>
      <c r="F66" s="61" t="s">
        <v>3201</v>
      </c>
      <c r="G66" s="61" t="s">
        <v>1050</v>
      </c>
      <c r="H66" s="61" t="s">
        <v>3201</v>
      </c>
      <c r="I66" s="61" t="s">
        <v>3202</v>
      </c>
      <c r="J66" s="177" t="s">
        <v>3203</v>
      </c>
      <c r="K66" s="61"/>
      <c r="L66" s="61" t="s">
        <v>765</v>
      </c>
      <c r="M66" s="104" t="s">
        <v>766</v>
      </c>
      <c r="N66" s="104" t="str">
        <f t="shared" ref="N66" si="29" xml:space="preserve"> RetrieveZone( J66 )</f>
        <v xml:space="preserve">PRIVCLOUD OTAP BO SEC-ZONE
</v>
      </c>
      <c r="O66" s="104" t="s">
        <v>3247</v>
      </c>
      <c r="P66" s="76" t="s">
        <v>778</v>
      </c>
      <c r="Q66" s="61"/>
      <c r="R66" s="76"/>
      <c r="S66" s="76"/>
      <c r="T66" s="76"/>
      <c r="U66" s="61"/>
      <c r="V66" s="61"/>
      <c r="W66" s="61"/>
      <c r="X66" s="76"/>
      <c r="Y66" s="76"/>
      <c r="Z66" s="61"/>
      <c r="AA66" s="61"/>
      <c r="AB66" s="61"/>
    </row>
    <row r="67" spans="1:28" ht="32" x14ac:dyDescent="0.2">
      <c r="A67" s="61"/>
      <c r="B67" s="54">
        <v>53</v>
      </c>
      <c r="C67" s="76" t="s">
        <v>205</v>
      </c>
      <c r="D67" s="76" t="s">
        <v>3253</v>
      </c>
      <c r="E67" s="76" t="s">
        <v>702</v>
      </c>
      <c r="F67" s="61" t="s">
        <v>3201</v>
      </c>
      <c r="G67" s="61" t="s">
        <v>791</v>
      </c>
      <c r="H67" s="61" t="s">
        <v>3201</v>
      </c>
      <c r="I67" s="61" t="s">
        <v>3202</v>
      </c>
      <c r="J67" s="177" t="s">
        <v>3203</v>
      </c>
      <c r="K67" s="61" t="s">
        <v>791</v>
      </c>
      <c r="L67" s="61" t="s">
        <v>997</v>
      </c>
      <c r="M67" s="104" t="s">
        <v>998</v>
      </c>
      <c r="N67" s="104" t="str">
        <f xml:space="preserve"> RetrieveZone( J67 )</f>
        <v xml:space="preserve">PRIVCLOUD OTAP BO SEC-ZONE
</v>
      </c>
      <c r="O67" s="104" t="str">
        <f t="shared" si="28"/>
        <v>[** NO ZONE **]
Check: inconsistent zones</v>
      </c>
      <c r="P67" s="76" t="s">
        <v>326</v>
      </c>
      <c r="Q67" s="61"/>
      <c r="R67" s="76" t="s">
        <v>400</v>
      </c>
      <c r="S67" s="76" t="s">
        <v>400</v>
      </c>
      <c r="T67" s="76" t="s">
        <v>293</v>
      </c>
      <c r="U67" s="61"/>
      <c r="V67" s="61"/>
      <c r="W67" s="61"/>
      <c r="X67" s="76" t="s">
        <v>302</v>
      </c>
      <c r="Y67" s="76" t="s">
        <v>400</v>
      </c>
      <c r="Z67" s="61"/>
      <c r="AA67" s="61"/>
      <c r="AB67" s="61"/>
    </row>
    <row r="68" spans="1:28" ht="32" x14ac:dyDescent="0.2">
      <c r="A68" s="61"/>
      <c r="B68" s="54">
        <v>54</v>
      </c>
      <c r="C68" s="76" t="s">
        <v>205</v>
      </c>
      <c r="D68" s="76" t="s">
        <v>3256</v>
      </c>
      <c r="E68" s="76" t="s">
        <v>1148</v>
      </c>
      <c r="F68" s="61" t="s">
        <v>882</v>
      </c>
      <c r="G68" s="131" t="s">
        <v>348</v>
      </c>
      <c r="H68" s="131" t="s">
        <v>771</v>
      </c>
      <c r="I68" s="61" t="s">
        <v>765</v>
      </c>
      <c r="J68" s="104" t="s">
        <v>766</v>
      </c>
      <c r="K68" s="61" t="s">
        <v>348</v>
      </c>
      <c r="L68" s="61" t="s">
        <v>3257</v>
      </c>
      <c r="M68" s="104" t="s">
        <v>3258</v>
      </c>
      <c r="N68" s="61" t="str">
        <f xml:space="preserve"> RetrieveZone( J68 )</f>
        <v>[** NO ZONE **]
Check: inconsistent zones</v>
      </c>
      <c r="O68" s="61" t="str">
        <f xml:space="preserve"> RetrieveZone( M68 )</f>
        <v>[** NO ZONE **]
Check: inconsistent zones</v>
      </c>
      <c r="P68" s="76" t="s">
        <v>326</v>
      </c>
      <c r="Q68" s="61"/>
      <c r="R68" s="76" t="s">
        <v>293</v>
      </c>
      <c r="S68" s="76" t="s">
        <v>310</v>
      </c>
      <c r="T68" s="76" t="s">
        <v>293</v>
      </c>
      <c r="U68" s="61"/>
      <c r="V68" s="61"/>
      <c r="W68" s="61"/>
      <c r="X68" s="76"/>
      <c r="Y68" s="76" t="s">
        <v>575</v>
      </c>
      <c r="Z68" s="61"/>
      <c r="AA68" s="61" t="s">
        <v>3259</v>
      </c>
      <c r="AB68" s="61"/>
    </row>
    <row r="69" spans="1:28" ht="32" x14ac:dyDescent="0.2">
      <c r="A69" s="61"/>
      <c r="B69" s="54">
        <v>55</v>
      </c>
      <c r="C69" s="76" t="s">
        <v>205</v>
      </c>
      <c r="D69" s="76" t="s">
        <v>3260</v>
      </c>
      <c r="E69" s="76" t="s">
        <v>1148</v>
      </c>
      <c r="F69" s="61" t="s">
        <v>348</v>
      </c>
      <c r="G69" s="61" t="s">
        <v>882</v>
      </c>
      <c r="H69" s="131" t="s">
        <v>348</v>
      </c>
      <c r="I69" s="170" t="s">
        <v>3257</v>
      </c>
      <c r="J69" s="214" t="s">
        <v>3258</v>
      </c>
      <c r="K69" s="61" t="s">
        <v>882</v>
      </c>
      <c r="L69" s="61" t="s">
        <v>765</v>
      </c>
      <c r="M69" s="104" t="s">
        <v>766</v>
      </c>
      <c r="N69" s="61" t="str">
        <f xml:space="preserve"> RetrieveZone( J69 )</f>
        <v>[** NO ZONE **]
Check: inconsistent zones</v>
      </c>
      <c r="O69" s="61" t="str">
        <f xml:space="preserve"> RetrieveZone( M69 )</f>
        <v>[** NO ZONE **]
Check: inconsistent zones</v>
      </c>
      <c r="P69" s="76" t="s">
        <v>326</v>
      </c>
      <c r="Q69" s="61"/>
      <c r="R69" s="76" t="s">
        <v>293</v>
      </c>
      <c r="S69" s="76" t="s">
        <v>310</v>
      </c>
      <c r="T69" s="76" t="s">
        <v>293</v>
      </c>
      <c r="U69" s="61"/>
      <c r="V69" s="61"/>
      <c r="W69" s="61"/>
      <c r="X69" s="76"/>
      <c r="Y69" s="76" t="s">
        <v>575</v>
      </c>
      <c r="Z69" s="61"/>
      <c r="AA69" s="61" t="s">
        <v>3259</v>
      </c>
      <c r="AB69" s="61"/>
    </row>
    <row r="70" spans="1:28" ht="16" x14ac:dyDescent="0.2">
      <c r="A70" s="61"/>
      <c r="B70" s="54">
        <v>56</v>
      </c>
      <c r="C70" s="76" t="s">
        <v>400</v>
      </c>
      <c r="D70" s="76"/>
      <c r="E70" s="76" t="s">
        <v>400</v>
      </c>
      <c r="F70" s="61"/>
      <c r="G70" s="61"/>
      <c r="H70" s="61"/>
      <c r="I70" s="61"/>
      <c r="J70" s="61"/>
      <c r="K70" s="61"/>
      <c r="L70" s="61"/>
      <c r="M70" s="61"/>
      <c r="N70" s="104" t="str">
        <f t="shared" ref="N70:N72" si="30" xml:space="preserve"> RetrieveZone( J70 )</f>
        <v>[** NO ZONE **]</v>
      </c>
      <c r="O70" s="104" t="str">
        <f t="shared" si="28"/>
        <v>[** NO ZONE **]</v>
      </c>
      <c r="P70" s="76" t="s">
        <v>400</v>
      </c>
      <c r="Q70" s="61"/>
      <c r="R70" s="76" t="s">
        <v>400</v>
      </c>
      <c r="S70" s="76" t="s">
        <v>400</v>
      </c>
      <c r="T70" s="76" t="s">
        <v>293</v>
      </c>
      <c r="U70" s="61"/>
      <c r="V70" s="61"/>
      <c r="W70" s="61"/>
      <c r="X70" s="76" t="s">
        <v>302</v>
      </c>
      <c r="Y70" s="76" t="s">
        <v>400</v>
      </c>
      <c r="Z70" s="61"/>
      <c r="AA70" s="61"/>
      <c r="AB70" s="61"/>
    </row>
    <row r="71" spans="1:28" ht="16" x14ac:dyDescent="0.2">
      <c r="A71" s="61"/>
      <c r="B71" s="54">
        <v>57</v>
      </c>
      <c r="C71" s="76" t="s">
        <v>400</v>
      </c>
      <c r="D71" s="76"/>
      <c r="E71" s="76" t="s">
        <v>400</v>
      </c>
      <c r="F71" s="61"/>
      <c r="G71" s="61"/>
      <c r="H71" s="61"/>
      <c r="I71" s="61"/>
      <c r="J71" s="61"/>
      <c r="K71" s="61"/>
      <c r="L71" s="61"/>
      <c r="M71" s="61"/>
      <c r="N71" s="104" t="str">
        <f t="shared" si="30"/>
        <v>[** NO ZONE **]</v>
      </c>
      <c r="O71" s="104" t="str">
        <f t="shared" si="28"/>
        <v>[** NO ZONE **]</v>
      </c>
      <c r="P71" s="76" t="s">
        <v>400</v>
      </c>
      <c r="Q71" s="61"/>
      <c r="R71" s="76" t="s">
        <v>400</v>
      </c>
      <c r="S71" s="76" t="s">
        <v>400</v>
      </c>
      <c r="T71" s="76" t="s">
        <v>293</v>
      </c>
      <c r="U71" s="61"/>
      <c r="V71" s="61"/>
      <c r="W71" s="61"/>
      <c r="X71" s="76" t="s">
        <v>302</v>
      </c>
      <c r="Y71" s="76" t="s">
        <v>400</v>
      </c>
      <c r="Z71" s="61"/>
      <c r="AA71" s="61"/>
      <c r="AB71" s="61"/>
    </row>
    <row r="72" spans="1:28" ht="16" x14ac:dyDescent="0.2">
      <c r="A72" s="61"/>
      <c r="B72" s="54">
        <v>58</v>
      </c>
      <c r="C72" s="76" t="s">
        <v>400</v>
      </c>
      <c r="D72" s="76"/>
      <c r="E72" s="76" t="s">
        <v>400</v>
      </c>
      <c r="F72" s="61"/>
      <c r="G72" s="61"/>
      <c r="H72" s="61"/>
      <c r="I72" s="61"/>
      <c r="J72" s="61"/>
      <c r="K72" s="61"/>
      <c r="L72" s="61"/>
      <c r="M72" s="61"/>
      <c r="N72" s="104" t="str">
        <f t="shared" si="30"/>
        <v>[** NO ZONE **]</v>
      </c>
      <c r="O72" s="104" t="str">
        <f t="shared" si="28"/>
        <v>[** NO ZONE **]</v>
      </c>
      <c r="P72" s="76" t="s">
        <v>400</v>
      </c>
      <c r="Q72" s="61"/>
      <c r="R72" s="76" t="s">
        <v>400</v>
      </c>
      <c r="S72" s="76" t="s">
        <v>400</v>
      </c>
      <c r="T72" s="76" t="s">
        <v>293</v>
      </c>
      <c r="U72" s="61"/>
      <c r="V72" s="61"/>
      <c r="W72" s="61"/>
      <c r="X72" s="76" t="s">
        <v>302</v>
      </c>
      <c r="Y72" s="76" t="s">
        <v>400</v>
      </c>
      <c r="Z72" s="61"/>
      <c r="AA72" s="61"/>
      <c r="AB72" s="61"/>
    </row>
    <row r="73" spans="1:28" ht="16" x14ac:dyDescent="0.2">
      <c r="A73" s="61"/>
      <c r="B73" s="54">
        <v>59</v>
      </c>
      <c r="C73" s="76" t="s">
        <v>400</v>
      </c>
      <c r="D73" s="76"/>
      <c r="E73" s="76" t="s">
        <v>400</v>
      </c>
      <c r="F73" s="61"/>
      <c r="G73" s="61"/>
      <c r="H73" s="61"/>
      <c r="I73" s="61"/>
      <c r="J73" s="61"/>
      <c r="K73" s="61"/>
      <c r="L73" s="61"/>
      <c r="M73" s="61"/>
      <c r="N73" s="104" t="str">
        <f t="shared" ref="N73:N75" si="31" xml:space="preserve"> RetrieveZone( J73 )</f>
        <v>[** NO ZONE **]</v>
      </c>
      <c r="O73" s="104" t="str">
        <f t="shared" ref="O73:O82" si="32" xml:space="preserve"> RetrieveZone( M73 )</f>
        <v>[** NO ZONE **]</v>
      </c>
      <c r="P73" s="76" t="s">
        <v>400</v>
      </c>
      <c r="Q73" s="61"/>
      <c r="R73" s="76" t="s">
        <v>400</v>
      </c>
      <c r="S73" s="76" t="s">
        <v>400</v>
      </c>
      <c r="T73" s="76" t="s">
        <v>293</v>
      </c>
      <c r="U73" s="61"/>
      <c r="V73" s="61"/>
      <c r="W73" s="61"/>
      <c r="X73" s="76" t="s">
        <v>302</v>
      </c>
      <c r="Y73" s="76" t="s">
        <v>400</v>
      </c>
      <c r="Z73" s="61"/>
      <c r="AA73" s="61"/>
      <c r="AB73" s="61"/>
    </row>
    <row r="74" spans="1:28" ht="16" x14ac:dyDescent="0.2">
      <c r="A74" s="61"/>
      <c r="B74" s="54">
        <v>60</v>
      </c>
      <c r="C74" s="76" t="s">
        <v>400</v>
      </c>
      <c r="D74" s="76"/>
      <c r="E74" s="76" t="s">
        <v>400</v>
      </c>
      <c r="F74" s="61"/>
      <c r="G74" s="61"/>
      <c r="H74" s="61"/>
      <c r="I74" s="61"/>
      <c r="J74" s="61"/>
      <c r="K74" s="61"/>
      <c r="L74" s="61"/>
      <c r="M74" s="61"/>
      <c r="N74" s="104" t="str">
        <f t="shared" si="31"/>
        <v>[** NO ZONE **]</v>
      </c>
      <c r="O74" s="104" t="str">
        <f t="shared" si="32"/>
        <v>[** NO ZONE **]</v>
      </c>
      <c r="P74" s="76" t="s">
        <v>400</v>
      </c>
      <c r="Q74" s="61"/>
      <c r="R74" s="76" t="s">
        <v>400</v>
      </c>
      <c r="S74" s="76" t="s">
        <v>400</v>
      </c>
      <c r="T74" s="76" t="s">
        <v>293</v>
      </c>
      <c r="U74" s="61"/>
      <c r="V74" s="61"/>
      <c r="W74" s="61"/>
      <c r="X74" s="76" t="s">
        <v>302</v>
      </c>
      <c r="Y74" s="76" t="s">
        <v>400</v>
      </c>
      <c r="Z74" s="61"/>
      <c r="AA74" s="61"/>
      <c r="AB74" s="61"/>
    </row>
    <row r="75" spans="1:28" ht="16" x14ac:dyDescent="0.2">
      <c r="A75" s="61"/>
      <c r="B75" s="54">
        <v>61</v>
      </c>
      <c r="C75" s="76" t="s">
        <v>400</v>
      </c>
      <c r="D75" s="76"/>
      <c r="E75" s="76" t="s">
        <v>400</v>
      </c>
      <c r="F75" s="61"/>
      <c r="G75" s="61"/>
      <c r="H75" s="61"/>
      <c r="I75" s="61"/>
      <c r="J75" s="61"/>
      <c r="K75" s="61"/>
      <c r="L75" s="61"/>
      <c r="M75" s="61"/>
      <c r="N75" s="104" t="str">
        <f t="shared" si="31"/>
        <v>[** NO ZONE **]</v>
      </c>
      <c r="O75" s="104" t="str">
        <f t="shared" si="32"/>
        <v>[** NO ZONE **]</v>
      </c>
      <c r="P75" s="76" t="s">
        <v>400</v>
      </c>
      <c r="Q75" s="61"/>
      <c r="R75" s="76" t="s">
        <v>400</v>
      </c>
      <c r="S75" s="76" t="s">
        <v>400</v>
      </c>
      <c r="T75" s="76" t="s">
        <v>293</v>
      </c>
      <c r="U75" s="61"/>
      <c r="V75" s="61"/>
      <c r="W75" s="61"/>
      <c r="X75" s="76" t="s">
        <v>302</v>
      </c>
      <c r="Y75" s="76" t="s">
        <v>400</v>
      </c>
      <c r="Z75" s="61"/>
      <c r="AA75" s="61"/>
      <c r="AB75" s="61"/>
    </row>
    <row r="76" spans="1:28" ht="16" x14ac:dyDescent="0.2">
      <c r="A76" s="61"/>
      <c r="B76" s="54">
        <v>62</v>
      </c>
      <c r="C76" s="76" t="s">
        <v>400</v>
      </c>
      <c r="D76" s="76"/>
      <c r="E76" s="76" t="s">
        <v>400</v>
      </c>
      <c r="F76" s="61"/>
      <c r="G76" s="61"/>
      <c r="H76" s="61"/>
      <c r="I76" s="61"/>
      <c r="J76" s="61"/>
      <c r="K76" s="61"/>
      <c r="L76" s="61"/>
      <c r="M76" s="61"/>
      <c r="N76" s="104" t="str">
        <f xml:space="preserve"> RetrieveZone( J76 )</f>
        <v>[** NO ZONE **]</v>
      </c>
      <c r="O76" s="104" t="str">
        <f t="shared" si="32"/>
        <v>[** NO ZONE **]</v>
      </c>
      <c r="P76" s="76" t="s">
        <v>400</v>
      </c>
      <c r="Q76" s="61"/>
      <c r="R76" s="76" t="s">
        <v>400</v>
      </c>
      <c r="S76" s="76" t="s">
        <v>400</v>
      </c>
      <c r="T76" s="76" t="s">
        <v>293</v>
      </c>
      <c r="U76" s="61"/>
      <c r="V76" s="61"/>
      <c r="W76" s="61"/>
      <c r="X76" s="76" t="s">
        <v>302</v>
      </c>
      <c r="Y76" s="76" t="s">
        <v>400</v>
      </c>
      <c r="Z76" s="61"/>
      <c r="AA76" s="61"/>
      <c r="AB76" s="61"/>
    </row>
    <row r="77" spans="1:28" ht="16" x14ac:dyDescent="0.2">
      <c r="A77" s="61"/>
      <c r="B77" s="54">
        <v>63</v>
      </c>
      <c r="C77" s="76" t="s">
        <v>400</v>
      </c>
      <c r="D77" s="76"/>
      <c r="E77" s="76" t="s">
        <v>400</v>
      </c>
      <c r="F77" s="61"/>
      <c r="G77" s="61"/>
      <c r="H77" s="61"/>
      <c r="I77" s="61"/>
      <c r="J77" s="61"/>
      <c r="K77" s="61"/>
      <c r="L77" s="61"/>
      <c r="M77" s="61"/>
      <c r="N77" s="104" t="str">
        <f xml:space="preserve"> RetrieveZone( J77 )</f>
        <v>[** NO ZONE **]</v>
      </c>
      <c r="O77" s="104" t="str">
        <f t="shared" si="32"/>
        <v>[** NO ZONE **]</v>
      </c>
      <c r="P77" s="76" t="s">
        <v>400</v>
      </c>
      <c r="Q77" s="61"/>
      <c r="R77" s="76" t="s">
        <v>400</v>
      </c>
      <c r="S77" s="76" t="s">
        <v>400</v>
      </c>
      <c r="T77" s="76" t="s">
        <v>293</v>
      </c>
      <c r="U77" s="61"/>
      <c r="V77" s="61"/>
      <c r="W77" s="61"/>
      <c r="X77" s="76" t="s">
        <v>302</v>
      </c>
      <c r="Y77" s="76" t="s">
        <v>400</v>
      </c>
      <c r="Z77" s="61"/>
      <c r="AA77" s="61"/>
      <c r="AB77" s="61"/>
    </row>
    <row r="78" spans="1:28" ht="16" x14ac:dyDescent="0.2">
      <c r="A78" s="61"/>
      <c r="B78" s="54">
        <v>64</v>
      </c>
      <c r="C78" s="76" t="s">
        <v>400</v>
      </c>
      <c r="D78" s="76"/>
      <c r="E78" s="76" t="s">
        <v>400</v>
      </c>
      <c r="F78" s="61"/>
      <c r="G78" s="61"/>
      <c r="H78" s="61"/>
      <c r="I78" s="61"/>
      <c r="J78" s="61"/>
      <c r="K78" s="61"/>
      <c r="L78" s="61"/>
      <c r="M78" s="61"/>
      <c r="N78" s="104" t="str">
        <f xml:space="preserve"> RetrieveZone( J78 )</f>
        <v>[** NO ZONE **]</v>
      </c>
      <c r="O78" s="104" t="str">
        <f t="shared" si="32"/>
        <v>[** NO ZONE **]</v>
      </c>
      <c r="P78" s="76" t="s">
        <v>400</v>
      </c>
      <c r="Q78" s="61"/>
      <c r="R78" s="76" t="s">
        <v>400</v>
      </c>
      <c r="S78" s="76" t="s">
        <v>400</v>
      </c>
      <c r="T78" s="76" t="s">
        <v>293</v>
      </c>
      <c r="U78" s="61"/>
      <c r="V78" s="61"/>
      <c r="W78" s="61"/>
      <c r="X78" s="76" t="s">
        <v>302</v>
      </c>
      <c r="Y78" s="76" t="s">
        <v>400</v>
      </c>
      <c r="Z78" s="61"/>
      <c r="AA78" s="61"/>
      <c r="AB78" s="61"/>
    </row>
    <row r="79" spans="1:28" ht="16" x14ac:dyDescent="0.2">
      <c r="A79" s="61"/>
      <c r="B79" s="54">
        <v>65</v>
      </c>
      <c r="C79" s="76" t="s">
        <v>400</v>
      </c>
      <c r="D79" s="76"/>
      <c r="E79" s="76" t="s">
        <v>400</v>
      </c>
      <c r="F79" s="61"/>
      <c r="G79" s="61"/>
      <c r="H79" s="61"/>
      <c r="I79" s="61"/>
      <c r="J79" s="61"/>
      <c r="K79" s="61"/>
      <c r="L79" s="61"/>
      <c r="M79" s="61"/>
      <c r="N79" s="104" t="str">
        <f t="shared" ref="N79:N85" si="33" xml:space="preserve"> RetrieveZone( J79 )</f>
        <v>[** NO ZONE **]</v>
      </c>
      <c r="O79" s="104" t="str">
        <f t="shared" si="32"/>
        <v>[** NO ZONE **]</v>
      </c>
      <c r="P79" s="76" t="s">
        <v>400</v>
      </c>
      <c r="Q79" s="61"/>
      <c r="R79" s="76" t="s">
        <v>400</v>
      </c>
      <c r="S79" s="76" t="s">
        <v>400</v>
      </c>
      <c r="T79" s="76" t="s">
        <v>293</v>
      </c>
      <c r="U79" s="61"/>
      <c r="V79" s="61"/>
      <c r="W79" s="61"/>
      <c r="X79" s="76" t="s">
        <v>302</v>
      </c>
      <c r="Y79" s="76" t="s">
        <v>400</v>
      </c>
      <c r="Z79" s="61"/>
      <c r="AA79" s="61"/>
      <c r="AB79" s="61"/>
    </row>
    <row r="80" spans="1:28" ht="16" x14ac:dyDescent="0.2">
      <c r="A80" s="61"/>
      <c r="B80" s="54">
        <v>66</v>
      </c>
      <c r="C80" s="76" t="s">
        <v>400</v>
      </c>
      <c r="D80" s="76"/>
      <c r="E80" s="76" t="s">
        <v>400</v>
      </c>
      <c r="F80" s="61"/>
      <c r="G80" s="61"/>
      <c r="H80" s="61"/>
      <c r="I80" s="61"/>
      <c r="J80" s="61"/>
      <c r="K80" s="61"/>
      <c r="L80" s="61"/>
      <c r="M80" s="61"/>
      <c r="N80" s="104" t="str">
        <f t="shared" si="33"/>
        <v>[** NO ZONE **]</v>
      </c>
      <c r="O80" s="104" t="str">
        <f t="shared" si="32"/>
        <v>[** NO ZONE **]</v>
      </c>
      <c r="P80" s="76" t="s">
        <v>400</v>
      </c>
      <c r="Q80" s="61"/>
      <c r="R80" s="76" t="s">
        <v>400</v>
      </c>
      <c r="S80" s="76" t="s">
        <v>400</v>
      </c>
      <c r="T80" s="76" t="s">
        <v>293</v>
      </c>
      <c r="U80" s="61"/>
      <c r="V80" s="61"/>
      <c r="W80" s="61"/>
      <c r="X80" s="76" t="s">
        <v>302</v>
      </c>
      <c r="Y80" s="76" t="s">
        <v>400</v>
      </c>
      <c r="Z80" s="61"/>
      <c r="AA80" s="61"/>
      <c r="AB80" s="61"/>
    </row>
    <row r="81" spans="1:28" ht="16" x14ac:dyDescent="0.2">
      <c r="A81" s="61"/>
      <c r="B81" s="54">
        <v>67</v>
      </c>
      <c r="C81" s="76" t="s">
        <v>400</v>
      </c>
      <c r="D81" s="76"/>
      <c r="E81" s="76" t="s">
        <v>400</v>
      </c>
      <c r="F81" s="61"/>
      <c r="G81" s="61"/>
      <c r="H81" s="61"/>
      <c r="I81" s="61"/>
      <c r="J81" s="61"/>
      <c r="K81" s="61"/>
      <c r="L81" s="61"/>
      <c r="M81" s="61"/>
      <c r="N81" s="104" t="str">
        <f t="shared" si="33"/>
        <v>[** NO ZONE **]</v>
      </c>
      <c r="O81" s="104" t="str">
        <f t="shared" si="32"/>
        <v>[** NO ZONE **]</v>
      </c>
      <c r="P81" s="76" t="s">
        <v>400</v>
      </c>
      <c r="Q81" s="61"/>
      <c r="R81" s="76" t="s">
        <v>400</v>
      </c>
      <c r="S81" s="76" t="s">
        <v>400</v>
      </c>
      <c r="T81" s="76" t="s">
        <v>293</v>
      </c>
      <c r="U81" s="61"/>
      <c r="V81" s="61"/>
      <c r="W81" s="61"/>
      <c r="X81" s="76" t="s">
        <v>302</v>
      </c>
      <c r="Y81" s="76" t="s">
        <v>400</v>
      </c>
      <c r="Z81" s="61"/>
      <c r="AA81" s="61"/>
      <c r="AB81" s="61"/>
    </row>
    <row r="82" spans="1:28" ht="16" x14ac:dyDescent="0.2">
      <c r="A82" s="61"/>
      <c r="B82" s="54">
        <v>68</v>
      </c>
      <c r="C82" s="76" t="s">
        <v>400</v>
      </c>
      <c r="D82" s="76"/>
      <c r="E82" s="76" t="s">
        <v>400</v>
      </c>
      <c r="F82" s="61"/>
      <c r="G82" s="61"/>
      <c r="H82" s="61"/>
      <c r="I82" s="61"/>
      <c r="J82" s="61"/>
      <c r="K82" s="61"/>
      <c r="L82" s="61"/>
      <c r="M82" s="61"/>
      <c r="N82" s="104" t="str">
        <f t="shared" si="33"/>
        <v>[** NO ZONE **]</v>
      </c>
      <c r="O82" s="104" t="str">
        <f t="shared" si="32"/>
        <v>[** NO ZONE **]</v>
      </c>
      <c r="P82" s="76" t="s">
        <v>400</v>
      </c>
      <c r="Q82" s="61"/>
      <c r="R82" s="76" t="s">
        <v>400</v>
      </c>
      <c r="S82" s="76" t="s">
        <v>400</v>
      </c>
      <c r="T82" s="76" t="s">
        <v>293</v>
      </c>
      <c r="U82" s="61"/>
      <c r="V82" s="61"/>
      <c r="W82" s="61"/>
      <c r="X82" s="76" t="s">
        <v>302</v>
      </c>
      <c r="Y82" s="76" t="s">
        <v>400</v>
      </c>
      <c r="Z82" s="61"/>
      <c r="AA82" s="61"/>
      <c r="AB82" s="61"/>
    </row>
    <row r="83" spans="1:28" ht="16" x14ac:dyDescent="0.2">
      <c r="A83" s="61"/>
      <c r="B83" s="54">
        <v>69</v>
      </c>
      <c r="C83" s="76" t="s">
        <v>400</v>
      </c>
      <c r="D83" s="76"/>
      <c r="E83" s="76" t="s">
        <v>400</v>
      </c>
      <c r="F83" s="61"/>
      <c r="G83" s="61"/>
      <c r="H83" s="61"/>
      <c r="I83" s="61"/>
      <c r="J83" s="61"/>
      <c r="K83" s="61"/>
      <c r="L83" s="61"/>
      <c r="M83" s="61"/>
      <c r="N83" s="104" t="str">
        <f t="shared" si="33"/>
        <v>[** NO ZONE **]</v>
      </c>
      <c r="O83" s="104" t="str">
        <f t="shared" ref="O83:O116" si="34" xml:space="preserve"> RetrieveZone( M83 )</f>
        <v>[** NO ZONE **]</v>
      </c>
      <c r="P83" s="76" t="s">
        <v>400</v>
      </c>
      <c r="Q83" s="61"/>
      <c r="R83" s="76" t="s">
        <v>400</v>
      </c>
      <c r="S83" s="76" t="s">
        <v>400</v>
      </c>
      <c r="T83" s="76" t="s">
        <v>293</v>
      </c>
      <c r="U83" s="61"/>
      <c r="V83" s="61"/>
      <c r="W83" s="61"/>
      <c r="X83" s="76" t="s">
        <v>302</v>
      </c>
      <c r="Y83" s="76" t="s">
        <v>400</v>
      </c>
      <c r="Z83" s="61"/>
      <c r="AA83" s="61"/>
      <c r="AB83" s="61"/>
    </row>
    <row r="84" spans="1:28" ht="16" x14ac:dyDescent="0.2">
      <c r="A84" s="61"/>
      <c r="B84" s="54">
        <v>70</v>
      </c>
      <c r="C84" s="76" t="s">
        <v>400</v>
      </c>
      <c r="D84" s="76"/>
      <c r="E84" s="76" t="s">
        <v>400</v>
      </c>
      <c r="F84" s="61"/>
      <c r="G84" s="61"/>
      <c r="H84" s="61"/>
      <c r="I84" s="61"/>
      <c r="J84" s="61"/>
      <c r="K84" s="61"/>
      <c r="L84" s="61"/>
      <c r="M84" s="61"/>
      <c r="N84" s="104" t="str">
        <f t="shared" si="33"/>
        <v>[** NO ZONE **]</v>
      </c>
      <c r="O84" s="104" t="str">
        <f t="shared" si="34"/>
        <v>[** NO ZONE **]</v>
      </c>
      <c r="P84" s="76" t="s">
        <v>400</v>
      </c>
      <c r="Q84" s="61"/>
      <c r="R84" s="76" t="s">
        <v>400</v>
      </c>
      <c r="S84" s="76" t="s">
        <v>400</v>
      </c>
      <c r="T84" s="76" t="s">
        <v>293</v>
      </c>
      <c r="U84" s="61"/>
      <c r="V84" s="61"/>
      <c r="W84" s="61"/>
      <c r="X84" s="76" t="s">
        <v>302</v>
      </c>
      <c r="Y84" s="76" t="s">
        <v>400</v>
      </c>
      <c r="Z84" s="61"/>
      <c r="AA84" s="61"/>
      <c r="AB84" s="61"/>
    </row>
    <row r="85" spans="1:28" ht="16" x14ac:dyDescent="0.2">
      <c r="A85" s="61"/>
      <c r="B85" s="54">
        <v>71</v>
      </c>
      <c r="C85" s="76" t="s">
        <v>400</v>
      </c>
      <c r="D85" s="76"/>
      <c r="E85" s="76" t="s">
        <v>400</v>
      </c>
      <c r="F85" s="61"/>
      <c r="G85" s="61"/>
      <c r="H85" s="61"/>
      <c r="I85" s="61"/>
      <c r="J85" s="61"/>
      <c r="K85" s="61"/>
      <c r="L85" s="61"/>
      <c r="M85" s="61"/>
      <c r="N85" s="104" t="str">
        <f t="shared" si="33"/>
        <v>[** NO ZONE **]</v>
      </c>
      <c r="O85" s="104" t="str">
        <f t="shared" si="34"/>
        <v>[** NO ZONE **]</v>
      </c>
      <c r="P85" s="76" t="s">
        <v>400</v>
      </c>
      <c r="Q85" s="61"/>
      <c r="R85" s="76" t="s">
        <v>400</v>
      </c>
      <c r="S85" s="76" t="s">
        <v>400</v>
      </c>
      <c r="T85" s="76" t="s">
        <v>293</v>
      </c>
      <c r="U85" s="61"/>
      <c r="V85" s="61"/>
      <c r="W85" s="61"/>
      <c r="X85" s="76" t="s">
        <v>302</v>
      </c>
      <c r="Y85" s="76" t="s">
        <v>400</v>
      </c>
      <c r="Z85" s="61"/>
      <c r="AA85" s="61"/>
      <c r="AB85" s="61"/>
    </row>
    <row r="86" spans="1:28" ht="16" x14ac:dyDescent="0.2">
      <c r="A86" s="61"/>
      <c r="B86" s="54">
        <v>72</v>
      </c>
      <c r="C86" s="76" t="s">
        <v>400</v>
      </c>
      <c r="D86" s="76"/>
      <c r="E86" s="76" t="s">
        <v>400</v>
      </c>
      <c r="F86" s="61"/>
      <c r="G86" s="61"/>
      <c r="H86" s="61"/>
      <c r="I86" s="61"/>
      <c r="J86" s="61"/>
      <c r="K86" s="61"/>
      <c r="L86" s="61"/>
      <c r="M86" s="61"/>
      <c r="N86" s="104" t="str">
        <f xml:space="preserve"> RetrieveZone( J86 )</f>
        <v>[** NO ZONE **]</v>
      </c>
      <c r="O86" s="104" t="str">
        <f t="shared" si="34"/>
        <v>[** NO ZONE **]</v>
      </c>
      <c r="P86" s="76" t="s">
        <v>400</v>
      </c>
      <c r="Q86" s="61"/>
      <c r="R86" s="76" t="s">
        <v>400</v>
      </c>
      <c r="S86" s="76" t="s">
        <v>400</v>
      </c>
      <c r="T86" s="76" t="s">
        <v>293</v>
      </c>
      <c r="U86" s="61"/>
      <c r="V86" s="61"/>
      <c r="W86" s="61"/>
      <c r="X86" s="76" t="s">
        <v>302</v>
      </c>
      <c r="Y86" s="76" t="s">
        <v>400</v>
      </c>
      <c r="Z86" s="61"/>
      <c r="AA86" s="61"/>
      <c r="AB86" s="61"/>
    </row>
    <row r="87" spans="1:28" ht="16" x14ac:dyDescent="0.2">
      <c r="A87" s="61"/>
      <c r="B87" s="54">
        <v>73</v>
      </c>
      <c r="C87" s="76" t="s">
        <v>400</v>
      </c>
      <c r="D87" s="76"/>
      <c r="E87" s="76" t="s">
        <v>400</v>
      </c>
      <c r="F87" s="61"/>
      <c r="G87" s="61"/>
      <c r="H87" s="61"/>
      <c r="I87" s="61"/>
      <c r="J87" s="61"/>
      <c r="K87" s="61"/>
      <c r="L87" s="61"/>
      <c r="M87" s="61"/>
      <c r="N87" s="104" t="str">
        <f xml:space="preserve"> RetrieveZone( J87 )</f>
        <v>[** NO ZONE **]</v>
      </c>
      <c r="O87" s="104" t="str">
        <f t="shared" si="34"/>
        <v>[** NO ZONE **]</v>
      </c>
      <c r="P87" s="76" t="s">
        <v>400</v>
      </c>
      <c r="Q87" s="61"/>
      <c r="R87" s="76" t="s">
        <v>400</v>
      </c>
      <c r="S87" s="76" t="s">
        <v>400</v>
      </c>
      <c r="T87" s="76" t="s">
        <v>293</v>
      </c>
      <c r="U87" s="61"/>
      <c r="V87" s="61"/>
      <c r="W87" s="61"/>
      <c r="X87" s="76" t="s">
        <v>302</v>
      </c>
      <c r="Y87" s="76" t="s">
        <v>400</v>
      </c>
      <c r="Z87" s="61"/>
      <c r="AA87" s="61"/>
      <c r="AB87" s="61"/>
    </row>
    <row r="88" spans="1:28" ht="16" x14ac:dyDescent="0.2">
      <c r="A88" s="61"/>
      <c r="B88" s="54">
        <v>74</v>
      </c>
      <c r="C88" s="76" t="s">
        <v>400</v>
      </c>
      <c r="D88" s="76"/>
      <c r="E88" s="76" t="s">
        <v>400</v>
      </c>
      <c r="F88" s="61"/>
      <c r="G88" s="61"/>
      <c r="H88" s="61"/>
      <c r="I88" s="61"/>
      <c r="J88" s="61"/>
      <c r="K88" s="61"/>
      <c r="L88" s="61"/>
      <c r="M88" s="61"/>
      <c r="N88" s="104" t="str">
        <f xml:space="preserve"> RetrieveZone( J88 )</f>
        <v>[** NO ZONE **]</v>
      </c>
      <c r="O88" s="104" t="str">
        <f t="shared" si="34"/>
        <v>[** NO ZONE **]</v>
      </c>
      <c r="P88" s="76" t="s">
        <v>400</v>
      </c>
      <c r="Q88" s="61"/>
      <c r="R88" s="76" t="s">
        <v>400</v>
      </c>
      <c r="S88" s="76" t="s">
        <v>400</v>
      </c>
      <c r="T88" s="76" t="s">
        <v>293</v>
      </c>
      <c r="U88" s="61"/>
      <c r="V88" s="61"/>
      <c r="W88" s="61"/>
      <c r="X88" s="76" t="s">
        <v>302</v>
      </c>
      <c r="Y88" s="76" t="s">
        <v>400</v>
      </c>
      <c r="Z88" s="61"/>
      <c r="AA88" s="61"/>
      <c r="AB88" s="61"/>
    </row>
    <row r="89" spans="1:28" ht="16" x14ac:dyDescent="0.2">
      <c r="A89" s="61"/>
      <c r="B89" s="54">
        <v>75</v>
      </c>
      <c r="C89" s="76" t="s">
        <v>400</v>
      </c>
      <c r="D89" s="76"/>
      <c r="E89" s="76" t="s">
        <v>400</v>
      </c>
      <c r="F89" s="61"/>
      <c r="G89" s="61"/>
      <c r="H89" s="61"/>
      <c r="I89" s="61"/>
      <c r="J89" s="61"/>
      <c r="K89" s="61"/>
      <c r="L89" s="61"/>
      <c r="M89" s="61"/>
      <c r="N89" s="104" t="str">
        <f t="shared" ref="N89:N94" si="35" xml:space="preserve"> RetrieveZone( J89 )</f>
        <v>[** NO ZONE **]</v>
      </c>
      <c r="O89" s="104" t="str">
        <f t="shared" si="34"/>
        <v>[** NO ZONE **]</v>
      </c>
      <c r="P89" s="76" t="s">
        <v>400</v>
      </c>
      <c r="Q89" s="61"/>
      <c r="R89" s="76" t="s">
        <v>400</v>
      </c>
      <c r="S89" s="76" t="s">
        <v>400</v>
      </c>
      <c r="T89" s="76" t="s">
        <v>293</v>
      </c>
      <c r="U89" s="61"/>
      <c r="V89" s="61"/>
      <c r="W89" s="61"/>
      <c r="X89" s="76" t="s">
        <v>302</v>
      </c>
      <c r="Y89" s="76" t="s">
        <v>400</v>
      </c>
      <c r="Z89" s="61"/>
      <c r="AA89" s="61"/>
      <c r="AB89" s="61"/>
    </row>
    <row r="90" spans="1:28" ht="16" x14ac:dyDescent="0.2">
      <c r="A90" s="61"/>
      <c r="B90" s="54">
        <v>76</v>
      </c>
      <c r="C90" s="76" t="s">
        <v>400</v>
      </c>
      <c r="D90" s="76"/>
      <c r="E90" s="76" t="s">
        <v>400</v>
      </c>
      <c r="F90" s="61"/>
      <c r="G90" s="61"/>
      <c r="H90" s="61"/>
      <c r="I90" s="61"/>
      <c r="J90" s="61"/>
      <c r="K90" s="61"/>
      <c r="L90" s="61"/>
      <c r="M90" s="61"/>
      <c r="N90" s="104" t="str">
        <f t="shared" si="35"/>
        <v>[** NO ZONE **]</v>
      </c>
      <c r="O90" s="104" t="str">
        <f t="shared" si="34"/>
        <v>[** NO ZONE **]</v>
      </c>
      <c r="P90" s="76" t="s">
        <v>400</v>
      </c>
      <c r="Q90" s="61"/>
      <c r="R90" s="76" t="s">
        <v>400</v>
      </c>
      <c r="S90" s="76" t="s">
        <v>400</v>
      </c>
      <c r="T90" s="76" t="s">
        <v>293</v>
      </c>
      <c r="U90" s="61"/>
      <c r="V90" s="61"/>
      <c r="W90" s="61"/>
      <c r="X90" s="76" t="s">
        <v>302</v>
      </c>
      <c r="Y90" s="76" t="s">
        <v>400</v>
      </c>
      <c r="Z90" s="61"/>
      <c r="AA90" s="61"/>
      <c r="AB90" s="61"/>
    </row>
    <row r="91" spans="1:28" ht="16" x14ac:dyDescent="0.2">
      <c r="A91" s="61"/>
      <c r="B91" s="54">
        <v>77</v>
      </c>
      <c r="C91" s="76" t="s">
        <v>400</v>
      </c>
      <c r="D91" s="76"/>
      <c r="E91" s="76" t="s">
        <v>400</v>
      </c>
      <c r="F91" s="61"/>
      <c r="G91" s="61"/>
      <c r="H91" s="61"/>
      <c r="I91" s="61"/>
      <c r="J91" s="61"/>
      <c r="K91" s="61"/>
      <c r="L91" s="61"/>
      <c r="M91" s="61"/>
      <c r="N91" s="104" t="str">
        <f t="shared" si="35"/>
        <v>[** NO ZONE **]</v>
      </c>
      <c r="O91" s="104" t="str">
        <f t="shared" si="34"/>
        <v>[** NO ZONE **]</v>
      </c>
      <c r="P91" s="76" t="s">
        <v>400</v>
      </c>
      <c r="Q91" s="61"/>
      <c r="R91" s="76" t="s">
        <v>400</v>
      </c>
      <c r="S91" s="76" t="s">
        <v>400</v>
      </c>
      <c r="T91" s="76" t="s">
        <v>293</v>
      </c>
      <c r="U91" s="61"/>
      <c r="V91" s="61"/>
      <c r="W91" s="61"/>
      <c r="X91" s="76" t="s">
        <v>302</v>
      </c>
      <c r="Y91" s="76" t="s">
        <v>400</v>
      </c>
      <c r="Z91" s="61"/>
      <c r="AA91" s="61"/>
      <c r="AB91" s="61"/>
    </row>
    <row r="92" spans="1:28" ht="16" x14ac:dyDescent="0.2">
      <c r="A92" s="61"/>
      <c r="B92" s="54">
        <v>78</v>
      </c>
      <c r="C92" s="76" t="s">
        <v>400</v>
      </c>
      <c r="D92" s="76"/>
      <c r="E92" s="76" t="s">
        <v>400</v>
      </c>
      <c r="F92" s="61"/>
      <c r="G92" s="61"/>
      <c r="H92" s="61"/>
      <c r="I92" s="61"/>
      <c r="J92" s="61"/>
      <c r="K92" s="61"/>
      <c r="L92" s="61"/>
      <c r="M92" s="61"/>
      <c r="N92" s="104" t="str">
        <f t="shared" si="35"/>
        <v>[** NO ZONE **]</v>
      </c>
      <c r="O92" s="104" t="str">
        <f t="shared" si="34"/>
        <v>[** NO ZONE **]</v>
      </c>
      <c r="P92" s="76" t="s">
        <v>400</v>
      </c>
      <c r="Q92" s="61"/>
      <c r="R92" s="76" t="s">
        <v>400</v>
      </c>
      <c r="S92" s="76" t="s">
        <v>400</v>
      </c>
      <c r="T92" s="76" t="s">
        <v>293</v>
      </c>
      <c r="U92" s="61"/>
      <c r="V92" s="61"/>
      <c r="W92" s="61"/>
      <c r="X92" s="76" t="s">
        <v>302</v>
      </c>
      <c r="Y92" s="76" t="s">
        <v>400</v>
      </c>
      <c r="Z92" s="61"/>
      <c r="AA92" s="61"/>
      <c r="AB92" s="61"/>
    </row>
    <row r="93" spans="1:28" ht="16" x14ac:dyDescent="0.2">
      <c r="A93" s="61"/>
      <c r="B93" s="54">
        <v>79</v>
      </c>
      <c r="C93" s="76" t="s">
        <v>400</v>
      </c>
      <c r="D93" s="76"/>
      <c r="E93" s="76" t="s">
        <v>400</v>
      </c>
      <c r="F93" s="61"/>
      <c r="G93" s="61"/>
      <c r="H93" s="61"/>
      <c r="I93" s="61"/>
      <c r="J93" s="61"/>
      <c r="K93" s="61"/>
      <c r="L93" s="61"/>
      <c r="M93" s="61"/>
      <c r="N93" s="104" t="str">
        <f t="shared" si="35"/>
        <v>[** NO ZONE **]</v>
      </c>
      <c r="O93" s="104" t="str">
        <f t="shared" si="34"/>
        <v>[** NO ZONE **]</v>
      </c>
      <c r="P93" s="76" t="s">
        <v>400</v>
      </c>
      <c r="Q93" s="61"/>
      <c r="R93" s="76" t="s">
        <v>400</v>
      </c>
      <c r="S93" s="76" t="s">
        <v>400</v>
      </c>
      <c r="T93" s="76" t="s">
        <v>293</v>
      </c>
      <c r="U93" s="61"/>
      <c r="V93" s="61"/>
      <c r="W93" s="61"/>
      <c r="X93" s="76" t="s">
        <v>302</v>
      </c>
      <c r="Y93" s="76" t="s">
        <v>400</v>
      </c>
      <c r="Z93" s="61"/>
      <c r="AA93" s="61"/>
      <c r="AB93" s="61"/>
    </row>
    <row r="94" spans="1:28" ht="16" x14ac:dyDescent="0.2">
      <c r="A94" s="61"/>
      <c r="B94" s="54">
        <v>80</v>
      </c>
      <c r="C94" s="76" t="s">
        <v>400</v>
      </c>
      <c r="D94" s="76"/>
      <c r="E94" s="76" t="s">
        <v>400</v>
      </c>
      <c r="F94" s="61"/>
      <c r="G94" s="61"/>
      <c r="H94" s="61"/>
      <c r="I94" s="61"/>
      <c r="J94" s="61"/>
      <c r="K94" s="61"/>
      <c r="L94" s="61"/>
      <c r="M94" s="61"/>
      <c r="N94" s="104" t="str">
        <f t="shared" si="35"/>
        <v>[** NO ZONE **]</v>
      </c>
      <c r="O94" s="104" t="str">
        <f t="shared" si="34"/>
        <v>[** NO ZONE **]</v>
      </c>
      <c r="P94" s="76" t="s">
        <v>400</v>
      </c>
      <c r="Q94" s="61"/>
      <c r="R94" s="76" t="s">
        <v>400</v>
      </c>
      <c r="S94" s="76" t="s">
        <v>400</v>
      </c>
      <c r="T94" s="76" t="s">
        <v>293</v>
      </c>
      <c r="U94" s="61"/>
      <c r="V94" s="61"/>
      <c r="W94" s="61"/>
      <c r="X94" s="76" t="s">
        <v>302</v>
      </c>
      <c r="Y94" s="76" t="s">
        <v>400</v>
      </c>
      <c r="Z94" s="61"/>
      <c r="AA94" s="61"/>
      <c r="AB94" s="61"/>
    </row>
    <row r="95" spans="1:28" ht="16" x14ac:dyDescent="0.2">
      <c r="A95" s="61"/>
      <c r="B95" s="54">
        <v>81</v>
      </c>
      <c r="C95" s="76" t="s">
        <v>400</v>
      </c>
      <c r="D95" s="76"/>
      <c r="E95" s="76" t="s">
        <v>400</v>
      </c>
      <c r="F95" s="61"/>
      <c r="G95" s="61"/>
      <c r="H95" s="61"/>
      <c r="I95" s="61"/>
      <c r="J95" s="61"/>
      <c r="K95" s="61"/>
      <c r="L95" s="61"/>
      <c r="M95" s="61"/>
      <c r="N95" s="104" t="str">
        <f xml:space="preserve"> RetrieveZone( J95 )</f>
        <v>[** NO ZONE **]</v>
      </c>
      <c r="O95" s="104" t="str">
        <f t="shared" si="34"/>
        <v>[** NO ZONE **]</v>
      </c>
      <c r="P95" s="76" t="s">
        <v>400</v>
      </c>
      <c r="Q95" s="61"/>
      <c r="R95" s="76" t="s">
        <v>400</v>
      </c>
      <c r="S95" s="76" t="s">
        <v>400</v>
      </c>
      <c r="T95" s="76" t="s">
        <v>293</v>
      </c>
      <c r="U95" s="61"/>
      <c r="V95" s="61"/>
      <c r="W95" s="61"/>
      <c r="X95" s="76" t="s">
        <v>302</v>
      </c>
      <c r="Y95" s="76" t="s">
        <v>400</v>
      </c>
      <c r="Z95" s="61"/>
      <c r="AA95" s="61"/>
      <c r="AB95" s="61"/>
    </row>
    <row r="96" spans="1:28" ht="16" x14ac:dyDescent="0.2">
      <c r="A96" s="61"/>
      <c r="B96" s="54">
        <v>82</v>
      </c>
      <c r="C96" s="76" t="s">
        <v>400</v>
      </c>
      <c r="D96" s="76"/>
      <c r="E96" s="76" t="s">
        <v>400</v>
      </c>
      <c r="F96" s="61"/>
      <c r="G96" s="61"/>
      <c r="H96" s="61"/>
      <c r="I96" s="61"/>
      <c r="J96" s="61"/>
      <c r="K96" s="61"/>
      <c r="L96" s="61"/>
      <c r="M96" s="61"/>
      <c r="N96" s="104" t="str">
        <f t="shared" ref="N96:N115" si="36" xml:space="preserve"> RetrieveZone( J96 )</f>
        <v>[** NO ZONE **]</v>
      </c>
      <c r="O96" s="104" t="str">
        <f t="shared" si="34"/>
        <v>[** NO ZONE **]</v>
      </c>
      <c r="P96" s="76" t="s">
        <v>400</v>
      </c>
      <c r="Q96" s="61"/>
      <c r="R96" s="76" t="s">
        <v>400</v>
      </c>
      <c r="S96" s="76" t="s">
        <v>400</v>
      </c>
      <c r="T96" s="76" t="s">
        <v>293</v>
      </c>
      <c r="U96" s="61"/>
      <c r="V96" s="61"/>
      <c r="W96" s="61"/>
      <c r="X96" s="76" t="s">
        <v>302</v>
      </c>
      <c r="Y96" s="76" t="s">
        <v>400</v>
      </c>
      <c r="Z96" s="61"/>
      <c r="AA96" s="61"/>
      <c r="AB96" s="61"/>
    </row>
    <row r="97" spans="1:28" ht="16" x14ac:dyDescent="0.2">
      <c r="A97" s="61"/>
      <c r="B97" s="54">
        <v>83</v>
      </c>
      <c r="C97" s="76" t="s">
        <v>400</v>
      </c>
      <c r="D97" s="76"/>
      <c r="E97" s="76" t="s">
        <v>400</v>
      </c>
      <c r="F97" s="61"/>
      <c r="G97" s="61"/>
      <c r="H97" s="61"/>
      <c r="I97" s="61"/>
      <c r="J97" s="61"/>
      <c r="K97" s="61"/>
      <c r="L97" s="61"/>
      <c r="M97" s="61"/>
      <c r="N97" s="104" t="str">
        <f t="shared" si="36"/>
        <v>[** NO ZONE **]</v>
      </c>
      <c r="O97" s="104" t="str">
        <f t="shared" si="34"/>
        <v>[** NO ZONE **]</v>
      </c>
      <c r="P97" s="76" t="s">
        <v>400</v>
      </c>
      <c r="Q97" s="61"/>
      <c r="R97" s="76" t="s">
        <v>400</v>
      </c>
      <c r="S97" s="76" t="s">
        <v>400</v>
      </c>
      <c r="T97" s="76" t="s">
        <v>293</v>
      </c>
      <c r="U97" s="61"/>
      <c r="V97" s="61"/>
      <c r="W97" s="61"/>
      <c r="X97" s="76" t="s">
        <v>302</v>
      </c>
      <c r="Y97" s="76" t="s">
        <v>400</v>
      </c>
      <c r="Z97" s="61"/>
      <c r="AA97" s="61"/>
      <c r="AB97" s="61"/>
    </row>
    <row r="98" spans="1:28" ht="16" x14ac:dyDescent="0.2">
      <c r="A98" s="61"/>
      <c r="B98" s="54">
        <v>84</v>
      </c>
      <c r="C98" s="76" t="s">
        <v>400</v>
      </c>
      <c r="D98" s="76"/>
      <c r="E98" s="76" t="s">
        <v>400</v>
      </c>
      <c r="F98" s="61"/>
      <c r="G98" s="61"/>
      <c r="H98" s="61"/>
      <c r="I98" s="61"/>
      <c r="J98" s="61"/>
      <c r="K98" s="61"/>
      <c r="L98" s="61"/>
      <c r="M98" s="61"/>
      <c r="N98" s="104" t="str">
        <f t="shared" si="36"/>
        <v>[** NO ZONE **]</v>
      </c>
      <c r="O98" s="104" t="str">
        <f t="shared" si="34"/>
        <v>[** NO ZONE **]</v>
      </c>
      <c r="P98" s="76" t="s">
        <v>400</v>
      </c>
      <c r="Q98" s="61"/>
      <c r="R98" s="76" t="s">
        <v>400</v>
      </c>
      <c r="S98" s="76" t="s">
        <v>400</v>
      </c>
      <c r="T98" s="76" t="s">
        <v>293</v>
      </c>
      <c r="U98" s="61"/>
      <c r="V98" s="61"/>
      <c r="W98" s="61"/>
      <c r="X98" s="76" t="s">
        <v>302</v>
      </c>
      <c r="Y98" s="76" t="s">
        <v>400</v>
      </c>
      <c r="Z98" s="61"/>
      <c r="AA98" s="61"/>
      <c r="AB98" s="61"/>
    </row>
    <row r="99" spans="1:28" ht="16" x14ac:dyDescent="0.2">
      <c r="A99" s="61"/>
      <c r="B99" s="54">
        <v>85</v>
      </c>
      <c r="C99" s="76" t="s">
        <v>400</v>
      </c>
      <c r="D99" s="76"/>
      <c r="E99" s="76" t="s">
        <v>400</v>
      </c>
      <c r="F99" s="61"/>
      <c r="G99" s="61"/>
      <c r="H99" s="61"/>
      <c r="I99" s="61"/>
      <c r="J99" s="61"/>
      <c r="K99" s="61"/>
      <c r="L99" s="61"/>
      <c r="M99" s="61"/>
      <c r="N99" s="104" t="str">
        <f t="shared" si="36"/>
        <v>[** NO ZONE **]</v>
      </c>
      <c r="O99" s="104" t="str">
        <f t="shared" si="34"/>
        <v>[** NO ZONE **]</v>
      </c>
      <c r="P99" s="76" t="s">
        <v>400</v>
      </c>
      <c r="Q99" s="61"/>
      <c r="R99" s="76" t="s">
        <v>400</v>
      </c>
      <c r="S99" s="76" t="s">
        <v>400</v>
      </c>
      <c r="T99" s="76" t="s">
        <v>293</v>
      </c>
      <c r="U99" s="61"/>
      <c r="V99" s="61"/>
      <c r="W99" s="61"/>
      <c r="X99" s="76" t="s">
        <v>302</v>
      </c>
      <c r="Y99" s="76" t="s">
        <v>400</v>
      </c>
      <c r="Z99" s="61"/>
      <c r="AA99" s="61"/>
      <c r="AB99" s="61"/>
    </row>
    <row r="100" spans="1:28" ht="16" x14ac:dyDescent="0.2">
      <c r="A100" s="61"/>
      <c r="B100" s="54">
        <v>86</v>
      </c>
      <c r="C100" s="76" t="s">
        <v>400</v>
      </c>
      <c r="D100" s="76"/>
      <c r="E100" s="76" t="s">
        <v>400</v>
      </c>
      <c r="F100" s="61"/>
      <c r="G100" s="61"/>
      <c r="H100" s="61"/>
      <c r="I100" s="61"/>
      <c r="J100" s="61"/>
      <c r="K100" s="61"/>
      <c r="L100" s="61"/>
      <c r="M100" s="61"/>
      <c r="N100" s="104" t="str">
        <f t="shared" si="36"/>
        <v>[** NO ZONE **]</v>
      </c>
      <c r="O100" s="104" t="str">
        <f t="shared" si="34"/>
        <v>[** NO ZONE **]</v>
      </c>
      <c r="P100" s="76" t="s">
        <v>400</v>
      </c>
      <c r="Q100" s="61"/>
      <c r="R100" s="76" t="s">
        <v>400</v>
      </c>
      <c r="S100" s="76" t="s">
        <v>400</v>
      </c>
      <c r="T100" s="76" t="s">
        <v>293</v>
      </c>
      <c r="U100" s="61"/>
      <c r="V100" s="61"/>
      <c r="W100" s="61"/>
      <c r="X100" s="76" t="s">
        <v>302</v>
      </c>
      <c r="Y100" s="76" t="s">
        <v>400</v>
      </c>
      <c r="Z100" s="61"/>
      <c r="AA100" s="61"/>
      <c r="AB100" s="61"/>
    </row>
    <row r="101" spans="1:28" ht="16" x14ac:dyDescent="0.2">
      <c r="A101" s="61"/>
      <c r="B101" s="54">
        <v>87</v>
      </c>
      <c r="C101" s="76" t="s">
        <v>400</v>
      </c>
      <c r="D101" s="76"/>
      <c r="E101" s="76" t="s">
        <v>400</v>
      </c>
      <c r="F101" s="61"/>
      <c r="G101" s="61"/>
      <c r="H101" s="61"/>
      <c r="I101" s="61"/>
      <c r="J101" s="61"/>
      <c r="K101" s="61"/>
      <c r="L101" s="61"/>
      <c r="M101" s="61"/>
      <c r="N101" s="104" t="str">
        <f t="shared" si="36"/>
        <v>[** NO ZONE **]</v>
      </c>
      <c r="O101" s="104" t="str">
        <f t="shared" si="34"/>
        <v>[** NO ZONE **]</v>
      </c>
      <c r="P101" s="76" t="s">
        <v>400</v>
      </c>
      <c r="Q101" s="61"/>
      <c r="R101" s="76" t="s">
        <v>400</v>
      </c>
      <c r="S101" s="76" t="s">
        <v>400</v>
      </c>
      <c r="T101" s="76" t="s">
        <v>293</v>
      </c>
      <c r="U101" s="61"/>
      <c r="V101" s="61"/>
      <c r="W101" s="61"/>
      <c r="X101" s="76" t="s">
        <v>302</v>
      </c>
      <c r="Y101" s="76" t="s">
        <v>400</v>
      </c>
      <c r="Z101" s="61"/>
      <c r="AA101" s="61"/>
      <c r="AB101" s="61"/>
    </row>
    <row r="102" spans="1:28" ht="16" x14ac:dyDescent="0.2">
      <c r="A102" s="61"/>
      <c r="B102" s="54">
        <v>86</v>
      </c>
      <c r="C102" s="76" t="s">
        <v>400</v>
      </c>
      <c r="D102" s="76"/>
      <c r="E102" s="76" t="s">
        <v>400</v>
      </c>
      <c r="F102" s="61"/>
      <c r="G102" s="61"/>
      <c r="H102" s="61"/>
      <c r="I102" s="61"/>
      <c r="J102" s="61"/>
      <c r="K102" s="61"/>
      <c r="L102" s="61"/>
      <c r="M102" s="61"/>
      <c r="N102" s="104" t="str">
        <f t="shared" si="36"/>
        <v>[** NO ZONE **]</v>
      </c>
      <c r="O102" s="104" t="str">
        <f t="shared" si="34"/>
        <v>[** NO ZONE **]</v>
      </c>
      <c r="P102" s="76" t="s">
        <v>400</v>
      </c>
      <c r="Q102" s="61"/>
      <c r="R102" s="76" t="s">
        <v>400</v>
      </c>
      <c r="S102" s="76" t="s">
        <v>400</v>
      </c>
      <c r="T102" s="76" t="s">
        <v>293</v>
      </c>
      <c r="U102" s="61"/>
      <c r="V102" s="61"/>
      <c r="W102" s="61"/>
      <c r="X102" s="76" t="s">
        <v>302</v>
      </c>
      <c r="Y102" s="76" t="s">
        <v>400</v>
      </c>
      <c r="Z102" s="61"/>
      <c r="AA102" s="61"/>
      <c r="AB102" s="61"/>
    </row>
    <row r="103" spans="1:28" ht="16" x14ac:dyDescent="0.2">
      <c r="A103" s="61"/>
      <c r="B103" s="54">
        <v>87</v>
      </c>
      <c r="C103" s="76" t="s">
        <v>400</v>
      </c>
      <c r="D103" s="76"/>
      <c r="E103" s="76" t="s">
        <v>400</v>
      </c>
      <c r="F103" s="61"/>
      <c r="G103" s="61"/>
      <c r="H103" s="61"/>
      <c r="I103" s="61"/>
      <c r="J103" s="61"/>
      <c r="K103" s="61"/>
      <c r="L103" s="61"/>
      <c r="M103" s="61"/>
      <c r="N103" s="104" t="str">
        <f t="shared" si="36"/>
        <v>[** NO ZONE **]</v>
      </c>
      <c r="O103" s="104" t="str">
        <f t="shared" si="34"/>
        <v>[** NO ZONE **]</v>
      </c>
      <c r="P103" s="76" t="s">
        <v>400</v>
      </c>
      <c r="Q103" s="61"/>
      <c r="R103" s="76" t="s">
        <v>400</v>
      </c>
      <c r="S103" s="76" t="s">
        <v>400</v>
      </c>
      <c r="T103" s="76" t="s">
        <v>293</v>
      </c>
      <c r="U103" s="61"/>
      <c r="V103" s="61"/>
      <c r="W103" s="61"/>
      <c r="X103" s="76" t="s">
        <v>302</v>
      </c>
      <c r="Y103" s="76" t="s">
        <v>400</v>
      </c>
      <c r="Z103" s="61"/>
      <c r="AA103" s="61"/>
      <c r="AB103" s="61"/>
    </row>
    <row r="104" spans="1:28" ht="16" x14ac:dyDescent="0.2">
      <c r="A104" s="61"/>
      <c r="B104" s="54">
        <v>88</v>
      </c>
      <c r="C104" s="76" t="s">
        <v>400</v>
      </c>
      <c r="D104" s="76"/>
      <c r="E104" s="76" t="s">
        <v>400</v>
      </c>
      <c r="F104" s="61"/>
      <c r="G104" s="61"/>
      <c r="H104" s="61"/>
      <c r="I104" s="61"/>
      <c r="J104" s="61"/>
      <c r="K104" s="61"/>
      <c r="L104" s="61"/>
      <c r="M104" s="61"/>
      <c r="N104" s="104" t="str">
        <f t="shared" si="36"/>
        <v>[** NO ZONE **]</v>
      </c>
      <c r="O104" s="104" t="str">
        <f t="shared" si="34"/>
        <v>[** NO ZONE **]</v>
      </c>
      <c r="P104" s="76" t="s">
        <v>400</v>
      </c>
      <c r="Q104" s="61"/>
      <c r="R104" s="76" t="s">
        <v>400</v>
      </c>
      <c r="S104" s="76" t="s">
        <v>400</v>
      </c>
      <c r="T104" s="76" t="s">
        <v>293</v>
      </c>
      <c r="U104" s="61"/>
      <c r="V104" s="61"/>
      <c r="W104" s="61"/>
      <c r="X104" s="76" t="s">
        <v>302</v>
      </c>
      <c r="Y104" s="76" t="s">
        <v>400</v>
      </c>
      <c r="Z104" s="61"/>
      <c r="AA104" s="61"/>
      <c r="AB104" s="61"/>
    </row>
    <row r="105" spans="1:28" ht="16" x14ac:dyDescent="0.2">
      <c r="A105" s="61"/>
      <c r="B105" s="54">
        <v>89</v>
      </c>
      <c r="C105" s="76" t="s">
        <v>400</v>
      </c>
      <c r="D105" s="76"/>
      <c r="E105" s="76" t="s">
        <v>400</v>
      </c>
      <c r="F105" s="61"/>
      <c r="G105" s="61"/>
      <c r="H105" s="61"/>
      <c r="I105" s="61"/>
      <c r="J105" s="61"/>
      <c r="K105" s="61"/>
      <c r="L105" s="61"/>
      <c r="M105" s="61"/>
      <c r="N105" s="104" t="str">
        <f t="shared" si="36"/>
        <v>[** NO ZONE **]</v>
      </c>
      <c r="O105" s="104" t="str">
        <f t="shared" si="34"/>
        <v>[** NO ZONE **]</v>
      </c>
      <c r="P105" s="76" t="s">
        <v>400</v>
      </c>
      <c r="Q105" s="61"/>
      <c r="R105" s="76" t="s">
        <v>400</v>
      </c>
      <c r="S105" s="76" t="s">
        <v>400</v>
      </c>
      <c r="T105" s="76" t="s">
        <v>293</v>
      </c>
      <c r="U105" s="61"/>
      <c r="V105" s="61"/>
      <c r="W105" s="61"/>
      <c r="X105" s="76" t="s">
        <v>302</v>
      </c>
      <c r="Y105" s="76" t="s">
        <v>400</v>
      </c>
      <c r="Z105" s="61"/>
      <c r="AA105" s="61"/>
      <c r="AB105" s="61"/>
    </row>
    <row r="106" spans="1:28" ht="16" x14ac:dyDescent="0.2">
      <c r="A106" s="61"/>
      <c r="B106" s="54">
        <v>90</v>
      </c>
      <c r="C106" s="76" t="s">
        <v>400</v>
      </c>
      <c r="D106" s="76"/>
      <c r="E106" s="76" t="s">
        <v>400</v>
      </c>
      <c r="F106" s="61"/>
      <c r="G106" s="61"/>
      <c r="H106" s="61"/>
      <c r="I106" s="61"/>
      <c r="J106" s="61"/>
      <c r="K106" s="61"/>
      <c r="L106" s="61"/>
      <c r="M106" s="61"/>
      <c r="N106" s="104" t="str">
        <f t="shared" si="36"/>
        <v>[** NO ZONE **]</v>
      </c>
      <c r="O106" s="104" t="str">
        <f t="shared" si="34"/>
        <v>[** NO ZONE **]</v>
      </c>
      <c r="P106" s="76" t="s">
        <v>400</v>
      </c>
      <c r="Q106" s="61"/>
      <c r="R106" s="76" t="s">
        <v>400</v>
      </c>
      <c r="S106" s="76" t="s">
        <v>400</v>
      </c>
      <c r="T106" s="76" t="s">
        <v>293</v>
      </c>
      <c r="U106" s="61"/>
      <c r="V106" s="61"/>
      <c r="W106" s="61"/>
      <c r="X106" s="76" t="s">
        <v>302</v>
      </c>
      <c r="Y106" s="76" t="s">
        <v>400</v>
      </c>
      <c r="Z106" s="61"/>
      <c r="AA106" s="61"/>
      <c r="AB106" s="61"/>
    </row>
    <row r="107" spans="1:28" ht="16" x14ac:dyDescent="0.2">
      <c r="A107" s="61"/>
      <c r="B107" s="54">
        <v>91</v>
      </c>
      <c r="C107" s="76" t="s">
        <v>400</v>
      </c>
      <c r="D107" s="76"/>
      <c r="E107" s="76" t="s">
        <v>400</v>
      </c>
      <c r="F107" s="61"/>
      <c r="G107" s="61"/>
      <c r="H107" s="61"/>
      <c r="I107" s="61"/>
      <c r="J107" s="61"/>
      <c r="K107" s="61"/>
      <c r="L107" s="61"/>
      <c r="M107" s="61"/>
      <c r="N107" s="104" t="str">
        <f t="shared" si="36"/>
        <v>[** NO ZONE **]</v>
      </c>
      <c r="O107" s="104" t="str">
        <f t="shared" si="34"/>
        <v>[** NO ZONE **]</v>
      </c>
      <c r="P107" s="76" t="s">
        <v>400</v>
      </c>
      <c r="Q107" s="61"/>
      <c r="R107" s="76" t="s">
        <v>400</v>
      </c>
      <c r="S107" s="76" t="s">
        <v>400</v>
      </c>
      <c r="T107" s="76" t="s">
        <v>293</v>
      </c>
      <c r="U107" s="61"/>
      <c r="V107" s="61"/>
      <c r="W107" s="61"/>
      <c r="X107" s="76" t="s">
        <v>302</v>
      </c>
      <c r="Y107" s="76" t="s">
        <v>400</v>
      </c>
      <c r="Z107" s="61"/>
      <c r="AA107" s="61"/>
      <c r="AB107" s="61"/>
    </row>
    <row r="108" spans="1:28" ht="16" x14ac:dyDescent="0.2">
      <c r="A108" s="61"/>
      <c r="B108" s="54">
        <v>92</v>
      </c>
      <c r="C108" s="76" t="s">
        <v>400</v>
      </c>
      <c r="D108" s="76"/>
      <c r="E108" s="76" t="s">
        <v>400</v>
      </c>
      <c r="F108" s="61"/>
      <c r="G108" s="61"/>
      <c r="H108" s="61"/>
      <c r="I108" s="61"/>
      <c r="J108" s="61"/>
      <c r="K108" s="61"/>
      <c r="L108" s="61"/>
      <c r="M108" s="61"/>
      <c r="N108" s="104" t="str">
        <f t="shared" si="36"/>
        <v>[** NO ZONE **]</v>
      </c>
      <c r="O108" s="104" t="str">
        <f t="shared" si="34"/>
        <v>[** NO ZONE **]</v>
      </c>
      <c r="P108" s="76" t="s">
        <v>400</v>
      </c>
      <c r="Q108" s="61"/>
      <c r="R108" s="76" t="s">
        <v>400</v>
      </c>
      <c r="S108" s="76" t="s">
        <v>400</v>
      </c>
      <c r="T108" s="76" t="s">
        <v>293</v>
      </c>
      <c r="U108" s="61"/>
      <c r="V108" s="61"/>
      <c r="W108" s="61"/>
      <c r="X108" s="76" t="s">
        <v>302</v>
      </c>
      <c r="Y108" s="76" t="s">
        <v>400</v>
      </c>
      <c r="Z108" s="61"/>
      <c r="AA108" s="61"/>
      <c r="AB108" s="61"/>
    </row>
    <row r="109" spans="1:28" ht="16" x14ac:dyDescent="0.2">
      <c r="A109" s="61"/>
      <c r="B109" s="54">
        <v>93</v>
      </c>
      <c r="C109" s="76" t="s">
        <v>400</v>
      </c>
      <c r="D109" s="76"/>
      <c r="E109" s="76" t="s">
        <v>400</v>
      </c>
      <c r="F109" s="61"/>
      <c r="G109" s="61"/>
      <c r="H109" s="61"/>
      <c r="I109" s="61"/>
      <c r="J109" s="61"/>
      <c r="K109" s="61"/>
      <c r="L109" s="61"/>
      <c r="M109" s="61"/>
      <c r="N109" s="104" t="str">
        <f t="shared" si="36"/>
        <v>[** NO ZONE **]</v>
      </c>
      <c r="O109" s="104" t="str">
        <f t="shared" si="34"/>
        <v>[** NO ZONE **]</v>
      </c>
      <c r="P109" s="76" t="s">
        <v>400</v>
      </c>
      <c r="Q109" s="61"/>
      <c r="R109" s="76" t="s">
        <v>400</v>
      </c>
      <c r="S109" s="76" t="s">
        <v>400</v>
      </c>
      <c r="T109" s="76" t="s">
        <v>293</v>
      </c>
      <c r="U109" s="61"/>
      <c r="V109" s="61"/>
      <c r="W109" s="61"/>
      <c r="X109" s="76" t="s">
        <v>302</v>
      </c>
      <c r="Y109" s="76" t="s">
        <v>400</v>
      </c>
      <c r="Z109" s="61"/>
      <c r="AA109" s="61"/>
      <c r="AB109" s="61"/>
    </row>
    <row r="110" spans="1:28" ht="16" x14ac:dyDescent="0.2">
      <c r="A110" s="61"/>
      <c r="B110" s="54">
        <v>94</v>
      </c>
      <c r="C110" s="76" t="s">
        <v>400</v>
      </c>
      <c r="D110" s="76"/>
      <c r="E110" s="76" t="s">
        <v>400</v>
      </c>
      <c r="F110" s="61"/>
      <c r="G110" s="61"/>
      <c r="H110" s="61"/>
      <c r="I110" s="61"/>
      <c r="J110" s="61"/>
      <c r="K110" s="61"/>
      <c r="L110" s="61"/>
      <c r="M110" s="61"/>
      <c r="N110" s="104" t="str">
        <f t="shared" si="36"/>
        <v>[** NO ZONE **]</v>
      </c>
      <c r="O110" s="104" t="str">
        <f t="shared" si="34"/>
        <v>[** NO ZONE **]</v>
      </c>
      <c r="P110" s="76" t="s">
        <v>400</v>
      </c>
      <c r="Q110" s="61"/>
      <c r="R110" s="76" t="s">
        <v>400</v>
      </c>
      <c r="S110" s="76" t="s">
        <v>400</v>
      </c>
      <c r="T110" s="76" t="s">
        <v>293</v>
      </c>
      <c r="U110" s="61"/>
      <c r="V110" s="61"/>
      <c r="W110" s="61"/>
      <c r="X110" s="76" t="s">
        <v>302</v>
      </c>
      <c r="Y110" s="76" t="s">
        <v>400</v>
      </c>
      <c r="Z110" s="61"/>
      <c r="AA110" s="61"/>
      <c r="AB110" s="61"/>
    </row>
    <row r="111" spans="1:28" ht="16" x14ac:dyDescent="0.2">
      <c r="A111" s="61"/>
      <c r="B111" s="54">
        <v>95</v>
      </c>
      <c r="C111" s="76" t="s">
        <v>400</v>
      </c>
      <c r="D111" s="76"/>
      <c r="E111" s="76" t="s">
        <v>400</v>
      </c>
      <c r="F111" s="61"/>
      <c r="G111" s="61"/>
      <c r="H111" s="61"/>
      <c r="I111" s="61"/>
      <c r="J111" s="61"/>
      <c r="K111" s="61"/>
      <c r="L111" s="61"/>
      <c r="M111" s="61"/>
      <c r="N111" s="104" t="str">
        <f t="shared" si="36"/>
        <v>[** NO ZONE **]</v>
      </c>
      <c r="O111" s="104" t="str">
        <f t="shared" si="34"/>
        <v>[** NO ZONE **]</v>
      </c>
      <c r="P111" s="76" t="s">
        <v>400</v>
      </c>
      <c r="Q111" s="61"/>
      <c r="R111" s="76" t="s">
        <v>400</v>
      </c>
      <c r="S111" s="76" t="s">
        <v>400</v>
      </c>
      <c r="T111" s="76" t="s">
        <v>293</v>
      </c>
      <c r="U111" s="61"/>
      <c r="V111" s="61"/>
      <c r="W111" s="61"/>
      <c r="X111" s="76" t="s">
        <v>302</v>
      </c>
      <c r="Y111" s="76" t="s">
        <v>400</v>
      </c>
      <c r="Z111" s="61"/>
      <c r="AA111" s="61"/>
      <c r="AB111" s="61"/>
    </row>
    <row r="112" spans="1:28" ht="16" x14ac:dyDescent="0.2">
      <c r="A112" s="61"/>
      <c r="B112" s="54">
        <v>96</v>
      </c>
      <c r="C112" s="76" t="s">
        <v>400</v>
      </c>
      <c r="D112" s="76"/>
      <c r="E112" s="76" t="s">
        <v>400</v>
      </c>
      <c r="F112" s="61"/>
      <c r="G112" s="61"/>
      <c r="H112" s="61"/>
      <c r="I112" s="61"/>
      <c r="J112" s="61"/>
      <c r="K112" s="61"/>
      <c r="L112" s="61"/>
      <c r="M112" s="61"/>
      <c r="N112" s="104" t="str">
        <f t="shared" si="36"/>
        <v>[** NO ZONE **]</v>
      </c>
      <c r="O112" s="104" t="str">
        <f t="shared" si="34"/>
        <v>[** NO ZONE **]</v>
      </c>
      <c r="P112" s="76" t="s">
        <v>400</v>
      </c>
      <c r="Q112" s="61"/>
      <c r="R112" s="76" t="s">
        <v>400</v>
      </c>
      <c r="S112" s="76" t="s">
        <v>400</v>
      </c>
      <c r="T112" s="76" t="s">
        <v>293</v>
      </c>
      <c r="U112" s="61"/>
      <c r="V112" s="61"/>
      <c r="W112" s="61"/>
      <c r="X112" s="76" t="s">
        <v>302</v>
      </c>
      <c r="Y112" s="76" t="s">
        <v>400</v>
      </c>
      <c r="Z112" s="61"/>
      <c r="AA112" s="61"/>
      <c r="AB112" s="61"/>
    </row>
    <row r="113" spans="1:28" ht="16" x14ac:dyDescent="0.2">
      <c r="A113" s="61"/>
      <c r="B113" s="54">
        <v>97</v>
      </c>
      <c r="C113" s="76" t="s">
        <v>400</v>
      </c>
      <c r="D113" s="76"/>
      <c r="E113" s="76" t="s">
        <v>400</v>
      </c>
      <c r="F113" s="61"/>
      <c r="G113" s="61"/>
      <c r="H113" s="61"/>
      <c r="I113" s="61"/>
      <c r="J113" s="61"/>
      <c r="K113" s="61"/>
      <c r="L113" s="61"/>
      <c r="M113" s="61"/>
      <c r="N113" s="104" t="str">
        <f t="shared" si="36"/>
        <v>[** NO ZONE **]</v>
      </c>
      <c r="O113" s="104" t="str">
        <f t="shared" si="34"/>
        <v>[** NO ZONE **]</v>
      </c>
      <c r="P113" s="76" t="s">
        <v>400</v>
      </c>
      <c r="Q113" s="61"/>
      <c r="R113" s="76" t="s">
        <v>400</v>
      </c>
      <c r="S113" s="76" t="s">
        <v>400</v>
      </c>
      <c r="T113" s="76" t="s">
        <v>293</v>
      </c>
      <c r="U113" s="61"/>
      <c r="V113" s="61"/>
      <c r="W113" s="61"/>
      <c r="X113" s="76" t="s">
        <v>302</v>
      </c>
      <c r="Y113" s="76" t="s">
        <v>400</v>
      </c>
      <c r="Z113" s="61"/>
      <c r="AA113" s="61"/>
      <c r="AB113" s="61"/>
    </row>
    <row r="114" spans="1:28" ht="16" x14ac:dyDescent="0.2">
      <c r="A114" s="61"/>
      <c r="B114" s="54">
        <v>98</v>
      </c>
      <c r="C114" s="76" t="s">
        <v>400</v>
      </c>
      <c r="D114" s="76"/>
      <c r="E114" s="76" t="s">
        <v>400</v>
      </c>
      <c r="F114" s="61"/>
      <c r="G114" s="61"/>
      <c r="H114" s="61"/>
      <c r="I114" s="61"/>
      <c r="J114" s="61"/>
      <c r="K114" s="61"/>
      <c r="L114" s="61"/>
      <c r="M114" s="61"/>
      <c r="N114" s="104" t="str">
        <f t="shared" si="36"/>
        <v>[** NO ZONE **]</v>
      </c>
      <c r="O114" s="104" t="str">
        <f t="shared" si="34"/>
        <v>[** NO ZONE **]</v>
      </c>
      <c r="P114" s="76" t="s">
        <v>400</v>
      </c>
      <c r="Q114" s="61"/>
      <c r="R114" s="76" t="s">
        <v>400</v>
      </c>
      <c r="S114" s="76" t="s">
        <v>400</v>
      </c>
      <c r="T114" s="76" t="s">
        <v>293</v>
      </c>
      <c r="U114" s="61"/>
      <c r="V114" s="61"/>
      <c r="W114" s="61"/>
      <c r="X114" s="76" t="s">
        <v>302</v>
      </c>
      <c r="Y114" s="76" t="s">
        <v>400</v>
      </c>
      <c r="Z114" s="61"/>
      <c r="AA114" s="61"/>
      <c r="AB114" s="61"/>
    </row>
    <row r="115" spans="1:28" ht="16" x14ac:dyDescent="0.2">
      <c r="A115" s="61"/>
      <c r="B115" s="54">
        <v>99</v>
      </c>
      <c r="C115" s="76" t="s">
        <v>400</v>
      </c>
      <c r="D115" s="76"/>
      <c r="E115" s="76" t="s">
        <v>400</v>
      </c>
      <c r="F115" s="61"/>
      <c r="G115" s="61"/>
      <c r="H115" s="61"/>
      <c r="I115" s="61"/>
      <c r="J115" s="61"/>
      <c r="K115" s="61"/>
      <c r="L115" s="61"/>
      <c r="M115" s="61"/>
      <c r="N115" s="104" t="str">
        <f t="shared" si="36"/>
        <v>[** NO ZONE **]</v>
      </c>
      <c r="O115" s="104" t="str">
        <f t="shared" si="34"/>
        <v>[** NO ZONE **]</v>
      </c>
      <c r="P115" s="76" t="s">
        <v>400</v>
      </c>
      <c r="Q115" s="61"/>
      <c r="R115" s="76" t="s">
        <v>400</v>
      </c>
      <c r="S115" s="76" t="s">
        <v>400</v>
      </c>
      <c r="T115" s="76" t="s">
        <v>293</v>
      </c>
      <c r="U115" s="61"/>
      <c r="V115" s="61"/>
      <c r="W115" s="61"/>
      <c r="X115" s="76" t="s">
        <v>302</v>
      </c>
      <c r="Y115" s="76" t="s">
        <v>400</v>
      </c>
      <c r="Z115" s="61"/>
      <c r="AA115" s="61"/>
      <c r="AB115" s="61"/>
    </row>
    <row r="116" spans="1:28" ht="16" x14ac:dyDescent="0.2">
      <c r="A116" s="61"/>
      <c r="B116" s="54">
        <v>100</v>
      </c>
      <c r="C116" s="76" t="s">
        <v>400</v>
      </c>
      <c r="D116" s="76"/>
      <c r="E116" s="76" t="s">
        <v>400</v>
      </c>
      <c r="F116" s="61"/>
      <c r="G116" s="61"/>
      <c r="H116" s="61"/>
      <c r="I116" s="61"/>
      <c r="J116" s="61"/>
      <c r="K116" s="61"/>
      <c r="L116" s="61"/>
      <c r="M116" s="61"/>
      <c r="N116" s="104" t="str">
        <f xml:space="preserve"> RetrieveZone( J116 )</f>
        <v>[** NO ZONE **]</v>
      </c>
      <c r="O116" s="104" t="str">
        <f t="shared" si="34"/>
        <v>[** NO ZONE **]</v>
      </c>
      <c r="P116" s="76" t="s">
        <v>400</v>
      </c>
      <c r="Q116" s="61"/>
      <c r="R116" s="76" t="s">
        <v>400</v>
      </c>
      <c r="S116" s="76" t="s">
        <v>400</v>
      </c>
      <c r="T116" s="76" t="s">
        <v>293</v>
      </c>
      <c r="U116" s="61"/>
      <c r="V116" s="61"/>
      <c r="W116" s="61"/>
      <c r="X116" s="76" t="s">
        <v>302</v>
      </c>
      <c r="Y116" s="76" t="s">
        <v>400</v>
      </c>
      <c r="Z116" s="61"/>
      <c r="AA116" s="61"/>
      <c r="AB116" s="61"/>
    </row>
    <row r="117" spans="1:28" x14ac:dyDescent="0.2">
      <c r="B117" s="55" t="s">
        <v>453</v>
      </c>
      <c r="D117" s="2"/>
      <c r="P117" s="2"/>
      <c r="Q117" s="2"/>
    </row>
    <row r="118" spans="1:28" x14ac:dyDescent="0.2">
      <c r="D118" s="2"/>
      <c r="P118" s="2"/>
      <c r="Q118" s="2"/>
    </row>
    <row r="119" spans="1:28" x14ac:dyDescent="0.2">
      <c r="D119" s="2"/>
      <c r="P119" s="2"/>
      <c r="Q119" s="2"/>
    </row>
    <row r="120" spans="1:28" x14ac:dyDescent="0.2">
      <c r="P120" s="2"/>
      <c r="Q120" s="2"/>
    </row>
  </sheetData>
  <autoFilter ref="A6:AB117" xr:uid="{00000000-0009-0000-0000-000007000000}"/>
  <mergeCells count="2">
    <mergeCell ref="B5:F5"/>
    <mergeCell ref="L3:M3"/>
  </mergeCells>
  <phoneticPr fontId="57" type="noConversion"/>
  <conditionalFormatting sqref="G20:X20 F19 A38:D38 A40:D41 A39:C39 H19:X19 F38:AB39 F40:H40 K40:AB40 F41:AB41 G21:AB21 Y12:AB20 C12:C20 A29:P30 R29:AB30 A42:B44 U45:AB45 A52 A48:H48 A49:D50 B51:B52 P51:Q51 D51:D52 C52:D52 F52:H52 N52:AB52 A12:X13 F14:X18 A14:D19 A20:E21 A22:AB28 A31:AB35 E37:E41 A45:O45 F50:H50 F49:G50 R65:AB66 A7:AB11 E65:K65 M65:P65 K48:AB50 A54:AB58 A65:C66 E66:F66 A67:AB67 H66:P66 A70:AB116 A61:AB62 K46:O47 R46:AB47 A46:G47">
    <cfRule type="containsText" dxfId="163" priority="183" operator="containsText" text="check">
      <formula>NOT(ISERROR(SEARCH("check",A7)))</formula>
    </cfRule>
    <cfRule type="cellIs" dxfId="162" priority="184" operator="equal">
      <formula>"???"</formula>
    </cfRule>
  </conditionalFormatting>
  <conditionalFormatting sqref="C38:C41 C7:C35 C54:C58 C65:C67 C70:C116 C61:C62 C45:C52">
    <cfRule type="cellIs" dxfId="161" priority="181" operator="equal">
      <formula>"TMO"</formula>
    </cfRule>
    <cfRule type="cellIs" dxfId="160" priority="182" operator="equal">
      <formula>"FMO"</formula>
    </cfRule>
  </conditionalFormatting>
  <conditionalFormatting sqref="R38:R41 R7:R35 R65:R67 R54:R58 R70:R116 R61:R62 R46:R52">
    <cfRule type="containsText" dxfId="159" priority="180" operator="containsText" text="SI">
      <formula>NOT(ISERROR(SEARCH("SI",R7)))</formula>
    </cfRule>
  </conditionalFormatting>
  <conditionalFormatting sqref="T38:T41 T7:T35 T65:T67 T54:T58 T70:T116 T61:T62 T46:T52">
    <cfRule type="cellIs" dxfId="158" priority="179" operator="equal">
      <formula>"Yes"</formula>
    </cfRule>
  </conditionalFormatting>
  <conditionalFormatting sqref="G19">
    <cfRule type="containsText" dxfId="157" priority="177" operator="containsText" text="check">
      <formula>NOT(ISERROR(SEARCH("check",G19)))</formula>
    </cfRule>
    <cfRule type="cellIs" dxfId="156" priority="178" operator="equal">
      <formula>"???"</formula>
    </cfRule>
  </conditionalFormatting>
  <conditionalFormatting sqref="F20:F21">
    <cfRule type="containsText" dxfId="155" priority="175" operator="containsText" text="check">
      <formula>NOT(ISERROR(SEARCH("check",F20)))</formula>
    </cfRule>
    <cfRule type="cellIs" dxfId="154" priority="176" operator="equal">
      <formula>"???"</formula>
    </cfRule>
  </conditionalFormatting>
  <conditionalFormatting sqref="A36:C36 F36:G36 I36:Z36 AB36">
    <cfRule type="containsText" dxfId="153" priority="171" operator="containsText" text="check">
      <formula>NOT(ISERROR(SEARCH("check",A36)))</formula>
    </cfRule>
    <cfRule type="cellIs" dxfId="152" priority="172" operator="equal">
      <formula>"???"</formula>
    </cfRule>
  </conditionalFormatting>
  <conditionalFormatting sqref="C36">
    <cfRule type="cellIs" dxfId="151" priority="169" operator="equal">
      <formula>"TMO"</formula>
    </cfRule>
    <cfRule type="cellIs" dxfId="150" priority="170" operator="equal">
      <formula>"FMO"</formula>
    </cfRule>
  </conditionalFormatting>
  <conditionalFormatting sqref="R36">
    <cfRule type="containsText" dxfId="149" priority="168" operator="containsText" text="SI">
      <formula>NOT(ISERROR(SEARCH("SI",R36)))</formula>
    </cfRule>
  </conditionalFormatting>
  <conditionalFormatting sqref="T36">
    <cfRule type="cellIs" dxfId="148" priority="167" operator="equal">
      <formula>"Yes"</formula>
    </cfRule>
  </conditionalFormatting>
  <conditionalFormatting sqref="D36">
    <cfRule type="containsText" dxfId="147" priority="165" operator="containsText" text="check">
      <formula>NOT(ISERROR(SEARCH("check",D36)))</formula>
    </cfRule>
    <cfRule type="cellIs" dxfId="146" priority="166" operator="equal">
      <formula>"???"</formula>
    </cfRule>
  </conditionalFormatting>
  <conditionalFormatting sqref="A37:D37 G37:J37 N37:Z37 AB37">
    <cfRule type="containsText" dxfId="145" priority="163" operator="containsText" text="check">
      <formula>NOT(ISERROR(SEARCH("check",A37)))</formula>
    </cfRule>
    <cfRule type="cellIs" dxfId="144" priority="164" operator="equal">
      <formula>"???"</formula>
    </cfRule>
  </conditionalFormatting>
  <conditionalFormatting sqref="C37">
    <cfRule type="cellIs" dxfId="143" priority="161" operator="equal">
      <formula>"TMO"</formula>
    </cfRule>
    <cfRule type="cellIs" dxfId="142" priority="162" operator="equal">
      <formula>"FMO"</formula>
    </cfRule>
  </conditionalFormatting>
  <conditionalFormatting sqref="R37">
    <cfRule type="containsText" dxfId="141" priority="160" operator="containsText" text="SI">
      <formula>NOT(ISERROR(SEARCH("SI",R37)))</formula>
    </cfRule>
  </conditionalFormatting>
  <conditionalFormatting sqref="T37">
    <cfRule type="cellIs" dxfId="140" priority="159" operator="equal">
      <formula>"Yes"</formula>
    </cfRule>
  </conditionalFormatting>
  <conditionalFormatting sqref="D39">
    <cfRule type="containsText" dxfId="139" priority="157" operator="containsText" text="check">
      <formula>NOT(ISERROR(SEARCH("check",D39)))</formula>
    </cfRule>
    <cfRule type="cellIs" dxfId="138" priority="158" operator="equal">
      <formula>"???"</formula>
    </cfRule>
  </conditionalFormatting>
  <conditionalFormatting sqref="H36">
    <cfRule type="containsText" dxfId="137" priority="155" operator="containsText" text="check">
      <formula>NOT(ISERROR(SEARCH("check",H36)))</formula>
    </cfRule>
    <cfRule type="cellIs" dxfId="136" priority="156" operator="equal">
      <formula>"???"</formula>
    </cfRule>
  </conditionalFormatting>
  <conditionalFormatting sqref="K37">
    <cfRule type="containsText" dxfId="135" priority="153" operator="containsText" text="check">
      <formula>NOT(ISERROR(SEARCH("check",K37)))</formula>
    </cfRule>
    <cfRule type="cellIs" dxfId="134" priority="154" operator="equal">
      <formula>"???"</formula>
    </cfRule>
  </conditionalFormatting>
  <conditionalFormatting sqref="L37:M37">
    <cfRule type="containsText" dxfId="133" priority="151" operator="containsText" text="check">
      <formula>NOT(ISERROR(SEARCH("check",L37)))</formula>
    </cfRule>
    <cfRule type="cellIs" dxfId="132" priority="152" operator="equal">
      <formula>"???"</formula>
    </cfRule>
  </conditionalFormatting>
  <conditionalFormatting sqref="F37">
    <cfRule type="containsText" dxfId="131" priority="149" operator="containsText" text="check">
      <formula>NOT(ISERROR(SEARCH("check",F37)))</formula>
    </cfRule>
    <cfRule type="cellIs" dxfId="130" priority="150" operator="equal">
      <formula>"???"</formula>
    </cfRule>
  </conditionalFormatting>
  <conditionalFormatting sqref="I40:J40">
    <cfRule type="containsText" dxfId="129" priority="147" operator="containsText" text="check">
      <formula>NOT(ISERROR(SEARCH("check",I40)))</formula>
    </cfRule>
    <cfRule type="cellIs" dxfId="128" priority="148" operator="equal">
      <formula>"???"</formula>
    </cfRule>
  </conditionalFormatting>
  <conditionalFormatting sqref="AA36:AA37">
    <cfRule type="containsText" dxfId="127" priority="145" operator="containsText" text="check">
      <formula>NOT(ISERROR(SEARCH("check",AA36)))</formula>
    </cfRule>
    <cfRule type="cellIs" dxfId="126" priority="146" operator="equal">
      <formula>"???"</formula>
    </cfRule>
  </conditionalFormatting>
  <conditionalFormatting sqref="Q29:Q30">
    <cfRule type="containsText" dxfId="125" priority="143" operator="containsText" text="check">
      <formula>NOT(ISERROR(SEARCH("check",Q29)))</formula>
    </cfRule>
    <cfRule type="cellIs" dxfId="124" priority="144" operator="equal">
      <formula>"???"</formula>
    </cfRule>
  </conditionalFormatting>
  <conditionalFormatting sqref="N43:O43 Q43 P42:P43 T43:X43 X42 Z43 D44">
    <cfRule type="containsText" dxfId="123" priority="141" operator="containsText" text="check">
      <formula>NOT(ISERROR(SEARCH("check",D42)))</formula>
    </cfRule>
    <cfRule type="cellIs" dxfId="122" priority="142" operator="equal">
      <formula>"???"</formula>
    </cfRule>
  </conditionalFormatting>
  <conditionalFormatting sqref="T43">
    <cfRule type="cellIs" dxfId="121" priority="140" operator="equal">
      <formula>"Yes"</formula>
    </cfRule>
  </conditionalFormatting>
  <conditionalFormatting sqref="F42:G42 N42:O42 Q42:W42 R43:S43 Y42:AB42 Y43">
    <cfRule type="containsText" dxfId="120" priority="138" operator="containsText" text="check">
      <formula>NOT(ISERROR(SEARCH("check",F42)))</formula>
    </cfRule>
    <cfRule type="cellIs" dxfId="119" priority="139" operator="equal">
      <formula>"???"</formula>
    </cfRule>
  </conditionalFormatting>
  <conditionalFormatting sqref="R42:R43">
    <cfRule type="containsText" dxfId="118" priority="137" operator="containsText" text="SI">
      <formula>NOT(ISERROR(SEARCH("SI",R42)))</formula>
    </cfRule>
  </conditionalFormatting>
  <conditionalFormatting sqref="T42">
    <cfRule type="cellIs" dxfId="117" priority="136" operator="equal">
      <formula>"Yes"</formula>
    </cfRule>
  </conditionalFormatting>
  <conditionalFormatting sqref="C42:C44">
    <cfRule type="containsText" dxfId="116" priority="134" operator="containsText" text="check">
      <formula>NOT(ISERROR(SEARCH("check",C42)))</formula>
    </cfRule>
    <cfRule type="cellIs" dxfId="115" priority="135" operator="equal">
      <formula>"???"</formula>
    </cfRule>
  </conditionalFormatting>
  <conditionalFormatting sqref="C42:C44">
    <cfRule type="cellIs" dxfId="114" priority="132" operator="equal">
      <formula>"TMO"</formula>
    </cfRule>
    <cfRule type="cellIs" dxfId="113" priority="133" operator="equal">
      <formula>"FMO"</formula>
    </cfRule>
  </conditionalFormatting>
  <conditionalFormatting sqref="H42">
    <cfRule type="containsText" dxfId="112" priority="128" operator="containsText" text="check">
      <formula>NOT(ISERROR(SEARCH("check",H42)))</formula>
    </cfRule>
    <cfRule type="cellIs" dxfId="111" priority="129" operator="equal">
      <formula>"???"</formula>
    </cfRule>
  </conditionalFormatting>
  <conditionalFormatting sqref="D42:D43">
    <cfRule type="containsText" dxfId="110" priority="126" operator="containsText" text="check">
      <formula>NOT(ISERROR(SEARCH("check",D42)))</formula>
    </cfRule>
    <cfRule type="cellIs" dxfId="109" priority="127" operator="equal">
      <formula>"???"</formula>
    </cfRule>
  </conditionalFormatting>
  <conditionalFormatting sqref="F43">
    <cfRule type="containsText" dxfId="108" priority="124" operator="containsText" text="check">
      <formula>NOT(ISERROR(SEARCH("check",F43)))</formula>
    </cfRule>
    <cfRule type="cellIs" dxfId="107" priority="125" operator="equal">
      <formula>"???"</formula>
    </cfRule>
  </conditionalFormatting>
  <conditionalFormatting sqref="G43">
    <cfRule type="containsText" dxfId="106" priority="122" operator="containsText" text="check">
      <formula>NOT(ISERROR(SEARCH("check",G43)))</formula>
    </cfRule>
    <cfRule type="cellIs" dxfId="105" priority="123" operator="equal">
      <formula>"???"</formula>
    </cfRule>
  </conditionalFormatting>
  <conditionalFormatting sqref="K43">
    <cfRule type="containsText" dxfId="104" priority="120" operator="containsText" text="check">
      <formula>NOT(ISERROR(SEARCH("check",K43)))</formula>
    </cfRule>
    <cfRule type="cellIs" dxfId="103" priority="121" operator="equal">
      <formula>"???"</formula>
    </cfRule>
  </conditionalFormatting>
  <conditionalFormatting sqref="AB43">
    <cfRule type="containsText" dxfId="102" priority="118" operator="containsText" text="check">
      <formula>NOT(ISERROR(SEARCH("check",AB43)))</formula>
    </cfRule>
    <cfRule type="cellIs" dxfId="101" priority="119" operator="equal">
      <formula>"???"</formula>
    </cfRule>
  </conditionalFormatting>
  <conditionalFormatting sqref="X44">
    <cfRule type="containsText" dxfId="100" priority="116" operator="containsText" text="check">
      <formula>NOT(ISERROR(SEARCH("check",X44)))</formula>
    </cfRule>
    <cfRule type="cellIs" dxfId="99" priority="117" operator="equal">
      <formula>"???"</formula>
    </cfRule>
  </conditionalFormatting>
  <conditionalFormatting sqref="F44:G44 N44:O44 R44:W44 Y44:Z44 AB44">
    <cfRule type="containsText" dxfId="98" priority="114" operator="containsText" text="check">
      <formula>NOT(ISERROR(SEARCH("check",F44)))</formula>
    </cfRule>
    <cfRule type="cellIs" dxfId="97" priority="115" operator="equal">
      <formula>"???"</formula>
    </cfRule>
  </conditionalFormatting>
  <conditionalFormatting sqref="R44">
    <cfRule type="containsText" dxfId="96" priority="113" operator="containsText" text="SI">
      <formula>NOT(ISERROR(SEARCH("SI",R44)))</formula>
    </cfRule>
  </conditionalFormatting>
  <conditionalFormatting sqref="T44">
    <cfRule type="cellIs" dxfId="95" priority="112" operator="equal">
      <formula>"Yes"</formula>
    </cfRule>
  </conditionalFormatting>
  <conditionalFormatting sqref="H44">
    <cfRule type="containsText" dxfId="94" priority="110" operator="containsText" text="check">
      <formula>NOT(ISERROR(SEARCH("check",H44)))</formula>
    </cfRule>
    <cfRule type="cellIs" dxfId="93" priority="111" operator="equal">
      <formula>"???"</formula>
    </cfRule>
  </conditionalFormatting>
  <conditionalFormatting sqref="P44:Q44">
    <cfRule type="containsText" dxfId="92" priority="108" operator="containsText" text="check">
      <formula>NOT(ISERROR(SEARCH("check",P44)))</formula>
    </cfRule>
    <cfRule type="cellIs" dxfId="91" priority="109" operator="equal">
      <formula>"???"</formula>
    </cfRule>
  </conditionalFormatting>
  <conditionalFormatting sqref="K42">
    <cfRule type="containsText" dxfId="90" priority="106" operator="containsText" text="check">
      <formula>NOT(ISERROR(SEARCH("check",K42)))</formula>
    </cfRule>
    <cfRule type="cellIs" dxfId="89" priority="107" operator="equal">
      <formula>"???"</formula>
    </cfRule>
  </conditionalFormatting>
  <conditionalFormatting sqref="H43">
    <cfRule type="containsText" dxfId="88" priority="104" operator="containsText" text="check">
      <formula>NOT(ISERROR(SEARCH("check",H43)))</formula>
    </cfRule>
    <cfRule type="cellIs" dxfId="87" priority="105" operator="equal">
      <formula>"???"</formula>
    </cfRule>
  </conditionalFormatting>
  <conditionalFormatting sqref="K44">
    <cfRule type="containsText" dxfId="86" priority="102" operator="containsText" text="check">
      <formula>NOT(ISERROR(SEARCH("check",K44)))</formula>
    </cfRule>
    <cfRule type="cellIs" dxfId="85" priority="103" operator="equal">
      <formula>"???"</formula>
    </cfRule>
  </conditionalFormatting>
  <conditionalFormatting sqref="L42:M42">
    <cfRule type="containsText" dxfId="84" priority="94" operator="containsText" text="check">
      <formula>NOT(ISERROR(SEARCH("check",L42)))</formula>
    </cfRule>
    <cfRule type="cellIs" dxfId="83" priority="95" operator="equal">
      <formula>"???"</formula>
    </cfRule>
  </conditionalFormatting>
  <conditionalFormatting sqref="L44:M44">
    <cfRule type="containsText" dxfId="82" priority="92" operator="containsText" text="check">
      <formula>NOT(ISERROR(SEARCH("check",L44)))</formula>
    </cfRule>
    <cfRule type="cellIs" dxfId="81" priority="93" operator="equal">
      <formula>"???"</formula>
    </cfRule>
  </conditionalFormatting>
  <conditionalFormatting sqref="I43:J43">
    <cfRule type="containsText" dxfId="80" priority="90" operator="containsText" text="check">
      <formula>NOT(ISERROR(SEARCH("check",I43)))</formula>
    </cfRule>
    <cfRule type="cellIs" dxfId="79" priority="91" operator="equal">
      <formula>"???"</formula>
    </cfRule>
  </conditionalFormatting>
  <conditionalFormatting sqref="P45:T45">
    <cfRule type="containsText" dxfId="78" priority="88" operator="containsText" text="check">
      <formula>NOT(ISERROR(SEARCH("check",P45)))</formula>
    </cfRule>
    <cfRule type="cellIs" dxfId="77" priority="89" operator="equal">
      <formula>"???"</formula>
    </cfRule>
  </conditionalFormatting>
  <conditionalFormatting sqref="R45">
    <cfRule type="containsText" dxfId="76" priority="87" operator="containsText" text="SI">
      <formula>NOT(ISERROR(SEARCH("SI",R45)))</formula>
    </cfRule>
  </conditionalFormatting>
  <conditionalFormatting sqref="T45">
    <cfRule type="cellIs" dxfId="75" priority="86" operator="equal">
      <formula>"Yes"</formula>
    </cfRule>
  </conditionalFormatting>
  <conditionalFormatting sqref="AA44">
    <cfRule type="containsText" dxfId="74" priority="84" operator="containsText" text="check">
      <formula>NOT(ISERROR(SEARCH("check",AA44)))</formula>
    </cfRule>
    <cfRule type="cellIs" dxfId="73" priority="85" operator="equal">
      <formula>"???"</formula>
    </cfRule>
  </conditionalFormatting>
  <conditionalFormatting sqref="AA43">
    <cfRule type="containsText" dxfId="72" priority="82" operator="containsText" text="check">
      <formula>NOT(ISERROR(SEARCH("check",AA43)))</formula>
    </cfRule>
    <cfRule type="cellIs" dxfId="71" priority="83" operator="equal">
      <formula>"???"</formula>
    </cfRule>
  </conditionalFormatting>
  <conditionalFormatting sqref="P47:Q47">
    <cfRule type="containsText" dxfId="70" priority="78" operator="containsText" text="check">
      <formula>NOT(ISERROR(SEARCH("check",P47)))</formula>
    </cfRule>
    <cfRule type="cellIs" dxfId="69" priority="79" operator="equal">
      <formula>"???"</formula>
    </cfRule>
  </conditionalFormatting>
  <conditionalFormatting sqref="H49:J49">
    <cfRule type="containsText" dxfId="68" priority="74" operator="containsText" text="check">
      <formula>NOT(ISERROR(SEARCH("check",H49)))</formula>
    </cfRule>
    <cfRule type="cellIs" dxfId="67" priority="75" operator="equal">
      <formula>"???"</formula>
    </cfRule>
  </conditionalFormatting>
  <conditionalFormatting sqref="A51 C51 F51:O51 R51:AB51 R52">
    <cfRule type="containsText" dxfId="66" priority="72" operator="containsText" text="check">
      <formula>NOT(ISERROR(SEARCH("check",A51)))</formula>
    </cfRule>
    <cfRule type="cellIs" dxfId="65" priority="73" operator="equal">
      <formula>"???"</formula>
    </cfRule>
  </conditionalFormatting>
  <conditionalFormatting sqref="L52:M52">
    <cfRule type="containsText" dxfId="64" priority="70" operator="containsText" text="check">
      <formula>NOT(ISERROR(SEARCH("check",L52)))</formula>
    </cfRule>
    <cfRule type="cellIs" dxfId="63" priority="71" operator="equal">
      <formula>"???"</formula>
    </cfRule>
  </conditionalFormatting>
  <conditionalFormatting sqref="I52:K52">
    <cfRule type="containsText" dxfId="62" priority="68" operator="containsText" text="check">
      <formula>NOT(ISERROR(SEARCH("check",I52)))</formula>
    </cfRule>
    <cfRule type="cellIs" dxfId="61" priority="69" operator="equal">
      <formula>"???"</formula>
    </cfRule>
  </conditionalFormatting>
  <conditionalFormatting sqref="A53:B53 K53:AB53 D53:G53">
    <cfRule type="containsText" dxfId="60" priority="66" operator="containsText" text="check">
      <formula>NOT(ISERROR(SEARCH("check",A53)))</formula>
    </cfRule>
    <cfRule type="cellIs" dxfId="59" priority="67" operator="equal">
      <formula>"???"</formula>
    </cfRule>
  </conditionalFormatting>
  <conditionalFormatting sqref="R53">
    <cfRule type="containsText" dxfId="58" priority="63" operator="containsText" text="SI">
      <formula>NOT(ISERROR(SEARCH("SI",R53)))</formula>
    </cfRule>
  </conditionalFormatting>
  <conditionalFormatting sqref="T53">
    <cfRule type="cellIs" dxfId="57" priority="62" operator="equal">
      <formula>"Yes"</formula>
    </cfRule>
  </conditionalFormatting>
  <conditionalFormatting sqref="H53:J53">
    <cfRule type="containsText" dxfId="56" priority="58" operator="containsText" text="check">
      <formula>NOT(ISERROR(SEARCH("check",H53)))</formula>
    </cfRule>
    <cfRule type="cellIs" dxfId="55" priority="59" operator="equal">
      <formula>"???"</formula>
    </cfRule>
  </conditionalFormatting>
  <conditionalFormatting sqref="C53">
    <cfRule type="containsText" dxfId="54" priority="56" operator="containsText" text="check">
      <formula>NOT(ISERROR(SEARCH("check",C53)))</formula>
    </cfRule>
    <cfRule type="cellIs" dxfId="53" priority="57" operator="equal">
      <formula>"???"</formula>
    </cfRule>
  </conditionalFormatting>
  <conditionalFormatting sqref="C53">
    <cfRule type="cellIs" dxfId="52" priority="54" operator="equal">
      <formula>"TMO"</formula>
    </cfRule>
    <cfRule type="cellIs" dxfId="51" priority="55" operator="equal">
      <formula>"FMO"</formula>
    </cfRule>
  </conditionalFormatting>
  <conditionalFormatting sqref="E14:E19">
    <cfRule type="containsText" dxfId="50" priority="52" operator="containsText" text="check">
      <formula>NOT(ISERROR(SEARCH("check",E14)))</formula>
    </cfRule>
    <cfRule type="cellIs" dxfId="49" priority="53" operator="equal">
      <formula>"???"</formula>
    </cfRule>
  </conditionalFormatting>
  <conditionalFormatting sqref="E36">
    <cfRule type="containsText" dxfId="48" priority="50" operator="containsText" text="check">
      <formula>NOT(ISERROR(SEARCH("check",E36)))</formula>
    </cfRule>
    <cfRule type="cellIs" dxfId="47" priority="51" operator="equal">
      <formula>"???"</formula>
    </cfRule>
  </conditionalFormatting>
  <conditionalFormatting sqref="E42:E44">
    <cfRule type="containsText" dxfId="46" priority="48" operator="containsText" text="check">
      <formula>NOT(ISERROR(SEARCH("check",E42)))</formula>
    </cfRule>
    <cfRule type="cellIs" dxfId="45" priority="49" operator="equal">
      <formula>"???"</formula>
    </cfRule>
  </conditionalFormatting>
  <conditionalFormatting sqref="E49:E52">
    <cfRule type="containsText" dxfId="44" priority="46" operator="containsText" text="check">
      <formula>NOT(ISERROR(SEARCH("check",E49)))</formula>
    </cfRule>
    <cfRule type="cellIs" dxfId="43" priority="47" operator="equal">
      <formula>"???"</formula>
    </cfRule>
  </conditionalFormatting>
  <conditionalFormatting sqref="A63:AB64">
    <cfRule type="containsText" dxfId="42" priority="44" operator="containsText" text="check">
      <formula>NOT(ISERROR(SEARCH("check",A63)))</formula>
    </cfRule>
    <cfRule type="cellIs" dxfId="41" priority="45" operator="equal">
      <formula>"???"</formula>
    </cfRule>
  </conditionalFormatting>
  <conditionalFormatting sqref="C63:C64">
    <cfRule type="cellIs" dxfId="40" priority="42" operator="equal">
      <formula>"TMO"</formula>
    </cfRule>
    <cfRule type="cellIs" dxfId="39" priority="43" operator="equal">
      <formula>"FMO"</formula>
    </cfRule>
  </conditionalFormatting>
  <conditionalFormatting sqref="R63:R64">
    <cfRule type="containsText" dxfId="38" priority="41" operator="containsText" text="SI">
      <formula>NOT(ISERROR(SEARCH("SI",R63)))</formula>
    </cfRule>
  </conditionalFormatting>
  <conditionalFormatting sqref="T63:T64">
    <cfRule type="cellIs" dxfId="37" priority="40" operator="equal">
      <formula>"Yes"</formula>
    </cfRule>
  </conditionalFormatting>
  <conditionalFormatting sqref="E63:E64">
    <cfRule type="containsText" dxfId="36" priority="38" operator="containsText" text="issue">
      <formula>NOT(ISERROR(SEARCH("issue",E63)))</formula>
    </cfRule>
    <cfRule type="containsText" dxfId="35" priority="39" operator="containsText" text="Test OK">
      <formula>NOT(ISERROR(SEARCH("Test OK",E63)))</formula>
    </cfRule>
  </conditionalFormatting>
  <conditionalFormatting sqref="Q65">
    <cfRule type="containsText" dxfId="34" priority="36" operator="containsText" text="check">
      <formula>NOT(ISERROR(SEARCH("check",Q65)))</formula>
    </cfRule>
    <cfRule type="cellIs" dxfId="33" priority="37" operator="equal">
      <formula>"???"</formula>
    </cfRule>
  </conditionalFormatting>
  <conditionalFormatting sqref="Q66">
    <cfRule type="containsText" dxfId="32" priority="34" operator="containsText" text="check">
      <formula>NOT(ISERROR(SEARCH("check",Q66)))</formula>
    </cfRule>
    <cfRule type="cellIs" dxfId="31" priority="35" operator="equal">
      <formula>"???"</formula>
    </cfRule>
  </conditionalFormatting>
  <conditionalFormatting sqref="D65:D66">
    <cfRule type="containsText" dxfId="30" priority="32" operator="containsText" text="check">
      <formula>NOT(ISERROR(SEARCH("check",D65)))</formula>
    </cfRule>
    <cfRule type="cellIs" dxfId="29" priority="33" operator="equal">
      <formula>"???"</formula>
    </cfRule>
  </conditionalFormatting>
  <conditionalFormatting sqref="G66">
    <cfRule type="containsText" dxfId="28" priority="28" operator="containsText" text="check">
      <formula>NOT(ISERROR(SEARCH("check",G66)))</formula>
    </cfRule>
    <cfRule type="cellIs" dxfId="27" priority="29" operator="equal">
      <formula>"???"</formula>
    </cfRule>
  </conditionalFormatting>
  <conditionalFormatting sqref="A68:C69 I68:Z68 AB68:AB69 F68:G69 K69:Z69">
    <cfRule type="containsText" dxfId="26" priority="26" operator="containsText" text="check">
      <formula>NOT(ISERROR(SEARCH("check",A68)))</formula>
    </cfRule>
    <cfRule type="cellIs" dxfId="25" priority="27" operator="equal">
      <formula>"???"</formula>
    </cfRule>
  </conditionalFormatting>
  <conditionalFormatting sqref="C68:C69">
    <cfRule type="cellIs" dxfId="24" priority="24" operator="equal">
      <formula>"TMO"</formula>
    </cfRule>
    <cfRule type="cellIs" dxfId="23" priority="25" operator="equal">
      <formula>"FMO"</formula>
    </cfRule>
  </conditionalFormatting>
  <conditionalFormatting sqref="R68:R69">
    <cfRule type="containsText" dxfId="22" priority="23" operator="containsText" text="SI">
      <formula>NOT(ISERROR(SEARCH("SI",R68)))</formula>
    </cfRule>
  </conditionalFormatting>
  <conditionalFormatting sqref="T68:T69">
    <cfRule type="cellIs" dxfId="21" priority="22" operator="equal">
      <formula>"Yes"</formula>
    </cfRule>
  </conditionalFormatting>
  <conditionalFormatting sqref="D68:D69">
    <cfRule type="containsText" dxfId="20" priority="20" operator="containsText" text="check">
      <formula>NOT(ISERROR(SEARCH("check",D68)))</formula>
    </cfRule>
    <cfRule type="cellIs" dxfId="19" priority="21" operator="equal">
      <formula>"???"</formula>
    </cfRule>
  </conditionalFormatting>
  <conditionalFormatting sqref="H68:H69">
    <cfRule type="containsText" dxfId="18" priority="18" operator="containsText" text="check">
      <formula>NOT(ISERROR(SEARCH("check",H68)))</formula>
    </cfRule>
    <cfRule type="cellIs" dxfId="17" priority="19" operator="equal">
      <formula>"???"</formula>
    </cfRule>
  </conditionalFormatting>
  <conditionalFormatting sqref="AA68:AA69">
    <cfRule type="containsText" dxfId="16" priority="16" operator="containsText" text="check">
      <formula>NOT(ISERROR(SEARCH("check",AA68)))</formula>
    </cfRule>
    <cfRule type="cellIs" dxfId="15" priority="17" operator="equal">
      <formula>"???"</formula>
    </cfRule>
  </conditionalFormatting>
  <conditionalFormatting sqref="E68:E69">
    <cfRule type="containsText" dxfId="14" priority="14" operator="containsText" text="check">
      <formula>NOT(ISERROR(SEARCH("check",E68)))</formula>
    </cfRule>
    <cfRule type="cellIs" dxfId="13" priority="15" operator="equal">
      <formula>"???"</formula>
    </cfRule>
  </conditionalFormatting>
  <conditionalFormatting sqref="A59:AB60">
    <cfRule type="containsText" dxfId="12" priority="12" operator="containsText" text="check">
      <formula>NOT(ISERROR(SEARCH("check",A59)))</formula>
    </cfRule>
    <cfRule type="cellIs" dxfId="11" priority="13" operator="equal">
      <formula>"???"</formula>
    </cfRule>
  </conditionalFormatting>
  <conditionalFormatting sqref="C59:C60">
    <cfRule type="cellIs" dxfId="10" priority="10" operator="equal">
      <formula>"TMO"</formula>
    </cfRule>
    <cfRule type="cellIs" dxfId="9" priority="11" operator="equal">
      <formula>"FMO"</formula>
    </cfRule>
  </conditionalFormatting>
  <conditionalFormatting sqref="R59:R60">
    <cfRule type="containsText" dxfId="8" priority="9" operator="containsText" text="SI">
      <formula>NOT(ISERROR(SEARCH("SI",R59)))</formula>
    </cfRule>
  </conditionalFormatting>
  <conditionalFormatting sqref="T59:T60">
    <cfRule type="cellIs" dxfId="7" priority="8" operator="equal">
      <formula>"Yes"</formula>
    </cfRule>
  </conditionalFormatting>
  <conditionalFormatting sqref="E59:E60">
    <cfRule type="containsText" dxfId="6" priority="7" operator="containsText" text="OK">
      <formula>NOT(ISERROR(SEARCH("OK",E59)))</formula>
    </cfRule>
  </conditionalFormatting>
  <conditionalFormatting sqref="H46:J46">
    <cfRule type="containsText" dxfId="5" priority="5" operator="containsText" text="Check">
      <formula>NOT(ISERROR(SEARCH("Check",H46)))</formula>
    </cfRule>
    <cfRule type="cellIs" dxfId="4" priority="6" operator="equal">
      <formula>"???"</formula>
    </cfRule>
  </conditionalFormatting>
  <conditionalFormatting sqref="P46:Q46">
    <cfRule type="containsText" dxfId="3" priority="3" operator="containsText" text="check">
      <formula>NOT(ISERROR(SEARCH("check",P46)))</formula>
    </cfRule>
    <cfRule type="cellIs" dxfId="2" priority="4" operator="equal">
      <formula>"???"</formula>
    </cfRule>
  </conditionalFormatting>
  <conditionalFormatting sqref="H47:J47">
    <cfRule type="containsText" dxfId="1" priority="1" operator="containsText" text="check">
      <formula>NOT(ISERROR(SEARCH("check",H47)))</formula>
    </cfRule>
    <cfRule type="cellIs" dxfId="0" priority="2" operator="equal">
      <formula>"???"</formula>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700-000000000000}">
          <x14:formula1>
            <xm:f>Tables!$D$7:$D$10</xm:f>
          </x14:formula1>
          <xm:sqref>S7:S41 S70:S116 S61:S67 S45:S58</xm:sqref>
        </x14:dataValidation>
        <x14:dataValidation type="list" allowBlank="1" showInputMessage="1" showErrorMessage="1" xr:uid="{00000000-0002-0000-0700-000001000000}">
          <x14:formula1>
            <xm:f>Tables!$E$7:$E$11</xm:f>
          </x14:formula1>
          <xm:sqref>Y7:Y41 Y70:Y116 Y61:Y67 Y45:Y58</xm:sqref>
        </x14:dataValidation>
        <x14:dataValidation type="list" allowBlank="1" showInputMessage="1" showErrorMessage="1" xr:uid="{00000000-0002-0000-0700-000003000000}">
          <x14:formula1>
            <xm:f>Tables!$C$7:$C$70</xm:f>
          </x14:formula1>
          <xm:sqref>P7:P43 P61:P67 P70:P116 P48:P58 P45</xm:sqref>
        </x14:dataValidation>
        <x14:dataValidation type="list" allowBlank="1" showInputMessage="1" showErrorMessage="1" xr:uid="{00000000-0002-0000-0700-000004000000}">
          <x14:formula1>
            <xm:f>Tables!$J$7:$J$19</xm:f>
          </x14:formula1>
          <xm:sqref>R7:R41 R70:R116 R61:R67 R45:R58</xm:sqref>
        </x14:dataValidation>
        <x14:dataValidation type="list" allowBlank="1" showInputMessage="1" showErrorMessage="1" xr:uid="{00000000-0002-0000-0700-000006000000}">
          <x14:formula1>
            <xm:f>Tables!$B$7:$B$10</xm:f>
          </x14:formula1>
          <xm:sqref>T7:T41 T43 T70:T116 T61:T67 T45:T58</xm:sqref>
        </x14:dataValidation>
        <x14:dataValidation type="list" allowBlank="1" showInputMessage="1" showErrorMessage="1" xr:uid="{00000000-0002-0000-0700-000002000000}">
          <x14:formula1>
            <xm:f>Tables!$G$7:$G$11</xm:f>
          </x14:formula1>
          <xm:sqref>X70:X116 X61:X67 X7:X58</xm:sqref>
        </x14:dataValidation>
        <x14:dataValidation type="list" allowBlank="1" showInputMessage="1" showErrorMessage="1" xr:uid="{00000000-0002-0000-0700-000005000000}">
          <x14:formula1>
            <xm:f>Tables!$L$7:$L$19</xm:f>
          </x14:formula1>
          <xm:sqref>E70:E116 E61:E67 E7:E58</xm:sqref>
        </x14:dataValidation>
        <x14:dataValidation type="list" allowBlank="1" showInputMessage="1" showErrorMessage="1" xr:uid="{00000000-0002-0000-0700-000007000000}">
          <x14:formula1>
            <xm:f>Tables!$Y$7:$Y$15</xm:f>
          </x14:formula1>
          <xm:sqref>C70:C116 C61:C67 C7:C58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8">
    <tabColor theme="0" tint="-0.499984740745262"/>
  </sheetPr>
  <dimension ref="B1:Y1217"/>
  <sheetViews>
    <sheetView topLeftCell="O1" workbookViewId="0">
      <pane ySplit="6" topLeftCell="A7" activePane="bottomLeft" state="frozen"/>
      <selection pane="bottomLeft" activeCell="U33" sqref="U33"/>
    </sheetView>
  </sheetViews>
  <sheetFormatPr baseColWidth="10" defaultColWidth="9.1640625" defaultRowHeight="15" x14ac:dyDescent="0.2"/>
  <cols>
    <col min="1" max="1" width="5.1640625" style="2" customWidth="1"/>
    <col min="2" max="2" width="13.5" style="2" customWidth="1"/>
    <col min="3" max="3" width="29.5" style="10" customWidth="1"/>
    <col min="4" max="4" width="16.33203125" style="10" customWidth="1"/>
    <col min="5" max="5" width="22.83203125" style="10" customWidth="1"/>
    <col min="6" max="6" width="19.33203125" style="10" customWidth="1"/>
    <col min="7" max="7" width="20.33203125" style="25" customWidth="1"/>
    <col min="8" max="8" width="22.33203125" style="10" bestFit="1" customWidth="1"/>
    <col min="9" max="9" width="35" style="10" customWidth="1"/>
    <col min="10" max="10" width="22.33203125" style="10" bestFit="1" customWidth="1"/>
    <col min="11" max="11" width="44.83203125" style="70" customWidth="1"/>
    <col min="12" max="13" width="33" style="10" customWidth="1"/>
    <col min="14" max="14" width="35" style="10" customWidth="1"/>
    <col min="15" max="15" width="15" style="10" customWidth="1"/>
    <col min="16" max="16" width="22.1640625" style="10" customWidth="1"/>
    <col min="17" max="17" width="16.5" style="10" customWidth="1"/>
    <col min="18" max="18" width="18" style="10" customWidth="1"/>
    <col min="19" max="19" width="19.1640625" style="10" customWidth="1"/>
    <col min="20" max="20" width="29.83203125" style="10" customWidth="1"/>
    <col min="21" max="21" width="16.5" style="10" customWidth="1"/>
    <col min="22" max="22" width="15.5" style="2" customWidth="1"/>
    <col min="23" max="23" width="15" style="10" customWidth="1"/>
    <col min="24" max="25" width="20" style="10" customWidth="1"/>
    <col min="26" max="16384" width="9.1640625" style="2"/>
  </cols>
  <sheetData>
    <row r="1" spans="2:25" x14ac:dyDescent="0.2">
      <c r="V1" s="10"/>
    </row>
    <row r="2" spans="2:25" ht="21.75" customHeight="1" x14ac:dyDescent="0.2">
      <c r="B2" s="5"/>
      <c r="C2" s="8"/>
      <c r="D2" s="8"/>
      <c r="E2" s="17"/>
      <c r="F2" s="8"/>
      <c r="G2" s="24"/>
      <c r="H2" s="8"/>
      <c r="I2" s="8"/>
      <c r="J2" s="8"/>
      <c r="K2" s="71"/>
      <c r="L2" s="8"/>
      <c r="M2" s="8"/>
      <c r="N2" s="8"/>
      <c r="O2" s="8"/>
      <c r="P2" s="8"/>
      <c r="Q2" s="8"/>
      <c r="R2" s="8"/>
      <c r="S2" s="8"/>
      <c r="T2" s="8"/>
      <c r="U2" s="8"/>
      <c r="V2" s="8"/>
      <c r="W2" s="8"/>
      <c r="X2" s="8"/>
      <c r="Y2" s="8"/>
    </row>
    <row r="3" spans="2:25" ht="24" x14ac:dyDescent="0.3">
      <c r="B3" s="5"/>
      <c r="C3" s="8"/>
      <c r="D3" s="8"/>
      <c r="E3" s="18" t="s">
        <v>1058</v>
      </c>
      <c r="F3" s="8"/>
      <c r="G3" s="24"/>
      <c r="H3" s="8"/>
      <c r="I3" s="8"/>
      <c r="J3" s="8"/>
      <c r="K3" s="71"/>
      <c r="L3" s="8"/>
      <c r="M3" s="8"/>
      <c r="N3" s="8"/>
      <c r="O3" s="8"/>
      <c r="P3" s="8"/>
      <c r="Q3" s="8"/>
      <c r="R3" s="8"/>
      <c r="S3" s="8"/>
      <c r="T3" s="8"/>
      <c r="U3" s="8"/>
      <c r="V3" s="8"/>
      <c r="W3" s="8"/>
      <c r="X3" s="8"/>
      <c r="Y3" s="8"/>
    </row>
    <row r="4" spans="2:25" ht="21.75" customHeight="1" x14ac:dyDescent="0.2">
      <c r="B4" s="5"/>
      <c r="C4" s="8"/>
      <c r="D4" s="8"/>
      <c r="E4" s="8"/>
      <c r="F4" s="8"/>
      <c r="G4" s="24"/>
      <c r="H4" s="8"/>
      <c r="I4" s="8"/>
      <c r="J4" s="8"/>
      <c r="K4" s="71"/>
      <c r="L4" s="8"/>
      <c r="M4" s="8"/>
      <c r="N4" s="8"/>
      <c r="O4" s="8"/>
      <c r="P4" s="8"/>
      <c r="Q4" s="8"/>
      <c r="R4" s="8"/>
      <c r="S4" s="8"/>
      <c r="T4" s="8"/>
      <c r="U4" s="8"/>
      <c r="V4" s="8"/>
      <c r="W4" s="8"/>
      <c r="X4" s="8"/>
      <c r="Y4" s="8"/>
    </row>
    <row r="5" spans="2:25" ht="63.75" customHeight="1" x14ac:dyDescent="0.2">
      <c r="C5" s="220" t="s">
        <v>1059</v>
      </c>
      <c r="D5" s="239"/>
      <c r="E5" s="240"/>
      <c r="V5" s="10"/>
    </row>
    <row r="6" spans="2:25" ht="16.5" customHeight="1" x14ac:dyDescent="0.2">
      <c r="B6" s="13" t="s">
        <v>1060</v>
      </c>
      <c r="C6" s="13" t="s">
        <v>1061</v>
      </c>
      <c r="D6" s="13" t="s">
        <v>301</v>
      </c>
      <c r="E6" s="13" t="s">
        <v>287</v>
      </c>
      <c r="F6" s="13" t="s">
        <v>1062</v>
      </c>
      <c r="G6" s="13" t="s">
        <v>1063</v>
      </c>
      <c r="H6" s="13" t="s">
        <v>1064</v>
      </c>
      <c r="I6" s="13" t="s">
        <v>1065</v>
      </c>
      <c r="J6" s="13" t="s">
        <v>1066</v>
      </c>
      <c r="K6" s="94" t="s">
        <v>1067</v>
      </c>
      <c r="L6" s="13" t="s">
        <v>1068</v>
      </c>
      <c r="M6" s="13" t="s">
        <v>1069</v>
      </c>
      <c r="N6" s="13" t="s">
        <v>1070</v>
      </c>
      <c r="O6" s="13" t="s">
        <v>1071</v>
      </c>
      <c r="P6" s="13" t="s">
        <v>1072</v>
      </c>
      <c r="Q6" s="13" t="s">
        <v>1073</v>
      </c>
      <c r="R6" s="13" t="s">
        <v>1074</v>
      </c>
      <c r="S6" s="13" t="s">
        <v>1075</v>
      </c>
      <c r="T6" s="101" t="s">
        <v>1076</v>
      </c>
      <c r="U6" s="13" t="s">
        <v>1077</v>
      </c>
      <c r="V6" s="13" t="s">
        <v>1078</v>
      </c>
      <c r="W6" s="13" t="s">
        <v>1079</v>
      </c>
      <c r="X6" s="13" t="s">
        <v>1080</v>
      </c>
      <c r="Y6" s="13" t="s">
        <v>1081</v>
      </c>
    </row>
    <row r="7" spans="2:25" x14ac:dyDescent="0.2">
      <c r="B7" s="23" t="s">
        <v>400</v>
      </c>
      <c r="C7" s="23" t="s">
        <v>400</v>
      </c>
      <c r="D7" s="23" t="s">
        <v>400</v>
      </c>
      <c r="E7" s="23" t="s">
        <v>400</v>
      </c>
      <c r="F7" s="23" t="s">
        <v>400</v>
      </c>
      <c r="G7" s="26" t="s">
        <v>302</v>
      </c>
      <c r="H7" s="23" t="s">
        <v>400</v>
      </c>
      <c r="I7" s="23" t="s">
        <v>400</v>
      </c>
      <c r="J7" s="23" t="s">
        <v>400</v>
      </c>
      <c r="K7" s="204"/>
      <c r="L7" s="23" t="s">
        <v>400</v>
      </c>
      <c r="M7" s="23" t="s">
        <v>400</v>
      </c>
      <c r="N7" s="23" t="s">
        <v>400</v>
      </c>
      <c r="O7" s="23" t="s">
        <v>400</v>
      </c>
      <c r="P7" s="23" t="s">
        <v>400</v>
      </c>
      <c r="Q7" s="23" t="s">
        <v>400</v>
      </c>
      <c r="R7" s="110" t="s">
        <v>1082</v>
      </c>
      <c r="S7" s="110" t="s">
        <v>1082</v>
      </c>
      <c r="T7" s="110" t="s">
        <v>1082</v>
      </c>
      <c r="U7" s="110" t="s">
        <v>1082</v>
      </c>
      <c r="V7" s="23"/>
      <c r="W7" s="23" t="s">
        <v>244</v>
      </c>
      <c r="X7" s="23" t="s">
        <v>400</v>
      </c>
      <c r="Y7" s="23" t="s">
        <v>400</v>
      </c>
    </row>
    <row r="8" spans="2:25" x14ac:dyDescent="0.2">
      <c r="B8" s="23" t="s">
        <v>1083</v>
      </c>
      <c r="C8" s="23" t="s">
        <v>708</v>
      </c>
      <c r="D8" s="23" t="s">
        <v>301</v>
      </c>
      <c r="E8" s="23" t="s">
        <v>318</v>
      </c>
      <c r="F8" s="23" t="s">
        <v>1084</v>
      </c>
      <c r="G8" s="26" t="s">
        <v>1085</v>
      </c>
      <c r="H8" s="23" t="s">
        <v>1086</v>
      </c>
      <c r="I8" s="23" t="s">
        <v>109</v>
      </c>
      <c r="J8" s="23" t="s">
        <v>293</v>
      </c>
      <c r="K8" s="204" t="s">
        <v>1087</v>
      </c>
      <c r="L8" s="23" t="s">
        <v>1088</v>
      </c>
      <c r="M8" s="23" t="s">
        <v>1089</v>
      </c>
      <c r="N8" s="23" t="s">
        <v>115</v>
      </c>
      <c r="O8" s="23" t="s">
        <v>1090</v>
      </c>
      <c r="P8" s="23" t="s">
        <v>1091</v>
      </c>
      <c r="Q8" s="23" t="s">
        <v>1092</v>
      </c>
      <c r="R8" s="103" t="s">
        <v>1093</v>
      </c>
      <c r="S8" s="103" t="s">
        <v>1094</v>
      </c>
      <c r="T8" s="102" t="s">
        <v>1095</v>
      </c>
      <c r="U8" s="23" t="s">
        <v>1096</v>
      </c>
      <c r="V8" s="23" t="s">
        <v>1097</v>
      </c>
      <c r="W8" s="23" t="s">
        <v>1098</v>
      </c>
      <c r="X8" s="23" t="s">
        <v>33</v>
      </c>
      <c r="Y8" s="23" t="s">
        <v>205</v>
      </c>
    </row>
    <row r="9" spans="2:25" x14ac:dyDescent="0.2">
      <c r="B9" s="23" t="s">
        <v>293</v>
      </c>
      <c r="C9" s="23" t="s">
        <v>1099</v>
      </c>
      <c r="D9" s="23" t="s">
        <v>803</v>
      </c>
      <c r="E9" s="23" t="s">
        <v>575</v>
      </c>
      <c r="F9" s="23" t="s">
        <v>1100</v>
      </c>
      <c r="G9" s="26" t="s">
        <v>1101</v>
      </c>
      <c r="H9" s="23" t="s">
        <v>1102</v>
      </c>
      <c r="I9" s="23" t="s">
        <v>113</v>
      </c>
      <c r="J9" s="23" t="s">
        <v>1103</v>
      </c>
      <c r="K9" s="204" t="s">
        <v>1104</v>
      </c>
      <c r="L9" s="23" t="s">
        <v>710</v>
      </c>
      <c r="M9" s="23" t="s">
        <v>1105</v>
      </c>
      <c r="N9" s="23" t="s">
        <v>119</v>
      </c>
      <c r="O9" s="23" t="s">
        <v>1106</v>
      </c>
      <c r="P9" s="23" t="s">
        <v>1107</v>
      </c>
      <c r="Q9" s="23" t="s">
        <v>755</v>
      </c>
      <c r="R9" s="103" t="s">
        <v>1108</v>
      </c>
      <c r="S9" s="103" t="s">
        <v>1109</v>
      </c>
      <c r="T9" s="102" t="s">
        <v>1095</v>
      </c>
      <c r="U9" s="23" t="s">
        <v>1096</v>
      </c>
      <c r="V9" s="23" t="s">
        <v>1110</v>
      </c>
      <c r="W9" s="23"/>
      <c r="X9" s="23" t="s">
        <v>1111</v>
      </c>
      <c r="Y9" s="23" t="s">
        <v>1011</v>
      </c>
    </row>
    <row r="10" spans="2:25" x14ac:dyDescent="0.2">
      <c r="B10" s="23" t="s">
        <v>708</v>
      </c>
      <c r="C10" s="23" t="s">
        <v>1112</v>
      </c>
      <c r="D10" s="23" t="s">
        <v>310</v>
      </c>
      <c r="E10" s="23" t="s">
        <v>303</v>
      </c>
      <c r="F10" s="23" t="s">
        <v>310</v>
      </c>
      <c r="G10" s="26" t="s">
        <v>1113</v>
      </c>
      <c r="H10" s="23" t="s">
        <v>1114</v>
      </c>
      <c r="I10" s="23" t="s">
        <v>1115</v>
      </c>
      <c r="J10" s="23" t="s">
        <v>560</v>
      </c>
      <c r="K10" s="204" t="s">
        <v>1116</v>
      </c>
      <c r="L10" s="100" t="s">
        <v>867</v>
      </c>
      <c r="M10" s="23" t="s">
        <v>1117</v>
      </c>
      <c r="N10" s="23" t="s">
        <v>1118</v>
      </c>
      <c r="O10" s="23" t="s">
        <v>1119</v>
      </c>
      <c r="P10" s="23" t="s">
        <v>1120</v>
      </c>
      <c r="Q10" s="23" t="s">
        <v>1121</v>
      </c>
      <c r="R10" s="103" t="s">
        <v>1122</v>
      </c>
      <c r="S10" s="103" t="s">
        <v>1123</v>
      </c>
      <c r="T10" s="102" t="s">
        <v>1095</v>
      </c>
      <c r="U10" s="23" t="s">
        <v>1124</v>
      </c>
      <c r="V10" s="23" t="s">
        <v>1125</v>
      </c>
      <c r="W10" s="23"/>
      <c r="X10" s="23"/>
      <c r="Y10" s="23"/>
    </row>
    <row r="11" spans="2:25" x14ac:dyDescent="0.2">
      <c r="B11" s="7"/>
      <c r="C11" s="23" t="s">
        <v>1126</v>
      </c>
      <c r="D11" s="23" t="s">
        <v>708</v>
      </c>
      <c r="E11" s="23" t="s">
        <v>708</v>
      </c>
      <c r="F11" s="23" t="s">
        <v>708</v>
      </c>
      <c r="G11" s="26" t="s">
        <v>1127</v>
      </c>
      <c r="H11" s="23"/>
      <c r="I11" s="23" t="s">
        <v>1128</v>
      </c>
      <c r="J11" s="23" t="s">
        <v>1129</v>
      </c>
      <c r="K11" s="204" t="s">
        <v>1130</v>
      </c>
      <c r="L11" s="100" t="s">
        <v>702</v>
      </c>
      <c r="M11" s="23" t="s">
        <v>1131</v>
      </c>
      <c r="N11" s="23" t="s">
        <v>1132</v>
      </c>
      <c r="O11" s="23"/>
      <c r="P11" s="23" t="s">
        <v>1133</v>
      </c>
      <c r="Q11" s="23"/>
      <c r="R11" s="103" t="s">
        <v>1134</v>
      </c>
      <c r="S11" s="103" t="s">
        <v>1135</v>
      </c>
      <c r="T11" s="102" t="s">
        <v>1095</v>
      </c>
      <c r="U11" s="23" t="s">
        <v>1124</v>
      </c>
      <c r="V11" s="23" t="s">
        <v>1136</v>
      </c>
      <c r="W11" s="23"/>
      <c r="X11" s="23"/>
      <c r="Y11" s="23"/>
    </row>
    <row r="12" spans="2:25" x14ac:dyDescent="0.2">
      <c r="B12" s="7"/>
      <c r="C12" s="23" t="s">
        <v>559</v>
      </c>
      <c r="D12" s="9"/>
      <c r="E12" s="9"/>
      <c r="F12" s="9"/>
      <c r="G12" s="9"/>
      <c r="H12" s="23"/>
      <c r="I12" s="23" t="s">
        <v>1137</v>
      </c>
      <c r="J12" s="23" t="s">
        <v>1138</v>
      </c>
      <c r="K12" s="204" t="s">
        <v>1139</v>
      </c>
      <c r="L12" s="100" t="s">
        <v>743</v>
      </c>
      <c r="M12" s="23" t="s">
        <v>1140</v>
      </c>
      <c r="N12" s="23" t="s">
        <v>1141</v>
      </c>
      <c r="O12" s="23"/>
      <c r="P12" s="23" t="s">
        <v>1142</v>
      </c>
      <c r="Q12" s="23"/>
      <c r="R12" s="103" t="s">
        <v>1143</v>
      </c>
      <c r="S12" s="103" t="s">
        <v>1144</v>
      </c>
      <c r="T12" s="102" t="s">
        <v>1095</v>
      </c>
      <c r="U12" s="23" t="s">
        <v>1145</v>
      </c>
      <c r="V12" s="23" t="s">
        <v>1146</v>
      </c>
      <c r="W12" s="23"/>
      <c r="X12" s="23"/>
      <c r="Y12" s="23"/>
    </row>
    <row r="13" spans="2:25" x14ac:dyDescent="0.2">
      <c r="B13" s="7"/>
      <c r="C13" s="23" t="s">
        <v>435</v>
      </c>
      <c r="D13" s="9"/>
      <c r="E13" s="9"/>
      <c r="F13" s="9"/>
      <c r="G13" s="9"/>
      <c r="H13" s="23"/>
      <c r="I13" s="23" t="s">
        <v>1147</v>
      </c>
      <c r="J13" s="23"/>
      <c r="K13" s="204"/>
      <c r="L13" s="23" t="s">
        <v>1148</v>
      </c>
      <c r="M13" s="23" t="s">
        <v>1149</v>
      </c>
      <c r="N13" s="23" t="s">
        <v>1150</v>
      </c>
      <c r="O13" s="23"/>
      <c r="P13" s="23" t="s">
        <v>1151</v>
      </c>
      <c r="Q13" s="23"/>
      <c r="R13" s="103" t="s">
        <v>1152</v>
      </c>
      <c r="S13" s="103" t="s">
        <v>1153</v>
      </c>
      <c r="T13" s="102" t="s">
        <v>1095</v>
      </c>
      <c r="U13" s="23" t="s">
        <v>1145</v>
      </c>
      <c r="V13" s="23" t="s">
        <v>1154</v>
      </c>
      <c r="W13" s="23"/>
      <c r="X13" s="23"/>
      <c r="Y13" s="23"/>
    </row>
    <row r="14" spans="2:25" x14ac:dyDescent="0.2">
      <c r="B14" s="7"/>
      <c r="C14" s="23" t="s">
        <v>1155</v>
      </c>
      <c r="D14" s="9"/>
      <c r="E14" s="9"/>
      <c r="F14" s="9"/>
      <c r="G14" s="16"/>
      <c r="H14" s="23"/>
      <c r="I14" s="23" t="s">
        <v>1156</v>
      </c>
      <c r="J14" s="23"/>
      <c r="K14" s="204"/>
      <c r="L14" s="23" t="s">
        <v>1157</v>
      </c>
      <c r="M14" s="23" t="s">
        <v>1158</v>
      </c>
      <c r="N14" s="23" t="s">
        <v>1159</v>
      </c>
      <c r="O14" s="23"/>
      <c r="P14" s="23"/>
      <c r="Q14" s="23"/>
      <c r="R14" s="103" t="s">
        <v>1160</v>
      </c>
      <c r="S14" s="103" t="s">
        <v>1161</v>
      </c>
      <c r="T14" s="102" t="s">
        <v>1095</v>
      </c>
      <c r="U14" s="108">
        <v>255255255128</v>
      </c>
      <c r="V14" s="23" t="s">
        <v>1162</v>
      </c>
      <c r="W14" s="23"/>
      <c r="X14" s="23"/>
      <c r="Y14" s="23"/>
    </row>
    <row r="15" spans="2:25" x14ac:dyDescent="0.2">
      <c r="B15" s="7"/>
      <c r="C15" s="23" t="s">
        <v>300</v>
      </c>
      <c r="D15" s="9"/>
      <c r="E15" s="9"/>
      <c r="F15" s="9"/>
      <c r="G15" s="16"/>
      <c r="H15" s="23"/>
      <c r="I15" s="23" t="s">
        <v>1163</v>
      </c>
      <c r="J15" s="23"/>
      <c r="K15" s="204"/>
      <c r="L15" s="23" t="s">
        <v>1164</v>
      </c>
      <c r="M15" s="23" t="s">
        <v>1165</v>
      </c>
      <c r="N15" s="23" t="s">
        <v>1166</v>
      </c>
      <c r="O15" s="23"/>
      <c r="P15" s="23"/>
      <c r="Q15" s="23"/>
      <c r="R15" s="103" t="s">
        <v>1167</v>
      </c>
      <c r="S15" s="103" t="s">
        <v>1168</v>
      </c>
      <c r="T15" s="102" t="s">
        <v>1095</v>
      </c>
      <c r="U15" s="23" t="s">
        <v>1145</v>
      </c>
      <c r="V15" s="23" t="s">
        <v>1169</v>
      </c>
      <c r="W15" s="23"/>
      <c r="X15" s="23"/>
      <c r="Y15" s="23"/>
    </row>
    <row r="16" spans="2:25" x14ac:dyDescent="0.2">
      <c r="B16" s="7"/>
      <c r="C16" s="23" t="s">
        <v>1170</v>
      </c>
      <c r="D16" s="9"/>
      <c r="E16" s="9"/>
      <c r="F16" s="9"/>
      <c r="G16" s="16"/>
      <c r="H16" s="23"/>
      <c r="I16" s="23"/>
      <c r="J16" s="23"/>
      <c r="K16" s="204"/>
      <c r="L16" s="23" t="s">
        <v>826</v>
      </c>
      <c r="M16" s="23" t="s">
        <v>1171</v>
      </c>
      <c r="N16" s="23"/>
      <c r="O16" s="23"/>
      <c r="P16" s="23"/>
      <c r="Q16" s="23"/>
      <c r="R16" s="103" t="s">
        <v>1172</v>
      </c>
      <c r="S16" s="103" t="s">
        <v>1173</v>
      </c>
      <c r="T16" s="102" t="s">
        <v>1095</v>
      </c>
      <c r="U16" s="108">
        <v>255255255128</v>
      </c>
      <c r="V16" s="23" t="s">
        <v>1174</v>
      </c>
      <c r="W16" s="23"/>
      <c r="X16" s="23"/>
      <c r="Y16" s="9"/>
    </row>
    <row r="17" spans="2:25" x14ac:dyDescent="0.2">
      <c r="B17" s="7"/>
      <c r="C17" s="23" t="s">
        <v>1175</v>
      </c>
      <c r="D17" s="9"/>
      <c r="E17" s="9"/>
      <c r="F17" s="9"/>
      <c r="G17" s="16"/>
      <c r="H17" s="23"/>
      <c r="I17" s="23"/>
      <c r="J17" s="23"/>
      <c r="K17" s="204"/>
      <c r="L17" s="23" t="s">
        <v>839</v>
      </c>
      <c r="M17" s="23" t="s">
        <v>1176</v>
      </c>
      <c r="N17" s="23"/>
      <c r="O17" s="23"/>
      <c r="P17" s="23"/>
      <c r="Q17" s="23"/>
      <c r="R17" s="103" t="s">
        <v>1177</v>
      </c>
      <c r="S17" s="103" t="s">
        <v>1178</v>
      </c>
      <c r="T17" s="102" t="s">
        <v>1095</v>
      </c>
      <c r="U17" s="23" t="s">
        <v>1145</v>
      </c>
      <c r="V17" s="23" t="s">
        <v>1179</v>
      </c>
      <c r="W17" s="23"/>
      <c r="X17" s="23"/>
      <c r="Y17" s="9"/>
    </row>
    <row r="18" spans="2:25" x14ac:dyDescent="0.2">
      <c r="B18" s="7"/>
      <c r="C18" s="23" t="s">
        <v>1180</v>
      </c>
      <c r="D18" s="9"/>
      <c r="E18" s="9"/>
      <c r="F18" s="9"/>
      <c r="G18" s="16"/>
      <c r="H18" s="23"/>
      <c r="I18" s="23"/>
      <c r="J18" s="23"/>
      <c r="K18" s="204"/>
      <c r="L18" s="23"/>
      <c r="M18" s="23" t="s">
        <v>1181</v>
      </c>
      <c r="N18" s="23"/>
      <c r="O18" s="23"/>
      <c r="P18" s="23"/>
      <c r="Q18" s="23"/>
      <c r="R18" s="103" t="s">
        <v>1182</v>
      </c>
      <c r="S18" s="103" t="s">
        <v>1183</v>
      </c>
      <c r="T18" s="102" t="s">
        <v>1184</v>
      </c>
      <c r="U18" s="23" t="s">
        <v>1185</v>
      </c>
      <c r="V18" s="23" t="s">
        <v>1186</v>
      </c>
      <c r="W18" s="23"/>
      <c r="X18" s="23"/>
      <c r="Y18" s="9"/>
    </row>
    <row r="19" spans="2:25" x14ac:dyDescent="0.2">
      <c r="B19" s="7"/>
      <c r="C19" s="23" t="s">
        <v>1187</v>
      </c>
      <c r="D19" s="9"/>
      <c r="E19" s="9"/>
      <c r="F19" s="9"/>
      <c r="G19" s="16"/>
      <c r="H19" s="23"/>
      <c r="I19" s="23"/>
      <c r="J19" s="23"/>
      <c r="K19" s="204"/>
      <c r="L19" s="23"/>
      <c r="M19" s="23" t="s">
        <v>1188</v>
      </c>
      <c r="N19" s="23"/>
      <c r="O19" s="23"/>
      <c r="P19" s="23"/>
      <c r="Q19" s="23"/>
      <c r="R19" s="103" t="s">
        <v>1189</v>
      </c>
      <c r="S19" s="103" t="s">
        <v>1190</v>
      </c>
      <c r="T19" s="102" t="s">
        <v>1184</v>
      </c>
      <c r="U19" s="23" t="s">
        <v>1185</v>
      </c>
      <c r="V19" s="23" t="s">
        <v>1191</v>
      </c>
      <c r="W19" s="23"/>
      <c r="X19" s="23"/>
      <c r="Y19" s="9"/>
    </row>
    <row r="20" spans="2:25" x14ac:dyDescent="0.2">
      <c r="B20" s="7"/>
      <c r="C20" s="23" t="s">
        <v>1192</v>
      </c>
      <c r="D20" s="9"/>
      <c r="E20" s="9"/>
      <c r="F20" s="9"/>
      <c r="G20" s="16"/>
      <c r="H20" s="23"/>
      <c r="I20" s="9"/>
      <c r="J20" s="9"/>
      <c r="K20" s="72"/>
      <c r="L20" s="9"/>
      <c r="M20" s="23" t="s">
        <v>1193</v>
      </c>
      <c r="N20" s="9"/>
      <c r="O20" s="9"/>
      <c r="P20" s="9"/>
      <c r="Q20" s="9"/>
      <c r="R20" s="103" t="s">
        <v>1194</v>
      </c>
      <c r="S20" s="103" t="s">
        <v>1195</v>
      </c>
      <c r="T20" s="102" t="s">
        <v>1196</v>
      </c>
      <c r="U20" s="23" t="s">
        <v>1145</v>
      </c>
      <c r="V20" s="23" t="s">
        <v>1197</v>
      </c>
      <c r="W20" s="9"/>
      <c r="X20" s="9"/>
      <c r="Y20" s="9"/>
    </row>
    <row r="21" spans="2:25" x14ac:dyDescent="0.2">
      <c r="B21" s="7"/>
      <c r="C21" s="23" t="s">
        <v>1198</v>
      </c>
      <c r="D21" s="9"/>
      <c r="E21" s="9"/>
      <c r="F21" s="9"/>
      <c r="G21" s="16"/>
      <c r="H21" s="23"/>
      <c r="I21" s="9"/>
      <c r="J21" s="9"/>
      <c r="K21" s="72"/>
      <c r="L21" s="9"/>
      <c r="M21" s="23"/>
      <c r="N21" s="9"/>
      <c r="O21" s="9"/>
      <c r="P21" s="9"/>
      <c r="Q21" s="9"/>
      <c r="R21" s="103" t="s">
        <v>1199</v>
      </c>
      <c r="S21" s="103" t="s">
        <v>1200</v>
      </c>
      <c r="T21" s="102" t="s">
        <v>1196</v>
      </c>
      <c r="U21" s="23" t="s">
        <v>1145</v>
      </c>
      <c r="V21" s="23" t="s">
        <v>1201</v>
      </c>
      <c r="W21" s="9"/>
      <c r="X21" s="9"/>
      <c r="Y21" s="9"/>
    </row>
    <row r="22" spans="2:25" x14ac:dyDescent="0.2">
      <c r="B22" s="7"/>
      <c r="C22" s="23" t="s">
        <v>1202</v>
      </c>
      <c r="D22" s="9"/>
      <c r="E22" s="9"/>
      <c r="F22" s="9"/>
      <c r="G22" s="16"/>
      <c r="H22" s="23"/>
      <c r="I22" s="9"/>
      <c r="J22" s="9"/>
      <c r="K22" s="72"/>
      <c r="L22" s="9"/>
      <c r="M22" s="23"/>
      <c r="N22" s="9"/>
      <c r="O22" s="9"/>
      <c r="P22" s="9"/>
      <c r="Q22" s="9"/>
      <c r="R22" s="103" t="s">
        <v>1203</v>
      </c>
      <c r="S22" s="103" t="s">
        <v>1204</v>
      </c>
      <c r="T22" s="102" t="s">
        <v>1205</v>
      </c>
      <c r="U22" s="23" t="s">
        <v>1145</v>
      </c>
      <c r="V22" s="23" t="s">
        <v>1206</v>
      </c>
      <c r="W22" s="9"/>
      <c r="X22" s="9"/>
      <c r="Y22" s="9"/>
    </row>
    <row r="23" spans="2:25" x14ac:dyDescent="0.2">
      <c r="B23" s="7"/>
      <c r="C23" s="23" t="s">
        <v>1207</v>
      </c>
      <c r="D23" s="9"/>
      <c r="E23" s="9"/>
      <c r="F23" s="9"/>
      <c r="G23" s="16"/>
      <c r="H23" s="23"/>
      <c r="I23" s="9"/>
      <c r="J23" s="9"/>
      <c r="K23" s="72"/>
      <c r="L23" s="9"/>
      <c r="M23" s="23"/>
      <c r="N23" s="9"/>
      <c r="O23" s="9"/>
      <c r="P23" s="9"/>
      <c r="Q23" s="9"/>
      <c r="R23" s="103" t="s">
        <v>1208</v>
      </c>
      <c r="S23" s="103" t="s">
        <v>1209</v>
      </c>
      <c r="T23" s="102" t="s">
        <v>1205</v>
      </c>
      <c r="U23" s="23" t="s">
        <v>1145</v>
      </c>
      <c r="V23" s="23" t="s">
        <v>1210</v>
      </c>
      <c r="W23" s="9"/>
      <c r="X23" s="9"/>
      <c r="Y23" s="9"/>
    </row>
    <row r="24" spans="2:25" x14ac:dyDescent="0.2">
      <c r="B24" s="7"/>
      <c r="C24" s="23" t="s">
        <v>397</v>
      </c>
      <c r="D24" s="9"/>
      <c r="E24" s="9"/>
      <c r="F24" s="9"/>
      <c r="G24" s="16"/>
      <c r="H24" s="23"/>
      <c r="I24" s="9"/>
      <c r="J24" s="9"/>
      <c r="K24" s="72"/>
      <c r="L24" s="9"/>
      <c r="M24" s="9"/>
      <c r="N24" s="9"/>
      <c r="O24" s="9"/>
      <c r="P24" s="9"/>
      <c r="Q24" s="9"/>
      <c r="R24" s="103" t="s">
        <v>1211</v>
      </c>
      <c r="S24" s="103" t="s">
        <v>1212</v>
      </c>
      <c r="T24" s="102" t="s">
        <v>1213</v>
      </c>
      <c r="U24" s="23" t="s">
        <v>1185</v>
      </c>
      <c r="V24" s="23" t="s">
        <v>1214</v>
      </c>
      <c r="W24" s="9"/>
      <c r="X24" s="9"/>
      <c r="Y24" s="9"/>
    </row>
    <row r="25" spans="2:25" x14ac:dyDescent="0.2">
      <c r="B25" s="7"/>
      <c r="C25" s="23" t="s">
        <v>1215</v>
      </c>
      <c r="D25" s="9"/>
      <c r="E25" s="9"/>
      <c r="F25" s="9"/>
      <c r="G25" s="16"/>
      <c r="H25" s="23"/>
      <c r="I25" s="9"/>
      <c r="J25" s="9"/>
      <c r="K25" s="72"/>
      <c r="L25" s="9"/>
      <c r="M25" s="9"/>
      <c r="N25" s="9"/>
      <c r="O25" s="9"/>
      <c r="P25" s="9"/>
      <c r="Q25" s="9"/>
      <c r="R25" s="103" t="s">
        <v>1216</v>
      </c>
      <c r="S25" s="103" t="s">
        <v>1217</v>
      </c>
      <c r="T25" s="102" t="s">
        <v>1213</v>
      </c>
      <c r="U25" s="23" t="s">
        <v>1185</v>
      </c>
      <c r="V25" s="23" t="s">
        <v>1218</v>
      </c>
      <c r="W25" s="9"/>
      <c r="X25" s="9"/>
      <c r="Y25" s="9"/>
    </row>
    <row r="26" spans="2:25" x14ac:dyDescent="0.2">
      <c r="B26" s="7"/>
      <c r="C26" s="23" t="s">
        <v>1219</v>
      </c>
      <c r="D26" s="9"/>
      <c r="E26" s="9"/>
      <c r="F26" s="9"/>
      <c r="G26" s="16"/>
      <c r="H26" s="23"/>
      <c r="I26" s="9"/>
      <c r="J26" s="9"/>
      <c r="K26" s="72"/>
      <c r="L26" s="9"/>
      <c r="M26" s="9"/>
      <c r="N26" s="9"/>
      <c r="O26" s="9"/>
      <c r="P26" s="9"/>
      <c r="Q26" s="9"/>
      <c r="R26" s="103" t="s">
        <v>1220</v>
      </c>
      <c r="S26" s="103" t="s">
        <v>1221</v>
      </c>
      <c r="T26" s="102" t="s">
        <v>1213</v>
      </c>
      <c r="U26" s="23" t="s">
        <v>1145</v>
      </c>
      <c r="V26" s="23" t="s">
        <v>1222</v>
      </c>
      <c r="W26" s="9"/>
      <c r="X26" s="9"/>
      <c r="Y26" s="9"/>
    </row>
    <row r="27" spans="2:25" x14ac:dyDescent="0.2">
      <c r="B27" s="7"/>
      <c r="C27" s="23" t="s">
        <v>359</v>
      </c>
      <c r="D27" s="9"/>
      <c r="E27" s="9"/>
      <c r="F27" s="9"/>
      <c r="G27" s="16"/>
      <c r="H27" s="23"/>
      <c r="I27" s="9"/>
      <c r="J27" s="9"/>
      <c r="K27" s="72"/>
      <c r="L27" s="9"/>
      <c r="M27" s="9"/>
      <c r="N27" s="9"/>
      <c r="O27" s="9"/>
      <c r="P27" s="9"/>
      <c r="Q27" s="9"/>
      <c r="R27" s="103" t="s">
        <v>1223</v>
      </c>
      <c r="S27" s="103" t="s">
        <v>1224</v>
      </c>
      <c r="T27" s="102" t="s">
        <v>1213</v>
      </c>
      <c r="U27" s="23" t="s">
        <v>1145</v>
      </c>
      <c r="V27" s="23" t="s">
        <v>1225</v>
      </c>
      <c r="W27" s="9"/>
      <c r="X27" s="9"/>
      <c r="Y27" s="9"/>
    </row>
    <row r="28" spans="2:25" x14ac:dyDescent="0.2">
      <c r="B28" s="7"/>
      <c r="C28" s="23" t="s">
        <v>1226</v>
      </c>
      <c r="D28" s="9"/>
      <c r="E28" s="9"/>
      <c r="F28" s="9"/>
      <c r="G28" s="16"/>
      <c r="H28" s="23"/>
      <c r="I28" s="9"/>
      <c r="J28" s="9"/>
      <c r="K28" s="72"/>
      <c r="L28" s="9"/>
      <c r="M28" s="9"/>
      <c r="N28" s="9"/>
      <c r="O28" s="9"/>
      <c r="P28" s="9"/>
      <c r="Q28" s="9"/>
      <c r="R28" s="103" t="s">
        <v>1227</v>
      </c>
      <c r="S28" s="103" t="s">
        <v>1228</v>
      </c>
      <c r="T28" s="102" t="s">
        <v>1229</v>
      </c>
      <c r="U28" s="23" t="s">
        <v>1185</v>
      </c>
      <c r="V28" s="23" t="s">
        <v>1230</v>
      </c>
      <c r="W28" s="9"/>
      <c r="X28" s="9"/>
      <c r="Y28" s="9"/>
    </row>
    <row r="29" spans="2:25" x14ac:dyDescent="0.2">
      <c r="B29" s="7"/>
      <c r="C29" s="23" t="s">
        <v>1231</v>
      </c>
      <c r="D29" s="9"/>
      <c r="E29" s="9"/>
      <c r="F29" s="9"/>
      <c r="G29" s="16"/>
      <c r="H29" s="23"/>
      <c r="I29" s="9"/>
      <c r="J29" s="9"/>
      <c r="K29" s="72"/>
      <c r="L29" s="9"/>
      <c r="M29" s="9"/>
      <c r="N29" s="9"/>
      <c r="O29" s="9"/>
      <c r="P29" s="9"/>
      <c r="Q29" s="9"/>
      <c r="R29" s="103" t="s">
        <v>1232</v>
      </c>
      <c r="S29" s="103" t="s">
        <v>1233</v>
      </c>
      <c r="T29" s="102" t="s">
        <v>1229</v>
      </c>
      <c r="U29" s="23" t="s">
        <v>1185</v>
      </c>
      <c r="V29" s="23" t="s">
        <v>1234</v>
      </c>
      <c r="W29" s="9"/>
      <c r="X29" s="9"/>
      <c r="Y29" s="9"/>
    </row>
    <row r="30" spans="2:25" x14ac:dyDescent="0.2">
      <c r="B30" s="7"/>
      <c r="C30" s="23" t="s">
        <v>317</v>
      </c>
      <c r="D30" s="9"/>
      <c r="E30" s="9"/>
      <c r="F30" s="9"/>
      <c r="G30" s="16"/>
      <c r="H30" s="23"/>
      <c r="I30" s="9"/>
      <c r="J30" s="9"/>
      <c r="K30" s="72"/>
      <c r="L30" s="9"/>
      <c r="M30" s="9"/>
      <c r="N30" s="9"/>
      <c r="O30" s="9"/>
      <c r="P30" s="9"/>
      <c r="Q30" s="9"/>
      <c r="R30" s="103" t="s">
        <v>1235</v>
      </c>
      <c r="S30" s="103" t="s">
        <v>1236</v>
      </c>
      <c r="T30" s="102" t="s">
        <v>1229</v>
      </c>
      <c r="U30" s="23" t="s">
        <v>1145</v>
      </c>
      <c r="V30" s="23" t="s">
        <v>1237</v>
      </c>
      <c r="W30" s="9"/>
      <c r="X30" s="9"/>
      <c r="Y30" s="9"/>
    </row>
    <row r="31" spans="2:25" x14ac:dyDescent="0.2">
      <c r="B31" s="7"/>
      <c r="C31" s="23" t="s">
        <v>1238</v>
      </c>
      <c r="D31" s="9"/>
      <c r="E31" s="9"/>
      <c r="F31" s="9"/>
      <c r="G31" s="16"/>
      <c r="H31" s="23"/>
      <c r="I31" s="9"/>
      <c r="J31" s="9"/>
      <c r="K31" s="72"/>
      <c r="L31" s="9"/>
      <c r="M31" s="9"/>
      <c r="N31" s="9"/>
      <c r="O31" s="9"/>
      <c r="P31" s="9"/>
      <c r="Q31" s="9"/>
      <c r="R31" s="103" t="s">
        <v>1239</v>
      </c>
      <c r="S31" s="103" t="s">
        <v>1240</v>
      </c>
      <c r="T31" s="102" t="s">
        <v>1229</v>
      </c>
      <c r="U31" s="23" t="s">
        <v>1145</v>
      </c>
      <c r="V31" s="23" t="s">
        <v>1241</v>
      </c>
      <c r="W31" s="9"/>
      <c r="X31" s="9"/>
      <c r="Y31" s="9"/>
    </row>
    <row r="32" spans="2:25" x14ac:dyDescent="0.2">
      <c r="B32" s="7"/>
      <c r="C32" s="23" t="s">
        <v>383</v>
      </c>
      <c r="D32" s="9"/>
      <c r="E32" s="9"/>
      <c r="F32" s="9"/>
      <c r="G32" s="16"/>
      <c r="H32" s="23"/>
      <c r="I32" s="9"/>
      <c r="J32" s="9"/>
      <c r="K32" s="72"/>
      <c r="L32" s="9"/>
      <c r="M32" s="9"/>
      <c r="N32" s="9"/>
      <c r="O32" s="9"/>
      <c r="P32" s="9"/>
      <c r="Q32" s="9"/>
      <c r="R32" s="103" t="s">
        <v>1242</v>
      </c>
      <c r="S32" s="103" t="s">
        <v>1243</v>
      </c>
      <c r="T32" s="102" t="s">
        <v>1244</v>
      </c>
      <c r="U32" s="23" t="s">
        <v>1096</v>
      </c>
      <c r="V32" s="23" t="s">
        <v>1245</v>
      </c>
      <c r="W32" s="9"/>
      <c r="X32" s="9"/>
      <c r="Y32" s="9"/>
    </row>
    <row r="33" spans="2:25" x14ac:dyDescent="0.2">
      <c r="B33" s="7"/>
      <c r="C33" s="23" t="s">
        <v>352</v>
      </c>
      <c r="D33" s="9"/>
      <c r="E33" s="9"/>
      <c r="F33" s="9"/>
      <c r="G33" s="16"/>
      <c r="H33" s="23"/>
      <c r="I33" s="9"/>
      <c r="J33" s="9"/>
      <c r="K33" s="72"/>
      <c r="L33" s="9"/>
      <c r="M33" s="9"/>
      <c r="N33" s="9"/>
      <c r="O33" s="9"/>
      <c r="P33" s="9"/>
      <c r="Q33" s="9"/>
      <c r="R33" s="103" t="s">
        <v>1246</v>
      </c>
      <c r="S33" s="103" t="s">
        <v>1247</v>
      </c>
      <c r="T33" s="102" t="s">
        <v>1244</v>
      </c>
      <c r="U33" s="23" t="s">
        <v>1096</v>
      </c>
      <c r="V33" s="23" t="s">
        <v>1248</v>
      </c>
      <c r="W33" s="9"/>
      <c r="X33" s="9"/>
      <c r="Y33" s="9"/>
    </row>
    <row r="34" spans="2:25" x14ac:dyDescent="0.2">
      <c r="B34" s="7"/>
      <c r="C34" s="23" t="s">
        <v>778</v>
      </c>
      <c r="D34" s="9"/>
      <c r="E34" s="9"/>
      <c r="F34" s="9"/>
      <c r="G34" s="16"/>
      <c r="H34" s="23"/>
      <c r="I34" s="9"/>
      <c r="J34" s="9"/>
      <c r="K34" s="72"/>
      <c r="L34" s="9"/>
      <c r="M34" s="9"/>
      <c r="N34" s="9"/>
      <c r="O34" s="9"/>
      <c r="P34" s="9"/>
      <c r="Q34" s="9"/>
      <c r="R34" s="103" t="s">
        <v>1249</v>
      </c>
      <c r="S34" s="103" t="s">
        <v>1250</v>
      </c>
      <c r="T34" s="102" t="s">
        <v>1244</v>
      </c>
      <c r="U34" s="23" t="s">
        <v>1185</v>
      </c>
      <c r="V34" s="23" t="s">
        <v>1251</v>
      </c>
      <c r="W34" s="9"/>
      <c r="X34" s="9"/>
      <c r="Y34" s="9"/>
    </row>
    <row r="35" spans="2:25" x14ac:dyDescent="0.2">
      <c r="B35" s="7"/>
      <c r="C35" s="23" t="s">
        <v>326</v>
      </c>
      <c r="D35" s="9"/>
      <c r="E35" s="9"/>
      <c r="F35" s="9"/>
      <c r="G35" s="16"/>
      <c r="H35" s="23"/>
      <c r="I35" s="9"/>
      <c r="J35" s="9"/>
      <c r="K35" s="72"/>
      <c r="L35" s="9"/>
      <c r="M35" s="9"/>
      <c r="N35" s="9"/>
      <c r="O35" s="9"/>
      <c r="P35" s="9"/>
      <c r="Q35" s="9"/>
      <c r="R35" s="103" t="s">
        <v>1252</v>
      </c>
      <c r="S35" s="103" t="s">
        <v>1253</v>
      </c>
      <c r="T35" s="102" t="s">
        <v>1244</v>
      </c>
      <c r="U35" s="23" t="s">
        <v>1124</v>
      </c>
      <c r="V35" s="23" t="s">
        <v>1254</v>
      </c>
      <c r="W35" s="9"/>
      <c r="X35" s="9"/>
      <c r="Y35" s="9"/>
    </row>
    <row r="36" spans="2:25" x14ac:dyDescent="0.2">
      <c r="B36" s="7"/>
      <c r="C36" s="23" t="s">
        <v>1255</v>
      </c>
      <c r="D36" s="9"/>
      <c r="E36" s="9"/>
      <c r="F36" s="9"/>
      <c r="G36" s="16"/>
      <c r="H36" s="23"/>
      <c r="I36" s="9"/>
      <c r="J36" s="9"/>
      <c r="K36" s="72"/>
      <c r="L36" s="9"/>
      <c r="M36" s="9"/>
      <c r="N36" s="9"/>
      <c r="O36" s="9"/>
      <c r="P36" s="9"/>
      <c r="Q36" s="9"/>
      <c r="R36" s="103" t="s">
        <v>1256</v>
      </c>
      <c r="S36" s="103" t="s">
        <v>1257</v>
      </c>
      <c r="T36" s="102" t="s">
        <v>1244</v>
      </c>
      <c r="U36" s="23" t="s">
        <v>1124</v>
      </c>
      <c r="V36" s="23" t="s">
        <v>1258</v>
      </c>
      <c r="W36" s="9"/>
      <c r="X36" s="9"/>
      <c r="Y36" s="9"/>
    </row>
    <row r="37" spans="2:25" x14ac:dyDescent="0.2">
      <c r="B37" s="7"/>
      <c r="C37" s="23" t="s">
        <v>1259</v>
      </c>
      <c r="D37" s="9"/>
      <c r="E37" s="9"/>
      <c r="F37" s="9"/>
      <c r="G37" s="16"/>
      <c r="H37" s="23"/>
      <c r="I37" s="9"/>
      <c r="J37" s="9"/>
      <c r="K37" s="72"/>
      <c r="L37" s="9"/>
      <c r="M37" s="9"/>
      <c r="N37" s="9"/>
      <c r="O37" s="9"/>
      <c r="P37" s="9"/>
      <c r="Q37" s="9"/>
      <c r="R37" s="103" t="s">
        <v>1260</v>
      </c>
      <c r="S37" s="103" t="s">
        <v>1261</v>
      </c>
      <c r="T37" s="102" t="s">
        <v>1262</v>
      </c>
      <c r="U37" s="23" t="s">
        <v>1263</v>
      </c>
      <c r="V37" s="23" t="s">
        <v>1264</v>
      </c>
      <c r="W37" s="9"/>
      <c r="X37" s="9"/>
      <c r="Y37" s="9"/>
    </row>
    <row r="38" spans="2:25" x14ac:dyDescent="0.2">
      <c r="B38" s="7"/>
      <c r="C38" s="23" t="s">
        <v>345</v>
      </c>
      <c r="D38" s="9"/>
      <c r="E38" s="9"/>
      <c r="F38" s="9"/>
      <c r="G38" s="16"/>
      <c r="H38" s="23"/>
      <c r="I38" s="9"/>
      <c r="J38" s="9"/>
      <c r="K38" s="72"/>
      <c r="L38" s="9"/>
      <c r="M38" s="9"/>
      <c r="N38" s="9"/>
      <c r="O38" s="9"/>
      <c r="P38" s="9"/>
      <c r="Q38" s="9"/>
      <c r="R38" s="103" t="s">
        <v>1265</v>
      </c>
      <c r="S38" s="103" t="s">
        <v>1266</v>
      </c>
      <c r="T38" s="102" t="s">
        <v>1262</v>
      </c>
      <c r="U38" s="23" t="s">
        <v>1267</v>
      </c>
      <c r="V38" s="23" t="s">
        <v>1268</v>
      </c>
      <c r="W38" s="9"/>
      <c r="X38" s="9"/>
      <c r="Y38" s="9"/>
    </row>
    <row r="39" spans="2:25" x14ac:dyDescent="0.2">
      <c r="B39" s="7"/>
      <c r="C39" s="23" t="s">
        <v>334</v>
      </c>
      <c r="D39" s="9"/>
      <c r="E39" s="9"/>
      <c r="F39" s="9"/>
      <c r="G39" s="16"/>
      <c r="H39" s="23"/>
      <c r="I39" s="9"/>
      <c r="J39" s="9"/>
      <c r="K39" s="72"/>
      <c r="L39" s="9"/>
      <c r="M39" s="9"/>
      <c r="N39" s="9"/>
      <c r="O39" s="9"/>
      <c r="P39" s="9"/>
      <c r="Q39" s="9"/>
      <c r="R39" s="103" t="s">
        <v>1269</v>
      </c>
      <c r="S39" s="103" t="s">
        <v>1270</v>
      </c>
      <c r="T39" s="102" t="s">
        <v>1262</v>
      </c>
      <c r="U39" s="108">
        <v>255255255128</v>
      </c>
      <c r="V39" s="23" t="s">
        <v>1271</v>
      </c>
      <c r="W39" s="9"/>
      <c r="X39" s="9"/>
      <c r="Y39" s="9"/>
    </row>
    <row r="40" spans="2:25" x14ac:dyDescent="0.2">
      <c r="B40" s="7"/>
      <c r="C40" s="23" t="s">
        <v>1272</v>
      </c>
      <c r="D40" s="9"/>
      <c r="E40" s="9"/>
      <c r="F40" s="9"/>
      <c r="G40" s="16"/>
      <c r="H40" s="23"/>
      <c r="I40" s="9"/>
      <c r="J40" s="9"/>
      <c r="K40" s="72"/>
      <c r="L40" s="9"/>
      <c r="M40" s="9"/>
      <c r="N40" s="9"/>
      <c r="O40" s="9"/>
      <c r="P40" s="9"/>
      <c r="Q40" s="9"/>
      <c r="R40" s="103" t="s">
        <v>1273</v>
      </c>
      <c r="S40" s="103" t="s">
        <v>1274</v>
      </c>
      <c r="T40" s="102" t="s">
        <v>1262</v>
      </c>
      <c r="U40" s="23" t="s">
        <v>1145</v>
      </c>
      <c r="V40" s="23" t="s">
        <v>1275</v>
      </c>
      <c r="W40" s="9"/>
      <c r="X40" s="9"/>
      <c r="Y40" s="9"/>
    </row>
    <row r="41" spans="2:25" x14ac:dyDescent="0.2">
      <c r="B41" s="7"/>
      <c r="C41" s="23" t="s">
        <v>1276</v>
      </c>
      <c r="D41" s="9"/>
      <c r="E41" s="9"/>
      <c r="F41" s="9"/>
      <c r="G41" s="16"/>
      <c r="H41" s="23"/>
      <c r="I41" s="9"/>
      <c r="J41" s="9"/>
      <c r="K41" s="72"/>
      <c r="L41" s="9"/>
      <c r="M41" s="9"/>
      <c r="N41" s="9"/>
      <c r="O41" s="9"/>
      <c r="P41" s="9"/>
      <c r="Q41" s="9"/>
      <c r="R41" s="103" t="s">
        <v>1277</v>
      </c>
      <c r="S41" s="103" t="s">
        <v>1278</v>
      </c>
      <c r="T41" s="102" t="s">
        <v>1262</v>
      </c>
      <c r="U41" s="108">
        <v>255255255128</v>
      </c>
      <c r="V41" s="23" t="s">
        <v>1279</v>
      </c>
      <c r="W41" s="9"/>
      <c r="X41" s="9"/>
      <c r="Y41" s="9"/>
    </row>
    <row r="42" spans="2:25" x14ac:dyDescent="0.2">
      <c r="B42" s="7"/>
      <c r="C42" s="23" t="s">
        <v>1280</v>
      </c>
      <c r="D42" s="9"/>
      <c r="E42" s="9"/>
      <c r="F42" s="9"/>
      <c r="G42" s="16"/>
      <c r="H42" s="23"/>
      <c r="I42" s="9"/>
      <c r="J42" s="9"/>
      <c r="K42" s="72"/>
      <c r="L42" s="9"/>
      <c r="M42" s="9"/>
      <c r="N42" s="9"/>
      <c r="O42" s="9"/>
      <c r="P42" s="9"/>
      <c r="Q42" s="9"/>
      <c r="R42" s="103" t="s">
        <v>1281</v>
      </c>
      <c r="S42" s="103" t="s">
        <v>1282</v>
      </c>
      <c r="T42" s="102" t="s">
        <v>1262</v>
      </c>
      <c r="U42" s="23" t="s">
        <v>1145</v>
      </c>
      <c r="V42" s="23" t="s">
        <v>1283</v>
      </c>
      <c r="W42" s="9"/>
      <c r="X42" s="9"/>
      <c r="Y42" s="9"/>
    </row>
    <row r="43" spans="2:25" x14ac:dyDescent="0.2">
      <c r="B43" s="7"/>
      <c r="C43" s="23"/>
      <c r="D43" s="9"/>
      <c r="E43" s="9"/>
      <c r="F43" s="9"/>
      <c r="G43" s="16"/>
      <c r="H43" s="23"/>
      <c r="I43" s="9"/>
      <c r="J43" s="9"/>
      <c r="K43" s="72"/>
      <c r="L43" s="9"/>
      <c r="M43" s="9"/>
      <c r="N43" s="9"/>
      <c r="O43" s="9"/>
      <c r="P43" s="9"/>
      <c r="Q43" s="9"/>
      <c r="R43" s="103" t="s">
        <v>1284</v>
      </c>
      <c r="S43" s="103" t="s">
        <v>1285</v>
      </c>
      <c r="T43" s="102" t="s">
        <v>1262</v>
      </c>
      <c r="U43" s="23" t="s">
        <v>1286</v>
      </c>
      <c r="V43" s="23" t="s">
        <v>1287</v>
      </c>
      <c r="W43" s="9"/>
      <c r="X43" s="9"/>
      <c r="Y43" s="9"/>
    </row>
    <row r="44" spans="2:25" x14ac:dyDescent="0.2">
      <c r="B44" s="7"/>
      <c r="C44" s="23"/>
      <c r="D44" s="9"/>
      <c r="E44" s="9"/>
      <c r="F44" s="9"/>
      <c r="G44" s="16"/>
      <c r="H44" s="23"/>
      <c r="I44" s="9"/>
      <c r="J44" s="9"/>
      <c r="K44" s="72"/>
      <c r="L44" s="9"/>
      <c r="M44" s="9"/>
      <c r="N44" s="9"/>
      <c r="O44" s="9"/>
      <c r="P44" s="9"/>
      <c r="Q44" s="9"/>
      <c r="R44" s="103" t="s">
        <v>1288</v>
      </c>
      <c r="S44" s="103" t="s">
        <v>1289</v>
      </c>
      <c r="T44" s="102" t="s">
        <v>1262</v>
      </c>
      <c r="U44" s="23" t="s">
        <v>1286</v>
      </c>
      <c r="V44" s="23" t="s">
        <v>1290</v>
      </c>
      <c r="W44" s="9"/>
      <c r="X44" s="9"/>
      <c r="Y44" s="9"/>
    </row>
    <row r="45" spans="2:25" x14ac:dyDescent="0.2">
      <c r="B45" s="7"/>
      <c r="C45" s="23"/>
      <c r="D45" s="9"/>
      <c r="E45" s="9"/>
      <c r="F45" s="9"/>
      <c r="G45" s="16"/>
      <c r="H45" s="23"/>
      <c r="I45" s="9"/>
      <c r="J45" s="9"/>
      <c r="K45" s="72"/>
      <c r="L45" s="9"/>
      <c r="M45" s="9"/>
      <c r="N45" s="9"/>
      <c r="O45" s="9"/>
      <c r="P45" s="9"/>
      <c r="Q45" s="9"/>
      <c r="R45" s="103" t="s">
        <v>1291</v>
      </c>
      <c r="S45" s="103" t="s">
        <v>1292</v>
      </c>
      <c r="T45" s="102" t="s">
        <v>1262</v>
      </c>
      <c r="U45" s="23" t="s">
        <v>1145</v>
      </c>
      <c r="V45" s="23" t="s">
        <v>1293</v>
      </c>
      <c r="W45" s="9"/>
      <c r="X45" s="9"/>
      <c r="Y45" s="9"/>
    </row>
    <row r="46" spans="2:25" x14ac:dyDescent="0.2">
      <c r="B46" s="7"/>
      <c r="C46" s="23"/>
      <c r="D46" s="9"/>
      <c r="E46" s="9"/>
      <c r="F46" s="9"/>
      <c r="G46" s="16"/>
      <c r="H46" s="23"/>
      <c r="I46" s="9"/>
      <c r="J46" s="9"/>
      <c r="K46" s="72"/>
      <c r="L46" s="9"/>
      <c r="M46" s="9"/>
      <c r="N46" s="9"/>
      <c r="O46" s="9"/>
      <c r="P46" s="9"/>
      <c r="Q46" s="9"/>
      <c r="R46" s="103" t="s">
        <v>1294</v>
      </c>
      <c r="S46" s="103" t="s">
        <v>1295</v>
      </c>
      <c r="T46" s="102" t="s">
        <v>1262</v>
      </c>
      <c r="U46" s="23" t="s">
        <v>1263</v>
      </c>
      <c r="V46" s="23" t="s">
        <v>1296</v>
      </c>
      <c r="W46" s="9"/>
      <c r="X46" s="9"/>
      <c r="Y46" s="9"/>
    </row>
    <row r="47" spans="2:25" x14ac:dyDescent="0.2">
      <c r="B47" s="7"/>
      <c r="C47" s="23"/>
      <c r="D47" s="9"/>
      <c r="E47" s="9"/>
      <c r="F47" s="9"/>
      <c r="G47" s="16"/>
      <c r="H47" s="23"/>
      <c r="I47" s="9"/>
      <c r="J47" s="9"/>
      <c r="K47" s="72"/>
      <c r="L47" s="9"/>
      <c r="M47" s="9"/>
      <c r="N47" s="9"/>
      <c r="O47" s="9"/>
      <c r="P47" s="9"/>
      <c r="Q47" s="9"/>
      <c r="R47" s="103" t="s">
        <v>1297</v>
      </c>
      <c r="S47" s="103" t="s">
        <v>1298</v>
      </c>
      <c r="T47" s="102" t="s">
        <v>1299</v>
      </c>
      <c r="U47" s="23" t="s">
        <v>1096</v>
      </c>
      <c r="V47" s="23" t="s">
        <v>1300</v>
      </c>
      <c r="W47" s="9"/>
      <c r="X47" s="9"/>
      <c r="Y47" s="9"/>
    </row>
    <row r="48" spans="2:25" x14ac:dyDescent="0.2">
      <c r="B48" s="7"/>
      <c r="C48" s="23"/>
      <c r="D48" s="9"/>
      <c r="E48" s="9"/>
      <c r="F48" s="9"/>
      <c r="G48" s="16"/>
      <c r="H48" s="23"/>
      <c r="I48" s="9"/>
      <c r="J48" s="9"/>
      <c r="K48" s="72"/>
      <c r="L48" s="9"/>
      <c r="M48" s="9"/>
      <c r="N48" s="9"/>
      <c r="O48" s="9"/>
      <c r="P48" s="9"/>
      <c r="Q48" s="9"/>
      <c r="R48" s="103" t="s">
        <v>1301</v>
      </c>
      <c r="S48" s="103" t="s">
        <v>1302</v>
      </c>
      <c r="T48" s="102" t="s">
        <v>1299</v>
      </c>
      <c r="U48" s="23" t="s">
        <v>1185</v>
      </c>
      <c r="V48" s="23" t="s">
        <v>1303</v>
      </c>
      <c r="W48" s="9"/>
      <c r="X48" s="9"/>
      <c r="Y48" s="9"/>
    </row>
    <row r="49" spans="2:25" x14ac:dyDescent="0.2">
      <c r="B49" s="7"/>
      <c r="C49" s="23"/>
      <c r="D49" s="9"/>
      <c r="E49" s="9"/>
      <c r="F49" s="9"/>
      <c r="G49" s="16"/>
      <c r="H49" s="23"/>
      <c r="I49" s="9"/>
      <c r="J49" s="9"/>
      <c r="K49" s="72"/>
      <c r="L49" s="9"/>
      <c r="M49" s="9"/>
      <c r="N49" s="9"/>
      <c r="O49" s="9"/>
      <c r="P49" s="9"/>
      <c r="Q49" s="9"/>
      <c r="R49" s="103" t="s">
        <v>1304</v>
      </c>
      <c r="S49" s="103" t="s">
        <v>1305</v>
      </c>
      <c r="T49" s="102" t="s">
        <v>1299</v>
      </c>
      <c r="U49" s="23" t="s">
        <v>1267</v>
      </c>
      <c r="V49" s="23" t="s">
        <v>1306</v>
      </c>
      <c r="W49" s="9"/>
      <c r="X49" s="9"/>
      <c r="Y49" s="9"/>
    </row>
    <row r="50" spans="2:25" x14ac:dyDescent="0.2">
      <c r="B50" s="7"/>
      <c r="C50" s="23"/>
      <c r="D50" s="9"/>
      <c r="E50" s="9"/>
      <c r="F50" s="9"/>
      <c r="G50" s="16"/>
      <c r="H50" s="23"/>
      <c r="I50" s="9"/>
      <c r="J50" s="9"/>
      <c r="K50" s="72"/>
      <c r="L50" s="9"/>
      <c r="M50" s="9"/>
      <c r="N50" s="9"/>
      <c r="O50" s="9"/>
      <c r="P50" s="9"/>
      <c r="Q50" s="9"/>
      <c r="R50" s="103" t="s">
        <v>1307</v>
      </c>
      <c r="S50" s="103" t="s">
        <v>1308</v>
      </c>
      <c r="T50" s="102" t="s">
        <v>1299</v>
      </c>
      <c r="U50" s="23" t="s">
        <v>1267</v>
      </c>
      <c r="V50" s="23" t="s">
        <v>1309</v>
      </c>
      <c r="W50" s="9"/>
      <c r="X50" s="9"/>
      <c r="Y50" s="9"/>
    </row>
    <row r="51" spans="2:25" x14ac:dyDescent="0.2">
      <c r="B51" s="7"/>
      <c r="C51" s="23"/>
      <c r="D51" s="9"/>
      <c r="E51" s="9"/>
      <c r="F51" s="9"/>
      <c r="G51" s="16"/>
      <c r="H51" s="23"/>
      <c r="I51" s="9"/>
      <c r="J51" s="9"/>
      <c r="K51" s="72"/>
      <c r="L51" s="9"/>
      <c r="M51" s="9"/>
      <c r="N51" s="9"/>
      <c r="O51" s="9"/>
      <c r="P51" s="9"/>
      <c r="Q51" s="9"/>
      <c r="R51" s="103" t="s">
        <v>1310</v>
      </c>
      <c r="S51" s="103" t="s">
        <v>1311</v>
      </c>
      <c r="T51" s="102" t="s">
        <v>1299</v>
      </c>
      <c r="U51" s="23" t="s">
        <v>1312</v>
      </c>
      <c r="V51" s="23" t="s">
        <v>1313</v>
      </c>
      <c r="W51" s="9"/>
      <c r="X51" s="9"/>
      <c r="Y51" s="9"/>
    </row>
    <row r="52" spans="2:25" x14ac:dyDescent="0.2">
      <c r="B52" s="7"/>
      <c r="C52" s="23"/>
      <c r="D52" s="9"/>
      <c r="E52" s="9"/>
      <c r="F52" s="9"/>
      <c r="G52" s="16"/>
      <c r="H52" s="23"/>
      <c r="I52" s="9"/>
      <c r="J52" s="9"/>
      <c r="K52" s="72"/>
      <c r="L52" s="9"/>
      <c r="M52" s="9"/>
      <c r="N52" s="9"/>
      <c r="O52" s="9"/>
      <c r="P52" s="9"/>
      <c r="Q52" s="9"/>
      <c r="R52" s="103" t="s">
        <v>1314</v>
      </c>
      <c r="S52" s="103" t="s">
        <v>1315</v>
      </c>
      <c r="T52" s="102" t="s">
        <v>1316</v>
      </c>
      <c r="U52" s="23" t="s">
        <v>1263</v>
      </c>
      <c r="V52" s="23" t="s">
        <v>1317</v>
      </c>
      <c r="W52" s="9"/>
      <c r="X52" s="9"/>
      <c r="Y52" s="9"/>
    </row>
    <row r="53" spans="2:25" x14ac:dyDescent="0.2">
      <c r="B53" s="7"/>
      <c r="C53" s="23"/>
      <c r="D53" s="9"/>
      <c r="E53" s="9"/>
      <c r="F53" s="9"/>
      <c r="G53" s="16"/>
      <c r="H53" s="23"/>
      <c r="I53" s="9"/>
      <c r="J53" s="9"/>
      <c r="K53" s="72"/>
      <c r="L53" s="9"/>
      <c r="M53" s="9"/>
      <c r="N53" s="9"/>
      <c r="O53" s="9"/>
      <c r="P53" s="9"/>
      <c r="Q53" s="9"/>
      <c r="R53" s="103" t="s">
        <v>1318</v>
      </c>
      <c r="S53" s="103" t="s">
        <v>1319</v>
      </c>
      <c r="T53" s="102" t="s">
        <v>1320</v>
      </c>
      <c r="U53" s="23" t="s">
        <v>1263</v>
      </c>
      <c r="V53" s="23" t="s">
        <v>1321</v>
      </c>
      <c r="W53" s="9"/>
      <c r="X53" s="9"/>
      <c r="Y53" s="9"/>
    </row>
    <row r="54" spans="2:25" x14ac:dyDescent="0.2">
      <c r="B54" s="7"/>
      <c r="C54" s="23"/>
      <c r="D54" s="9"/>
      <c r="E54" s="9"/>
      <c r="F54" s="9"/>
      <c r="G54" s="16"/>
      <c r="H54" s="23"/>
      <c r="I54" s="9"/>
      <c r="J54" s="9"/>
      <c r="K54" s="72"/>
      <c r="L54" s="9"/>
      <c r="M54" s="9"/>
      <c r="N54" s="9"/>
      <c r="O54" s="9"/>
      <c r="P54" s="9"/>
      <c r="Q54" s="9"/>
      <c r="R54" s="103" t="s">
        <v>1322</v>
      </c>
      <c r="S54" s="103" t="s">
        <v>1323</v>
      </c>
      <c r="T54" s="102" t="s">
        <v>1324</v>
      </c>
      <c r="U54" s="23" t="s">
        <v>1263</v>
      </c>
      <c r="V54" s="23" t="s">
        <v>1325</v>
      </c>
      <c r="W54" s="9"/>
      <c r="X54" s="9"/>
      <c r="Y54" s="9"/>
    </row>
    <row r="55" spans="2:25" x14ac:dyDescent="0.2">
      <c r="B55" s="7"/>
      <c r="C55" s="23"/>
      <c r="D55" s="9"/>
      <c r="E55" s="9"/>
      <c r="F55" s="9"/>
      <c r="G55" s="16"/>
      <c r="H55" s="23"/>
      <c r="I55" s="9"/>
      <c r="J55" s="9"/>
      <c r="K55" s="72"/>
      <c r="L55" s="9"/>
      <c r="M55" s="9"/>
      <c r="N55" s="9"/>
      <c r="O55" s="9"/>
      <c r="P55" s="9"/>
      <c r="Q55" s="9"/>
      <c r="R55" s="103" t="s">
        <v>1326</v>
      </c>
      <c r="S55" s="103" t="s">
        <v>1327</v>
      </c>
      <c r="T55" s="102" t="s">
        <v>1328</v>
      </c>
      <c r="U55" s="23" t="s">
        <v>1263</v>
      </c>
      <c r="V55" s="23" t="s">
        <v>1329</v>
      </c>
      <c r="W55" s="9"/>
      <c r="X55" s="9"/>
      <c r="Y55" s="9"/>
    </row>
    <row r="56" spans="2:25" x14ac:dyDescent="0.2">
      <c r="B56" s="7"/>
      <c r="C56" s="23"/>
      <c r="D56" s="9"/>
      <c r="E56" s="9"/>
      <c r="F56" s="9"/>
      <c r="G56" s="16"/>
      <c r="H56" s="23"/>
      <c r="I56" s="9"/>
      <c r="J56" s="9"/>
      <c r="K56" s="72"/>
      <c r="L56" s="9"/>
      <c r="M56" s="9"/>
      <c r="N56" s="9"/>
      <c r="O56" s="9"/>
      <c r="P56" s="9"/>
      <c r="Q56" s="9"/>
      <c r="R56" s="103" t="s">
        <v>1330</v>
      </c>
      <c r="S56" s="103" t="s">
        <v>1331</v>
      </c>
      <c r="T56" s="102" t="s">
        <v>1332</v>
      </c>
      <c r="U56" s="23" t="s">
        <v>1263</v>
      </c>
      <c r="V56" s="23" t="s">
        <v>1333</v>
      </c>
      <c r="W56" s="9"/>
      <c r="X56" s="9"/>
      <c r="Y56" s="9"/>
    </row>
    <row r="57" spans="2:25" x14ac:dyDescent="0.2">
      <c r="B57" s="7"/>
      <c r="C57" s="23"/>
      <c r="D57" s="9"/>
      <c r="E57" s="9"/>
      <c r="F57" s="9"/>
      <c r="G57" s="16"/>
      <c r="H57" s="23"/>
      <c r="I57" s="9"/>
      <c r="J57" s="9"/>
      <c r="K57" s="72"/>
      <c r="L57" s="9"/>
      <c r="M57" s="9"/>
      <c r="N57" s="9"/>
      <c r="O57" s="9"/>
      <c r="P57" s="9"/>
      <c r="Q57" s="9"/>
      <c r="R57" s="103" t="s">
        <v>1334</v>
      </c>
      <c r="S57" s="103" t="s">
        <v>1335</v>
      </c>
      <c r="T57" s="102" t="s">
        <v>1336</v>
      </c>
      <c r="U57" s="23" t="s">
        <v>1263</v>
      </c>
      <c r="V57" s="23" t="s">
        <v>1337</v>
      </c>
      <c r="W57" s="9"/>
      <c r="X57" s="9"/>
      <c r="Y57" s="9"/>
    </row>
    <row r="58" spans="2:25" x14ac:dyDescent="0.2">
      <c r="B58" s="7"/>
      <c r="C58" s="23"/>
      <c r="D58" s="9"/>
      <c r="E58" s="9"/>
      <c r="F58" s="9"/>
      <c r="G58" s="16"/>
      <c r="H58" s="23"/>
      <c r="I58" s="9"/>
      <c r="J58" s="9"/>
      <c r="K58" s="72"/>
      <c r="L58" s="9"/>
      <c r="M58" s="9"/>
      <c r="N58" s="9"/>
      <c r="O58" s="9"/>
      <c r="P58" s="9"/>
      <c r="Q58" s="9"/>
      <c r="R58" s="103" t="s">
        <v>1338</v>
      </c>
      <c r="S58" s="103" t="s">
        <v>1339</v>
      </c>
      <c r="T58" s="102" t="s">
        <v>1340</v>
      </c>
      <c r="U58" s="23" t="s">
        <v>1096</v>
      </c>
      <c r="V58" s="23" t="s">
        <v>1341</v>
      </c>
      <c r="W58" s="9"/>
      <c r="X58" s="9"/>
      <c r="Y58" s="9"/>
    </row>
    <row r="59" spans="2:25" x14ac:dyDescent="0.2">
      <c r="B59" s="7"/>
      <c r="C59" s="23"/>
      <c r="D59" s="9"/>
      <c r="E59" s="9"/>
      <c r="F59" s="9"/>
      <c r="G59" s="16"/>
      <c r="H59" s="23"/>
      <c r="I59" s="9"/>
      <c r="J59" s="9"/>
      <c r="K59" s="72"/>
      <c r="L59" s="9"/>
      <c r="M59" s="9"/>
      <c r="N59" s="9"/>
      <c r="O59" s="9"/>
      <c r="P59" s="9"/>
      <c r="Q59" s="9"/>
      <c r="R59" s="103" t="s">
        <v>1342</v>
      </c>
      <c r="S59" s="103" t="s">
        <v>1343</v>
      </c>
      <c r="T59" s="102" t="s">
        <v>1344</v>
      </c>
      <c r="U59" s="23" t="s">
        <v>1096</v>
      </c>
      <c r="V59" s="23" t="s">
        <v>1345</v>
      </c>
      <c r="W59" s="9"/>
      <c r="X59" s="9"/>
      <c r="Y59" s="9"/>
    </row>
    <row r="60" spans="2:25" x14ac:dyDescent="0.2">
      <c r="B60" s="7"/>
      <c r="C60" s="23"/>
      <c r="D60" s="9"/>
      <c r="E60" s="9"/>
      <c r="F60" s="9"/>
      <c r="G60" s="16"/>
      <c r="H60" s="23"/>
      <c r="I60" s="9"/>
      <c r="J60" s="9"/>
      <c r="K60" s="72"/>
      <c r="L60" s="9"/>
      <c r="M60" s="9"/>
      <c r="N60" s="9"/>
      <c r="O60" s="9"/>
      <c r="P60" s="9"/>
      <c r="Q60" s="9"/>
      <c r="R60" s="103" t="s">
        <v>1346</v>
      </c>
      <c r="S60" s="103" t="s">
        <v>1347</v>
      </c>
      <c r="T60" s="102" t="s">
        <v>1348</v>
      </c>
      <c r="U60" s="23" t="s">
        <v>1096</v>
      </c>
      <c r="V60" s="23" t="s">
        <v>1349</v>
      </c>
      <c r="W60" s="9"/>
      <c r="X60" s="9"/>
      <c r="Y60" s="9"/>
    </row>
    <row r="61" spans="2:25" x14ac:dyDescent="0.2">
      <c r="B61" s="7"/>
      <c r="C61" s="23"/>
      <c r="D61" s="9"/>
      <c r="E61" s="9"/>
      <c r="F61" s="9"/>
      <c r="G61" s="16"/>
      <c r="H61" s="23"/>
      <c r="I61" s="9"/>
      <c r="J61" s="9"/>
      <c r="K61" s="72"/>
      <c r="L61" s="9"/>
      <c r="M61" s="9"/>
      <c r="N61" s="9"/>
      <c r="O61" s="9"/>
      <c r="P61" s="9"/>
      <c r="Q61" s="9"/>
      <c r="R61" s="103" t="s">
        <v>1350</v>
      </c>
      <c r="S61" s="103" t="s">
        <v>1351</v>
      </c>
      <c r="T61" s="102" t="s">
        <v>1352</v>
      </c>
      <c r="U61" s="23" t="s">
        <v>1096</v>
      </c>
      <c r="V61" s="23" t="s">
        <v>1353</v>
      </c>
      <c r="W61" s="9"/>
      <c r="X61" s="9"/>
      <c r="Y61" s="9"/>
    </row>
    <row r="62" spans="2:25" x14ac:dyDescent="0.2">
      <c r="B62" s="7"/>
      <c r="C62" s="23"/>
      <c r="D62" s="9"/>
      <c r="E62" s="9"/>
      <c r="F62" s="9"/>
      <c r="G62" s="16"/>
      <c r="H62" s="23"/>
      <c r="I62" s="9"/>
      <c r="J62" s="9"/>
      <c r="K62" s="72"/>
      <c r="L62" s="9"/>
      <c r="M62" s="9"/>
      <c r="N62" s="9"/>
      <c r="O62" s="9"/>
      <c r="P62" s="9"/>
      <c r="Q62" s="9"/>
      <c r="R62" s="103" t="s">
        <v>1354</v>
      </c>
      <c r="S62" s="103" t="s">
        <v>1355</v>
      </c>
      <c r="T62" s="102" t="s">
        <v>1356</v>
      </c>
      <c r="U62" s="23" t="s">
        <v>1263</v>
      </c>
      <c r="V62" s="23" t="s">
        <v>1357</v>
      </c>
      <c r="W62" s="9"/>
      <c r="X62" s="9"/>
      <c r="Y62" s="9"/>
    </row>
    <row r="63" spans="2:25" x14ac:dyDescent="0.2">
      <c r="B63" s="7"/>
      <c r="C63" s="23"/>
      <c r="D63" s="9"/>
      <c r="E63" s="9"/>
      <c r="F63" s="9"/>
      <c r="G63" s="16"/>
      <c r="H63" s="23"/>
      <c r="I63" s="9"/>
      <c r="J63" s="9"/>
      <c r="K63" s="72"/>
      <c r="L63" s="9"/>
      <c r="M63" s="9"/>
      <c r="N63" s="9"/>
      <c r="O63" s="9"/>
      <c r="P63" s="9"/>
      <c r="Q63" s="9"/>
      <c r="R63" s="103" t="s">
        <v>1358</v>
      </c>
      <c r="S63" s="103" t="s">
        <v>1359</v>
      </c>
      <c r="T63" s="102" t="s">
        <v>1360</v>
      </c>
      <c r="U63" s="23" t="s">
        <v>1263</v>
      </c>
      <c r="V63" s="23" t="s">
        <v>1361</v>
      </c>
      <c r="W63" s="9"/>
      <c r="X63" s="9"/>
      <c r="Y63" s="9"/>
    </row>
    <row r="64" spans="2:25" x14ac:dyDescent="0.2">
      <c r="B64" s="7"/>
      <c r="C64" s="23"/>
      <c r="D64" s="9"/>
      <c r="E64" s="9"/>
      <c r="F64" s="9"/>
      <c r="G64" s="16"/>
      <c r="H64" s="23"/>
      <c r="I64" s="9"/>
      <c r="J64" s="9"/>
      <c r="K64" s="72"/>
      <c r="L64" s="9"/>
      <c r="M64" s="9"/>
      <c r="N64" s="9"/>
      <c r="O64" s="9"/>
      <c r="P64" s="9"/>
      <c r="Q64" s="9"/>
      <c r="R64" s="103" t="s">
        <v>1362</v>
      </c>
      <c r="S64" s="103" t="s">
        <v>1363</v>
      </c>
      <c r="T64" s="102" t="s">
        <v>1364</v>
      </c>
      <c r="U64" s="23" t="s">
        <v>1263</v>
      </c>
      <c r="V64" s="23" t="s">
        <v>1365</v>
      </c>
      <c r="W64" s="9"/>
      <c r="X64" s="9"/>
      <c r="Y64" s="9"/>
    </row>
    <row r="65" spans="2:25" x14ac:dyDescent="0.2">
      <c r="B65" s="7"/>
      <c r="C65" s="23"/>
      <c r="D65" s="9"/>
      <c r="E65" s="9"/>
      <c r="F65" s="9"/>
      <c r="G65" s="16"/>
      <c r="H65" s="23"/>
      <c r="I65" s="9"/>
      <c r="J65" s="9"/>
      <c r="K65" s="72"/>
      <c r="L65" s="9"/>
      <c r="M65" s="9"/>
      <c r="N65" s="9"/>
      <c r="O65" s="9"/>
      <c r="P65" s="9"/>
      <c r="Q65" s="9"/>
      <c r="R65" s="103" t="s">
        <v>1366</v>
      </c>
      <c r="S65" s="103" t="s">
        <v>1367</v>
      </c>
      <c r="T65" s="102" t="s">
        <v>1368</v>
      </c>
      <c r="U65" s="23" t="s">
        <v>1263</v>
      </c>
      <c r="V65" s="23" t="s">
        <v>1369</v>
      </c>
      <c r="W65" s="9"/>
      <c r="X65" s="9"/>
      <c r="Y65" s="9"/>
    </row>
    <row r="66" spans="2:25" x14ac:dyDescent="0.2">
      <c r="B66" s="7"/>
      <c r="C66" s="23"/>
      <c r="D66" s="9"/>
      <c r="E66" s="9"/>
      <c r="F66" s="9"/>
      <c r="G66" s="16"/>
      <c r="H66" s="23"/>
      <c r="I66" s="9"/>
      <c r="J66" s="9"/>
      <c r="K66" s="72"/>
      <c r="L66" s="9"/>
      <c r="M66" s="9"/>
      <c r="N66" s="9"/>
      <c r="O66" s="9"/>
      <c r="P66" s="9"/>
      <c r="Q66" s="9"/>
      <c r="R66" s="103" t="s">
        <v>1370</v>
      </c>
      <c r="S66" s="103" t="s">
        <v>1371</v>
      </c>
      <c r="T66" s="102" t="s">
        <v>1372</v>
      </c>
      <c r="U66" s="23" t="s">
        <v>1263</v>
      </c>
      <c r="V66" s="23" t="s">
        <v>1373</v>
      </c>
      <c r="W66" s="9"/>
      <c r="X66" s="9"/>
      <c r="Y66" s="9"/>
    </row>
    <row r="67" spans="2:25" x14ac:dyDescent="0.2">
      <c r="B67" s="7"/>
      <c r="C67" s="23"/>
      <c r="D67" s="9"/>
      <c r="E67" s="9"/>
      <c r="F67" s="9"/>
      <c r="G67" s="16"/>
      <c r="H67" s="23"/>
      <c r="I67" s="9"/>
      <c r="J67" s="9"/>
      <c r="K67" s="72"/>
      <c r="L67" s="9"/>
      <c r="M67" s="9"/>
      <c r="N67" s="9"/>
      <c r="O67" s="9"/>
      <c r="P67" s="9"/>
      <c r="Q67" s="9"/>
      <c r="R67" s="103" t="s">
        <v>1374</v>
      </c>
      <c r="S67" s="103" t="s">
        <v>1375</v>
      </c>
      <c r="T67" s="102" t="s">
        <v>1376</v>
      </c>
      <c r="U67" s="23" t="s">
        <v>1263</v>
      </c>
      <c r="V67" s="23" t="s">
        <v>1377</v>
      </c>
      <c r="W67" s="9"/>
      <c r="X67" s="9"/>
      <c r="Y67" s="9"/>
    </row>
    <row r="68" spans="2:25" x14ac:dyDescent="0.2">
      <c r="B68" s="7"/>
      <c r="C68" s="23"/>
      <c r="D68" s="9"/>
      <c r="E68" s="9"/>
      <c r="F68" s="9"/>
      <c r="G68" s="16"/>
      <c r="H68" s="23"/>
      <c r="I68" s="9"/>
      <c r="J68" s="9"/>
      <c r="K68" s="72"/>
      <c r="L68" s="9"/>
      <c r="M68" s="9"/>
      <c r="N68" s="9"/>
      <c r="O68" s="9"/>
      <c r="P68" s="9"/>
      <c r="Q68" s="9"/>
      <c r="R68" s="103" t="s">
        <v>1378</v>
      </c>
      <c r="S68" s="103" t="s">
        <v>1379</v>
      </c>
      <c r="T68" s="102" t="s">
        <v>1380</v>
      </c>
      <c r="U68" s="23" t="s">
        <v>1263</v>
      </c>
      <c r="V68" s="23" t="s">
        <v>1381</v>
      </c>
      <c r="W68" s="9"/>
      <c r="X68" s="9"/>
      <c r="Y68" s="9"/>
    </row>
    <row r="69" spans="2:25" x14ac:dyDescent="0.2">
      <c r="B69" s="7"/>
      <c r="C69" s="9"/>
      <c r="D69" s="9"/>
      <c r="E69" s="9"/>
      <c r="F69" s="9"/>
      <c r="G69" s="16"/>
      <c r="H69" s="9"/>
      <c r="I69" s="9"/>
      <c r="J69" s="9"/>
      <c r="K69" s="72"/>
      <c r="L69" s="9"/>
      <c r="M69" s="9"/>
      <c r="N69" s="9"/>
      <c r="O69" s="9"/>
      <c r="P69" s="9"/>
      <c r="Q69" s="9"/>
      <c r="R69" s="103" t="s">
        <v>1382</v>
      </c>
      <c r="S69" s="103" t="s">
        <v>1383</v>
      </c>
      <c r="T69" s="102" t="s">
        <v>1384</v>
      </c>
      <c r="U69" s="23" t="s">
        <v>1263</v>
      </c>
      <c r="V69" s="23" t="s">
        <v>1385</v>
      </c>
      <c r="W69" s="9"/>
      <c r="X69" s="9"/>
      <c r="Y69" s="9"/>
    </row>
    <row r="70" spans="2:25" x14ac:dyDescent="0.2">
      <c r="B70" s="7"/>
      <c r="C70" s="9"/>
      <c r="D70" s="9"/>
      <c r="E70" s="9"/>
      <c r="F70" s="9"/>
      <c r="G70" s="16"/>
      <c r="H70" s="9"/>
      <c r="I70" s="9"/>
      <c r="J70" s="9"/>
      <c r="K70" s="72"/>
      <c r="L70" s="9"/>
      <c r="M70" s="9"/>
      <c r="N70" s="9"/>
      <c r="O70" s="9"/>
      <c r="P70" s="9"/>
      <c r="Q70" s="9"/>
      <c r="R70" s="103" t="s">
        <v>1386</v>
      </c>
      <c r="S70" s="103" t="s">
        <v>1387</v>
      </c>
      <c r="T70" s="102" t="s">
        <v>1388</v>
      </c>
      <c r="U70" s="23" t="s">
        <v>1267</v>
      </c>
      <c r="V70" s="23" t="s">
        <v>1389</v>
      </c>
      <c r="W70" s="9"/>
      <c r="X70" s="9"/>
      <c r="Y70" s="9"/>
    </row>
    <row r="71" spans="2:25" x14ac:dyDescent="0.2">
      <c r="B71" s="7"/>
      <c r="C71" s="9"/>
      <c r="D71" s="9"/>
      <c r="E71" s="9"/>
      <c r="F71" s="9"/>
      <c r="G71" s="16"/>
      <c r="H71" s="9"/>
      <c r="I71" s="9"/>
      <c r="J71" s="9"/>
      <c r="K71" s="72"/>
      <c r="L71" s="9"/>
      <c r="M71" s="9"/>
      <c r="N71" s="9"/>
      <c r="O71" s="9"/>
      <c r="P71" s="9"/>
      <c r="Q71" s="9"/>
      <c r="R71" s="103" t="s">
        <v>1390</v>
      </c>
      <c r="S71" s="103" t="s">
        <v>1391</v>
      </c>
      <c r="T71" s="102" t="s">
        <v>1392</v>
      </c>
      <c r="U71" s="23" t="s">
        <v>1267</v>
      </c>
      <c r="V71" s="23" t="s">
        <v>1393</v>
      </c>
      <c r="W71" s="9"/>
      <c r="X71" s="9"/>
      <c r="Y71" s="9"/>
    </row>
    <row r="72" spans="2:25" x14ac:dyDescent="0.2">
      <c r="B72" s="7"/>
      <c r="C72" s="9"/>
      <c r="D72" s="9"/>
      <c r="E72" s="9"/>
      <c r="F72" s="9"/>
      <c r="G72" s="16"/>
      <c r="H72" s="9"/>
      <c r="I72" s="9"/>
      <c r="J72" s="9"/>
      <c r="K72" s="72"/>
      <c r="L72" s="9"/>
      <c r="M72" s="9"/>
      <c r="N72" s="9"/>
      <c r="O72" s="9"/>
      <c r="P72" s="9"/>
      <c r="Q72" s="9"/>
      <c r="R72" s="103" t="s">
        <v>1394</v>
      </c>
      <c r="S72" s="103" t="s">
        <v>1395</v>
      </c>
      <c r="T72" s="102" t="s">
        <v>1396</v>
      </c>
      <c r="U72" s="23" t="s">
        <v>1267</v>
      </c>
      <c r="V72" s="23" t="s">
        <v>1397</v>
      </c>
      <c r="W72" s="9"/>
      <c r="X72" s="9"/>
      <c r="Y72" s="9"/>
    </row>
    <row r="73" spans="2:25" x14ac:dyDescent="0.2">
      <c r="B73" s="7"/>
      <c r="C73" s="9"/>
      <c r="D73" s="9"/>
      <c r="E73" s="9"/>
      <c r="F73" s="9"/>
      <c r="G73" s="16"/>
      <c r="H73" s="9"/>
      <c r="I73" s="9"/>
      <c r="J73" s="9"/>
      <c r="K73" s="72"/>
      <c r="L73" s="9"/>
      <c r="M73" s="9"/>
      <c r="N73" s="9"/>
      <c r="O73" s="9"/>
      <c r="P73" s="9"/>
      <c r="Q73" s="9"/>
      <c r="R73" s="103" t="s">
        <v>1398</v>
      </c>
      <c r="S73" s="103" t="s">
        <v>1399</v>
      </c>
      <c r="T73" s="102" t="s">
        <v>1400</v>
      </c>
      <c r="U73" s="23" t="s">
        <v>1267</v>
      </c>
      <c r="V73" s="23" t="s">
        <v>1401</v>
      </c>
      <c r="W73" s="9"/>
      <c r="X73" s="9"/>
      <c r="Y73" s="9"/>
    </row>
    <row r="74" spans="2:25" x14ac:dyDescent="0.2">
      <c r="B74" s="7"/>
      <c r="C74" s="9"/>
      <c r="D74" s="9"/>
      <c r="E74" s="9"/>
      <c r="F74" s="9"/>
      <c r="G74" s="16"/>
      <c r="H74" s="9"/>
      <c r="I74" s="9"/>
      <c r="J74" s="9"/>
      <c r="K74" s="72"/>
      <c r="L74" s="9"/>
      <c r="M74" s="9"/>
      <c r="N74" s="9"/>
      <c r="O74" s="9"/>
      <c r="P74" s="9"/>
      <c r="Q74" s="9"/>
      <c r="R74" s="103" t="s">
        <v>1402</v>
      </c>
      <c r="S74" s="103" t="s">
        <v>1403</v>
      </c>
      <c r="T74" s="102" t="s">
        <v>1404</v>
      </c>
      <c r="U74" s="23" t="s">
        <v>1263</v>
      </c>
      <c r="V74" s="23" t="s">
        <v>1405</v>
      </c>
      <c r="W74" s="9"/>
      <c r="X74" s="9"/>
      <c r="Y74" s="9"/>
    </row>
    <row r="75" spans="2:25" x14ac:dyDescent="0.2">
      <c r="B75" s="7"/>
      <c r="C75" s="9"/>
      <c r="D75" s="9"/>
      <c r="E75" s="9"/>
      <c r="F75" s="9"/>
      <c r="G75" s="16"/>
      <c r="H75" s="9"/>
      <c r="I75" s="9"/>
      <c r="J75" s="9"/>
      <c r="K75" s="72"/>
      <c r="L75" s="9"/>
      <c r="M75" s="9"/>
      <c r="N75" s="9"/>
      <c r="O75" s="9"/>
      <c r="P75" s="9"/>
      <c r="Q75" s="9"/>
      <c r="R75" s="103" t="s">
        <v>1406</v>
      </c>
      <c r="S75" s="103" t="s">
        <v>1407</v>
      </c>
      <c r="T75" s="102" t="s">
        <v>1408</v>
      </c>
      <c r="U75" s="23" t="s">
        <v>1263</v>
      </c>
      <c r="V75" s="23" t="s">
        <v>1409</v>
      </c>
      <c r="W75" s="9"/>
      <c r="X75" s="9"/>
      <c r="Y75" s="9"/>
    </row>
    <row r="76" spans="2:25" x14ac:dyDescent="0.2">
      <c r="B76" s="7"/>
      <c r="C76" s="9"/>
      <c r="D76" s="9"/>
      <c r="E76" s="9"/>
      <c r="F76" s="9"/>
      <c r="G76" s="16"/>
      <c r="H76" s="9"/>
      <c r="I76" s="9"/>
      <c r="J76" s="9"/>
      <c r="K76" s="72"/>
      <c r="L76" s="9"/>
      <c r="M76" s="9"/>
      <c r="N76" s="9"/>
      <c r="O76" s="9"/>
      <c r="P76" s="9"/>
      <c r="Q76" s="9"/>
      <c r="R76" s="103" t="s">
        <v>1410</v>
      </c>
      <c r="S76" s="103" t="s">
        <v>1411</v>
      </c>
      <c r="T76" s="102" t="s">
        <v>1412</v>
      </c>
      <c r="U76" s="23" t="s">
        <v>1267</v>
      </c>
      <c r="V76" s="23" t="s">
        <v>1413</v>
      </c>
      <c r="W76" s="9"/>
      <c r="X76" s="9"/>
      <c r="Y76" s="9"/>
    </row>
    <row r="77" spans="2:25" ht="16" x14ac:dyDescent="0.2">
      <c r="B77" s="7"/>
      <c r="C77" s="9"/>
      <c r="D77" s="9"/>
      <c r="E77" s="9"/>
      <c r="F77" s="9"/>
      <c r="G77" s="16"/>
      <c r="H77" s="9"/>
      <c r="I77" s="9"/>
      <c r="J77" s="9"/>
      <c r="K77" s="72"/>
      <c r="L77" s="9"/>
      <c r="M77" s="9"/>
      <c r="N77" s="9"/>
      <c r="O77" s="9"/>
      <c r="P77" s="9"/>
      <c r="Q77" s="9"/>
      <c r="R77" s="116" t="s">
        <v>1414</v>
      </c>
      <c r="S77" s="103" t="s">
        <v>1415</v>
      </c>
      <c r="T77" s="102" t="s">
        <v>1416</v>
      </c>
      <c r="U77" s="23" t="s">
        <v>1185</v>
      </c>
      <c r="V77" s="23" t="s">
        <v>1417</v>
      </c>
      <c r="W77" s="9"/>
      <c r="X77" s="9"/>
      <c r="Y77" s="9"/>
    </row>
    <row r="78" spans="2:25" x14ac:dyDescent="0.2">
      <c r="B78" s="7"/>
      <c r="C78" s="9"/>
      <c r="D78" s="9"/>
      <c r="E78" s="9"/>
      <c r="F78" s="9"/>
      <c r="G78" s="16"/>
      <c r="H78" s="9"/>
      <c r="I78" s="9"/>
      <c r="J78" s="9"/>
      <c r="K78" s="72"/>
      <c r="L78" s="9"/>
      <c r="M78" s="9"/>
      <c r="N78" s="9"/>
      <c r="O78" s="9"/>
      <c r="P78" s="9"/>
      <c r="Q78" s="9"/>
      <c r="R78" s="103" t="s">
        <v>1418</v>
      </c>
      <c r="S78" s="103" t="s">
        <v>1419</v>
      </c>
      <c r="T78" s="102" t="s">
        <v>1416</v>
      </c>
      <c r="U78" s="23" t="s">
        <v>1096</v>
      </c>
      <c r="V78" s="23" t="s">
        <v>1420</v>
      </c>
      <c r="W78" s="9"/>
      <c r="X78" s="9"/>
      <c r="Y78" s="9"/>
    </row>
    <row r="79" spans="2:25" x14ac:dyDescent="0.2">
      <c r="B79" s="7"/>
      <c r="C79" s="9"/>
      <c r="D79" s="9"/>
      <c r="E79" s="9"/>
      <c r="F79" s="9"/>
      <c r="G79" s="16"/>
      <c r="H79" s="9"/>
      <c r="I79" s="9"/>
      <c r="J79" s="9"/>
      <c r="K79" s="72"/>
      <c r="L79" s="9"/>
      <c r="M79" s="9"/>
      <c r="N79" s="9"/>
      <c r="O79" s="9"/>
      <c r="P79" s="9"/>
      <c r="Q79" s="9"/>
      <c r="R79" s="103" t="s">
        <v>1421</v>
      </c>
      <c r="S79" s="103" t="s">
        <v>1422</v>
      </c>
      <c r="T79" s="102" t="s">
        <v>1416</v>
      </c>
      <c r="U79" s="23" t="s">
        <v>1185</v>
      </c>
      <c r="V79" s="23" t="s">
        <v>1423</v>
      </c>
      <c r="W79" s="9"/>
      <c r="X79" s="9"/>
      <c r="Y79" s="9"/>
    </row>
    <row r="80" spans="2:25" x14ac:dyDescent="0.2">
      <c r="B80" s="7"/>
      <c r="C80" s="9"/>
      <c r="D80" s="9"/>
      <c r="E80" s="9"/>
      <c r="F80" s="9"/>
      <c r="G80" s="16"/>
      <c r="H80" s="9"/>
      <c r="I80" s="9"/>
      <c r="J80" s="9"/>
      <c r="K80" s="72"/>
      <c r="L80" s="9"/>
      <c r="M80" s="9"/>
      <c r="N80" s="9"/>
      <c r="O80" s="9"/>
      <c r="P80" s="9"/>
      <c r="Q80" s="9"/>
      <c r="R80" s="103" t="s">
        <v>1424</v>
      </c>
      <c r="S80" s="103" t="s">
        <v>1425</v>
      </c>
      <c r="T80" s="102" t="s">
        <v>1426</v>
      </c>
      <c r="U80" s="23" t="s">
        <v>1427</v>
      </c>
      <c r="V80" s="23" t="s">
        <v>1427</v>
      </c>
      <c r="W80" s="9"/>
      <c r="X80" s="9"/>
      <c r="Y80" s="9"/>
    </row>
    <row r="81" spans="2:25" x14ac:dyDescent="0.2">
      <c r="B81" s="7"/>
      <c r="C81" s="9"/>
      <c r="D81" s="9"/>
      <c r="E81" s="9"/>
      <c r="F81" s="9"/>
      <c r="G81" s="16"/>
      <c r="H81" s="9"/>
      <c r="I81" s="9"/>
      <c r="J81" s="9"/>
      <c r="K81" s="72"/>
      <c r="L81" s="9"/>
      <c r="M81" s="9"/>
      <c r="N81" s="9"/>
      <c r="O81" s="9"/>
      <c r="P81" s="9"/>
      <c r="Q81" s="9"/>
      <c r="R81" s="103" t="s">
        <v>1425</v>
      </c>
      <c r="S81" s="103" t="s">
        <v>1428</v>
      </c>
      <c r="T81" s="102" t="s">
        <v>1429</v>
      </c>
      <c r="U81" s="23" t="s">
        <v>1427</v>
      </c>
      <c r="V81" s="23" t="s">
        <v>1427</v>
      </c>
      <c r="W81" s="9"/>
      <c r="X81" s="9"/>
      <c r="Y81" s="9"/>
    </row>
    <row r="82" spans="2:25" x14ac:dyDescent="0.2">
      <c r="B82" s="7"/>
      <c r="C82" s="9"/>
      <c r="D82" s="9"/>
      <c r="E82" s="9"/>
      <c r="F82" s="9"/>
      <c r="G82" s="16"/>
      <c r="H82" s="9"/>
      <c r="I82" s="9"/>
      <c r="J82" s="9"/>
      <c r="K82" s="72"/>
      <c r="L82" s="9"/>
      <c r="M82" s="9"/>
      <c r="N82" s="9"/>
      <c r="O82" s="9"/>
      <c r="P82" s="9"/>
      <c r="Q82" s="9"/>
      <c r="R82" s="103" t="s">
        <v>1430</v>
      </c>
      <c r="S82" s="103" t="s">
        <v>1431</v>
      </c>
      <c r="T82" s="102" t="s">
        <v>1432</v>
      </c>
      <c r="U82" s="23" t="s">
        <v>1427</v>
      </c>
      <c r="V82" s="23" t="s">
        <v>1427</v>
      </c>
      <c r="W82" s="9"/>
      <c r="X82" s="9"/>
      <c r="Y82" s="9"/>
    </row>
    <row r="83" spans="2:25" x14ac:dyDescent="0.2">
      <c r="B83" s="7"/>
      <c r="C83" s="9"/>
      <c r="D83" s="9"/>
      <c r="E83" s="9"/>
      <c r="F83" s="9"/>
      <c r="G83" s="16"/>
      <c r="H83" s="9"/>
      <c r="I83" s="9"/>
      <c r="J83" s="9"/>
      <c r="K83" s="72"/>
      <c r="L83" s="9"/>
      <c r="M83" s="9"/>
      <c r="N83" s="9"/>
      <c r="O83" s="9"/>
      <c r="P83" s="9"/>
      <c r="Q83" s="9"/>
      <c r="R83" s="102"/>
      <c r="S83" s="102"/>
      <c r="T83" s="102"/>
      <c r="U83" s="23"/>
      <c r="V83" s="23"/>
      <c r="W83" s="9"/>
      <c r="X83" s="9"/>
      <c r="Y83" s="9"/>
    </row>
    <row r="84" spans="2:25" x14ac:dyDescent="0.2">
      <c r="B84" s="7"/>
      <c r="C84" s="9"/>
      <c r="D84" s="9"/>
      <c r="E84" s="9"/>
      <c r="F84" s="9"/>
      <c r="G84" s="16"/>
      <c r="H84" s="9"/>
      <c r="I84" s="9"/>
      <c r="J84" s="9"/>
      <c r="K84" s="72"/>
      <c r="L84" s="9"/>
      <c r="M84" s="9"/>
      <c r="N84" s="9"/>
      <c r="O84" s="9"/>
      <c r="P84" s="9"/>
      <c r="Q84" s="9"/>
      <c r="R84" s="102"/>
      <c r="S84" s="102"/>
      <c r="T84" s="102"/>
      <c r="U84" s="23"/>
      <c r="V84" s="23"/>
      <c r="W84" s="9"/>
      <c r="X84" s="9"/>
      <c r="Y84" s="9"/>
    </row>
    <row r="85" spans="2:25" x14ac:dyDescent="0.2">
      <c r="B85" s="7"/>
      <c r="C85" s="9"/>
      <c r="D85" s="9"/>
      <c r="E85" s="9"/>
      <c r="F85" s="9"/>
      <c r="G85" s="16"/>
      <c r="H85" s="9"/>
      <c r="I85" s="9"/>
      <c r="J85" s="9"/>
      <c r="K85" s="72"/>
      <c r="L85" s="9"/>
      <c r="M85" s="9"/>
      <c r="N85" s="9"/>
      <c r="O85" s="9"/>
      <c r="P85" s="9"/>
      <c r="Q85" s="9"/>
      <c r="R85" s="102"/>
      <c r="S85" s="102"/>
      <c r="T85" s="102"/>
      <c r="U85" s="23"/>
      <c r="V85" s="23"/>
      <c r="W85" s="9"/>
      <c r="X85" s="9"/>
      <c r="Y85" s="9"/>
    </row>
    <row r="86" spans="2:25" x14ac:dyDescent="0.2">
      <c r="B86" s="7"/>
      <c r="C86" s="9"/>
      <c r="D86" s="9"/>
      <c r="E86" s="9"/>
      <c r="F86" s="9"/>
      <c r="G86" s="16"/>
      <c r="H86" s="9"/>
      <c r="I86" s="9"/>
      <c r="J86" s="9"/>
      <c r="K86" s="72"/>
      <c r="L86" s="9"/>
      <c r="M86" s="9"/>
      <c r="N86" s="9"/>
      <c r="O86" s="9"/>
      <c r="P86" s="9"/>
      <c r="Q86" s="9"/>
      <c r="R86" s="102"/>
      <c r="S86" s="102"/>
      <c r="T86" s="102"/>
      <c r="U86" s="23"/>
      <c r="V86" s="23"/>
      <c r="W86" s="9"/>
      <c r="X86" s="9"/>
      <c r="Y86" s="9"/>
    </row>
    <row r="87" spans="2:25" x14ac:dyDescent="0.2">
      <c r="B87" s="7"/>
      <c r="C87" s="9"/>
      <c r="D87" s="9"/>
      <c r="E87" s="9"/>
      <c r="F87" s="9"/>
      <c r="G87" s="16"/>
      <c r="H87" s="9"/>
      <c r="I87" s="9"/>
      <c r="J87" s="9"/>
      <c r="K87" s="72"/>
      <c r="L87" s="9"/>
      <c r="M87" s="9"/>
      <c r="N87" s="9"/>
      <c r="O87" s="9"/>
      <c r="P87" s="9"/>
      <c r="Q87" s="9"/>
      <c r="R87" s="102"/>
      <c r="S87" s="102"/>
      <c r="T87" s="102"/>
      <c r="U87" s="23"/>
      <c r="V87" s="23"/>
      <c r="W87" s="9"/>
      <c r="X87" s="9"/>
      <c r="Y87" s="9"/>
    </row>
    <row r="88" spans="2:25" x14ac:dyDescent="0.2">
      <c r="B88" s="7"/>
      <c r="C88" s="9"/>
      <c r="D88" s="9"/>
      <c r="E88" s="9"/>
      <c r="F88" s="9"/>
      <c r="G88" s="16"/>
      <c r="H88" s="9"/>
      <c r="I88" s="9"/>
      <c r="J88" s="9"/>
      <c r="K88" s="72"/>
      <c r="L88" s="9"/>
      <c r="M88" s="9"/>
      <c r="N88" s="9"/>
      <c r="O88" s="9"/>
      <c r="P88" s="9"/>
      <c r="Q88" s="9"/>
      <c r="R88" s="102"/>
      <c r="S88" s="102"/>
      <c r="T88" s="102"/>
      <c r="U88" s="23"/>
      <c r="V88" s="23"/>
      <c r="W88" s="9"/>
      <c r="X88" s="9"/>
      <c r="Y88" s="9"/>
    </row>
    <row r="89" spans="2:25" x14ac:dyDescent="0.2">
      <c r="B89" s="7"/>
      <c r="C89" s="9"/>
      <c r="D89" s="9"/>
      <c r="E89" s="9"/>
      <c r="F89" s="9"/>
      <c r="G89" s="16"/>
      <c r="H89" s="9"/>
      <c r="I89" s="9"/>
      <c r="J89" s="9"/>
      <c r="K89" s="72"/>
      <c r="L89" s="9"/>
      <c r="M89" s="9"/>
      <c r="N89" s="9"/>
      <c r="O89" s="9"/>
      <c r="P89" s="9"/>
      <c r="Q89" s="9"/>
      <c r="R89" s="102"/>
      <c r="S89" s="102"/>
      <c r="T89" s="102"/>
      <c r="U89" s="23"/>
      <c r="V89" s="23"/>
      <c r="W89" s="9"/>
      <c r="X89" s="9"/>
      <c r="Y89" s="9"/>
    </row>
    <row r="90" spans="2:25" x14ac:dyDescent="0.2">
      <c r="B90" s="7"/>
      <c r="C90" s="9"/>
      <c r="D90" s="9"/>
      <c r="E90" s="9"/>
      <c r="F90" s="9"/>
      <c r="G90" s="16"/>
      <c r="H90" s="9"/>
      <c r="I90" s="9"/>
      <c r="J90" s="9"/>
      <c r="K90" s="72"/>
      <c r="L90" s="9"/>
      <c r="M90" s="9"/>
      <c r="N90" s="9"/>
      <c r="O90" s="9"/>
      <c r="P90" s="9"/>
      <c r="Q90" s="9"/>
      <c r="R90" s="102"/>
      <c r="S90" s="102"/>
      <c r="T90" s="102"/>
      <c r="U90" s="23"/>
      <c r="V90" s="23"/>
      <c r="W90" s="9"/>
      <c r="X90" s="9"/>
      <c r="Y90" s="9"/>
    </row>
    <row r="91" spans="2:25" x14ac:dyDescent="0.2">
      <c r="B91" s="7"/>
      <c r="C91" s="9"/>
      <c r="D91" s="9"/>
      <c r="E91" s="9"/>
      <c r="F91" s="9"/>
      <c r="G91" s="16"/>
      <c r="H91" s="9"/>
      <c r="I91" s="9"/>
      <c r="J91" s="9"/>
      <c r="K91" s="72"/>
      <c r="L91" s="9"/>
      <c r="M91" s="9"/>
      <c r="N91" s="9"/>
      <c r="O91" s="9"/>
      <c r="P91" s="9"/>
      <c r="Q91" s="9"/>
      <c r="R91" s="102"/>
      <c r="S91" s="102"/>
      <c r="T91" s="102"/>
      <c r="U91" s="23"/>
      <c r="V91" s="23"/>
      <c r="W91" s="9"/>
      <c r="X91" s="9"/>
      <c r="Y91" s="9"/>
    </row>
    <row r="92" spans="2:25" x14ac:dyDescent="0.2">
      <c r="B92" s="7"/>
      <c r="C92" s="9"/>
      <c r="D92" s="9"/>
      <c r="E92" s="9"/>
      <c r="F92" s="9"/>
      <c r="G92" s="16"/>
      <c r="H92" s="9"/>
      <c r="I92" s="9"/>
      <c r="J92" s="9"/>
      <c r="K92" s="72"/>
      <c r="L92" s="9"/>
      <c r="M92" s="9"/>
      <c r="N92" s="9"/>
      <c r="O92" s="9"/>
      <c r="P92" s="9"/>
      <c r="Q92" s="9"/>
      <c r="R92" s="102"/>
      <c r="S92" s="102"/>
      <c r="T92" s="102"/>
      <c r="U92" s="23"/>
      <c r="V92" s="23"/>
      <c r="W92" s="9"/>
      <c r="X92" s="9"/>
      <c r="Y92" s="9"/>
    </row>
    <row r="93" spans="2:25" x14ac:dyDescent="0.2">
      <c r="B93" s="7"/>
      <c r="C93" s="9"/>
      <c r="D93" s="9"/>
      <c r="E93" s="9"/>
      <c r="F93" s="9"/>
      <c r="G93" s="16"/>
      <c r="H93" s="9"/>
      <c r="I93" s="9"/>
      <c r="J93" s="9"/>
      <c r="K93" s="72"/>
      <c r="L93" s="9"/>
      <c r="M93" s="9"/>
      <c r="N93" s="9"/>
      <c r="O93" s="9"/>
      <c r="P93" s="9"/>
      <c r="Q93" s="9"/>
      <c r="R93" s="102"/>
      <c r="S93" s="102"/>
      <c r="T93" s="102"/>
      <c r="U93" s="23"/>
      <c r="V93" s="23"/>
      <c r="W93" s="9"/>
      <c r="X93" s="9"/>
      <c r="Y93" s="9"/>
    </row>
    <row r="94" spans="2:25" x14ac:dyDescent="0.2">
      <c r="B94" s="7"/>
      <c r="C94" s="9"/>
      <c r="D94" s="9"/>
      <c r="E94" s="9"/>
      <c r="F94" s="9"/>
      <c r="G94" s="16"/>
      <c r="H94" s="9"/>
      <c r="I94" s="9"/>
      <c r="J94" s="9"/>
      <c r="K94" s="72"/>
      <c r="L94" s="9"/>
      <c r="M94" s="9"/>
      <c r="N94" s="9"/>
      <c r="O94" s="9"/>
      <c r="P94" s="9"/>
      <c r="Q94" s="9"/>
      <c r="R94" s="102"/>
      <c r="S94" s="102"/>
      <c r="T94" s="102"/>
      <c r="U94" s="23"/>
      <c r="V94" s="23"/>
      <c r="W94" s="9"/>
      <c r="X94" s="9"/>
      <c r="Y94" s="9"/>
    </row>
    <row r="95" spans="2:25" x14ac:dyDescent="0.2">
      <c r="B95" s="7"/>
      <c r="C95" s="9"/>
      <c r="D95" s="9"/>
      <c r="E95" s="9"/>
      <c r="F95" s="9"/>
      <c r="G95" s="16"/>
      <c r="H95" s="9"/>
      <c r="I95" s="9"/>
      <c r="J95" s="9"/>
      <c r="K95" s="72"/>
      <c r="L95" s="9"/>
      <c r="M95" s="9"/>
      <c r="N95" s="9"/>
      <c r="O95" s="9"/>
      <c r="P95" s="9"/>
      <c r="Q95" s="9"/>
      <c r="R95" s="102"/>
      <c r="S95" s="102"/>
      <c r="T95" s="102"/>
      <c r="U95" s="23"/>
      <c r="V95" s="23"/>
      <c r="W95" s="9"/>
      <c r="X95" s="9"/>
      <c r="Y95" s="9"/>
    </row>
    <row r="96" spans="2:25" x14ac:dyDescent="0.2">
      <c r="B96" s="7"/>
      <c r="C96" s="9"/>
      <c r="D96" s="9"/>
      <c r="E96" s="9"/>
      <c r="F96" s="9"/>
      <c r="G96" s="16"/>
      <c r="H96" s="9"/>
      <c r="I96" s="9"/>
      <c r="J96" s="9"/>
      <c r="K96" s="72"/>
      <c r="L96" s="9"/>
      <c r="M96" s="9"/>
      <c r="N96" s="9"/>
      <c r="O96" s="9"/>
      <c r="P96" s="9"/>
      <c r="Q96" s="9"/>
      <c r="R96" s="102"/>
      <c r="S96" s="102"/>
      <c r="T96" s="102"/>
      <c r="U96" s="23"/>
      <c r="V96" s="23"/>
      <c r="W96" s="9"/>
      <c r="X96" s="9"/>
      <c r="Y96" s="9"/>
    </row>
    <row r="97" spans="2:25" x14ac:dyDescent="0.2">
      <c r="B97" s="7"/>
      <c r="C97" s="9"/>
      <c r="D97" s="9"/>
      <c r="E97" s="9"/>
      <c r="F97" s="9"/>
      <c r="G97" s="16"/>
      <c r="H97" s="9"/>
      <c r="I97" s="9"/>
      <c r="J97" s="9"/>
      <c r="K97" s="72"/>
      <c r="L97" s="9"/>
      <c r="M97" s="9"/>
      <c r="N97" s="9"/>
      <c r="O97" s="9"/>
      <c r="P97" s="9"/>
      <c r="Q97" s="9"/>
      <c r="R97" s="102"/>
      <c r="S97" s="102"/>
      <c r="T97" s="102"/>
      <c r="U97" s="23"/>
      <c r="V97" s="23"/>
      <c r="W97" s="9"/>
      <c r="X97" s="9"/>
      <c r="Y97" s="9"/>
    </row>
    <row r="98" spans="2:25" x14ac:dyDescent="0.2">
      <c r="B98" s="7"/>
      <c r="C98" s="9"/>
      <c r="D98" s="9"/>
      <c r="E98" s="9"/>
      <c r="F98" s="9"/>
      <c r="G98" s="16"/>
      <c r="H98" s="9"/>
      <c r="I98" s="9"/>
      <c r="J98" s="9"/>
      <c r="K98" s="72"/>
      <c r="L98" s="9"/>
      <c r="M98" s="9"/>
      <c r="N98" s="9"/>
      <c r="O98" s="9"/>
      <c r="P98" s="9"/>
      <c r="Q98" s="9"/>
      <c r="R98" s="102"/>
      <c r="S98" s="102"/>
      <c r="T98" s="102"/>
      <c r="U98" s="23"/>
      <c r="V98" s="23"/>
      <c r="W98" s="9"/>
      <c r="X98" s="9"/>
      <c r="Y98" s="9"/>
    </row>
    <row r="99" spans="2:25" x14ac:dyDescent="0.2">
      <c r="B99" s="7"/>
      <c r="C99" s="9"/>
      <c r="D99" s="9"/>
      <c r="E99" s="9"/>
      <c r="F99" s="9"/>
      <c r="G99" s="16"/>
      <c r="H99" s="9"/>
      <c r="I99" s="9"/>
      <c r="J99" s="9"/>
      <c r="K99" s="72"/>
      <c r="L99" s="9"/>
      <c r="M99" s="9"/>
      <c r="N99" s="9"/>
      <c r="O99" s="9"/>
      <c r="P99" s="9"/>
      <c r="Q99" s="9"/>
      <c r="R99" s="102"/>
      <c r="S99" s="102"/>
      <c r="T99" s="102"/>
      <c r="U99" s="23"/>
      <c r="V99" s="23"/>
      <c r="W99" s="9"/>
      <c r="X99" s="9"/>
      <c r="Y99" s="9"/>
    </row>
    <row r="100" spans="2:25" x14ac:dyDescent="0.2">
      <c r="B100" s="7"/>
      <c r="C100" s="9"/>
      <c r="D100" s="9"/>
      <c r="E100" s="9"/>
      <c r="F100" s="9"/>
      <c r="G100" s="16"/>
      <c r="H100" s="9"/>
      <c r="I100" s="9"/>
      <c r="J100" s="9"/>
      <c r="K100" s="72"/>
      <c r="L100" s="9"/>
      <c r="M100" s="9"/>
      <c r="N100" s="9"/>
      <c r="O100" s="9"/>
      <c r="P100" s="9"/>
      <c r="Q100" s="9"/>
      <c r="R100" s="102"/>
      <c r="S100" s="102"/>
      <c r="T100" s="102"/>
      <c r="U100" s="23"/>
      <c r="V100" s="23"/>
      <c r="W100" s="9"/>
      <c r="X100" s="9"/>
      <c r="Y100" s="9"/>
    </row>
    <row r="101" spans="2:25" x14ac:dyDescent="0.2">
      <c r="B101" s="7"/>
      <c r="C101" s="9"/>
      <c r="D101" s="9"/>
      <c r="E101" s="9"/>
      <c r="F101" s="9"/>
      <c r="G101" s="16"/>
      <c r="H101" s="9"/>
      <c r="I101" s="9"/>
      <c r="J101" s="9"/>
      <c r="K101" s="72"/>
      <c r="L101" s="9"/>
      <c r="M101" s="9"/>
      <c r="N101" s="9"/>
      <c r="O101" s="9"/>
      <c r="P101" s="9"/>
      <c r="Q101" s="9"/>
      <c r="R101" s="102"/>
      <c r="S101" s="102"/>
      <c r="T101" s="102"/>
      <c r="U101" s="23"/>
      <c r="V101" s="23"/>
      <c r="W101" s="9"/>
      <c r="X101" s="9"/>
      <c r="Y101" s="9"/>
    </row>
    <row r="102" spans="2:25" x14ac:dyDescent="0.2">
      <c r="B102" s="7"/>
      <c r="C102" s="9"/>
      <c r="D102" s="9"/>
      <c r="E102" s="9"/>
      <c r="F102" s="9"/>
      <c r="G102" s="16"/>
      <c r="H102" s="9"/>
      <c r="I102" s="9"/>
      <c r="J102" s="9"/>
      <c r="K102" s="72"/>
      <c r="L102" s="9"/>
      <c r="M102" s="9"/>
      <c r="N102" s="9"/>
      <c r="O102" s="9"/>
      <c r="P102" s="9"/>
      <c r="Q102" s="9"/>
      <c r="R102" s="102"/>
      <c r="S102" s="102"/>
      <c r="T102" s="102"/>
      <c r="U102" s="23"/>
      <c r="V102" s="23"/>
      <c r="W102" s="9"/>
      <c r="X102" s="9"/>
      <c r="Y102" s="9"/>
    </row>
    <row r="103" spans="2:25" x14ac:dyDescent="0.2">
      <c r="B103" s="7"/>
      <c r="C103" s="9"/>
      <c r="D103" s="9"/>
      <c r="E103" s="9"/>
      <c r="F103" s="9"/>
      <c r="G103" s="16"/>
      <c r="H103" s="9"/>
      <c r="I103" s="9"/>
      <c r="J103" s="9"/>
      <c r="K103" s="72"/>
      <c r="L103" s="9"/>
      <c r="M103" s="9"/>
      <c r="N103" s="9"/>
      <c r="O103" s="9"/>
      <c r="P103" s="9"/>
      <c r="Q103" s="9"/>
      <c r="R103" s="102"/>
      <c r="S103" s="102"/>
      <c r="T103" s="102"/>
      <c r="U103" s="23"/>
      <c r="V103" s="23"/>
      <c r="W103" s="9"/>
      <c r="X103" s="9"/>
      <c r="Y103" s="9"/>
    </row>
    <row r="104" spans="2:25" x14ac:dyDescent="0.2">
      <c r="B104" s="7"/>
      <c r="C104" s="9"/>
      <c r="D104" s="9"/>
      <c r="E104" s="9"/>
      <c r="F104" s="9"/>
      <c r="G104" s="16"/>
      <c r="H104" s="9"/>
      <c r="I104" s="9"/>
      <c r="J104" s="9"/>
      <c r="K104" s="72"/>
      <c r="L104" s="9"/>
      <c r="M104" s="9"/>
      <c r="N104" s="9"/>
      <c r="O104" s="9"/>
      <c r="P104" s="9"/>
      <c r="Q104" s="9"/>
      <c r="R104" s="102"/>
      <c r="S104" s="102"/>
      <c r="T104" s="102"/>
      <c r="U104" s="23"/>
      <c r="V104" s="23"/>
      <c r="W104" s="9"/>
      <c r="X104" s="9"/>
      <c r="Y104" s="9"/>
    </row>
    <row r="105" spans="2:25" x14ac:dyDescent="0.2">
      <c r="B105" s="7"/>
      <c r="C105" s="9"/>
      <c r="D105" s="9"/>
      <c r="E105" s="9"/>
      <c r="F105" s="9"/>
      <c r="G105" s="16"/>
      <c r="H105" s="9"/>
      <c r="I105" s="9"/>
      <c r="J105" s="9"/>
      <c r="K105" s="72"/>
      <c r="L105" s="9"/>
      <c r="M105" s="9"/>
      <c r="N105" s="9"/>
      <c r="O105" s="9"/>
      <c r="P105" s="9"/>
      <c r="Q105" s="9"/>
      <c r="R105" s="102"/>
      <c r="S105" s="102"/>
      <c r="T105" s="102"/>
      <c r="U105" s="23"/>
      <c r="V105" s="23"/>
      <c r="W105" s="9"/>
      <c r="X105" s="9"/>
      <c r="Y105" s="9"/>
    </row>
    <row r="106" spans="2:25" x14ac:dyDescent="0.2">
      <c r="B106" s="7"/>
      <c r="C106" s="9"/>
      <c r="D106" s="9"/>
      <c r="E106" s="9"/>
      <c r="F106" s="9"/>
      <c r="G106" s="16"/>
      <c r="H106" s="9"/>
      <c r="I106" s="9"/>
      <c r="J106" s="9"/>
      <c r="K106" s="72"/>
      <c r="L106" s="9"/>
      <c r="M106" s="9"/>
      <c r="N106" s="9"/>
      <c r="O106" s="9"/>
      <c r="P106" s="9"/>
      <c r="Q106" s="9"/>
      <c r="R106" s="102"/>
      <c r="S106" s="102"/>
      <c r="T106" s="102"/>
      <c r="U106" s="23"/>
      <c r="V106" s="23"/>
      <c r="W106" s="9"/>
      <c r="X106" s="9"/>
      <c r="Y106" s="9"/>
    </row>
    <row r="107" spans="2:25" x14ac:dyDescent="0.2">
      <c r="B107" s="7"/>
      <c r="C107" s="9"/>
      <c r="D107" s="9"/>
      <c r="E107" s="9"/>
      <c r="F107" s="9"/>
      <c r="G107" s="16"/>
      <c r="H107" s="9"/>
      <c r="I107" s="9"/>
      <c r="J107" s="9"/>
      <c r="K107" s="72"/>
      <c r="L107" s="9"/>
      <c r="M107" s="9"/>
      <c r="N107" s="9"/>
      <c r="O107" s="9"/>
      <c r="P107" s="9"/>
      <c r="Q107" s="9"/>
      <c r="R107" s="102"/>
      <c r="S107" s="102"/>
      <c r="T107" s="102"/>
      <c r="U107" s="23"/>
      <c r="V107" s="23"/>
      <c r="W107" s="9"/>
      <c r="X107" s="9"/>
      <c r="Y107" s="9"/>
    </row>
    <row r="108" spans="2:25" x14ac:dyDescent="0.2">
      <c r="B108" s="7"/>
      <c r="C108" s="9"/>
      <c r="D108" s="9"/>
      <c r="E108" s="9"/>
      <c r="F108" s="9"/>
      <c r="G108" s="16"/>
      <c r="H108" s="9"/>
      <c r="I108" s="9"/>
      <c r="J108" s="9"/>
      <c r="K108" s="72"/>
      <c r="L108" s="9"/>
      <c r="M108" s="9"/>
      <c r="N108" s="9"/>
      <c r="O108" s="9"/>
      <c r="P108" s="9"/>
      <c r="Q108" s="9"/>
      <c r="R108" s="102"/>
      <c r="S108" s="102"/>
      <c r="T108" s="102"/>
      <c r="U108" s="23"/>
      <c r="V108" s="23"/>
      <c r="W108" s="9"/>
      <c r="X108" s="9"/>
      <c r="Y108" s="9"/>
    </row>
    <row r="109" spans="2:25" x14ac:dyDescent="0.2">
      <c r="B109" s="7"/>
      <c r="C109" s="9"/>
      <c r="D109" s="9"/>
      <c r="E109" s="9"/>
      <c r="F109" s="9"/>
      <c r="G109" s="16"/>
      <c r="H109" s="9"/>
      <c r="I109" s="9"/>
      <c r="J109" s="9"/>
      <c r="K109" s="72"/>
      <c r="L109" s="9"/>
      <c r="M109" s="9"/>
      <c r="N109" s="9"/>
      <c r="O109" s="9"/>
      <c r="P109" s="9"/>
      <c r="Q109" s="9"/>
      <c r="R109" s="102"/>
      <c r="S109" s="102"/>
      <c r="T109" s="102"/>
      <c r="U109" s="23"/>
      <c r="V109" s="23"/>
      <c r="W109" s="9"/>
      <c r="X109" s="9"/>
      <c r="Y109" s="9"/>
    </row>
    <row r="110" spans="2:25" x14ac:dyDescent="0.2">
      <c r="B110" s="7"/>
      <c r="C110" s="9"/>
      <c r="D110" s="9"/>
      <c r="E110" s="9"/>
      <c r="F110" s="9"/>
      <c r="G110" s="16"/>
      <c r="H110" s="9"/>
      <c r="I110" s="9"/>
      <c r="J110" s="9"/>
      <c r="K110" s="72"/>
      <c r="L110" s="9"/>
      <c r="M110" s="9"/>
      <c r="N110" s="9"/>
      <c r="O110" s="9"/>
      <c r="P110" s="9"/>
      <c r="Q110" s="9"/>
      <c r="R110" s="9"/>
      <c r="S110" s="9"/>
      <c r="T110" s="9"/>
      <c r="U110" s="9"/>
      <c r="V110" s="9"/>
      <c r="W110" s="9"/>
      <c r="X110" s="9"/>
      <c r="Y110" s="9"/>
    </row>
    <row r="111" spans="2:25" x14ac:dyDescent="0.2">
      <c r="B111" s="7"/>
      <c r="C111" s="9"/>
      <c r="D111" s="9"/>
      <c r="E111" s="9"/>
      <c r="F111" s="9"/>
      <c r="G111" s="16"/>
      <c r="H111" s="9"/>
      <c r="I111" s="9"/>
      <c r="J111" s="9"/>
      <c r="K111" s="72"/>
      <c r="L111" s="9"/>
      <c r="M111" s="9"/>
      <c r="N111" s="9"/>
      <c r="O111" s="9"/>
      <c r="P111" s="9"/>
      <c r="Q111" s="9"/>
      <c r="R111" s="9"/>
      <c r="S111" s="9"/>
      <c r="T111" s="9"/>
      <c r="U111" s="9"/>
      <c r="V111" s="9"/>
      <c r="W111" s="9"/>
      <c r="X111" s="9"/>
      <c r="Y111" s="9"/>
    </row>
    <row r="112" spans="2:25" x14ac:dyDescent="0.2">
      <c r="B112" s="7"/>
      <c r="C112" s="9"/>
      <c r="D112" s="9"/>
      <c r="E112" s="9"/>
      <c r="F112" s="9"/>
      <c r="G112" s="16"/>
      <c r="H112" s="9"/>
      <c r="I112" s="9"/>
      <c r="J112" s="9"/>
      <c r="K112" s="72"/>
      <c r="L112" s="9"/>
      <c r="M112" s="9"/>
      <c r="N112" s="9"/>
      <c r="O112" s="9"/>
      <c r="P112" s="9"/>
      <c r="Q112" s="9"/>
      <c r="R112" s="9"/>
      <c r="S112" s="9"/>
      <c r="T112" s="9"/>
      <c r="U112" s="9"/>
      <c r="V112" s="9"/>
      <c r="W112" s="9"/>
      <c r="X112" s="9"/>
      <c r="Y112" s="9"/>
    </row>
    <row r="113" spans="2:25" x14ac:dyDescent="0.2">
      <c r="B113" s="7"/>
      <c r="C113" s="9"/>
      <c r="D113" s="9"/>
      <c r="E113" s="9"/>
      <c r="F113" s="9"/>
      <c r="G113" s="16"/>
      <c r="H113" s="9"/>
      <c r="I113" s="9"/>
      <c r="J113" s="9"/>
      <c r="K113" s="72"/>
      <c r="L113" s="9"/>
      <c r="M113" s="9"/>
      <c r="N113" s="9"/>
      <c r="O113" s="9"/>
      <c r="P113" s="9"/>
      <c r="Q113" s="9"/>
      <c r="R113" s="9"/>
      <c r="S113" s="9"/>
      <c r="T113" s="9"/>
      <c r="U113" s="9"/>
      <c r="V113" s="9"/>
      <c r="W113" s="9"/>
      <c r="X113" s="9"/>
      <c r="Y113" s="9"/>
    </row>
    <row r="114" spans="2:25" x14ac:dyDescent="0.2">
      <c r="B114" s="7"/>
      <c r="C114" s="9"/>
      <c r="D114" s="9"/>
      <c r="E114" s="9"/>
      <c r="F114" s="9"/>
      <c r="G114" s="16"/>
      <c r="H114" s="9"/>
      <c r="I114" s="9"/>
      <c r="J114" s="9"/>
      <c r="K114" s="72"/>
      <c r="L114" s="9"/>
      <c r="M114" s="9"/>
      <c r="N114" s="9"/>
      <c r="O114" s="9"/>
      <c r="P114" s="9"/>
      <c r="Q114" s="9"/>
      <c r="R114" s="9"/>
      <c r="S114" s="9"/>
      <c r="T114" s="9"/>
      <c r="U114" s="9"/>
      <c r="V114" s="9"/>
      <c r="W114" s="9"/>
      <c r="X114" s="9"/>
      <c r="Y114" s="9"/>
    </row>
    <row r="115" spans="2:25" x14ac:dyDescent="0.2">
      <c r="B115" s="7"/>
      <c r="C115" s="9"/>
      <c r="D115" s="9"/>
      <c r="E115" s="9"/>
      <c r="F115" s="9"/>
      <c r="G115" s="16"/>
      <c r="H115" s="9"/>
      <c r="I115" s="9"/>
      <c r="J115" s="9"/>
      <c r="K115" s="72"/>
      <c r="L115" s="9"/>
      <c r="M115" s="9"/>
      <c r="N115" s="9"/>
      <c r="O115" s="9"/>
      <c r="P115" s="9"/>
      <c r="Q115" s="9"/>
      <c r="R115" s="9"/>
      <c r="S115" s="9"/>
      <c r="T115" s="9"/>
      <c r="U115" s="9"/>
      <c r="V115" s="9"/>
      <c r="W115" s="9"/>
      <c r="X115" s="9"/>
      <c r="Y115" s="9"/>
    </row>
    <row r="116" spans="2:25" x14ac:dyDescent="0.2">
      <c r="B116" s="7"/>
      <c r="C116" s="9"/>
      <c r="D116" s="9"/>
      <c r="E116" s="9"/>
      <c r="F116" s="9"/>
      <c r="G116" s="16"/>
      <c r="H116" s="9"/>
      <c r="I116" s="9"/>
      <c r="J116" s="9"/>
      <c r="K116" s="72"/>
      <c r="L116" s="9"/>
      <c r="M116" s="9"/>
      <c r="N116" s="9"/>
      <c r="O116" s="9"/>
      <c r="P116" s="9"/>
      <c r="Q116" s="9"/>
      <c r="R116" s="9"/>
      <c r="S116" s="9"/>
      <c r="T116" s="9"/>
      <c r="U116" s="9"/>
      <c r="V116" s="9"/>
      <c r="W116" s="9"/>
      <c r="X116" s="9"/>
      <c r="Y116" s="9"/>
    </row>
    <row r="117" spans="2:25" x14ac:dyDescent="0.2">
      <c r="B117" s="7"/>
      <c r="C117" s="9"/>
      <c r="D117" s="9"/>
      <c r="E117" s="9"/>
      <c r="F117" s="9"/>
      <c r="G117" s="16"/>
      <c r="H117" s="9"/>
      <c r="I117" s="9"/>
      <c r="J117" s="9"/>
      <c r="K117" s="72"/>
      <c r="L117" s="9"/>
      <c r="M117" s="9"/>
      <c r="N117" s="9"/>
      <c r="O117" s="9"/>
      <c r="P117" s="9"/>
      <c r="Q117" s="9"/>
      <c r="R117" s="9"/>
      <c r="S117" s="9"/>
      <c r="T117" s="9"/>
      <c r="U117" s="9"/>
      <c r="V117" s="9"/>
      <c r="W117" s="9"/>
      <c r="X117" s="9"/>
      <c r="Y117" s="9"/>
    </row>
    <row r="118" spans="2:25" x14ac:dyDescent="0.2">
      <c r="B118" s="7"/>
      <c r="C118" s="9"/>
      <c r="D118" s="9"/>
      <c r="E118" s="9"/>
      <c r="F118" s="9"/>
      <c r="G118" s="16"/>
      <c r="H118" s="9"/>
      <c r="I118" s="9"/>
      <c r="J118" s="9"/>
      <c r="K118" s="72"/>
      <c r="L118" s="9"/>
      <c r="M118" s="9"/>
      <c r="N118" s="9"/>
      <c r="O118" s="9"/>
      <c r="P118" s="9"/>
      <c r="Q118" s="9"/>
      <c r="R118" s="9"/>
      <c r="S118" s="9"/>
      <c r="T118" s="9"/>
      <c r="U118" s="9"/>
      <c r="V118" s="9"/>
      <c r="W118" s="9"/>
      <c r="X118" s="9"/>
      <c r="Y118" s="9"/>
    </row>
    <row r="119" spans="2:25" x14ac:dyDescent="0.2">
      <c r="B119" s="7"/>
      <c r="C119" s="9"/>
      <c r="D119" s="9"/>
      <c r="E119" s="9"/>
      <c r="F119" s="9"/>
      <c r="G119" s="16"/>
      <c r="H119" s="9"/>
      <c r="I119" s="9"/>
      <c r="J119" s="9"/>
      <c r="K119" s="72"/>
      <c r="L119" s="9"/>
      <c r="M119" s="9"/>
      <c r="N119" s="9"/>
      <c r="O119" s="9"/>
      <c r="P119" s="9"/>
      <c r="Q119" s="9"/>
      <c r="R119" s="9"/>
      <c r="S119" s="9"/>
      <c r="T119" s="9"/>
      <c r="U119" s="9"/>
      <c r="V119" s="9"/>
      <c r="W119" s="9"/>
      <c r="X119" s="9"/>
      <c r="Y119" s="9"/>
    </row>
    <row r="120" spans="2:25" x14ac:dyDescent="0.2">
      <c r="B120" s="7"/>
      <c r="C120" s="9"/>
      <c r="D120" s="9"/>
      <c r="E120" s="9"/>
      <c r="F120" s="9"/>
      <c r="G120" s="16"/>
      <c r="H120" s="9"/>
      <c r="I120" s="9"/>
      <c r="J120" s="9"/>
      <c r="K120" s="72"/>
      <c r="L120" s="9"/>
      <c r="M120" s="9"/>
      <c r="N120" s="9"/>
      <c r="O120" s="9"/>
      <c r="P120" s="9"/>
      <c r="Q120" s="9"/>
      <c r="R120" s="9"/>
      <c r="S120" s="9"/>
      <c r="T120" s="9"/>
      <c r="U120" s="9"/>
      <c r="V120" s="9"/>
      <c r="W120" s="9"/>
      <c r="X120" s="9"/>
      <c r="Y120" s="9"/>
    </row>
    <row r="121" spans="2:25" x14ac:dyDescent="0.2">
      <c r="B121" s="7"/>
      <c r="C121" s="9"/>
      <c r="D121" s="9"/>
      <c r="E121" s="9"/>
      <c r="F121" s="9"/>
      <c r="G121" s="16"/>
      <c r="H121" s="9"/>
      <c r="I121" s="9"/>
      <c r="J121" s="9"/>
      <c r="K121" s="72"/>
      <c r="L121" s="9"/>
      <c r="M121" s="9"/>
      <c r="N121" s="9"/>
      <c r="O121" s="9"/>
      <c r="P121" s="9"/>
      <c r="Q121" s="9"/>
      <c r="R121" s="9"/>
      <c r="S121" s="9"/>
      <c r="T121" s="9"/>
      <c r="U121" s="9"/>
      <c r="V121" s="9"/>
      <c r="W121" s="9"/>
      <c r="X121" s="9"/>
      <c r="Y121" s="9"/>
    </row>
    <row r="122" spans="2:25" x14ac:dyDescent="0.2">
      <c r="B122" s="7"/>
      <c r="C122" s="9"/>
      <c r="D122" s="9"/>
      <c r="E122" s="9"/>
      <c r="F122" s="9"/>
      <c r="G122" s="16"/>
      <c r="H122" s="9"/>
      <c r="I122" s="9"/>
      <c r="J122" s="9"/>
      <c r="K122" s="72"/>
      <c r="L122" s="9"/>
      <c r="M122" s="9"/>
      <c r="N122" s="9"/>
      <c r="O122" s="9"/>
      <c r="P122" s="9"/>
      <c r="Q122" s="9"/>
      <c r="R122" s="9"/>
      <c r="S122" s="9"/>
      <c r="T122" s="9"/>
      <c r="U122" s="9"/>
      <c r="V122" s="9"/>
      <c r="W122" s="9"/>
      <c r="X122" s="9"/>
      <c r="Y122" s="9"/>
    </row>
    <row r="123" spans="2:25" x14ac:dyDescent="0.2">
      <c r="B123" s="7"/>
      <c r="C123" s="9"/>
      <c r="D123" s="9"/>
      <c r="E123" s="9"/>
      <c r="F123" s="9"/>
      <c r="G123" s="16"/>
      <c r="H123" s="9"/>
      <c r="I123" s="9"/>
      <c r="J123" s="9"/>
      <c r="K123" s="72"/>
      <c r="L123" s="9"/>
      <c r="M123" s="9"/>
      <c r="N123" s="9"/>
      <c r="O123" s="9"/>
      <c r="P123" s="9"/>
      <c r="Q123" s="9"/>
      <c r="R123" s="9"/>
      <c r="S123" s="9"/>
      <c r="T123" s="9"/>
      <c r="U123" s="9"/>
      <c r="V123" s="9"/>
      <c r="W123" s="9"/>
      <c r="X123" s="9"/>
      <c r="Y123" s="9"/>
    </row>
    <row r="124" spans="2:25" x14ac:dyDescent="0.2">
      <c r="B124" s="7"/>
      <c r="C124" s="9"/>
      <c r="D124" s="9"/>
      <c r="E124" s="9"/>
      <c r="F124" s="9"/>
      <c r="G124" s="16"/>
      <c r="H124" s="9"/>
      <c r="I124" s="9"/>
      <c r="J124" s="9"/>
      <c r="K124" s="72"/>
      <c r="L124" s="9"/>
      <c r="M124" s="9"/>
      <c r="N124" s="9"/>
      <c r="O124" s="9"/>
      <c r="P124" s="9"/>
      <c r="Q124" s="9"/>
      <c r="R124" s="9"/>
      <c r="S124" s="9"/>
      <c r="T124" s="9"/>
      <c r="U124" s="9"/>
      <c r="V124" s="9"/>
      <c r="W124" s="9"/>
      <c r="X124" s="9"/>
      <c r="Y124" s="9"/>
    </row>
    <row r="125" spans="2:25" x14ac:dyDescent="0.2">
      <c r="B125" s="7"/>
      <c r="C125" s="9"/>
      <c r="D125" s="9"/>
      <c r="E125" s="9"/>
      <c r="F125" s="9"/>
      <c r="G125" s="16"/>
      <c r="H125" s="9"/>
      <c r="I125" s="9"/>
      <c r="J125" s="9"/>
      <c r="K125" s="72"/>
      <c r="L125" s="9"/>
      <c r="M125" s="9"/>
      <c r="N125" s="9"/>
      <c r="O125" s="9"/>
      <c r="P125" s="9"/>
      <c r="Q125" s="9"/>
      <c r="R125" s="9"/>
      <c r="S125" s="9"/>
      <c r="T125" s="9"/>
      <c r="U125" s="9"/>
      <c r="V125" s="9"/>
      <c r="W125" s="9"/>
      <c r="X125" s="9"/>
      <c r="Y125" s="9"/>
    </row>
    <row r="126" spans="2:25" x14ac:dyDescent="0.2">
      <c r="B126" s="7"/>
      <c r="C126" s="9"/>
      <c r="D126" s="9"/>
      <c r="E126" s="9"/>
      <c r="F126" s="9"/>
      <c r="G126" s="16"/>
      <c r="H126" s="9"/>
      <c r="I126" s="9"/>
      <c r="J126" s="9"/>
      <c r="K126" s="72"/>
      <c r="L126" s="9"/>
      <c r="M126" s="9"/>
      <c r="N126" s="9"/>
      <c r="O126" s="9"/>
      <c r="P126" s="9"/>
      <c r="Q126" s="9"/>
      <c r="R126" s="9"/>
      <c r="S126" s="9"/>
      <c r="T126" s="9"/>
      <c r="U126" s="9"/>
      <c r="V126" s="9"/>
      <c r="W126" s="9"/>
      <c r="X126" s="9"/>
      <c r="Y126" s="9"/>
    </row>
    <row r="127" spans="2:25" x14ac:dyDescent="0.2">
      <c r="B127" s="7"/>
      <c r="C127" s="9"/>
      <c r="D127" s="9"/>
      <c r="E127" s="9"/>
      <c r="F127" s="9"/>
      <c r="G127" s="16"/>
      <c r="H127" s="9"/>
      <c r="I127" s="9"/>
      <c r="J127" s="9"/>
      <c r="K127" s="72"/>
      <c r="L127" s="9"/>
      <c r="M127" s="9"/>
      <c r="N127" s="9"/>
      <c r="O127" s="9"/>
      <c r="P127" s="9"/>
      <c r="Q127" s="9"/>
      <c r="R127" s="9"/>
      <c r="S127" s="9"/>
      <c r="T127" s="9"/>
      <c r="U127" s="9"/>
      <c r="V127" s="9"/>
      <c r="W127" s="9"/>
      <c r="X127" s="9"/>
      <c r="Y127" s="9"/>
    </row>
    <row r="128" spans="2:25" x14ac:dyDescent="0.2">
      <c r="B128" s="7"/>
      <c r="C128" s="9"/>
      <c r="D128" s="9"/>
      <c r="E128" s="9"/>
      <c r="F128" s="9"/>
      <c r="G128" s="16"/>
      <c r="H128" s="9"/>
      <c r="I128" s="9"/>
      <c r="J128" s="9"/>
      <c r="K128" s="72"/>
      <c r="L128" s="9"/>
      <c r="M128" s="9"/>
      <c r="N128" s="9"/>
      <c r="O128" s="9"/>
      <c r="P128" s="9"/>
      <c r="Q128" s="9"/>
      <c r="R128" s="9"/>
      <c r="S128" s="9"/>
      <c r="T128" s="9"/>
      <c r="U128" s="9"/>
      <c r="V128" s="9"/>
      <c r="W128" s="9"/>
      <c r="X128" s="9"/>
      <c r="Y128" s="9"/>
    </row>
    <row r="129" spans="2:25" x14ac:dyDescent="0.2">
      <c r="B129" s="7"/>
      <c r="C129" s="9"/>
      <c r="D129" s="9"/>
      <c r="E129" s="9"/>
      <c r="F129" s="9"/>
      <c r="G129" s="16"/>
      <c r="H129" s="9"/>
      <c r="I129" s="9"/>
      <c r="J129" s="9"/>
      <c r="K129" s="72"/>
      <c r="L129" s="9"/>
      <c r="M129" s="9"/>
      <c r="N129" s="9"/>
      <c r="O129" s="9"/>
      <c r="P129" s="9"/>
      <c r="Q129" s="9"/>
      <c r="R129" s="9"/>
      <c r="S129" s="9"/>
      <c r="T129" s="9"/>
      <c r="U129" s="9"/>
      <c r="V129" s="9"/>
      <c r="W129" s="9"/>
      <c r="X129" s="9"/>
      <c r="Y129" s="9"/>
    </row>
    <row r="130" spans="2:25" x14ac:dyDescent="0.2">
      <c r="B130" s="7"/>
      <c r="C130" s="9"/>
      <c r="D130" s="9"/>
      <c r="E130" s="9"/>
      <c r="F130" s="9"/>
      <c r="G130" s="16"/>
      <c r="H130" s="9"/>
      <c r="I130" s="9"/>
      <c r="J130" s="9"/>
      <c r="K130" s="72"/>
      <c r="L130" s="9"/>
      <c r="M130" s="9"/>
      <c r="N130" s="9"/>
      <c r="O130" s="9"/>
      <c r="P130" s="9"/>
      <c r="Q130" s="9"/>
      <c r="R130" s="9"/>
      <c r="S130" s="9"/>
      <c r="T130" s="9"/>
      <c r="U130" s="9"/>
      <c r="V130" s="9"/>
      <c r="W130" s="9"/>
      <c r="X130" s="9"/>
      <c r="Y130" s="9"/>
    </row>
    <row r="131" spans="2:25" x14ac:dyDescent="0.2">
      <c r="B131" s="7"/>
      <c r="C131" s="9"/>
      <c r="D131" s="9"/>
      <c r="E131" s="9"/>
      <c r="F131" s="9"/>
      <c r="G131" s="16"/>
      <c r="H131" s="9"/>
      <c r="I131" s="9"/>
      <c r="J131" s="9"/>
      <c r="K131" s="72"/>
      <c r="L131" s="9"/>
      <c r="M131" s="9"/>
      <c r="N131" s="9"/>
      <c r="O131" s="9"/>
      <c r="P131" s="9"/>
      <c r="Q131" s="9"/>
      <c r="R131" s="9"/>
      <c r="S131" s="9"/>
      <c r="T131" s="9"/>
      <c r="U131" s="9"/>
      <c r="V131" s="9"/>
      <c r="W131" s="9"/>
      <c r="X131" s="9"/>
      <c r="Y131" s="9"/>
    </row>
    <row r="132" spans="2:25" x14ac:dyDescent="0.2">
      <c r="B132" s="7"/>
      <c r="C132" s="9"/>
      <c r="D132" s="9"/>
      <c r="E132" s="9"/>
      <c r="F132" s="9"/>
      <c r="G132" s="16"/>
      <c r="H132" s="9"/>
      <c r="I132" s="9"/>
      <c r="J132" s="9"/>
      <c r="K132" s="72"/>
      <c r="L132" s="9"/>
      <c r="M132" s="9"/>
      <c r="N132" s="9"/>
      <c r="O132" s="9"/>
      <c r="P132" s="9"/>
      <c r="Q132" s="9"/>
      <c r="R132" s="9"/>
      <c r="S132" s="9"/>
      <c r="T132" s="9"/>
      <c r="U132" s="9"/>
      <c r="V132" s="9"/>
      <c r="W132" s="9"/>
      <c r="X132" s="9"/>
      <c r="Y132" s="9"/>
    </row>
    <row r="133" spans="2:25" x14ac:dyDescent="0.2">
      <c r="B133" s="7"/>
      <c r="C133" s="9"/>
      <c r="D133" s="9"/>
      <c r="E133" s="9"/>
      <c r="F133" s="9"/>
      <c r="G133" s="16"/>
      <c r="H133" s="9"/>
      <c r="I133" s="9"/>
      <c r="J133" s="9"/>
      <c r="K133" s="72"/>
      <c r="L133" s="9"/>
      <c r="M133" s="9"/>
      <c r="N133" s="9"/>
      <c r="O133" s="9"/>
      <c r="P133" s="9"/>
      <c r="Q133" s="9"/>
      <c r="R133" s="9"/>
      <c r="S133" s="9"/>
      <c r="T133" s="9"/>
      <c r="U133" s="9"/>
      <c r="V133" s="9"/>
      <c r="W133" s="9"/>
      <c r="X133" s="9"/>
      <c r="Y133" s="9"/>
    </row>
    <row r="134" spans="2:25" x14ac:dyDescent="0.2">
      <c r="B134" s="7"/>
      <c r="C134" s="9"/>
      <c r="D134" s="9"/>
      <c r="E134" s="9"/>
      <c r="F134" s="9"/>
      <c r="G134" s="16"/>
      <c r="H134" s="9"/>
      <c r="I134" s="9"/>
      <c r="J134" s="9"/>
      <c r="K134" s="72"/>
      <c r="L134" s="9"/>
      <c r="M134" s="9"/>
      <c r="N134" s="9"/>
      <c r="O134" s="9"/>
      <c r="P134" s="9"/>
      <c r="Q134" s="9"/>
      <c r="R134" s="9"/>
      <c r="S134" s="9"/>
      <c r="T134" s="9"/>
      <c r="U134" s="9"/>
      <c r="V134" s="9"/>
      <c r="W134" s="9"/>
      <c r="X134" s="9"/>
      <c r="Y134" s="9"/>
    </row>
    <row r="135" spans="2:25" x14ac:dyDescent="0.2">
      <c r="B135" s="7"/>
      <c r="C135" s="9"/>
      <c r="D135" s="9"/>
      <c r="E135" s="9"/>
      <c r="F135" s="9"/>
      <c r="G135" s="16"/>
      <c r="H135" s="9"/>
      <c r="I135" s="9"/>
      <c r="J135" s="9"/>
      <c r="K135" s="72"/>
      <c r="L135" s="9"/>
      <c r="M135" s="9"/>
      <c r="N135" s="9"/>
      <c r="O135" s="9"/>
      <c r="P135" s="9"/>
      <c r="Q135" s="9"/>
      <c r="R135" s="9"/>
      <c r="S135" s="9"/>
      <c r="T135" s="9"/>
      <c r="U135" s="9"/>
      <c r="V135" s="9"/>
      <c r="W135" s="9"/>
      <c r="X135" s="9"/>
      <c r="Y135" s="9"/>
    </row>
    <row r="136" spans="2:25" x14ac:dyDescent="0.2">
      <c r="B136" s="7"/>
      <c r="C136" s="9"/>
      <c r="D136" s="9"/>
      <c r="E136" s="9"/>
      <c r="F136" s="9"/>
      <c r="G136" s="16"/>
      <c r="H136" s="9"/>
      <c r="I136" s="9"/>
      <c r="J136" s="9"/>
      <c r="K136" s="72"/>
      <c r="L136" s="9"/>
      <c r="M136" s="9"/>
      <c r="N136" s="9"/>
      <c r="O136" s="9"/>
      <c r="P136" s="9"/>
      <c r="Q136" s="9"/>
      <c r="R136" s="9"/>
      <c r="S136" s="9"/>
      <c r="T136" s="9"/>
      <c r="U136" s="9"/>
      <c r="V136" s="9"/>
      <c r="W136" s="9"/>
      <c r="X136" s="9"/>
      <c r="Y136" s="9"/>
    </row>
    <row r="137" spans="2:25" x14ac:dyDescent="0.2">
      <c r="B137" s="7"/>
      <c r="C137" s="9"/>
      <c r="D137" s="9"/>
      <c r="E137" s="9"/>
      <c r="F137" s="9"/>
      <c r="G137" s="16"/>
      <c r="H137" s="9"/>
      <c r="I137" s="9"/>
      <c r="J137" s="9"/>
      <c r="K137" s="72"/>
      <c r="L137" s="9"/>
      <c r="M137" s="9"/>
      <c r="N137" s="9"/>
      <c r="O137" s="9"/>
      <c r="P137" s="9"/>
      <c r="Q137" s="9"/>
      <c r="R137" s="9"/>
      <c r="S137" s="9"/>
      <c r="T137" s="9"/>
      <c r="U137" s="9"/>
      <c r="V137" s="9"/>
      <c r="W137" s="9"/>
      <c r="X137" s="9"/>
      <c r="Y137" s="9"/>
    </row>
    <row r="138" spans="2:25" x14ac:dyDescent="0.2">
      <c r="B138" s="7"/>
      <c r="C138" s="9"/>
      <c r="D138" s="9"/>
      <c r="E138" s="9"/>
      <c r="F138" s="9"/>
      <c r="G138" s="16"/>
      <c r="H138" s="9"/>
      <c r="I138" s="9"/>
      <c r="J138" s="9"/>
      <c r="K138" s="72"/>
      <c r="L138" s="9"/>
      <c r="M138" s="9"/>
      <c r="N138" s="9"/>
      <c r="O138" s="9"/>
      <c r="P138" s="9"/>
      <c r="Q138" s="9"/>
      <c r="R138" s="9"/>
      <c r="S138" s="9"/>
      <c r="T138" s="9"/>
      <c r="U138" s="9"/>
      <c r="V138" s="9"/>
      <c r="W138" s="9"/>
      <c r="X138" s="9"/>
      <c r="Y138" s="9"/>
    </row>
    <row r="139" spans="2:25" x14ac:dyDescent="0.2">
      <c r="B139" s="7"/>
      <c r="C139" s="9"/>
      <c r="D139" s="9"/>
      <c r="E139" s="9"/>
      <c r="F139" s="9"/>
      <c r="G139" s="16"/>
      <c r="H139" s="9"/>
      <c r="I139" s="9"/>
      <c r="J139" s="9"/>
      <c r="K139" s="72"/>
      <c r="L139" s="9"/>
      <c r="M139" s="9"/>
      <c r="N139" s="9"/>
      <c r="O139" s="9"/>
      <c r="P139" s="9"/>
      <c r="Q139" s="9"/>
      <c r="R139" s="9"/>
      <c r="S139" s="9"/>
      <c r="T139" s="9"/>
      <c r="U139" s="9"/>
      <c r="V139" s="9"/>
      <c r="W139" s="9"/>
      <c r="X139" s="9"/>
      <c r="Y139" s="9"/>
    </row>
    <row r="140" spans="2:25" x14ac:dyDescent="0.2">
      <c r="B140" s="7"/>
      <c r="C140" s="9"/>
      <c r="D140" s="9"/>
      <c r="E140" s="9"/>
      <c r="F140" s="9"/>
      <c r="G140" s="16"/>
      <c r="H140" s="9"/>
      <c r="I140" s="9"/>
      <c r="J140" s="9"/>
      <c r="K140" s="72"/>
      <c r="L140" s="9"/>
      <c r="M140" s="9"/>
      <c r="N140" s="9"/>
      <c r="O140" s="9"/>
      <c r="P140" s="9"/>
      <c r="Q140" s="9"/>
      <c r="R140" s="9"/>
      <c r="S140" s="9"/>
      <c r="T140" s="9"/>
      <c r="U140" s="9"/>
      <c r="V140" s="9"/>
      <c r="W140" s="9"/>
      <c r="X140" s="9"/>
      <c r="Y140" s="9"/>
    </row>
    <row r="141" spans="2:25" x14ac:dyDescent="0.2">
      <c r="B141" s="7"/>
      <c r="C141" s="9"/>
      <c r="D141" s="9"/>
      <c r="E141" s="9"/>
      <c r="F141" s="9"/>
      <c r="G141" s="16"/>
      <c r="H141" s="9"/>
      <c r="I141" s="9"/>
      <c r="J141" s="9"/>
      <c r="K141" s="72"/>
      <c r="L141" s="9"/>
      <c r="M141" s="9"/>
      <c r="N141" s="9"/>
      <c r="O141" s="9"/>
      <c r="P141" s="9"/>
      <c r="Q141" s="9"/>
      <c r="R141" s="9"/>
      <c r="S141" s="9"/>
      <c r="T141" s="9"/>
      <c r="U141" s="9"/>
      <c r="V141" s="9"/>
      <c r="W141" s="9"/>
      <c r="X141" s="9"/>
      <c r="Y141" s="9"/>
    </row>
    <row r="142" spans="2:25" x14ac:dyDescent="0.2">
      <c r="B142" s="7"/>
      <c r="C142" s="9"/>
      <c r="D142" s="9"/>
      <c r="E142" s="9"/>
      <c r="F142" s="9"/>
      <c r="G142" s="16"/>
      <c r="H142" s="9"/>
      <c r="I142" s="9"/>
      <c r="J142" s="9"/>
      <c r="K142" s="72"/>
      <c r="L142" s="9"/>
      <c r="M142" s="9"/>
      <c r="N142" s="9"/>
      <c r="O142" s="9"/>
      <c r="P142" s="9"/>
      <c r="Q142" s="9"/>
      <c r="R142" s="9"/>
      <c r="S142" s="9"/>
      <c r="T142" s="9"/>
      <c r="U142" s="9"/>
      <c r="V142" s="9"/>
      <c r="W142" s="9"/>
      <c r="X142" s="9"/>
      <c r="Y142" s="9"/>
    </row>
    <row r="143" spans="2:25" x14ac:dyDescent="0.2">
      <c r="B143" s="7"/>
      <c r="C143" s="9"/>
      <c r="D143" s="9"/>
      <c r="E143" s="9"/>
      <c r="F143" s="9"/>
      <c r="G143" s="16"/>
      <c r="H143" s="9"/>
      <c r="I143" s="9"/>
      <c r="J143" s="9"/>
      <c r="K143" s="72"/>
      <c r="L143" s="9"/>
      <c r="M143" s="9"/>
      <c r="N143" s="9"/>
      <c r="O143" s="9"/>
      <c r="P143" s="9"/>
      <c r="Q143" s="9"/>
      <c r="R143" s="9"/>
      <c r="S143" s="9"/>
      <c r="T143" s="9"/>
      <c r="U143" s="9"/>
      <c r="V143" s="9"/>
      <c r="W143" s="9"/>
      <c r="X143" s="9"/>
      <c r="Y143" s="9"/>
    </row>
    <row r="144" spans="2:25" x14ac:dyDescent="0.2">
      <c r="B144" s="7"/>
      <c r="C144" s="9"/>
      <c r="D144" s="9"/>
      <c r="E144" s="9"/>
      <c r="F144" s="9"/>
      <c r="G144" s="16"/>
      <c r="H144" s="9"/>
      <c r="I144" s="9"/>
      <c r="J144" s="9"/>
      <c r="K144" s="72"/>
      <c r="L144" s="9"/>
      <c r="M144" s="9"/>
      <c r="N144" s="9"/>
      <c r="O144" s="9"/>
      <c r="P144" s="9"/>
      <c r="Q144" s="9"/>
      <c r="R144" s="9"/>
      <c r="S144" s="9"/>
      <c r="T144" s="9"/>
      <c r="U144" s="9"/>
      <c r="V144" s="9"/>
      <c r="W144" s="9"/>
      <c r="X144" s="9"/>
      <c r="Y144" s="9"/>
    </row>
    <row r="145" spans="2:25" x14ac:dyDescent="0.2">
      <c r="B145" s="7"/>
      <c r="C145" s="9"/>
      <c r="D145" s="9"/>
      <c r="E145" s="9"/>
      <c r="F145" s="9"/>
      <c r="G145" s="16"/>
      <c r="H145" s="9"/>
      <c r="I145" s="9"/>
      <c r="J145" s="9"/>
      <c r="K145" s="72"/>
      <c r="L145" s="9"/>
      <c r="M145" s="9"/>
      <c r="N145" s="9"/>
      <c r="O145" s="9"/>
      <c r="P145" s="9"/>
      <c r="Q145" s="9"/>
      <c r="R145" s="9"/>
      <c r="S145" s="9"/>
      <c r="T145" s="9"/>
      <c r="U145" s="9"/>
      <c r="V145" s="9"/>
      <c r="W145" s="9"/>
      <c r="X145" s="9"/>
      <c r="Y145" s="9"/>
    </row>
    <row r="146" spans="2:25" x14ac:dyDescent="0.2">
      <c r="B146" s="7"/>
      <c r="C146" s="9"/>
      <c r="D146" s="9"/>
      <c r="E146" s="9"/>
      <c r="F146" s="9"/>
      <c r="G146" s="16"/>
      <c r="H146" s="9"/>
      <c r="I146" s="9"/>
      <c r="J146" s="9"/>
      <c r="K146" s="72"/>
      <c r="L146" s="9"/>
      <c r="M146" s="9"/>
      <c r="N146" s="9"/>
      <c r="O146" s="9"/>
      <c r="P146" s="9"/>
      <c r="Q146" s="9"/>
      <c r="R146" s="9"/>
      <c r="S146" s="9"/>
      <c r="T146" s="9"/>
      <c r="U146" s="9"/>
      <c r="V146" s="9"/>
      <c r="W146" s="9"/>
      <c r="X146" s="9"/>
      <c r="Y146" s="9"/>
    </row>
    <row r="147" spans="2:25" x14ac:dyDescent="0.2">
      <c r="B147" s="7"/>
      <c r="C147" s="9"/>
      <c r="D147" s="9"/>
      <c r="E147" s="9"/>
      <c r="F147" s="9"/>
      <c r="G147" s="16"/>
      <c r="H147" s="9"/>
      <c r="I147" s="9"/>
      <c r="J147" s="9"/>
      <c r="K147" s="72"/>
      <c r="L147" s="9"/>
      <c r="M147" s="9"/>
      <c r="N147" s="9"/>
      <c r="O147" s="9"/>
      <c r="P147" s="9"/>
      <c r="Q147" s="9"/>
      <c r="R147" s="9"/>
      <c r="S147" s="9"/>
      <c r="T147" s="9"/>
      <c r="U147" s="9"/>
      <c r="V147" s="9"/>
      <c r="W147" s="9"/>
      <c r="X147" s="9"/>
      <c r="Y147" s="9"/>
    </row>
    <row r="148" spans="2:25" x14ac:dyDescent="0.2">
      <c r="B148" s="7"/>
      <c r="C148" s="9"/>
      <c r="D148" s="9"/>
      <c r="E148" s="9"/>
      <c r="F148" s="9"/>
      <c r="G148" s="16"/>
      <c r="H148" s="9"/>
      <c r="I148" s="9"/>
      <c r="J148" s="9"/>
      <c r="K148" s="72"/>
      <c r="L148" s="9"/>
      <c r="M148" s="9"/>
      <c r="N148" s="9"/>
      <c r="O148" s="9"/>
      <c r="P148" s="9"/>
      <c r="Q148" s="9"/>
      <c r="R148" s="9"/>
      <c r="S148" s="9"/>
      <c r="T148" s="9"/>
      <c r="U148" s="9"/>
      <c r="V148" s="9"/>
      <c r="W148" s="9"/>
      <c r="X148" s="9"/>
      <c r="Y148" s="9"/>
    </row>
    <row r="149" spans="2:25" x14ac:dyDescent="0.2">
      <c r="B149" s="7"/>
      <c r="C149" s="9"/>
      <c r="D149" s="9"/>
      <c r="E149" s="9"/>
      <c r="F149" s="9"/>
      <c r="G149" s="16"/>
      <c r="H149" s="9"/>
      <c r="I149" s="9"/>
      <c r="J149" s="9"/>
      <c r="K149" s="72"/>
      <c r="L149" s="9"/>
      <c r="M149" s="9"/>
      <c r="N149" s="9"/>
      <c r="O149" s="9"/>
      <c r="P149" s="9"/>
      <c r="Q149" s="9"/>
      <c r="R149" s="9"/>
      <c r="S149" s="9"/>
      <c r="T149" s="9"/>
      <c r="U149" s="9"/>
      <c r="V149" s="9"/>
      <c r="W149" s="9"/>
      <c r="X149" s="9"/>
      <c r="Y149" s="9"/>
    </row>
    <row r="150" spans="2:25" x14ac:dyDescent="0.2">
      <c r="B150" s="7"/>
      <c r="C150" s="9"/>
      <c r="D150" s="9"/>
      <c r="E150" s="9"/>
      <c r="F150" s="9"/>
      <c r="G150" s="16"/>
      <c r="H150" s="9"/>
      <c r="I150" s="9"/>
      <c r="J150" s="9"/>
      <c r="K150" s="72"/>
      <c r="L150" s="9"/>
      <c r="M150" s="9"/>
      <c r="N150" s="9"/>
      <c r="O150" s="9"/>
      <c r="P150" s="9"/>
      <c r="Q150" s="9"/>
      <c r="R150" s="9"/>
      <c r="S150" s="9"/>
      <c r="T150" s="9"/>
      <c r="U150" s="9"/>
      <c r="V150" s="9"/>
      <c r="W150" s="9"/>
      <c r="X150" s="9"/>
      <c r="Y150" s="9"/>
    </row>
    <row r="151" spans="2:25" x14ac:dyDescent="0.2">
      <c r="B151" s="7"/>
      <c r="C151" s="9"/>
      <c r="D151" s="9"/>
      <c r="E151" s="9"/>
      <c r="F151" s="9"/>
      <c r="G151" s="16"/>
      <c r="H151" s="9"/>
      <c r="I151" s="9"/>
      <c r="J151" s="9"/>
      <c r="K151" s="72"/>
      <c r="L151" s="9"/>
      <c r="M151" s="9"/>
      <c r="N151" s="9"/>
      <c r="O151" s="9"/>
      <c r="P151" s="9"/>
      <c r="Q151" s="9"/>
      <c r="R151" s="9"/>
      <c r="S151" s="9"/>
      <c r="T151" s="9"/>
      <c r="U151" s="9"/>
      <c r="V151" s="9"/>
      <c r="W151" s="9"/>
      <c r="X151" s="9"/>
      <c r="Y151" s="9"/>
    </row>
    <row r="152" spans="2:25" x14ac:dyDescent="0.2">
      <c r="B152" s="7"/>
      <c r="C152" s="9"/>
      <c r="D152" s="9"/>
      <c r="E152" s="9"/>
      <c r="F152" s="9"/>
      <c r="G152" s="16"/>
      <c r="H152" s="9"/>
      <c r="I152" s="9"/>
      <c r="J152" s="9"/>
      <c r="K152" s="72"/>
      <c r="L152" s="9"/>
      <c r="M152" s="9"/>
      <c r="N152" s="9"/>
      <c r="O152" s="9"/>
      <c r="P152" s="9"/>
      <c r="Q152" s="9"/>
      <c r="R152" s="9"/>
      <c r="S152" s="9"/>
      <c r="T152" s="9"/>
      <c r="U152" s="9"/>
      <c r="V152" s="9"/>
      <c r="W152" s="9"/>
      <c r="X152" s="9"/>
      <c r="Y152" s="9"/>
    </row>
    <row r="153" spans="2:25" x14ac:dyDescent="0.2">
      <c r="B153" s="7"/>
      <c r="C153" s="9"/>
      <c r="D153" s="9"/>
      <c r="E153" s="9"/>
      <c r="F153" s="9"/>
      <c r="G153" s="16"/>
      <c r="H153" s="9"/>
      <c r="I153" s="9"/>
      <c r="J153" s="9"/>
      <c r="K153" s="72"/>
      <c r="L153" s="9"/>
      <c r="M153" s="9"/>
      <c r="N153" s="9"/>
      <c r="O153" s="9"/>
      <c r="P153" s="9"/>
      <c r="Q153" s="9"/>
      <c r="R153" s="9"/>
      <c r="S153" s="9"/>
      <c r="T153" s="9"/>
      <c r="U153" s="9"/>
      <c r="V153" s="9"/>
      <c r="W153" s="9"/>
      <c r="X153" s="9"/>
      <c r="Y153" s="9"/>
    </row>
    <row r="154" spans="2:25" x14ac:dyDescent="0.2">
      <c r="B154" s="7"/>
      <c r="C154" s="9"/>
      <c r="D154" s="9"/>
      <c r="E154" s="9"/>
      <c r="F154" s="9"/>
      <c r="G154" s="16"/>
      <c r="H154" s="9"/>
      <c r="I154" s="9"/>
      <c r="J154" s="9"/>
      <c r="K154" s="72"/>
      <c r="L154" s="9"/>
      <c r="M154" s="9"/>
      <c r="N154" s="9"/>
      <c r="O154" s="9"/>
      <c r="P154" s="9"/>
      <c r="Q154" s="9"/>
      <c r="R154" s="9"/>
      <c r="S154" s="9"/>
      <c r="T154" s="9"/>
      <c r="U154" s="9"/>
      <c r="V154" s="9"/>
      <c r="W154" s="9"/>
      <c r="X154" s="9"/>
      <c r="Y154" s="9"/>
    </row>
    <row r="155" spans="2:25" x14ac:dyDescent="0.2">
      <c r="B155" s="7"/>
      <c r="C155" s="9"/>
      <c r="D155" s="9"/>
      <c r="E155" s="9"/>
      <c r="F155" s="9"/>
      <c r="G155" s="16"/>
      <c r="H155" s="9"/>
      <c r="I155" s="9"/>
      <c r="J155" s="9"/>
      <c r="K155" s="72"/>
      <c r="L155" s="9"/>
      <c r="M155" s="9"/>
      <c r="N155" s="9"/>
      <c r="O155" s="9"/>
      <c r="P155" s="9"/>
      <c r="Q155" s="9"/>
      <c r="R155" s="9"/>
      <c r="S155" s="9"/>
      <c r="T155" s="9"/>
      <c r="U155" s="9"/>
      <c r="V155" s="9"/>
      <c r="W155" s="9"/>
      <c r="X155" s="9"/>
      <c r="Y155" s="9"/>
    </row>
    <row r="156" spans="2:25" x14ac:dyDescent="0.2">
      <c r="B156" s="7"/>
      <c r="C156" s="9"/>
      <c r="D156" s="9"/>
      <c r="E156" s="9"/>
      <c r="F156" s="9"/>
      <c r="G156" s="16"/>
      <c r="H156" s="9"/>
      <c r="I156" s="9"/>
      <c r="J156" s="9"/>
      <c r="K156" s="72"/>
      <c r="L156" s="9"/>
      <c r="M156" s="9"/>
      <c r="N156" s="9"/>
      <c r="O156" s="9"/>
      <c r="P156" s="9"/>
      <c r="Q156" s="9"/>
      <c r="R156" s="9"/>
      <c r="S156" s="9"/>
      <c r="T156" s="9"/>
      <c r="U156" s="9"/>
      <c r="V156" s="9"/>
      <c r="W156" s="9"/>
      <c r="X156" s="9"/>
      <c r="Y156" s="9"/>
    </row>
    <row r="157" spans="2:25" x14ac:dyDescent="0.2">
      <c r="B157" s="7"/>
      <c r="C157" s="9"/>
      <c r="D157" s="9"/>
      <c r="E157" s="9"/>
      <c r="F157" s="9"/>
      <c r="G157" s="16"/>
      <c r="H157" s="9"/>
      <c r="I157" s="9"/>
      <c r="J157" s="9"/>
      <c r="K157" s="72"/>
      <c r="L157" s="9"/>
      <c r="M157" s="9"/>
      <c r="N157" s="9"/>
      <c r="O157" s="9"/>
      <c r="P157" s="9"/>
      <c r="Q157" s="9"/>
      <c r="R157" s="9"/>
      <c r="S157" s="9"/>
      <c r="T157" s="9"/>
      <c r="U157" s="9"/>
      <c r="V157" s="9"/>
      <c r="W157" s="9"/>
      <c r="X157" s="9"/>
      <c r="Y157" s="9"/>
    </row>
    <row r="158" spans="2:25" x14ac:dyDescent="0.2">
      <c r="B158" s="7"/>
      <c r="C158" s="9"/>
      <c r="D158" s="9"/>
      <c r="E158" s="9"/>
      <c r="F158" s="9"/>
      <c r="G158" s="16"/>
      <c r="H158" s="9"/>
      <c r="I158" s="9"/>
      <c r="J158" s="9"/>
      <c r="K158" s="72"/>
      <c r="L158" s="9"/>
      <c r="M158" s="9"/>
      <c r="N158" s="9"/>
      <c r="O158" s="9"/>
      <c r="P158" s="9"/>
      <c r="Q158" s="9"/>
      <c r="R158" s="9"/>
      <c r="S158" s="9"/>
      <c r="T158" s="9"/>
      <c r="U158" s="9"/>
      <c r="V158" s="9"/>
      <c r="W158" s="9"/>
      <c r="X158" s="9"/>
      <c r="Y158" s="9"/>
    </row>
    <row r="159" spans="2:25" x14ac:dyDescent="0.2">
      <c r="B159" s="7"/>
      <c r="C159" s="9"/>
      <c r="D159" s="9"/>
      <c r="E159" s="9"/>
      <c r="F159" s="9"/>
      <c r="G159" s="16"/>
      <c r="H159" s="9"/>
      <c r="I159" s="9"/>
      <c r="J159" s="9"/>
      <c r="K159" s="72"/>
      <c r="L159" s="9"/>
      <c r="M159" s="9"/>
      <c r="N159" s="9"/>
      <c r="O159" s="9"/>
      <c r="P159" s="9"/>
      <c r="Q159" s="9"/>
      <c r="R159" s="9"/>
      <c r="S159" s="9"/>
      <c r="T159" s="9"/>
      <c r="U159" s="9"/>
      <c r="V159" s="9"/>
      <c r="W159" s="9"/>
      <c r="X159" s="9"/>
      <c r="Y159" s="9"/>
    </row>
    <row r="160" spans="2:25" x14ac:dyDescent="0.2">
      <c r="B160" s="7"/>
      <c r="C160" s="9"/>
      <c r="D160" s="9"/>
      <c r="E160" s="9"/>
      <c r="F160" s="9"/>
      <c r="G160" s="16"/>
      <c r="H160" s="9"/>
      <c r="I160" s="9"/>
      <c r="J160" s="9"/>
      <c r="K160" s="72"/>
      <c r="L160" s="9"/>
      <c r="M160" s="9"/>
      <c r="N160" s="9"/>
      <c r="O160" s="9"/>
      <c r="P160" s="9"/>
      <c r="Q160" s="9"/>
      <c r="R160" s="9"/>
      <c r="S160" s="9"/>
      <c r="T160" s="9"/>
      <c r="U160" s="9"/>
      <c r="V160" s="9"/>
      <c r="W160" s="9"/>
      <c r="X160" s="9"/>
      <c r="Y160" s="9"/>
    </row>
    <row r="161" spans="2:25" x14ac:dyDescent="0.2">
      <c r="B161" s="7"/>
      <c r="C161" s="9"/>
      <c r="D161" s="9"/>
      <c r="E161" s="9"/>
      <c r="F161" s="9"/>
      <c r="G161" s="16"/>
      <c r="H161" s="9"/>
      <c r="I161" s="9"/>
      <c r="J161" s="9"/>
      <c r="K161" s="72"/>
      <c r="L161" s="9"/>
      <c r="M161" s="9"/>
      <c r="N161" s="9"/>
      <c r="O161" s="9"/>
      <c r="P161" s="9"/>
      <c r="Q161" s="9"/>
      <c r="R161" s="9"/>
      <c r="S161" s="9"/>
      <c r="T161" s="9"/>
      <c r="U161" s="9"/>
      <c r="V161" s="9"/>
      <c r="W161" s="9"/>
      <c r="X161" s="9"/>
      <c r="Y161" s="9"/>
    </row>
    <row r="162" spans="2:25" x14ac:dyDescent="0.2">
      <c r="B162" s="7"/>
      <c r="C162" s="9"/>
      <c r="D162" s="9"/>
      <c r="E162" s="9"/>
      <c r="F162" s="9"/>
      <c r="G162" s="16"/>
      <c r="H162" s="9"/>
      <c r="I162" s="9"/>
      <c r="J162" s="9"/>
      <c r="K162" s="72"/>
      <c r="L162" s="9"/>
      <c r="M162" s="9"/>
      <c r="N162" s="9"/>
      <c r="O162" s="9"/>
      <c r="P162" s="9"/>
      <c r="Q162" s="9"/>
      <c r="R162" s="9"/>
      <c r="S162" s="9"/>
      <c r="T162" s="9"/>
      <c r="U162" s="9"/>
      <c r="V162" s="9"/>
      <c r="W162" s="9"/>
      <c r="X162" s="9"/>
      <c r="Y162" s="9"/>
    </row>
    <row r="163" spans="2:25" x14ac:dyDescent="0.2">
      <c r="B163" s="7"/>
      <c r="C163" s="9"/>
      <c r="D163" s="9"/>
      <c r="E163" s="9"/>
      <c r="F163" s="9"/>
      <c r="G163" s="16"/>
      <c r="H163" s="9"/>
      <c r="I163" s="9"/>
      <c r="J163" s="9"/>
      <c r="K163" s="72"/>
      <c r="L163" s="9"/>
      <c r="M163" s="9"/>
      <c r="N163" s="9"/>
      <c r="O163" s="9"/>
      <c r="P163" s="9"/>
      <c r="Q163" s="9"/>
      <c r="R163" s="9"/>
      <c r="S163" s="9"/>
      <c r="T163" s="9"/>
      <c r="U163" s="9"/>
      <c r="V163" s="9"/>
      <c r="W163" s="9"/>
      <c r="X163" s="9"/>
      <c r="Y163" s="9"/>
    </row>
    <row r="164" spans="2:25" x14ac:dyDescent="0.2">
      <c r="B164" s="7"/>
      <c r="C164" s="9"/>
      <c r="D164" s="9"/>
      <c r="E164" s="9"/>
      <c r="F164" s="9"/>
      <c r="G164" s="16"/>
      <c r="H164" s="9"/>
      <c r="I164" s="9"/>
      <c r="J164" s="9"/>
      <c r="K164" s="72"/>
      <c r="L164" s="9"/>
      <c r="M164" s="9"/>
      <c r="N164" s="9"/>
      <c r="O164" s="9"/>
      <c r="P164" s="9"/>
      <c r="Q164" s="9"/>
      <c r="R164" s="9"/>
      <c r="S164" s="9"/>
      <c r="T164" s="9"/>
      <c r="U164" s="9"/>
      <c r="V164" s="9"/>
      <c r="W164" s="9"/>
      <c r="X164" s="9"/>
      <c r="Y164" s="9"/>
    </row>
    <row r="165" spans="2:25" x14ac:dyDescent="0.2">
      <c r="B165" s="7"/>
      <c r="C165" s="9"/>
      <c r="D165" s="9"/>
      <c r="E165" s="9"/>
      <c r="F165" s="9"/>
      <c r="G165" s="16"/>
      <c r="H165" s="9"/>
      <c r="I165" s="9"/>
      <c r="J165" s="9"/>
      <c r="K165" s="72"/>
      <c r="L165" s="9"/>
      <c r="M165" s="9"/>
      <c r="N165" s="9"/>
      <c r="O165" s="9"/>
      <c r="P165" s="9"/>
      <c r="Q165" s="9"/>
      <c r="R165" s="9"/>
      <c r="S165" s="9"/>
      <c r="T165" s="9"/>
      <c r="U165" s="9"/>
      <c r="V165" s="9"/>
      <c r="W165" s="9"/>
      <c r="X165" s="9"/>
      <c r="Y165" s="9"/>
    </row>
    <row r="166" spans="2:25" x14ac:dyDescent="0.2">
      <c r="B166" s="7"/>
      <c r="C166" s="9"/>
      <c r="D166" s="9"/>
      <c r="E166" s="9"/>
      <c r="F166" s="9"/>
      <c r="G166" s="16"/>
      <c r="H166" s="9"/>
      <c r="I166" s="9"/>
      <c r="J166" s="9"/>
      <c r="K166" s="72"/>
      <c r="L166" s="9"/>
      <c r="M166" s="9"/>
      <c r="N166" s="9"/>
      <c r="O166" s="9"/>
      <c r="P166" s="9"/>
      <c r="Q166" s="9"/>
      <c r="R166" s="9"/>
      <c r="S166" s="9"/>
      <c r="T166" s="9"/>
      <c r="U166" s="9"/>
      <c r="V166" s="9"/>
      <c r="W166" s="9"/>
      <c r="X166" s="9"/>
      <c r="Y166" s="9"/>
    </row>
    <row r="167" spans="2:25" x14ac:dyDescent="0.2">
      <c r="B167" s="7"/>
      <c r="C167" s="9"/>
      <c r="D167" s="9"/>
      <c r="E167" s="9"/>
      <c r="F167" s="9"/>
      <c r="G167" s="16"/>
      <c r="H167" s="9"/>
      <c r="I167" s="9"/>
      <c r="J167" s="9"/>
      <c r="K167" s="72"/>
      <c r="L167" s="9"/>
      <c r="M167" s="9"/>
      <c r="N167" s="9"/>
      <c r="O167" s="9"/>
      <c r="P167" s="9"/>
      <c r="Q167" s="9"/>
      <c r="R167" s="9"/>
      <c r="S167" s="9"/>
      <c r="T167" s="9"/>
      <c r="U167" s="9"/>
      <c r="V167" s="9"/>
      <c r="W167" s="9"/>
      <c r="X167" s="9"/>
      <c r="Y167" s="9"/>
    </row>
    <row r="168" spans="2:25" x14ac:dyDescent="0.2">
      <c r="B168" s="7"/>
      <c r="C168" s="9"/>
      <c r="D168" s="9"/>
      <c r="E168" s="9"/>
      <c r="F168" s="9"/>
      <c r="G168" s="16"/>
      <c r="H168" s="9"/>
      <c r="I168" s="9"/>
      <c r="J168" s="9"/>
      <c r="K168" s="72"/>
      <c r="L168" s="9"/>
      <c r="M168" s="9"/>
      <c r="N168" s="9"/>
      <c r="O168" s="9"/>
      <c r="P168" s="9"/>
      <c r="Q168" s="9"/>
      <c r="R168" s="9"/>
      <c r="S168" s="9"/>
      <c r="T168" s="9"/>
      <c r="U168" s="9"/>
      <c r="V168" s="9"/>
      <c r="W168" s="9"/>
      <c r="X168" s="9"/>
      <c r="Y168" s="9"/>
    </row>
    <row r="169" spans="2:25" x14ac:dyDescent="0.2">
      <c r="B169" s="7"/>
      <c r="C169" s="9"/>
      <c r="D169" s="9"/>
      <c r="E169" s="9"/>
      <c r="F169" s="9"/>
      <c r="G169" s="16"/>
      <c r="H169" s="9"/>
      <c r="I169" s="9"/>
      <c r="J169" s="9"/>
      <c r="K169" s="72"/>
      <c r="L169" s="9"/>
      <c r="M169" s="9"/>
      <c r="N169" s="9"/>
      <c r="O169" s="9"/>
      <c r="P169" s="9"/>
      <c r="Q169" s="9"/>
      <c r="R169" s="9"/>
      <c r="S169" s="9"/>
      <c r="T169" s="9"/>
      <c r="U169" s="9"/>
      <c r="V169" s="9"/>
      <c r="W169" s="9"/>
      <c r="X169" s="9"/>
      <c r="Y169" s="9"/>
    </row>
    <row r="170" spans="2:25" x14ac:dyDescent="0.2">
      <c r="B170" s="7"/>
      <c r="C170" s="9"/>
      <c r="D170" s="9"/>
      <c r="E170" s="9"/>
      <c r="F170" s="9"/>
      <c r="G170" s="16"/>
      <c r="H170" s="9"/>
      <c r="I170" s="9"/>
      <c r="J170" s="9"/>
      <c r="K170" s="72"/>
      <c r="L170" s="9"/>
      <c r="M170" s="9"/>
      <c r="N170" s="9"/>
      <c r="O170" s="9"/>
      <c r="P170" s="9"/>
      <c r="Q170" s="9"/>
      <c r="R170" s="9"/>
      <c r="S170" s="9"/>
      <c r="T170" s="9"/>
      <c r="U170" s="9"/>
      <c r="V170" s="9"/>
      <c r="W170" s="9"/>
      <c r="X170" s="9"/>
      <c r="Y170" s="9"/>
    </row>
    <row r="171" spans="2:25" x14ac:dyDescent="0.2">
      <c r="B171" s="7"/>
      <c r="C171" s="9"/>
      <c r="D171" s="9"/>
      <c r="E171" s="9"/>
      <c r="F171" s="9"/>
      <c r="G171" s="16"/>
      <c r="H171" s="9"/>
      <c r="I171" s="9"/>
      <c r="J171" s="9"/>
      <c r="K171" s="72"/>
      <c r="L171" s="9"/>
      <c r="M171" s="9"/>
      <c r="N171" s="9"/>
      <c r="O171" s="9"/>
      <c r="P171" s="9"/>
      <c r="Q171" s="9"/>
      <c r="R171" s="9"/>
      <c r="S171" s="9"/>
      <c r="T171" s="9"/>
      <c r="U171" s="9"/>
      <c r="V171" s="9"/>
      <c r="W171" s="9"/>
      <c r="X171" s="9"/>
      <c r="Y171" s="9"/>
    </row>
    <row r="172" spans="2:25" x14ac:dyDescent="0.2">
      <c r="B172" s="7"/>
      <c r="C172" s="9"/>
      <c r="D172" s="9"/>
      <c r="E172" s="9"/>
      <c r="F172" s="9"/>
      <c r="G172" s="16"/>
      <c r="H172" s="9"/>
      <c r="I172" s="9"/>
      <c r="J172" s="9"/>
      <c r="K172" s="72"/>
      <c r="L172" s="9"/>
      <c r="M172" s="9"/>
      <c r="N172" s="9"/>
      <c r="O172" s="9"/>
      <c r="P172" s="9"/>
      <c r="Q172" s="9"/>
      <c r="R172" s="9"/>
      <c r="S172" s="9"/>
      <c r="T172" s="9"/>
      <c r="U172" s="9"/>
      <c r="V172" s="9"/>
      <c r="W172" s="9"/>
      <c r="X172" s="9"/>
      <c r="Y172" s="9"/>
    </row>
    <row r="173" spans="2:25" x14ac:dyDescent="0.2">
      <c r="B173" s="7"/>
      <c r="C173" s="9"/>
      <c r="D173" s="9"/>
      <c r="E173" s="9"/>
      <c r="F173" s="9"/>
      <c r="G173" s="16"/>
      <c r="H173" s="9"/>
      <c r="I173" s="9"/>
      <c r="J173" s="9"/>
      <c r="K173" s="72"/>
      <c r="L173" s="9"/>
      <c r="M173" s="9"/>
      <c r="N173" s="9"/>
      <c r="O173" s="9"/>
      <c r="P173" s="9"/>
      <c r="Q173" s="9"/>
      <c r="R173" s="9"/>
      <c r="S173" s="9"/>
      <c r="T173" s="9"/>
      <c r="U173" s="9"/>
      <c r="V173" s="9"/>
      <c r="W173" s="9"/>
      <c r="X173" s="9"/>
      <c r="Y173" s="9"/>
    </row>
    <row r="174" spans="2:25" x14ac:dyDescent="0.2">
      <c r="B174" s="7"/>
      <c r="C174" s="9"/>
      <c r="D174" s="9"/>
      <c r="E174" s="9"/>
      <c r="F174" s="9"/>
      <c r="G174" s="16"/>
      <c r="H174" s="9"/>
      <c r="I174" s="9"/>
      <c r="J174" s="9"/>
      <c r="K174" s="72"/>
      <c r="L174" s="9"/>
      <c r="M174" s="9"/>
      <c r="N174" s="9"/>
      <c r="O174" s="9"/>
      <c r="P174" s="9"/>
      <c r="Q174" s="9"/>
      <c r="R174" s="9"/>
      <c r="S174" s="9"/>
      <c r="T174" s="9"/>
      <c r="U174" s="9"/>
      <c r="V174" s="9"/>
      <c r="W174" s="9"/>
      <c r="X174" s="9"/>
      <c r="Y174" s="9"/>
    </row>
    <row r="175" spans="2:25" x14ac:dyDescent="0.2">
      <c r="B175" s="7"/>
      <c r="C175" s="9"/>
      <c r="D175" s="9"/>
      <c r="E175" s="9"/>
      <c r="F175" s="9"/>
      <c r="G175" s="16"/>
      <c r="H175" s="9"/>
      <c r="I175" s="9"/>
      <c r="J175" s="9"/>
      <c r="K175" s="72"/>
      <c r="L175" s="9"/>
      <c r="M175" s="9"/>
      <c r="N175" s="9"/>
      <c r="O175" s="9"/>
      <c r="P175" s="9"/>
      <c r="Q175" s="9"/>
      <c r="R175" s="9"/>
      <c r="S175" s="9"/>
      <c r="T175" s="9"/>
      <c r="U175" s="9"/>
      <c r="V175" s="9"/>
      <c r="W175" s="9"/>
      <c r="X175" s="9"/>
      <c r="Y175" s="9"/>
    </row>
    <row r="176" spans="2:25" x14ac:dyDescent="0.2">
      <c r="B176" s="7"/>
      <c r="C176" s="9"/>
      <c r="D176" s="9"/>
      <c r="E176" s="9"/>
      <c r="F176" s="9"/>
      <c r="G176" s="16"/>
      <c r="H176" s="9"/>
      <c r="I176" s="9"/>
      <c r="J176" s="9"/>
      <c r="K176" s="72"/>
      <c r="L176" s="9"/>
      <c r="M176" s="9"/>
      <c r="N176" s="9"/>
      <c r="O176" s="9"/>
      <c r="P176" s="9"/>
      <c r="Q176" s="9"/>
      <c r="R176" s="9"/>
      <c r="S176" s="9"/>
      <c r="T176" s="9"/>
      <c r="U176" s="9"/>
      <c r="V176" s="9"/>
      <c r="W176" s="9"/>
      <c r="X176" s="9"/>
      <c r="Y176" s="9"/>
    </row>
    <row r="177" spans="2:25" x14ac:dyDescent="0.2">
      <c r="B177" s="7"/>
      <c r="C177" s="9"/>
      <c r="D177" s="9"/>
      <c r="E177" s="9"/>
      <c r="F177" s="9"/>
      <c r="G177" s="16"/>
      <c r="H177" s="9"/>
      <c r="I177" s="9"/>
      <c r="J177" s="9"/>
      <c r="K177" s="72"/>
      <c r="L177" s="9"/>
      <c r="M177" s="9"/>
      <c r="N177" s="9"/>
      <c r="O177" s="9"/>
      <c r="P177" s="9"/>
      <c r="Q177" s="9"/>
      <c r="R177" s="9"/>
      <c r="S177" s="9"/>
      <c r="T177" s="9"/>
      <c r="U177" s="9"/>
      <c r="V177" s="9"/>
      <c r="W177" s="9"/>
      <c r="X177" s="9"/>
      <c r="Y177" s="9"/>
    </row>
    <row r="178" spans="2:25" x14ac:dyDescent="0.2">
      <c r="B178" s="7"/>
      <c r="C178" s="9"/>
      <c r="D178" s="9"/>
      <c r="E178" s="9"/>
      <c r="F178" s="9"/>
      <c r="G178" s="16"/>
      <c r="H178" s="9"/>
      <c r="I178" s="9"/>
      <c r="J178" s="9"/>
      <c r="K178" s="72"/>
      <c r="L178" s="9"/>
      <c r="M178" s="9"/>
      <c r="N178" s="9"/>
      <c r="O178" s="9"/>
      <c r="P178" s="9"/>
      <c r="Q178" s="9"/>
      <c r="R178" s="9"/>
      <c r="S178" s="9"/>
      <c r="T178" s="9"/>
      <c r="U178" s="9"/>
      <c r="V178" s="9"/>
      <c r="W178" s="9"/>
      <c r="X178" s="9"/>
      <c r="Y178" s="9"/>
    </row>
    <row r="179" spans="2:25" x14ac:dyDescent="0.2">
      <c r="B179" s="7"/>
      <c r="C179" s="9"/>
      <c r="D179" s="9"/>
      <c r="E179" s="9"/>
      <c r="F179" s="9"/>
      <c r="G179" s="16"/>
      <c r="H179" s="9"/>
      <c r="I179" s="9"/>
      <c r="J179" s="9"/>
      <c r="K179" s="72"/>
      <c r="L179" s="9"/>
      <c r="M179" s="9"/>
      <c r="N179" s="9"/>
      <c r="O179" s="9"/>
      <c r="P179" s="9"/>
      <c r="Q179" s="9"/>
      <c r="R179" s="9"/>
      <c r="S179" s="9"/>
      <c r="T179" s="9"/>
      <c r="U179" s="9"/>
      <c r="V179" s="9"/>
      <c r="W179" s="9"/>
      <c r="X179" s="9"/>
      <c r="Y179" s="9"/>
    </row>
    <row r="180" spans="2:25" x14ac:dyDescent="0.2">
      <c r="B180" s="7"/>
      <c r="C180" s="9"/>
      <c r="D180" s="9"/>
      <c r="E180" s="9"/>
      <c r="F180" s="9"/>
      <c r="G180" s="16"/>
      <c r="H180" s="9"/>
      <c r="I180" s="9"/>
      <c r="J180" s="9"/>
      <c r="K180" s="72"/>
      <c r="L180" s="9"/>
      <c r="M180" s="9"/>
      <c r="N180" s="9"/>
      <c r="O180" s="9"/>
      <c r="P180" s="9"/>
      <c r="Q180" s="9"/>
      <c r="R180" s="9"/>
      <c r="S180" s="9"/>
      <c r="T180" s="9"/>
      <c r="U180" s="9"/>
      <c r="V180" s="9"/>
      <c r="W180" s="9"/>
      <c r="X180" s="9"/>
      <c r="Y180" s="9"/>
    </row>
    <row r="181" spans="2:25" x14ac:dyDescent="0.2">
      <c r="B181" s="7"/>
      <c r="C181" s="9"/>
      <c r="D181" s="9"/>
      <c r="E181" s="9"/>
      <c r="F181" s="9"/>
      <c r="G181" s="16"/>
      <c r="H181" s="9"/>
      <c r="I181" s="9"/>
      <c r="J181" s="9"/>
      <c r="K181" s="72"/>
      <c r="L181" s="9"/>
      <c r="M181" s="9"/>
      <c r="N181" s="9"/>
      <c r="O181" s="9"/>
      <c r="P181" s="9"/>
      <c r="Q181" s="9"/>
      <c r="R181" s="9"/>
      <c r="S181" s="9"/>
      <c r="T181" s="9"/>
      <c r="U181" s="9"/>
      <c r="V181" s="9"/>
      <c r="W181" s="9"/>
      <c r="X181" s="9"/>
      <c r="Y181" s="9"/>
    </row>
    <row r="182" spans="2:25" x14ac:dyDescent="0.2">
      <c r="B182" s="7"/>
      <c r="C182" s="9"/>
      <c r="D182" s="9"/>
      <c r="E182" s="9"/>
      <c r="F182" s="9"/>
      <c r="G182" s="16"/>
      <c r="H182" s="9"/>
      <c r="I182" s="9"/>
      <c r="J182" s="9"/>
      <c r="K182" s="72"/>
      <c r="L182" s="9"/>
      <c r="M182" s="9"/>
      <c r="N182" s="9"/>
      <c r="O182" s="9"/>
      <c r="P182" s="9"/>
      <c r="Q182" s="9"/>
      <c r="R182" s="9"/>
      <c r="S182" s="9"/>
      <c r="T182" s="9"/>
      <c r="U182" s="9"/>
      <c r="V182" s="9"/>
      <c r="W182" s="9"/>
      <c r="X182" s="9"/>
      <c r="Y182" s="9"/>
    </row>
    <row r="183" spans="2:25" x14ac:dyDescent="0.2">
      <c r="B183" s="7"/>
      <c r="C183" s="9"/>
      <c r="D183" s="9"/>
      <c r="E183" s="9"/>
      <c r="F183" s="9"/>
      <c r="G183" s="16"/>
      <c r="H183" s="9"/>
      <c r="I183" s="9"/>
      <c r="J183" s="9"/>
      <c r="K183" s="72"/>
      <c r="L183" s="9"/>
      <c r="M183" s="9"/>
      <c r="N183" s="9"/>
      <c r="O183" s="9"/>
      <c r="P183" s="9"/>
      <c r="Q183" s="9"/>
      <c r="R183" s="9"/>
      <c r="S183" s="9"/>
      <c r="T183" s="9"/>
      <c r="U183" s="9"/>
      <c r="V183" s="9"/>
      <c r="W183" s="9"/>
      <c r="X183" s="9"/>
      <c r="Y183" s="9"/>
    </row>
    <row r="184" spans="2:25" x14ac:dyDescent="0.2">
      <c r="B184" s="7"/>
      <c r="C184" s="9"/>
      <c r="D184" s="9"/>
      <c r="E184" s="9"/>
      <c r="F184" s="9"/>
      <c r="G184" s="16"/>
      <c r="H184" s="9"/>
      <c r="I184" s="9"/>
      <c r="J184" s="9"/>
      <c r="K184" s="72"/>
      <c r="L184" s="9"/>
      <c r="M184" s="9"/>
      <c r="N184" s="9"/>
      <c r="O184" s="9"/>
      <c r="P184" s="9"/>
      <c r="Q184" s="9"/>
      <c r="R184" s="9"/>
      <c r="S184" s="9"/>
      <c r="T184" s="9"/>
      <c r="U184" s="9"/>
      <c r="V184" s="9"/>
      <c r="W184" s="9"/>
      <c r="X184" s="9"/>
      <c r="Y184" s="9"/>
    </row>
    <row r="185" spans="2:25" x14ac:dyDescent="0.2">
      <c r="B185" s="7"/>
      <c r="C185" s="9"/>
      <c r="D185" s="9"/>
      <c r="E185" s="9"/>
      <c r="F185" s="9"/>
      <c r="G185" s="16"/>
      <c r="H185" s="9"/>
      <c r="I185" s="9"/>
      <c r="J185" s="9"/>
      <c r="K185" s="72"/>
      <c r="L185" s="9"/>
      <c r="M185" s="9"/>
      <c r="N185" s="9"/>
      <c r="O185" s="9"/>
      <c r="P185" s="9"/>
      <c r="Q185" s="9"/>
      <c r="R185" s="9"/>
      <c r="S185" s="9"/>
      <c r="T185" s="9"/>
      <c r="U185" s="9"/>
      <c r="V185" s="9"/>
      <c r="W185" s="9"/>
      <c r="X185" s="9"/>
      <c r="Y185" s="9"/>
    </row>
    <row r="186" spans="2:25" x14ac:dyDescent="0.2">
      <c r="B186" s="7"/>
      <c r="C186" s="9"/>
      <c r="D186" s="9"/>
      <c r="E186" s="9"/>
      <c r="F186" s="9"/>
      <c r="G186" s="16"/>
      <c r="H186" s="9"/>
      <c r="I186" s="9"/>
      <c r="J186" s="9"/>
      <c r="K186" s="72"/>
      <c r="L186" s="9"/>
      <c r="M186" s="9"/>
      <c r="N186" s="9"/>
      <c r="O186" s="9"/>
      <c r="P186" s="9"/>
      <c r="Q186" s="9"/>
      <c r="R186" s="9"/>
      <c r="S186" s="9"/>
      <c r="T186" s="9"/>
      <c r="U186" s="9"/>
      <c r="V186" s="9"/>
      <c r="W186" s="9"/>
      <c r="X186" s="9"/>
      <c r="Y186" s="9"/>
    </row>
    <row r="187" spans="2:25" x14ac:dyDescent="0.2">
      <c r="B187" s="7"/>
      <c r="C187" s="9"/>
      <c r="D187" s="9"/>
      <c r="E187" s="9"/>
      <c r="F187" s="9"/>
      <c r="G187" s="16"/>
      <c r="H187" s="9"/>
      <c r="I187" s="9"/>
      <c r="J187" s="9"/>
      <c r="K187" s="72"/>
      <c r="L187" s="9"/>
      <c r="M187" s="9"/>
      <c r="N187" s="9"/>
      <c r="O187" s="9"/>
      <c r="P187" s="9"/>
      <c r="Q187" s="9"/>
      <c r="R187" s="9"/>
      <c r="S187" s="9"/>
      <c r="T187" s="9"/>
      <c r="U187" s="9"/>
      <c r="V187" s="9"/>
      <c r="W187" s="9"/>
      <c r="X187" s="9"/>
      <c r="Y187" s="9"/>
    </row>
    <row r="188" spans="2:25" x14ac:dyDescent="0.2">
      <c r="B188" s="7"/>
      <c r="C188" s="9"/>
      <c r="D188" s="9"/>
      <c r="E188" s="9"/>
      <c r="F188" s="9"/>
      <c r="G188" s="16"/>
      <c r="H188" s="9"/>
      <c r="I188" s="9"/>
      <c r="J188" s="9"/>
      <c r="K188" s="72"/>
      <c r="L188" s="9"/>
      <c r="M188" s="9"/>
      <c r="N188" s="9"/>
      <c r="O188" s="9"/>
      <c r="P188" s="9"/>
      <c r="Q188" s="9"/>
      <c r="R188" s="9"/>
      <c r="S188" s="9"/>
      <c r="T188" s="9"/>
      <c r="U188" s="9"/>
      <c r="V188" s="9"/>
      <c r="W188" s="9"/>
      <c r="X188" s="9"/>
      <c r="Y188" s="9"/>
    </row>
    <row r="189" spans="2:25" x14ac:dyDescent="0.2">
      <c r="B189" s="7"/>
      <c r="C189" s="9"/>
      <c r="D189" s="9"/>
      <c r="E189" s="9"/>
      <c r="F189" s="9"/>
      <c r="G189" s="16"/>
      <c r="H189" s="9"/>
      <c r="I189" s="9"/>
      <c r="J189" s="9"/>
      <c r="K189" s="72"/>
      <c r="L189" s="9"/>
      <c r="M189" s="9"/>
      <c r="N189" s="9"/>
      <c r="O189" s="9"/>
      <c r="P189" s="9"/>
      <c r="Q189" s="9"/>
      <c r="R189" s="9"/>
      <c r="S189" s="9"/>
      <c r="T189" s="9"/>
      <c r="U189" s="9"/>
      <c r="V189" s="9"/>
      <c r="W189" s="9"/>
      <c r="X189" s="9"/>
      <c r="Y189" s="9"/>
    </row>
    <row r="190" spans="2:25" x14ac:dyDescent="0.2">
      <c r="B190" s="7"/>
      <c r="C190" s="9"/>
      <c r="D190" s="9"/>
      <c r="E190" s="9"/>
      <c r="F190" s="9"/>
      <c r="G190" s="16"/>
      <c r="H190" s="9"/>
      <c r="I190" s="9"/>
      <c r="J190" s="9"/>
      <c r="K190" s="72"/>
      <c r="L190" s="9"/>
      <c r="M190" s="9"/>
      <c r="N190" s="9"/>
      <c r="O190" s="9"/>
      <c r="P190" s="9"/>
      <c r="Q190" s="9"/>
      <c r="R190" s="9"/>
      <c r="S190" s="9"/>
      <c r="T190" s="9"/>
      <c r="U190" s="9"/>
      <c r="V190" s="9"/>
      <c r="W190" s="9"/>
      <c r="X190" s="9"/>
      <c r="Y190" s="9"/>
    </row>
    <row r="191" spans="2:25" x14ac:dyDescent="0.2">
      <c r="B191" s="7"/>
      <c r="C191" s="9"/>
      <c r="D191" s="9"/>
      <c r="E191" s="9"/>
      <c r="F191" s="9"/>
      <c r="G191" s="16"/>
      <c r="H191" s="9"/>
      <c r="I191" s="9"/>
      <c r="J191" s="9"/>
      <c r="K191" s="72"/>
      <c r="L191" s="9"/>
      <c r="M191" s="9"/>
      <c r="N191" s="9"/>
      <c r="O191" s="9"/>
      <c r="P191" s="9"/>
      <c r="Q191" s="9"/>
      <c r="R191" s="9"/>
      <c r="S191" s="9"/>
      <c r="T191" s="9"/>
      <c r="U191" s="9"/>
      <c r="V191" s="9"/>
      <c r="W191" s="9"/>
      <c r="X191" s="9"/>
      <c r="Y191" s="9"/>
    </row>
    <row r="192" spans="2:25" x14ac:dyDescent="0.2">
      <c r="B192" s="7"/>
      <c r="C192" s="9"/>
      <c r="D192" s="9"/>
      <c r="E192" s="9"/>
      <c r="F192" s="9"/>
      <c r="G192" s="16"/>
      <c r="H192" s="9"/>
      <c r="I192" s="9"/>
      <c r="J192" s="9"/>
      <c r="K192" s="72"/>
      <c r="L192" s="9"/>
      <c r="M192" s="9"/>
      <c r="N192" s="9"/>
      <c r="O192" s="9"/>
      <c r="P192" s="9"/>
      <c r="Q192" s="9"/>
      <c r="R192" s="9"/>
      <c r="S192" s="9"/>
      <c r="T192" s="9"/>
      <c r="U192" s="9"/>
      <c r="V192" s="9"/>
      <c r="W192" s="9"/>
      <c r="X192" s="9"/>
      <c r="Y192" s="9"/>
    </row>
    <row r="193" spans="2:25" x14ac:dyDescent="0.2">
      <c r="B193" s="7"/>
      <c r="C193" s="9"/>
      <c r="D193" s="9"/>
      <c r="E193" s="9"/>
      <c r="F193" s="9"/>
      <c r="G193" s="16"/>
      <c r="H193" s="9"/>
      <c r="I193" s="9"/>
      <c r="J193" s="9"/>
      <c r="K193" s="72"/>
      <c r="L193" s="9"/>
      <c r="M193" s="9"/>
      <c r="N193" s="9"/>
      <c r="O193" s="9"/>
      <c r="P193" s="9"/>
      <c r="Q193" s="9"/>
      <c r="R193" s="9"/>
      <c r="S193" s="9"/>
      <c r="T193" s="9"/>
      <c r="U193" s="9"/>
      <c r="V193" s="9"/>
      <c r="W193" s="9"/>
      <c r="X193" s="9"/>
      <c r="Y193" s="9"/>
    </row>
    <row r="194" spans="2:25" x14ac:dyDescent="0.2">
      <c r="B194" s="7"/>
      <c r="C194" s="9"/>
      <c r="D194" s="9"/>
      <c r="E194" s="9"/>
      <c r="F194" s="9"/>
      <c r="G194" s="16"/>
      <c r="H194" s="9"/>
      <c r="I194" s="9"/>
      <c r="J194" s="9"/>
      <c r="K194" s="72"/>
      <c r="L194" s="9"/>
      <c r="M194" s="9"/>
      <c r="N194" s="9"/>
      <c r="O194" s="9"/>
      <c r="P194" s="9"/>
      <c r="Q194" s="9"/>
      <c r="R194" s="9"/>
      <c r="S194" s="9"/>
      <c r="T194" s="9"/>
      <c r="U194" s="9"/>
      <c r="V194" s="9"/>
      <c r="W194" s="9"/>
      <c r="X194" s="9"/>
      <c r="Y194" s="9"/>
    </row>
    <row r="195" spans="2:25" x14ac:dyDescent="0.2">
      <c r="B195" s="7"/>
      <c r="C195" s="9"/>
      <c r="D195" s="9"/>
      <c r="E195" s="9"/>
      <c r="F195" s="9"/>
      <c r="G195" s="16"/>
      <c r="H195" s="9"/>
      <c r="I195" s="9"/>
      <c r="J195" s="9"/>
      <c r="K195" s="72"/>
      <c r="L195" s="9"/>
      <c r="M195" s="9"/>
      <c r="N195" s="9"/>
      <c r="O195" s="9"/>
      <c r="P195" s="9"/>
      <c r="Q195" s="9"/>
      <c r="R195" s="9"/>
      <c r="S195" s="9"/>
      <c r="T195" s="9"/>
      <c r="U195" s="9"/>
      <c r="V195" s="9"/>
      <c r="W195" s="9"/>
      <c r="X195" s="9"/>
      <c r="Y195" s="9"/>
    </row>
    <row r="196" spans="2:25" x14ac:dyDescent="0.2">
      <c r="B196" s="7"/>
      <c r="C196" s="9"/>
      <c r="D196" s="9"/>
      <c r="E196" s="9"/>
      <c r="F196" s="9"/>
      <c r="G196" s="16"/>
      <c r="H196" s="9"/>
      <c r="I196" s="9"/>
      <c r="J196" s="9"/>
      <c r="K196" s="72"/>
      <c r="L196" s="9"/>
      <c r="M196" s="9"/>
      <c r="N196" s="9"/>
      <c r="O196" s="9"/>
      <c r="P196" s="9"/>
      <c r="Q196" s="9"/>
      <c r="R196" s="9"/>
      <c r="S196" s="9"/>
      <c r="T196" s="9"/>
      <c r="U196" s="9"/>
      <c r="V196" s="9"/>
      <c r="W196" s="9"/>
      <c r="X196" s="9"/>
      <c r="Y196" s="9"/>
    </row>
    <row r="197" spans="2:25" x14ac:dyDescent="0.2">
      <c r="B197" s="7"/>
      <c r="C197" s="9"/>
      <c r="D197" s="9"/>
      <c r="E197" s="9"/>
      <c r="F197" s="9"/>
      <c r="G197" s="16"/>
      <c r="H197" s="9"/>
      <c r="I197" s="9"/>
      <c r="J197" s="9"/>
      <c r="K197" s="72"/>
      <c r="L197" s="9"/>
      <c r="M197" s="9"/>
      <c r="N197" s="9"/>
      <c r="O197" s="9"/>
      <c r="P197" s="9"/>
      <c r="Q197" s="9"/>
      <c r="R197" s="9"/>
      <c r="S197" s="9"/>
      <c r="T197" s="9"/>
      <c r="U197" s="9"/>
      <c r="V197" s="9"/>
      <c r="W197" s="9"/>
      <c r="X197" s="9"/>
      <c r="Y197" s="9"/>
    </row>
    <row r="198" spans="2:25" x14ac:dyDescent="0.2">
      <c r="B198" s="7"/>
      <c r="C198" s="9"/>
      <c r="D198" s="9"/>
      <c r="E198" s="9"/>
      <c r="F198" s="9"/>
      <c r="G198" s="16"/>
      <c r="H198" s="9"/>
      <c r="I198" s="9"/>
      <c r="J198" s="9"/>
      <c r="K198" s="72"/>
      <c r="L198" s="9"/>
      <c r="M198" s="9"/>
      <c r="N198" s="9"/>
      <c r="O198" s="9"/>
      <c r="P198" s="9"/>
      <c r="Q198" s="9"/>
      <c r="R198" s="9"/>
      <c r="S198" s="9"/>
      <c r="T198" s="9"/>
      <c r="U198" s="9"/>
      <c r="V198" s="9"/>
      <c r="W198" s="9"/>
      <c r="X198" s="9"/>
      <c r="Y198" s="9"/>
    </row>
    <row r="199" spans="2:25" x14ac:dyDescent="0.2">
      <c r="B199" s="7"/>
      <c r="C199" s="9"/>
      <c r="D199" s="9"/>
      <c r="E199" s="9"/>
      <c r="F199" s="9"/>
      <c r="G199" s="16"/>
      <c r="H199" s="9"/>
      <c r="I199" s="9"/>
      <c r="J199" s="9"/>
      <c r="K199" s="72"/>
      <c r="L199" s="9"/>
      <c r="M199" s="9"/>
      <c r="N199" s="9"/>
      <c r="O199" s="9"/>
      <c r="P199" s="9"/>
      <c r="Q199" s="9"/>
      <c r="R199" s="9"/>
      <c r="S199" s="9"/>
      <c r="T199" s="9"/>
      <c r="U199" s="9"/>
      <c r="V199" s="9"/>
      <c r="W199" s="9"/>
      <c r="X199" s="9"/>
      <c r="Y199" s="9"/>
    </row>
    <row r="200" spans="2:25" x14ac:dyDescent="0.2">
      <c r="B200" s="7"/>
      <c r="C200" s="9"/>
      <c r="D200" s="9"/>
      <c r="E200" s="9"/>
      <c r="F200" s="9"/>
      <c r="G200" s="16"/>
      <c r="H200" s="9"/>
      <c r="I200" s="9"/>
      <c r="J200" s="9"/>
      <c r="K200" s="72"/>
      <c r="L200" s="9"/>
      <c r="M200" s="9"/>
      <c r="N200" s="9"/>
      <c r="O200" s="9"/>
      <c r="P200" s="9"/>
      <c r="Q200" s="9"/>
      <c r="R200" s="9"/>
      <c r="S200" s="9"/>
      <c r="T200" s="9"/>
      <c r="U200" s="9"/>
      <c r="V200" s="9"/>
      <c r="W200" s="9"/>
      <c r="X200" s="9"/>
      <c r="Y200" s="9"/>
    </row>
    <row r="201" spans="2:25" x14ac:dyDescent="0.2">
      <c r="B201" s="7"/>
      <c r="C201" s="9"/>
      <c r="D201" s="9"/>
      <c r="E201" s="9"/>
      <c r="F201" s="9"/>
      <c r="G201" s="16"/>
      <c r="H201" s="9"/>
      <c r="I201" s="9"/>
      <c r="J201" s="9"/>
      <c r="K201" s="72"/>
      <c r="L201" s="9"/>
      <c r="M201" s="9"/>
      <c r="N201" s="9"/>
      <c r="O201" s="9"/>
      <c r="P201" s="9"/>
      <c r="Q201" s="9"/>
      <c r="R201" s="9"/>
      <c r="S201" s="9"/>
      <c r="T201" s="9"/>
      <c r="U201" s="9"/>
      <c r="V201" s="9"/>
      <c r="W201" s="9"/>
      <c r="X201" s="9"/>
      <c r="Y201" s="9"/>
    </row>
    <row r="202" spans="2:25" x14ac:dyDescent="0.2">
      <c r="B202" s="7"/>
      <c r="C202" s="9"/>
      <c r="D202" s="9"/>
      <c r="E202" s="9"/>
      <c r="F202" s="9"/>
      <c r="G202" s="16"/>
      <c r="H202" s="9"/>
      <c r="I202" s="9"/>
      <c r="J202" s="9"/>
      <c r="K202" s="72"/>
      <c r="L202" s="9"/>
      <c r="M202" s="9"/>
      <c r="N202" s="9"/>
      <c r="O202" s="9"/>
      <c r="P202" s="9"/>
      <c r="Q202" s="9"/>
      <c r="R202" s="9"/>
      <c r="S202" s="9"/>
      <c r="T202" s="9"/>
      <c r="U202" s="9"/>
      <c r="V202" s="9"/>
      <c r="W202" s="9"/>
      <c r="X202" s="9"/>
      <c r="Y202" s="9"/>
    </row>
    <row r="203" spans="2:25" x14ac:dyDescent="0.2">
      <c r="B203" s="7"/>
      <c r="C203" s="9"/>
      <c r="D203" s="9"/>
      <c r="E203" s="9"/>
      <c r="F203" s="9"/>
      <c r="G203" s="16"/>
      <c r="H203" s="9"/>
      <c r="I203" s="9"/>
      <c r="J203" s="9"/>
      <c r="K203" s="72"/>
      <c r="L203" s="9"/>
      <c r="M203" s="9"/>
      <c r="N203" s="9"/>
      <c r="O203" s="9"/>
      <c r="P203" s="9"/>
      <c r="Q203" s="9"/>
      <c r="R203" s="9"/>
      <c r="S203" s="9"/>
      <c r="T203" s="9"/>
      <c r="U203" s="9"/>
      <c r="V203" s="9"/>
      <c r="W203" s="9"/>
      <c r="X203" s="9"/>
      <c r="Y203" s="9"/>
    </row>
    <row r="204" spans="2:25" x14ac:dyDescent="0.2">
      <c r="B204" s="7"/>
      <c r="C204" s="9"/>
      <c r="D204" s="9"/>
      <c r="E204" s="9"/>
      <c r="F204" s="9"/>
      <c r="G204" s="16"/>
      <c r="H204" s="9"/>
      <c r="I204" s="9"/>
      <c r="J204" s="9"/>
      <c r="K204" s="72"/>
      <c r="L204" s="9"/>
      <c r="M204" s="9"/>
      <c r="N204" s="9"/>
      <c r="O204" s="9"/>
      <c r="P204" s="9"/>
      <c r="Q204" s="9"/>
      <c r="R204" s="9"/>
      <c r="S204" s="9"/>
      <c r="T204" s="9"/>
      <c r="U204" s="9"/>
      <c r="V204" s="9"/>
      <c r="W204" s="9"/>
      <c r="X204" s="9"/>
      <c r="Y204" s="9"/>
    </row>
    <row r="205" spans="2:25" x14ac:dyDescent="0.2">
      <c r="B205" s="7"/>
      <c r="C205" s="9"/>
      <c r="D205" s="9"/>
      <c r="E205" s="9"/>
      <c r="F205" s="9"/>
      <c r="G205" s="16"/>
      <c r="H205" s="9"/>
      <c r="I205" s="9"/>
      <c r="J205" s="9"/>
      <c r="K205" s="72"/>
      <c r="L205" s="9"/>
      <c r="M205" s="9"/>
      <c r="N205" s="9"/>
      <c r="O205" s="9"/>
      <c r="P205" s="9"/>
      <c r="Q205" s="9"/>
      <c r="R205" s="9"/>
      <c r="S205" s="9"/>
      <c r="T205" s="9"/>
      <c r="U205" s="9"/>
      <c r="V205" s="9"/>
      <c r="W205" s="9"/>
      <c r="X205" s="9"/>
      <c r="Y205" s="9"/>
    </row>
    <row r="206" spans="2:25" x14ac:dyDescent="0.2">
      <c r="B206" s="7"/>
      <c r="C206" s="9"/>
      <c r="D206" s="9"/>
      <c r="E206" s="9"/>
      <c r="F206" s="9"/>
      <c r="G206" s="16"/>
      <c r="H206" s="9"/>
      <c r="I206" s="9"/>
      <c r="J206" s="9"/>
      <c r="K206" s="72"/>
      <c r="L206" s="9"/>
      <c r="M206" s="9"/>
      <c r="N206" s="9"/>
      <c r="O206" s="9"/>
      <c r="P206" s="9"/>
      <c r="Q206" s="9"/>
      <c r="R206" s="9"/>
      <c r="S206" s="9"/>
      <c r="T206" s="9"/>
      <c r="U206" s="9"/>
      <c r="V206" s="9"/>
      <c r="W206" s="9"/>
      <c r="X206" s="9"/>
      <c r="Y206" s="9"/>
    </row>
    <row r="207" spans="2:25" x14ac:dyDescent="0.2">
      <c r="B207" s="7"/>
      <c r="C207" s="9"/>
      <c r="D207" s="9"/>
      <c r="E207" s="9"/>
      <c r="F207" s="9"/>
      <c r="G207" s="16"/>
      <c r="H207" s="9"/>
      <c r="I207" s="9"/>
      <c r="J207" s="9"/>
      <c r="K207" s="72"/>
      <c r="L207" s="9"/>
      <c r="M207" s="9"/>
      <c r="N207" s="9"/>
      <c r="O207" s="9"/>
      <c r="P207" s="9"/>
      <c r="Q207" s="9"/>
      <c r="R207" s="9"/>
      <c r="S207" s="9"/>
      <c r="T207" s="9"/>
      <c r="U207" s="9"/>
      <c r="V207" s="9"/>
      <c r="W207" s="9"/>
      <c r="X207" s="9"/>
      <c r="Y207" s="9"/>
    </row>
    <row r="208" spans="2:25" x14ac:dyDescent="0.2">
      <c r="B208" s="7"/>
      <c r="C208" s="9"/>
      <c r="D208" s="9"/>
      <c r="E208" s="9"/>
      <c r="F208" s="9"/>
      <c r="G208" s="16"/>
      <c r="H208" s="9"/>
      <c r="I208" s="9"/>
      <c r="J208" s="9"/>
      <c r="K208" s="72"/>
      <c r="L208" s="9"/>
      <c r="M208" s="9"/>
      <c r="N208" s="9"/>
      <c r="O208" s="9"/>
      <c r="P208" s="9"/>
      <c r="Q208" s="9"/>
      <c r="R208" s="9"/>
      <c r="S208" s="9"/>
      <c r="T208" s="9"/>
      <c r="U208" s="9"/>
      <c r="V208" s="9"/>
      <c r="W208" s="9"/>
      <c r="X208" s="9"/>
      <c r="Y208" s="9"/>
    </row>
    <row r="209" spans="2:25" x14ac:dyDescent="0.2">
      <c r="B209" s="7"/>
      <c r="C209" s="9"/>
      <c r="D209" s="9"/>
      <c r="E209" s="9"/>
      <c r="F209" s="9"/>
      <c r="G209" s="16"/>
      <c r="H209" s="9"/>
      <c r="I209" s="9"/>
      <c r="J209" s="9"/>
      <c r="K209" s="72"/>
      <c r="L209" s="9"/>
      <c r="M209" s="9"/>
      <c r="N209" s="9"/>
      <c r="O209" s="9"/>
      <c r="P209" s="9"/>
      <c r="Q209" s="9"/>
      <c r="R209" s="9"/>
      <c r="S209" s="9"/>
      <c r="T209" s="9"/>
      <c r="U209" s="9"/>
      <c r="V209" s="9"/>
      <c r="W209" s="9"/>
      <c r="X209" s="9"/>
      <c r="Y209" s="9"/>
    </row>
    <row r="210" spans="2:25" x14ac:dyDescent="0.2">
      <c r="B210" s="7"/>
      <c r="C210" s="9"/>
      <c r="D210" s="9"/>
      <c r="E210" s="9"/>
      <c r="F210" s="9"/>
      <c r="G210" s="16"/>
      <c r="H210" s="9"/>
      <c r="I210" s="9"/>
      <c r="J210" s="9"/>
      <c r="K210" s="72"/>
      <c r="L210" s="9"/>
      <c r="M210" s="9"/>
      <c r="N210" s="9"/>
      <c r="O210" s="9"/>
      <c r="P210" s="9"/>
      <c r="Q210" s="9"/>
      <c r="R210" s="9"/>
      <c r="S210" s="9"/>
      <c r="T210" s="9"/>
      <c r="U210" s="9"/>
      <c r="V210" s="9"/>
      <c r="W210" s="9"/>
      <c r="X210" s="9"/>
      <c r="Y210" s="9"/>
    </row>
    <row r="211" spans="2:25" x14ac:dyDescent="0.2">
      <c r="B211" s="7"/>
      <c r="C211" s="9"/>
      <c r="D211" s="9"/>
      <c r="E211" s="9"/>
      <c r="F211" s="9"/>
      <c r="G211" s="16"/>
      <c r="H211" s="9"/>
      <c r="I211" s="9"/>
      <c r="J211" s="9"/>
      <c r="K211" s="72"/>
      <c r="L211" s="9"/>
      <c r="M211" s="9"/>
      <c r="N211" s="9"/>
      <c r="O211" s="9"/>
      <c r="P211" s="9"/>
      <c r="Q211" s="9"/>
      <c r="R211" s="9"/>
      <c r="S211" s="9"/>
      <c r="T211" s="9"/>
      <c r="U211" s="9"/>
      <c r="V211" s="9"/>
      <c r="W211" s="9"/>
      <c r="X211" s="9"/>
      <c r="Y211" s="9"/>
    </row>
    <row r="212" spans="2:25" x14ac:dyDescent="0.2">
      <c r="B212" s="7"/>
      <c r="C212" s="9"/>
      <c r="D212" s="9"/>
      <c r="E212" s="9"/>
      <c r="F212" s="9"/>
      <c r="G212" s="16"/>
      <c r="H212" s="9"/>
      <c r="I212" s="9"/>
      <c r="J212" s="9"/>
      <c r="K212" s="72"/>
      <c r="L212" s="9"/>
      <c r="M212" s="9"/>
      <c r="N212" s="9"/>
      <c r="O212" s="9"/>
      <c r="P212" s="9"/>
      <c r="Q212" s="9"/>
      <c r="R212" s="9"/>
      <c r="S212" s="9"/>
      <c r="T212" s="9"/>
      <c r="U212" s="9"/>
      <c r="V212" s="9"/>
      <c r="W212" s="9"/>
      <c r="X212" s="9"/>
      <c r="Y212" s="9"/>
    </row>
    <row r="213" spans="2:25" x14ac:dyDescent="0.2">
      <c r="B213" s="7"/>
      <c r="C213" s="9"/>
      <c r="D213" s="9"/>
      <c r="E213" s="9"/>
      <c r="F213" s="9"/>
      <c r="G213" s="16"/>
      <c r="H213" s="9"/>
      <c r="I213" s="9"/>
      <c r="J213" s="9"/>
      <c r="K213" s="72"/>
      <c r="L213" s="9"/>
      <c r="M213" s="9"/>
      <c r="N213" s="9"/>
      <c r="O213" s="9"/>
      <c r="P213" s="9"/>
      <c r="Q213" s="9"/>
      <c r="R213" s="9"/>
      <c r="S213" s="9"/>
      <c r="T213" s="9"/>
      <c r="U213" s="9"/>
      <c r="V213" s="9"/>
      <c r="W213" s="9"/>
      <c r="X213" s="9"/>
      <c r="Y213" s="9"/>
    </row>
    <row r="214" spans="2:25" x14ac:dyDescent="0.2">
      <c r="B214" s="7"/>
      <c r="C214" s="9"/>
      <c r="D214" s="9"/>
      <c r="E214" s="9"/>
      <c r="F214" s="9"/>
      <c r="G214" s="16"/>
      <c r="H214" s="9"/>
      <c r="I214" s="9"/>
      <c r="J214" s="9"/>
      <c r="K214" s="72"/>
      <c r="L214" s="9"/>
      <c r="M214" s="9"/>
      <c r="N214" s="9"/>
      <c r="O214" s="9"/>
      <c r="P214" s="9"/>
      <c r="Q214" s="9"/>
      <c r="R214" s="9"/>
      <c r="S214" s="9"/>
      <c r="T214" s="9"/>
      <c r="U214" s="9"/>
      <c r="V214" s="9"/>
      <c r="W214" s="9"/>
      <c r="X214" s="9"/>
      <c r="Y214" s="9"/>
    </row>
    <row r="215" spans="2:25" x14ac:dyDescent="0.2">
      <c r="B215" s="7"/>
      <c r="C215" s="9"/>
      <c r="D215" s="9"/>
      <c r="E215" s="9"/>
      <c r="F215" s="9"/>
      <c r="G215" s="16"/>
      <c r="H215" s="9"/>
      <c r="I215" s="9"/>
      <c r="J215" s="9"/>
      <c r="K215" s="72"/>
      <c r="L215" s="9"/>
      <c r="M215" s="9"/>
      <c r="N215" s="9"/>
      <c r="O215" s="9"/>
      <c r="P215" s="9"/>
      <c r="Q215" s="9"/>
      <c r="R215" s="9"/>
      <c r="S215" s="9"/>
      <c r="T215" s="9"/>
      <c r="U215" s="9"/>
      <c r="V215" s="9"/>
      <c r="W215" s="9"/>
      <c r="X215" s="9"/>
      <c r="Y215" s="9"/>
    </row>
    <row r="216" spans="2:25" x14ac:dyDescent="0.2">
      <c r="B216" s="7"/>
      <c r="C216" s="9"/>
      <c r="D216" s="9"/>
      <c r="E216" s="9"/>
      <c r="F216" s="9"/>
      <c r="G216" s="16"/>
      <c r="H216" s="9"/>
      <c r="I216" s="9"/>
      <c r="J216" s="9"/>
      <c r="K216" s="72"/>
      <c r="L216" s="9"/>
      <c r="M216" s="9"/>
      <c r="N216" s="9"/>
      <c r="O216" s="9"/>
      <c r="P216" s="9"/>
      <c r="Q216" s="9"/>
      <c r="R216" s="9"/>
      <c r="S216" s="9"/>
      <c r="T216" s="9"/>
      <c r="U216" s="9"/>
      <c r="V216" s="9"/>
      <c r="W216" s="9"/>
      <c r="X216" s="9"/>
      <c r="Y216" s="9"/>
    </row>
    <row r="217" spans="2:25" x14ac:dyDescent="0.2">
      <c r="B217" s="7"/>
      <c r="C217" s="9"/>
      <c r="D217" s="9"/>
      <c r="E217" s="9"/>
      <c r="F217" s="9"/>
      <c r="G217" s="16"/>
      <c r="H217" s="9"/>
      <c r="I217" s="9"/>
      <c r="J217" s="9"/>
      <c r="K217" s="72"/>
      <c r="L217" s="9"/>
      <c r="M217" s="9"/>
      <c r="N217" s="9"/>
      <c r="O217" s="9"/>
      <c r="P217" s="9"/>
      <c r="Q217" s="9"/>
      <c r="R217" s="9"/>
      <c r="S217" s="9"/>
      <c r="T217" s="9"/>
      <c r="U217" s="9"/>
      <c r="V217" s="9"/>
      <c r="W217" s="9"/>
      <c r="X217" s="9"/>
      <c r="Y217" s="9"/>
    </row>
    <row r="218" spans="2:25" x14ac:dyDescent="0.2">
      <c r="B218" s="7"/>
      <c r="C218" s="9"/>
      <c r="D218" s="9"/>
      <c r="E218" s="9"/>
      <c r="F218" s="9"/>
      <c r="G218" s="16"/>
      <c r="H218" s="9"/>
      <c r="I218" s="9"/>
      <c r="J218" s="9"/>
      <c r="K218" s="72"/>
      <c r="L218" s="9"/>
      <c r="M218" s="9"/>
      <c r="N218" s="9"/>
      <c r="O218" s="9"/>
      <c r="P218" s="9"/>
      <c r="Q218" s="9"/>
      <c r="R218" s="9"/>
      <c r="S218" s="9"/>
      <c r="T218" s="9"/>
      <c r="U218" s="9"/>
      <c r="V218" s="9"/>
      <c r="W218" s="9"/>
      <c r="X218" s="9"/>
      <c r="Y218" s="9"/>
    </row>
    <row r="219" spans="2:25" x14ac:dyDescent="0.2">
      <c r="B219" s="7"/>
      <c r="C219" s="9"/>
      <c r="D219" s="9"/>
      <c r="E219" s="9"/>
      <c r="F219" s="9"/>
      <c r="G219" s="16"/>
      <c r="H219" s="9"/>
      <c r="I219" s="9"/>
      <c r="J219" s="9"/>
      <c r="K219" s="72"/>
      <c r="L219" s="9"/>
      <c r="M219" s="9"/>
      <c r="N219" s="9"/>
      <c r="O219" s="9"/>
      <c r="P219" s="9"/>
      <c r="Q219" s="9"/>
      <c r="R219" s="9"/>
      <c r="S219" s="9"/>
      <c r="T219" s="9"/>
      <c r="U219" s="9"/>
      <c r="V219" s="9"/>
      <c r="W219" s="9"/>
      <c r="X219" s="9"/>
      <c r="Y219" s="9"/>
    </row>
    <row r="220" spans="2:25" x14ac:dyDescent="0.2">
      <c r="B220" s="7"/>
      <c r="C220" s="9"/>
      <c r="D220" s="9"/>
      <c r="E220" s="9"/>
      <c r="F220" s="9"/>
      <c r="G220" s="16"/>
      <c r="H220" s="9"/>
      <c r="I220" s="9"/>
      <c r="J220" s="9"/>
      <c r="K220" s="72"/>
      <c r="L220" s="9"/>
      <c r="M220" s="9"/>
      <c r="N220" s="9"/>
      <c r="O220" s="9"/>
      <c r="P220" s="9"/>
      <c r="Q220" s="9"/>
      <c r="R220" s="9"/>
      <c r="S220" s="9"/>
      <c r="T220" s="9"/>
      <c r="U220" s="9"/>
      <c r="V220" s="9"/>
      <c r="W220" s="9"/>
      <c r="X220" s="9"/>
      <c r="Y220" s="9"/>
    </row>
    <row r="221" spans="2:25" x14ac:dyDescent="0.2">
      <c r="B221" s="7"/>
      <c r="C221" s="9"/>
      <c r="D221" s="9"/>
      <c r="E221" s="9"/>
      <c r="F221" s="9"/>
      <c r="G221" s="16"/>
      <c r="H221" s="9"/>
      <c r="I221" s="9"/>
      <c r="J221" s="9"/>
      <c r="K221" s="72"/>
      <c r="L221" s="9"/>
      <c r="M221" s="9"/>
      <c r="N221" s="9"/>
      <c r="O221" s="9"/>
      <c r="P221" s="9"/>
      <c r="Q221" s="9"/>
      <c r="R221" s="9"/>
      <c r="S221" s="9"/>
      <c r="T221" s="9"/>
      <c r="U221" s="9"/>
      <c r="V221" s="9"/>
      <c r="W221" s="9"/>
      <c r="X221" s="9"/>
      <c r="Y221" s="9"/>
    </row>
    <row r="222" spans="2:25" x14ac:dyDescent="0.2">
      <c r="B222" s="7"/>
      <c r="C222" s="9"/>
      <c r="D222" s="9"/>
      <c r="E222" s="9"/>
      <c r="F222" s="9"/>
      <c r="G222" s="16"/>
      <c r="H222" s="9"/>
      <c r="I222" s="9"/>
      <c r="J222" s="9"/>
      <c r="K222" s="72"/>
      <c r="L222" s="9"/>
      <c r="M222" s="9"/>
      <c r="N222" s="9"/>
      <c r="O222" s="9"/>
      <c r="P222" s="9"/>
      <c r="Q222" s="9"/>
      <c r="R222" s="9"/>
      <c r="S222" s="9"/>
      <c r="T222" s="9"/>
      <c r="U222" s="9"/>
      <c r="V222" s="9"/>
      <c r="W222" s="9"/>
      <c r="X222" s="9"/>
      <c r="Y222" s="9"/>
    </row>
    <row r="223" spans="2:25" x14ac:dyDescent="0.2">
      <c r="B223" s="7"/>
      <c r="C223" s="9"/>
      <c r="D223" s="9"/>
      <c r="E223" s="9"/>
      <c r="F223" s="9"/>
      <c r="G223" s="16"/>
      <c r="H223" s="9"/>
      <c r="I223" s="9"/>
      <c r="J223" s="9"/>
      <c r="K223" s="72"/>
      <c r="L223" s="9"/>
      <c r="M223" s="9"/>
      <c r="N223" s="9"/>
      <c r="O223" s="9"/>
      <c r="P223" s="9"/>
      <c r="Q223" s="9"/>
      <c r="R223" s="9"/>
      <c r="S223" s="9"/>
      <c r="T223" s="9"/>
      <c r="U223" s="9"/>
      <c r="V223" s="9"/>
      <c r="W223" s="9"/>
      <c r="X223" s="9"/>
      <c r="Y223" s="9"/>
    </row>
    <row r="224" spans="2:25" x14ac:dyDescent="0.2">
      <c r="B224" s="7"/>
      <c r="C224" s="9"/>
      <c r="D224" s="9"/>
      <c r="E224" s="9"/>
      <c r="F224" s="9"/>
      <c r="G224" s="16"/>
      <c r="H224" s="9"/>
      <c r="I224" s="9"/>
      <c r="J224" s="9"/>
      <c r="K224" s="72"/>
      <c r="L224" s="9"/>
      <c r="M224" s="9"/>
      <c r="N224" s="9"/>
      <c r="O224" s="9"/>
      <c r="P224" s="9"/>
      <c r="Q224" s="9"/>
      <c r="R224" s="9"/>
      <c r="S224" s="9"/>
      <c r="T224" s="9"/>
      <c r="U224" s="9"/>
      <c r="V224" s="9"/>
      <c r="W224" s="9"/>
      <c r="X224" s="9"/>
      <c r="Y224" s="9"/>
    </row>
    <row r="225" spans="2:25" x14ac:dyDescent="0.2">
      <c r="B225" s="7"/>
      <c r="C225" s="9"/>
      <c r="D225" s="9"/>
      <c r="E225" s="9"/>
      <c r="F225" s="9"/>
      <c r="G225" s="16"/>
      <c r="H225" s="9"/>
      <c r="I225" s="9"/>
      <c r="J225" s="9"/>
      <c r="K225" s="72"/>
      <c r="L225" s="9"/>
      <c r="M225" s="9"/>
      <c r="N225" s="9"/>
      <c r="O225" s="9"/>
      <c r="P225" s="9"/>
      <c r="Q225" s="9"/>
      <c r="R225" s="9"/>
      <c r="S225" s="9"/>
      <c r="T225" s="9"/>
      <c r="U225" s="9"/>
      <c r="V225" s="9"/>
      <c r="W225" s="9"/>
      <c r="X225" s="9"/>
      <c r="Y225" s="9"/>
    </row>
    <row r="226" spans="2:25" x14ac:dyDescent="0.2">
      <c r="B226" s="7"/>
      <c r="C226" s="9"/>
      <c r="D226" s="9"/>
      <c r="E226" s="9"/>
      <c r="F226" s="9"/>
      <c r="G226" s="16"/>
      <c r="H226" s="9"/>
      <c r="I226" s="9"/>
      <c r="J226" s="9"/>
      <c r="K226" s="72"/>
      <c r="L226" s="9"/>
      <c r="M226" s="9"/>
      <c r="N226" s="9"/>
      <c r="O226" s="9"/>
      <c r="P226" s="9"/>
      <c r="Q226" s="9"/>
      <c r="R226" s="9"/>
      <c r="S226" s="9"/>
      <c r="T226" s="9"/>
      <c r="U226" s="9"/>
      <c r="V226" s="9"/>
      <c r="W226" s="9"/>
      <c r="X226" s="9"/>
      <c r="Y226" s="9"/>
    </row>
    <row r="227" spans="2:25" x14ac:dyDescent="0.2">
      <c r="B227" s="7"/>
      <c r="C227" s="9"/>
      <c r="D227" s="9"/>
      <c r="E227" s="9"/>
      <c r="F227" s="9"/>
      <c r="G227" s="16"/>
      <c r="H227" s="9"/>
      <c r="I227" s="9"/>
      <c r="J227" s="9"/>
      <c r="K227" s="72"/>
      <c r="L227" s="9"/>
      <c r="M227" s="9"/>
      <c r="N227" s="9"/>
      <c r="O227" s="9"/>
      <c r="P227" s="9"/>
      <c r="Q227" s="9"/>
      <c r="R227" s="9"/>
      <c r="S227" s="9"/>
      <c r="T227" s="9"/>
      <c r="U227" s="9"/>
      <c r="V227" s="9"/>
      <c r="W227" s="9"/>
      <c r="X227" s="9"/>
      <c r="Y227" s="9"/>
    </row>
    <row r="228" spans="2:25" x14ac:dyDescent="0.2">
      <c r="B228" s="7"/>
      <c r="C228" s="9"/>
      <c r="D228" s="9"/>
      <c r="E228" s="9"/>
      <c r="F228" s="9"/>
      <c r="G228" s="16"/>
      <c r="H228" s="9"/>
      <c r="I228" s="9"/>
      <c r="J228" s="9"/>
      <c r="K228" s="72"/>
      <c r="L228" s="9"/>
      <c r="M228" s="9"/>
      <c r="N228" s="9"/>
      <c r="O228" s="9"/>
      <c r="P228" s="9"/>
      <c r="Q228" s="9"/>
      <c r="R228" s="9"/>
      <c r="S228" s="9"/>
      <c r="T228" s="9"/>
      <c r="U228" s="9"/>
      <c r="V228" s="9"/>
      <c r="W228" s="9"/>
      <c r="X228" s="9"/>
      <c r="Y228" s="9"/>
    </row>
    <row r="229" spans="2:25" x14ac:dyDescent="0.2">
      <c r="B229" s="7"/>
      <c r="C229" s="9"/>
      <c r="D229" s="9"/>
      <c r="E229" s="9"/>
      <c r="F229" s="9"/>
      <c r="G229" s="16"/>
      <c r="H229" s="9"/>
      <c r="I229" s="9"/>
      <c r="J229" s="9"/>
      <c r="K229" s="72"/>
      <c r="L229" s="9"/>
      <c r="M229" s="9"/>
      <c r="N229" s="9"/>
      <c r="O229" s="9"/>
      <c r="P229" s="9"/>
      <c r="Q229" s="9"/>
      <c r="R229" s="9"/>
      <c r="S229" s="9"/>
      <c r="T229" s="9"/>
      <c r="U229" s="9"/>
      <c r="V229" s="9"/>
      <c r="W229" s="9"/>
      <c r="X229" s="9"/>
      <c r="Y229" s="9"/>
    </row>
    <row r="230" spans="2:25" x14ac:dyDescent="0.2">
      <c r="B230" s="7"/>
      <c r="C230" s="9"/>
      <c r="D230" s="9"/>
      <c r="E230" s="9"/>
      <c r="F230" s="9"/>
      <c r="G230" s="16"/>
      <c r="H230" s="9"/>
      <c r="I230" s="9"/>
      <c r="J230" s="9"/>
      <c r="K230" s="72"/>
      <c r="L230" s="9"/>
      <c r="M230" s="9"/>
      <c r="N230" s="9"/>
      <c r="O230" s="9"/>
      <c r="P230" s="9"/>
      <c r="Q230" s="9"/>
      <c r="R230" s="9"/>
      <c r="S230" s="9"/>
      <c r="T230" s="9"/>
      <c r="U230" s="9"/>
      <c r="V230" s="9"/>
      <c r="W230" s="9"/>
      <c r="X230" s="9"/>
      <c r="Y230" s="9"/>
    </row>
    <row r="231" spans="2:25" x14ac:dyDescent="0.2">
      <c r="B231" s="7"/>
      <c r="C231" s="9"/>
      <c r="D231" s="9"/>
      <c r="E231" s="9"/>
      <c r="F231" s="9"/>
      <c r="G231" s="16"/>
      <c r="H231" s="9"/>
      <c r="I231" s="9"/>
      <c r="J231" s="9"/>
      <c r="K231" s="72"/>
      <c r="L231" s="9"/>
      <c r="M231" s="9"/>
      <c r="N231" s="9"/>
      <c r="O231" s="9"/>
      <c r="P231" s="9"/>
      <c r="Q231" s="9"/>
      <c r="R231" s="9"/>
      <c r="S231" s="9"/>
      <c r="T231" s="9"/>
      <c r="U231" s="9"/>
      <c r="V231" s="9"/>
      <c r="W231" s="9"/>
      <c r="X231" s="9"/>
      <c r="Y231" s="9"/>
    </row>
    <row r="232" spans="2:25" x14ac:dyDescent="0.2">
      <c r="B232" s="7"/>
      <c r="C232" s="9"/>
      <c r="D232" s="9"/>
      <c r="E232" s="9"/>
      <c r="F232" s="9"/>
      <c r="G232" s="16"/>
      <c r="H232" s="9"/>
      <c r="I232" s="9"/>
      <c r="J232" s="9"/>
      <c r="K232" s="72"/>
      <c r="L232" s="9"/>
      <c r="M232" s="9"/>
      <c r="N232" s="9"/>
      <c r="O232" s="9"/>
      <c r="P232" s="9"/>
      <c r="Q232" s="9"/>
      <c r="R232" s="9"/>
      <c r="S232" s="9"/>
      <c r="T232" s="9"/>
      <c r="U232" s="9"/>
      <c r="V232" s="9"/>
      <c r="W232" s="9"/>
      <c r="X232" s="9"/>
      <c r="Y232" s="9"/>
    </row>
    <row r="233" spans="2:25" x14ac:dyDescent="0.2">
      <c r="B233" s="7"/>
      <c r="C233" s="9"/>
      <c r="D233" s="9"/>
      <c r="E233" s="9"/>
      <c r="F233" s="9"/>
      <c r="G233" s="16"/>
      <c r="H233" s="9"/>
      <c r="I233" s="9"/>
      <c r="J233" s="9"/>
      <c r="K233" s="72"/>
      <c r="L233" s="9"/>
      <c r="M233" s="9"/>
      <c r="N233" s="9"/>
      <c r="O233" s="9"/>
      <c r="P233" s="9"/>
      <c r="Q233" s="9"/>
      <c r="R233" s="9"/>
      <c r="S233" s="9"/>
      <c r="T233" s="9"/>
      <c r="U233" s="9"/>
      <c r="V233" s="9"/>
      <c r="W233" s="9"/>
      <c r="X233" s="9"/>
      <c r="Y233" s="9"/>
    </row>
    <row r="234" spans="2:25" x14ac:dyDescent="0.2">
      <c r="B234" s="7"/>
      <c r="C234" s="9"/>
      <c r="D234" s="9"/>
      <c r="E234" s="9"/>
      <c r="F234" s="9"/>
      <c r="G234" s="16"/>
      <c r="H234" s="9"/>
      <c r="I234" s="9"/>
      <c r="J234" s="9"/>
      <c r="K234" s="72"/>
      <c r="L234" s="9"/>
      <c r="M234" s="9"/>
      <c r="N234" s="9"/>
      <c r="O234" s="9"/>
      <c r="P234" s="9"/>
      <c r="Q234" s="9"/>
      <c r="R234" s="9"/>
      <c r="S234" s="9"/>
      <c r="T234" s="9"/>
      <c r="U234" s="9"/>
      <c r="V234" s="9"/>
      <c r="W234" s="9"/>
      <c r="X234" s="9"/>
      <c r="Y234" s="9"/>
    </row>
    <row r="235" spans="2:25" x14ac:dyDescent="0.2">
      <c r="B235" s="7"/>
      <c r="C235" s="9"/>
      <c r="D235" s="9"/>
      <c r="E235" s="9"/>
      <c r="F235" s="9"/>
      <c r="G235" s="16"/>
      <c r="H235" s="9"/>
      <c r="I235" s="9"/>
      <c r="J235" s="9"/>
      <c r="K235" s="72"/>
      <c r="L235" s="9"/>
      <c r="M235" s="9"/>
      <c r="N235" s="9"/>
      <c r="O235" s="9"/>
      <c r="P235" s="9"/>
      <c r="Q235" s="9"/>
      <c r="R235" s="9"/>
      <c r="S235" s="9"/>
      <c r="T235" s="9"/>
      <c r="U235" s="9"/>
      <c r="V235" s="9"/>
      <c r="W235" s="9"/>
      <c r="X235" s="9"/>
      <c r="Y235" s="9"/>
    </row>
    <row r="236" spans="2:25" x14ac:dyDescent="0.2">
      <c r="B236" s="7"/>
      <c r="C236" s="9"/>
      <c r="D236" s="9"/>
      <c r="E236" s="9"/>
      <c r="F236" s="9"/>
      <c r="G236" s="16"/>
      <c r="H236" s="9"/>
      <c r="I236" s="9"/>
      <c r="J236" s="9"/>
      <c r="K236" s="72"/>
      <c r="L236" s="9"/>
      <c r="M236" s="9"/>
      <c r="N236" s="9"/>
      <c r="O236" s="9"/>
      <c r="P236" s="9"/>
      <c r="Q236" s="9"/>
      <c r="R236" s="9"/>
      <c r="S236" s="9"/>
      <c r="T236" s="9"/>
      <c r="U236" s="9"/>
      <c r="V236" s="9"/>
      <c r="W236" s="9"/>
      <c r="X236" s="9"/>
      <c r="Y236" s="9"/>
    </row>
    <row r="237" spans="2:25" x14ac:dyDescent="0.2">
      <c r="B237" s="7"/>
      <c r="C237" s="9"/>
      <c r="D237" s="9"/>
      <c r="E237" s="9"/>
      <c r="F237" s="9"/>
      <c r="G237" s="16"/>
      <c r="H237" s="9"/>
      <c r="I237" s="9"/>
      <c r="J237" s="9"/>
      <c r="K237" s="72"/>
      <c r="L237" s="9"/>
      <c r="M237" s="9"/>
      <c r="N237" s="9"/>
      <c r="O237" s="9"/>
      <c r="P237" s="9"/>
      <c r="Q237" s="9"/>
      <c r="R237" s="9"/>
      <c r="S237" s="9"/>
      <c r="T237" s="9"/>
      <c r="U237" s="9"/>
      <c r="V237" s="9"/>
      <c r="W237" s="9"/>
      <c r="X237" s="9"/>
      <c r="Y237" s="9"/>
    </row>
    <row r="238" spans="2:25" x14ac:dyDescent="0.2">
      <c r="B238" s="7"/>
      <c r="C238" s="9"/>
      <c r="D238" s="9"/>
      <c r="E238" s="9"/>
      <c r="F238" s="9"/>
      <c r="G238" s="16"/>
      <c r="H238" s="9"/>
      <c r="I238" s="9"/>
      <c r="J238" s="9"/>
      <c r="K238" s="72"/>
      <c r="L238" s="9"/>
      <c r="M238" s="9"/>
      <c r="N238" s="9"/>
      <c r="O238" s="9"/>
      <c r="P238" s="9"/>
      <c r="Q238" s="9"/>
      <c r="R238" s="9"/>
      <c r="S238" s="9"/>
      <c r="T238" s="9"/>
      <c r="U238" s="9"/>
      <c r="V238" s="9"/>
      <c r="W238" s="9"/>
      <c r="X238" s="9"/>
      <c r="Y238" s="9"/>
    </row>
    <row r="239" spans="2:25" x14ac:dyDescent="0.2">
      <c r="B239" s="7"/>
      <c r="C239" s="9"/>
      <c r="D239" s="9"/>
      <c r="E239" s="9"/>
      <c r="F239" s="9"/>
      <c r="G239" s="16"/>
      <c r="H239" s="9"/>
      <c r="I239" s="9"/>
      <c r="J239" s="9"/>
      <c r="K239" s="72"/>
      <c r="L239" s="9"/>
      <c r="M239" s="9"/>
      <c r="N239" s="9"/>
      <c r="O239" s="9"/>
      <c r="P239" s="9"/>
      <c r="Q239" s="9"/>
      <c r="R239" s="9"/>
      <c r="S239" s="9"/>
      <c r="T239" s="9"/>
      <c r="U239" s="9"/>
      <c r="V239" s="9"/>
      <c r="W239" s="9"/>
      <c r="X239" s="9"/>
      <c r="Y239" s="9"/>
    </row>
    <row r="240" spans="2:25" x14ac:dyDescent="0.2">
      <c r="B240" s="7"/>
      <c r="C240" s="9"/>
      <c r="D240" s="9"/>
      <c r="E240" s="9"/>
      <c r="F240" s="9"/>
      <c r="G240" s="16"/>
      <c r="H240" s="9"/>
      <c r="I240" s="9"/>
      <c r="J240" s="9"/>
      <c r="K240" s="72"/>
      <c r="L240" s="9"/>
      <c r="M240" s="9"/>
      <c r="N240" s="9"/>
      <c r="O240" s="9"/>
      <c r="P240" s="9"/>
      <c r="Q240" s="9"/>
      <c r="R240" s="9"/>
      <c r="S240" s="9"/>
      <c r="T240" s="9"/>
      <c r="U240" s="9"/>
      <c r="V240" s="9"/>
      <c r="W240" s="9"/>
      <c r="X240" s="9"/>
      <c r="Y240" s="9"/>
    </row>
    <row r="241" spans="2:25" x14ac:dyDescent="0.2">
      <c r="B241" s="7"/>
      <c r="C241" s="9"/>
      <c r="D241" s="9"/>
      <c r="E241" s="9"/>
      <c r="F241" s="9"/>
      <c r="G241" s="16"/>
      <c r="H241" s="9"/>
      <c r="I241" s="9"/>
      <c r="J241" s="9"/>
      <c r="K241" s="72"/>
      <c r="L241" s="9"/>
      <c r="M241" s="9"/>
      <c r="N241" s="9"/>
      <c r="O241" s="9"/>
      <c r="P241" s="9"/>
      <c r="Q241" s="9"/>
      <c r="R241" s="9"/>
      <c r="S241" s="9"/>
      <c r="T241" s="9"/>
      <c r="U241" s="9"/>
      <c r="V241" s="9"/>
      <c r="W241" s="9"/>
      <c r="X241" s="9"/>
      <c r="Y241" s="9"/>
    </row>
    <row r="242" spans="2:25" x14ac:dyDescent="0.2">
      <c r="B242" s="7"/>
      <c r="C242" s="9"/>
      <c r="D242" s="9"/>
      <c r="E242" s="9"/>
      <c r="F242" s="9"/>
      <c r="G242" s="16"/>
      <c r="H242" s="9"/>
      <c r="I242" s="9"/>
      <c r="J242" s="9"/>
      <c r="K242" s="72"/>
      <c r="L242" s="9"/>
      <c r="M242" s="9"/>
      <c r="N242" s="9"/>
      <c r="O242" s="9"/>
      <c r="P242" s="9"/>
      <c r="Q242" s="9"/>
      <c r="R242" s="9"/>
      <c r="S242" s="9"/>
      <c r="T242" s="9"/>
      <c r="U242" s="9"/>
      <c r="V242" s="9"/>
      <c r="W242" s="9"/>
      <c r="X242" s="9"/>
      <c r="Y242" s="9"/>
    </row>
    <row r="243" spans="2:25" x14ac:dyDescent="0.2">
      <c r="B243" s="7"/>
      <c r="C243" s="9"/>
      <c r="D243" s="9"/>
      <c r="E243" s="9"/>
      <c r="F243" s="9"/>
      <c r="G243" s="16"/>
      <c r="H243" s="9"/>
      <c r="I243" s="9"/>
      <c r="J243" s="9"/>
      <c r="K243" s="72"/>
      <c r="L243" s="9"/>
      <c r="M243" s="9"/>
      <c r="N243" s="9"/>
      <c r="O243" s="9"/>
      <c r="P243" s="9"/>
      <c r="Q243" s="9"/>
      <c r="R243" s="9"/>
      <c r="S243" s="9"/>
      <c r="T243" s="9"/>
      <c r="U243" s="9"/>
      <c r="V243" s="9"/>
      <c r="W243" s="9"/>
      <c r="X243" s="9"/>
      <c r="Y243" s="9"/>
    </row>
    <row r="244" spans="2:25" x14ac:dyDescent="0.2">
      <c r="B244" s="7"/>
      <c r="C244" s="9"/>
      <c r="D244" s="9"/>
      <c r="E244" s="9"/>
      <c r="F244" s="9"/>
      <c r="G244" s="16"/>
      <c r="H244" s="9"/>
      <c r="I244" s="9"/>
      <c r="J244" s="9"/>
      <c r="K244" s="72"/>
      <c r="L244" s="9"/>
      <c r="M244" s="9"/>
      <c r="N244" s="9"/>
      <c r="O244" s="9"/>
      <c r="P244" s="9"/>
      <c r="Q244" s="9"/>
      <c r="R244" s="9"/>
      <c r="S244" s="9"/>
      <c r="T244" s="9"/>
      <c r="U244" s="9"/>
      <c r="V244" s="9"/>
      <c r="W244" s="9"/>
      <c r="X244" s="9"/>
      <c r="Y244" s="9"/>
    </row>
    <row r="245" spans="2:25" x14ac:dyDescent="0.2">
      <c r="B245" s="7"/>
      <c r="C245" s="9"/>
      <c r="D245" s="9"/>
      <c r="E245" s="9"/>
      <c r="F245" s="9"/>
      <c r="G245" s="16"/>
      <c r="H245" s="9"/>
      <c r="I245" s="9"/>
      <c r="J245" s="9"/>
      <c r="K245" s="72"/>
      <c r="L245" s="9"/>
      <c r="M245" s="9"/>
      <c r="N245" s="9"/>
      <c r="O245" s="9"/>
      <c r="P245" s="9"/>
      <c r="Q245" s="9"/>
      <c r="R245" s="9"/>
      <c r="S245" s="9"/>
      <c r="T245" s="9"/>
      <c r="U245" s="9"/>
      <c r="V245" s="9"/>
      <c r="W245" s="9"/>
      <c r="X245" s="9"/>
      <c r="Y245" s="9"/>
    </row>
    <row r="246" spans="2:25" x14ac:dyDescent="0.2">
      <c r="B246" s="7"/>
      <c r="C246" s="9"/>
      <c r="D246" s="9"/>
      <c r="E246" s="9"/>
      <c r="F246" s="9"/>
      <c r="G246" s="16"/>
      <c r="H246" s="9"/>
      <c r="I246" s="9"/>
      <c r="J246" s="9"/>
      <c r="K246" s="72"/>
      <c r="L246" s="9"/>
      <c r="M246" s="9"/>
      <c r="N246" s="9"/>
      <c r="O246" s="9"/>
      <c r="P246" s="9"/>
      <c r="Q246" s="9"/>
      <c r="R246" s="9"/>
      <c r="S246" s="9"/>
      <c r="T246" s="9"/>
      <c r="U246" s="9"/>
      <c r="V246" s="9"/>
      <c r="W246" s="9"/>
      <c r="X246" s="9"/>
      <c r="Y246" s="9"/>
    </row>
    <row r="247" spans="2:25" x14ac:dyDescent="0.2">
      <c r="B247" s="7"/>
      <c r="C247" s="9"/>
      <c r="D247" s="9"/>
      <c r="E247" s="9"/>
      <c r="F247" s="9"/>
      <c r="G247" s="16"/>
      <c r="H247" s="9"/>
      <c r="I247" s="9"/>
      <c r="J247" s="9"/>
      <c r="K247" s="72"/>
      <c r="L247" s="9"/>
      <c r="M247" s="9"/>
      <c r="N247" s="9"/>
      <c r="O247" s="9"/>
      <c r="P247" s="9"/>
      <c r="Q247" s="9"/>
      <c r="R247" s="9"/>
      <c r="S247" s="9"/>
      <c r="T247" s="9"/>
      <c r="U247" s="9"/>
      <c r="V247" s="9"/>
      <c r="W247" s="9"/>
      <c r="X247" s="9"/>
      <c r="Y247" s="9"/>
    </row>
    <row r="248" spans="2:25" x14ac:dyDescent="0.2">
      <c r="B248" s="7"/>
      <c r="C248" s="9"/>
      <c r="D248" s="9"/>
      <c r="E248" s="9"/>
      <c r="F248" s="9"/>
      <c r="G248" s="16"/>
      <c r="H248" s="9"/>
      <c r="I248" s="9"/>
      <c r="J248" s="9"/>
      <c r="K248" s="72"/>
      <c r="L248" s="9"/>
      <c r="M248" s="9"/>
      <c r="N248" s="9"/>
      <c r="O248" s="9"/>
      <c r="P248" s="9"/>
      <c r="Q248" s="9"/>
      <c r="R248" s="9"/>
      <c r="S248" s="9"/>
      <c r="T248" s="9"/>
      <c r="U248" s="9"/>
      <c r="V248" s="9"/>
      <c r="W248" s="9"/>
      <c r="X248" s="9"/>
      <c r="Y248" s="9"/>
    </row>
    <row r="249" spans="2:25" x14ac:dyDescent="0.2">
      <c r="B249" s="7"/>
      <c r="C249" s="9"/>
      <c r="D249" s="9"/>
      <c r="E249" s="9"/>
      <c r="F249" s="9"/>
      <c r="G249" s="16"/>
      <c r="H249" s="9"/>
      <c r="I249" s="9"/>
      <c r="J249" s="9"/>
      <c r="K249" s="72"/>
      <c r="L249" s="9"/>
      <c r="M249" s="9"/>
      <c r="N249" s="9"/>
      <c r="O249" s="9"/>
      <c r="P249" s="9"/>
      <c r="Q249" s="9"/>
      <c r="R249" s="9"/>
      <c r="S249" s="9"/>
      <c r="T249" s="9"/>
      <c r="U249" s="9"/>
      <c r="V249" s="9"/>
      <c r="W249" s="9"/>
      <c r="X249" s="9"/>
      <c r="Y249" s="9"/>
    </row>
    <row r="250" spans="2:25" x14ac:dyDescent="0.2">
      <c r="B250" s="7"/>
      <c r="C250" s="9"/>
      <c r="D250" s="9"/>
      <c r="E250" s="9"/>
      <c r="F250" s="9"/>
      <c r="G250" s="16"/>
      <c r="H250" s="9"/>
      <c r="I250" s="9"/>
      <c r="J250" s="9"/>
      <c r="K250" s="72"/>
      <c r="L250" s="9"/>
      <c r="M250" s="9"/>
      <c r="N250" s="9"/>
      <c r="O250" s="9"/>
      <c r="P250" s="9"/>
      <c r="Q250" s="9"/>
      <c r="R250" s="9"/>
      <c r="S250" s="9"/>
      <c r="T250" s="9"/>
      <c r="U250" s="9"/>
      <c r="V250" s="9"/>
      <c r="W250" s="9"/>
      <c r="X250" s="9"/>
      <c r="Y250" s="9"/>
    </row>
    <row r="251" spans="2:25" x14ac:dyDescent="0.2">
      <c r="B251" s="7"/>
      <c r="C251" s="9"/>
      <c r="D251" s="9"/>
      <c r="E251" s="9"/>
      <c r="F251" s="9"/>
      <c r="G251" s="16"/>
      <c r="H251" s="9"/>
      <c r="I251" s="9"/>
      <c r="J251" s="9"/>
      <c r="K251" s="72"/>
      <c r="L251" s="9"/>
      <c r="M251" s="9"/>
      <c r="N251" s="9"/>
      <c r="O251" s="9"/>
      <c r="P251" s="9"/>
      <c r="Q251" s="9"/>
      <c r="R251" s="9"/>
      <c r="S251" s="9"/>
      <c r="T251" s="9"/>
      <c r="U251" s="9"/>
      <c r="V251" s="9"/>
      <c r="W251" s="9"/>
      <c r="X251" s="9"/>
      <c r="Y251" s="9"/>
    </row>
    <row r="252" spans="2:25" x14ac:dyDescent="0.2">
      <c r="B252" s="7"/>
      <c r="C252" s="9"/>
      <c r="D252" s="9"/>
      <c r="E252" s="9"/>
      <c r="F252" s="9"/>
      <c r="G252" s="16"/>
      <c r="H252" s="9"/>
      <c r="I252" s="9"/>
      <c r="J252" s="9"/>
      <c r="K252" s="72"/>
      <c r="L252" s="9"/>
      <c r="M252" s="9"/>
      <c r="N252" s="9"/>
      <c r="O252" s="9"/>
      <c r="P252" s="9"/>
      <c r="Q252" s="9"/>
      <c r="R252" s="9"/>
      <c r="S252" s="9"/>
      <c r="T252" s="9"/>
      <c r="U252" s="9"/>
      <c r="V252" s="9"/>
      <c r="W252" s="9"/>
      <c r="X252" s="9"/>
      <c r="Y252" s="9"/>
    </row>
    <row r="253" spans="2:25" x14ac:dyDescent="0.2">
      <c r="B253" s="7"/>
      <c r="C253" s="9"/>
      <c r="D253" s="9"/>
      <c r="E253" s="9"/>
      <c r="F253" s="9"/>
      <c r="G253" s="16"/>
      <c r="H253" s="9"/>
      <c r="I253" s="9"/>
      <c r="J253" s="9"/>
      <c r="K253" s="72"/>
      <c r="L253" s="9"/>
      <c r="M253" s="9"/>
      <c r="N253" s="9"/>
      <c r="O253" s="9"/>
      <c r="P253" s="9"/>
      <c r="Q253" s="9"/>
      <c r="R253" s="9"/>
      <c r="S253" s="9"/>
      <c r="T253" s="9"/>
      <c r="U253" s="9"/>
      <c r="V253" s="9"/>
      <c r="W253" s="9"/>
      <c r="X253" s="9"/>
      <c r="Y253" s="9"/>
    </row>
    <row r="254" spans="2:25" x14ac:dyDescent="0.2">
      <c r="B254" s="7"/>
      <c r="C254" s="9"/>
      <c r="D254" s="9"/>
      <c r="E254" s="9"/>
      <c r="F254" s="9"/>
      <c r="G254" s="16"/>
      <c r="H254" s="9"/>
      <c r="I254" s="9"/>
      <c r="J254" s="9"/>
      <c r="K254" s="72"/>
      <c r="L254" s="9"/>
      <c r="M254" s="9"/>
      <c r="N254" s="9"/>
      <c r="O254" s="9"/>
      <c r="P254" s="9"/>
      <c r="Q254" s="9"/>
      <c r="R254" s="9"/>
      <c r="S254" s="9"/>
      <c r="T254" s="9"/>
      <c r="U254" s="9"/>
      <c r="V254" s="9"/>
      <c r="W254" s="9"/>
      <c r="X254" s="9"/>
      <c r="Y254" s="9"/>
    </row>
    <row r="255" spans="2:25" x14ac:dyDescent="0.2">
      <c r="B255" s="7"/>
      <c r="C255" s="9"/>
      <c r="D255" s="9"/>
      <c r="E255" s="9"/>
      <c r="F255" s="9"/>
      <c r="G255" s="16"/>
      <c r="H255" s="9"/>
      <c r="I255" s="9"/>
      <c r="J255" s="9"/>
      <c r="K255" s="72"/>
      <c r="L255" s="9"/>
      <c r="M255" s="9"/>
      <c r="N255" s="9"/>
      <c r="O255" s="9"/>
      <c r="P255" s="9"/>
      <c r="Q255" s="9"/>
      <c r="R255" s="9"/>
      <c r="S255" s="9"/>
      <c r="T255" s="9"/>
      <c r="U255" s="9"/>
      <c r="V255" s="9"/>
      <c r="W255" s="9"/>
      <c r="X255" s="9"/>
      <c r="Y255" s="9"/>
    </row>
    <row r="256" spans="2:25" x14ac:dyDescent="0.2">
      <c r="B256" s="7"/>
      <c r="C256" s="9"/>
      <c r="D256" s="9"/>
      <c r="E256" s="9"/>
      <c r="F256" s="9"/>
      <c r="G256" s="16"/>
      <c r="H256" s="9"/>
      <c r="I256" s="9"/>
      <c r="J256" s="9"/>
      <c r="K256" s="72"/>
      <c r="L256" s="9"/>
      <c r="M256" s="9"/>
      <c r="N256" s="9"/>
      <c r="O256" s="9"/>
      <c r="P256" s="9"/>
      <c r="Q256" s="9"/>
      <c r="R256" s="9"/>
      <c r="S256" s="9"/>
      <c r="T256" s="9"/>
      <c r="U256" s="9"/>
      <c r="V256" s="9"/>
      <c r="W256" s="9"/>
      <c r="X256" s="9"/>
      <c r="Y256" s="9"/>
    </row>
    <row r="257" spans="2:25" x14ac:dyDescent="0.2">
      <c r="B257" s="7"/>
      <c r="C257" s="9"/>
      <c r="D257" s="9"/>
      <c r="E257" s="9"/>
      <c r="F257" s="9"/>
      <c r="G257" s="16"/>
      <c r="H257" s="9"/>
      <c r="I257" s="9"/>
      <c r="J257" s="9"/>
      <c r="K257" s="72"/>
      <c r="L257" s="9"/>
      <c r="M257" s="9"/>
      <c r="N257" s="9"/>
      <c r="O257" s="9"/>
      <c r="P257" s="9"/>
      <c r="Q257" s="9"/>
      <c r="R257" s="9"/>
      <c r="S257" s="9"/>
      <c r="T257" s="9"/>
      <c r="U257" s="9"/>
      <c r="V257" s="9"/>
      <c r="W257" s="9"/>
      <c r="X257" s="9"/>
      <c r="Y257" s="9"/>
    </row>
    <row r="258" spans="2:25" x14ac:dyDescent="0.2">
      <c r="B258" s="7"/>
      <c r="C258" s="9"/>
      <c r="D258" s="9"/>
      <c r="E258" s="9"/>
      <c r="F258" s="9"/>
      <c r="G258" s="16"/>
      <c r="H258" s="9"/>
      <c r="I258" s="9"/>
      <c r="J258" s="9"/>
      <c r="K258" s="72"/>
      <c r="L258" s="9"/>
      <c r="M258" s="9"/>
      <c r="N258" s="9"/>
      <c r="O258" s="9"/>
      <c r="P258" s="9"/>
      <c r="Q258" s="9"/>
      <c r="R258" s="9"/>
      <c r="S258" s="9"/>
      <c r="T258" s="9"/>
      <c r="U258" s="9"/>
      <c r="V258" s="9"/>
      <c r="W258" s="9"/>
      <c r="X258" s="9"/>
      <c r="Y258" s="9"/>
    </row>
    <row r="259" spans="2:25" x14ac:dyDescent="0.2">
      <c r="B259" s="7"/>
      <c r="C259" s="9"/>
      <c r="D259" s="9"/>
      <c r="E259" s="9"/>
      <c r="F259" s="9"/>
      <c r="G259" s="16"/>
      <c r="H259" s="9"/>
      <c r="I259" s="9"/>
      <c r="J259" s="9"/>
      <c r="K259" s="72"/>
      <c r="L259" s="9"/>
      <c r="M259" s="9"/>
      <c r="N259" s="9"/>
      <c r="O259" s="9"/>
      <c r="P259" s="9"/>
      <c r="Q259" s="9"/>
      <c r="R259" s="9"/>
      <c r="S259" s="9"/>
      <c r="T259" s="9"/>
      <c r="U259" s="9"/>
      <c r="V259" s="9"/>
      <c r="W259" s="9"/>
      <c r="X259" s="9"/>
      <c r="Y259" s="9"/>
    </row>
    <row r="260" spans="2:25" x14ac:dyDescent="0.2">
      <c r="B260" s="7"/>
      <c r="C260" s="9"/>
      <c r="D260" s="9"/>
      <c r="E260" s="9"/>
      <c r="F260" s="9"/>
      <c r="G260" s="16"/>
      <c r="H260" s="9"/>
      <c r="I260" s="9"/>
      <c r="J260" s="9"/>
      <c r="K260" s="72"/>
      <c r="L260" s="9"/>
      <c r="M260" s="9"/>
      <c r="N260" s="9"/>
      <c r="O260" s="9"/>
      <c r="P260" s="9"/>
      <c r="Q260" s="9"/>
      <c r="R260" s="9"/>
      <c r="S260" s="9"/>
      <c r="T260" s="9"/>
      <c r="U260" s="9"/>
      <c r="V260" s="9"/>
      <c r="W260" s="9"/>
      <c r="X260" s="9"/>
      <c r="Y260" s="9"/>
    </row>
    <row r="261" spans="2:25" x14ac:dyDescent="0.2">
      <c r="B261" s="7"/>
      <c r="C261" s="9"/>
      <c r="D261" s="9"/>
      <c r="E261" s="9"/>
      <c r="F261" s="9"/>
      <c r="G261" s="16"/>
      <c r="H261" s="9"/>
      <c r="I261" s="9"/>
      <c r="J261" s="9"/>
      <c r="K261" s="72"/>
      <c r="L261" s="9"/>
      <c r="M261" s="9"/>
      <c r="N261" s="9"/>
      <c r="O261" s="9"/>
      <c r="P261" s="9"/>
      <c r="Q261" s="9"/>
      <c r="R261" s="9"/>
      <c r="S261" s="9"/>
      <c r="T261" s="9"/>
      <c r="U261" s="9"/>
      <c r="V261" s="9"/>
      <c r="W261" s="9"/>
      <c r="X261" s="9"/>
      <c r="Y261" s="9"/>
    </row>
    <row r="262" spans="2:25" x14ac:dyDescent="0.2">
      <c r="B262" s="7"/>
      <c r="C262" s="9"/>
      <c r="D262" s="9"/>
      <c r="E262" s="9"/>
      <c r="F262" s="9"/>
      <c r="G262" s="16"/>
      <c r="H262" s="9"/>
      <c r="I262" s="9"/>
      <c r="J262" s="9"/>
      <c r="K262" s="72"/>
      <c r="L262" s="9"/>
      <c r="M262" s="9"/>
      <c r="N262" s="9"/>
      <c r="O262" s="9"/>
      <c r="P262" s="9"/>
      <c r="Q262" s="9"/>
      <c r="R262" s="9"/>
      <c r="S262" s="9"/>
      <c r="T262" s="9"/>
      <c r="U262" s="9"/>
      <c r="V262" s="9"/>
      <c r="W262" s="9"/>
      <c r="X262" s="9"/>
      <c r="Y262" s="9"/>
    </row>
    <row r="263" spans="2:25" x14ac:dyDescent="0.2">
      <c r="B263" s="7"/>
      <c r="C263" s="9"/>
      <c r="D263" s="9"/>
      <c r="E263" s="9"/>
      <c r="F263" s="9"/>
      <c r="G263" s="16"/>
      <c r="H263" s="9"/>
      <c r="I263" s="9"/>
      <c r="J263" s="9"/>
      <c r="K263" s="72"/>
      <c r="L263" s="9"/>
      <c r="M263" s="9"/>
      <c r="N263" s="9"/>
      <c r="O263" s="9"/>
      <c r="P263" s="9"/>
      <c r="Q263" s="9"/>
      <c r="R263" s="9"/>
      <c r="S263" s="9"/>
      <c r="T263" s="9"/>
      <c r="U263" s="9"/>
      <c r="V263" s="9"/>
      <c r="W263" s="9"/>
      <c r="X263" s="9"/>
      <c r="Y263" s="9"/>
    </row>
    <row r="264" spans="2:25" x14ac:dyDescent="0.2">
      <c r="B264" s="7"/>
      <c r="C264" s="9"/>
      <c r="D264" s="9"/>
      <c r="E264" s="9"/>
      <c r="F264" s="9"/>
      <c r="G264" s="16"/>
      <c r="H264" s="9"/>
      <c r="I264" s="9"/>
      <c r="J264" s="9"/>
      <c r="K264" s="72"/>
      <c r="L264" s="9"/>
      <c r="M264" s="9"/>
      <c r="N264" s="9"/>
      <c r="O264" s="9"/>
      <c r="P264" s="9"/>
      <c r="Q264" s="9"/>
      <c r="R264" s="9"/>
      <c r="S264" s="9"/>
      <c r="T264" s="9"/>
      <c r="U264" s="9"/>
      <c r="V264" s="9"/>
      <c r="W264" s="9"/>
      <c r="X264" s="9"/>
      <c r="Y264" s="9"/>
    </row>
    <row r="265" spans="2:25" x14ac:dyDescent="0.2">
      <c r="B265" s="7"/>
      <c r="C265" s="9"/>
      <c r="D265" s="9"/>
      <c r="E265" s="9"/>
      <c r="F265" s="9"/>
      <c r="G265" s="16"/>
      <c r="H265" s="9"/>
      <c r="I265" s="9"/>
      <c r="J265" s="9"/>
      <c r="K265" s="72"/>
      <c r="L265" s="9"/>
      <c r="M265" s="9"/>
      <c r="N265" s="9"/>
      <c r="O265" s="9"/>
      <c r="P265" s="9"/>
      <c r="Q265" s="9"/>
      <c r="R265" s="9"/>
      <c r="S265" s="9"/>
      <c r="T265" s="9"/>
      <c r="U265" s="9"/>
      <c r="V265" s="9"/>
      <c r="W265" s="9"/>
      <c r="X265" s="9"/>
      <c r="Y265" s="9"/>
    </row>
    <row r="266" spans="2:25" x14ac:dyDescent="0.2">
      <c r="B266" s="7"/>
      <c r="C266" s="9"/>
      <c r="D266" s="9"/>
      <c r="E266" s="9"/>
      <c r="F266" s="9"/>
      <c r="G266" s="16"/>
      <c r="H266" s="9"/>
      <c r="I266" s="9"/>
      <c r="J266" s="9"/>
      <c r="K266" s="72"/>
      <c r="L266" s="9"/>
      <c r="M266" s="9"/>
      <c r="N266" s="9"/>
      <c r="O266" s="9"/>
      <c r="P266" s="9"/>
      <c r="Q266" s="9"/>
      <c r="R266" s="9"/>
      <c r="S266" s="9"/>
      <c r="T266" s="9"/>
      <c r="U266" s="9"/>
      <c r="V266" s="9"/>
      <c r="W266" s="9"/>
      <c r="X266" s="9"/>
      <c r="Y266" s="9"/>
    </row>
    <row r="267" spans="2:25" x14ac:dyDescent="0.2">
      <c r="B267" s="7"/>
      <c r="C267" s="9"/>
      <c r="D267" s="9"/>
      <c r="E267" s="9"/>
      <c r="F267" s="9"/>
      <c r="G267" s="16"/>
      <c r="H267" s="9"/>
      <c r="I267" s="9"/>
      <c r="J267" s="9"/>
      <c r="K267" s="72"/>
      <c r="L267" s="9"/>
      <c r="M267" s="9"/>
      <c r="N267" s="9"/>
      <c r="O267" s="9"/>
      <c r="P267" s="9"/>
      <c r="Q267" s="9"/>
      <c r="R267" s="9"/>
      <c r="S267" s="9"/>
      <c r="T267" s="9"/>
      <c r="U267" s="9"/>
      <c r="V267" s="9"/>
      <c r="W267" s="9"/>
      <c r="X267" s="9"/>
      <c r="Y267" s="9"/>
    </row>
    <row r="268" spans="2:25" x14ac:dyDescent="0.2">
      <c r="B268" s="7"/>
      <c r="C268" s="9"/>
      <c r="D268" s="9"/>
      <c r="E268" s="9"/>
      <c r="F268" s="9"/>
      <c r="G268" s="16"/>
      <c r="H268" s="9"/>
      <c r="I268" s="9"/>
      <c r="J268" s="9"/>
      <c r="K268" s="72"/>
      <c r="L268" s="9"/>
      <c r="M268" s="9"/>
      <c r="N268" s="9"/>
      <c r="O268" s="9"/>
      <c r="P268" s="9"/>
      <c r="Q268" s="9"/>
      <c r="R268" s="9"/>
      <c r="S268" s="9"/>
      <c r="T268" s="9"/>
      <c r="U268" s="9"/>
      <c r="V268" s="9"/>
      <c r="W268" s="9"/>
      <c r="X268" s="9"/>
      <c r="Y268" s="9"/>
    </row>
    <row r="269" spans="2:25" x14ac:dyDescent="0.2">
      <c r="B269" s="7"/>
      <c r="C269" s="9"/>
      <c r="D269" s="9"/>
      <c r="E269" s="9"/>
      <c r="F269" s="9"/>
      <c r="G269" s="16"/>
      <c r="H269" s="9"/>
      <c r="I269" s="9"/>
      <c r="J269" s="9"/>
      <c r="K269" s="72"/>
      <c r="L269" s="9"/>
      <c r="M269" s="9"/>
      <c r="N269" s="9"/>
      <c r="O269" s="9"/>
      <c r="P269" s="9"/>
      <c r="Q269" s="9"/>
      <c r="R269" s="9"/>
      <c r="S269" s="9"/>
      <c r="T269" s="9"/>
      <c r="U269" s="9"/>
      <c r="V269" s="9"/>
      <c r="W269" s="9"/>
      <c r="X269" s="9"/>
      <c r="Y269" s="9"/>
    </row>
    <row r="270" spans="2:25" x14ac:dyDescent="0.2">
      <c r="B270" s="7"/>
      <c r="C270" s="9"/>
      <c r="D270" s="9"/>
      <c r="E270" s="9"/>
      <c r="F270" s="9"/>
      <c r="G270" s="16"/>
      <c r="H270" s="9"/>
      <c r="I270" s="9"/>
      <c r="J270" s="9"/>
      <c r="K270" s="72"/>
      <c r="L270" s="9"/>
      <c r="M270" s="9"/>
      <c r="N270" s="9"/>
      <c r="O270" s="9"/>
      <c r="P270" s="9"/>
      <c r="Q270" s="9"/>
      <c r="R270" s="9"/>
      <c r="S270" s="9"/>
      <c r="T270" s="9"/>
      <c r="U270" s="9"/>
      <c r="V270" s="9"/>
      <c r="W270" s="9"/>
      <c r="X270" s="9"/>
      <c r="Y270" s="9"/>
    </row>
    <row r="271" spans="2:25" x14ac:dyDescent="0.2">
      <c r="B271" s="7"/>
      <c r="C271" s="9"/>
      <c r="D271" s="9"/>
      <c r="E271" s="9"/>
      <c r="F271" s="9"/>
      <c r="G271" s="16"/>
      <c r="H271" s="9"/>
      <c r="I271" s="9"/>
      <c r="J271" s="9"/>
      <c r="K271" s="72"/>
      <c r="L271" s="9"/>
      <c r="M271" s="9"/>
      <c r="N271" s="9"/>
      <c r="O271" s="9"/>
      <c r="P271" s="9"/>
      <c r="Q271" s="9"/>
      <c r="R271" s="9"/>
      <c r="S271" s="9"/>
      <c r="T271" s="9"/>
      <c r="U271" s="9"/>
      <c r="V271" s="9"/>
      <c r="W271" s="9"/>
      <c r="X271" s="9"/>
      <c r="Y271" s="9"/>
    </row>
    <row r="272" spans="2:25" x14ac:dyDescent="0.2">
      <c r="B272" s="7"/>
      <c r="C272" s="9"/>
      <c r="D272" s="9"/>
      <c r="E272" s="9"/>
      <c r="F272" s="9"/>
      <c r="G272" s="16"/>
      <c r="H272" s="9"/>
      <c r="I272" s="9"/>
      <c r="J272" s="9"/>
      <c r="K272" s="72"/>
      <c r="L272" s="9"/>
      <c r="M272" s="9"/>
      <c r="N272" s="9"/>
      <c r="O272" s="9"/>
      <c r="P272" s="9"/>
      <c r="Q272" s="9"/>
      <c r="R272" s="9"/>
      <c r="S272" s="9"/>
      <c r="T272" s="9"/>
      <c r="U272" s="9"/>
      <c r="V272" s="9"/>
      <c r="W272" s="9"/>
      <c r="X272" s="9"/>
      <c r="Y272" s="9"/>
    </row>
    <row r="273" spans="2:25" x14ac:dyDescent="0.2">
      <c r="B273" s="7"/>
      <c r="C273" s="9"/>
      <c r="D273" s="9"/>
      <c r="E273" s="9"/>
      <c r="F273" s="9"/>
      <c r="G273" s="16"/>
      <c r="H273" s="9"/>
      <c r="I273" s="9"/>
      <c r="J273" s="9"/>
      <c r="K273" s="72"/>
      <c r="L273" s="9"/>
      <c r="M273" s="9"/>
      <c r="N273" s="9"/>
      <c r="O273" s="9"/>
      <c r="P273" s="9"/>
      <c r="Q273" s="9"/>
      <c r="R273" s="9"/>
      <c r="S273" s="9"/>
      <c r="T273" s="9"/>
      <c r="U273" s="9"/>
      <c r="V273" s="9"/>
      <c r="W273" s="9"/>
      <c r="X273" s="9"/>
      <c r="Y273" s="9"/>
    </row>
    <row r="274" spans="2:25" x14ac:dyDescent="0.2">
      <c r="B274" s="7"/>
      <c r="C274" s="9"/>
      <c r="D274" s="9"/>
      <c r="E274" s="9"/>
      <c r="F274" s="9"/>
      <c r="G274" s="16"/>
      <c r="H274" s="9"/>
      <c r="I274" s="9"/>
      <c r="J274" s="9"/>
      <c r="K274" s="72"/>
      <c r="L274" s="9"/>
      <c r="M274" s="9"/>
      <c r="N274" s="9"/>
      <c r="O274" s="9"/>
      <c r="P274" s="9"/>
      <c r="Q274" s="9"/>
      <c r="R274" s="9"/>
      <c r="S274" s="9"/>
      <c r="T274" s="9"/>
      <c r="U274" s="9"/>
      <c r="V274" s="9"/>
      <c r="W274" s="9"/>
      <c r="X274" s="9"/>
      <c r="Y274" s="9"/>
    </row>
    <row r="275" spans="2:25" x14ac:dyDescent="0.2">
      <c r="B275" s="7"/>
      <c r="C275" s="9"/>
      <c r="D275" s="9"/>
      <c r="E275" s="9"/>
      <c r="F275" s="9"/>
      <c r="G275" s="16"/>
      <c r="H275" s="9"/>
      <c r="I275" s="9"/>
      <c r="J275" s="9"/>
      <c r="K275" s="72"/>
      <c r="L275" s="9"/>
      <c r="M275" s="9"/>
      <c r="N275" s="9"/>
      <c r="O275" s="9"/>
      <c r="P275" s="9"/>
      <c r="Q275" s="9"/>
      <c r="R275" s="9"/>
      <c r="S275" s="9"/>
      <c r="T275" s="9"/>
      <c r="U275" s="9"/>
      <c r="V275" s="9"/>
      <c r="W275" s="9"/>
      <c r="X275" s="9"/>
      <c r="Y275" s="9"/>
    </row>
    <row r="276" spans="2:25" x14ac:dyDescent="0.2">
      <c r="B276" s="7"/>
      <c r="C276" s="9"/>
      <c r="D276" s="9"/>
      <c r="E276" s="9"/>
      <c r="F276" s="9"/>
      <c r="G276" s="16"/>
      <c r="H276" s="9"/>
      <c r="I276" s="9"/>
      <c r="J276" s="9"/>
      <c r="K276" s="72"/>
      <c r="L276" s="9"/>
      <c r="M276" s="9"/>
      <c r="N276" s="9"/>
      <c r="O276" s="9"/>
      <c r="P276" s="9"/>
      <c r="Q276" s="9"/>
      <c r="R276" s="9"/>
      <c r="S276" s="9"/>
      <c r="T276" s="9"/>
      <c r="U276" s="9"/>
      <c r="V276" s="9"/>
      <c r="W276" s="9"/>
      <c r="X276" s="9"/>
      <c r="Y276" s="9"/>
    </row>
    <row r="277" spans="2:25" x14ac:dyDescent="0.2">
      <c r="B277" s="7"/>
      <c r="C277" s="9"/>
      <c r="D277" s="9"/>
      <c r="E277" s="9"/>
      <c r="F277" s="9"/>
      <c r="G277" s="16"/>
      <c r="H277" s="9"/>
      <c r="I277" s="9"/>
      <c r="J277" s="9"/>
      <c r="K277" s="72"/>
      <c r="L277" s="9"/>
      <c r="M277" s="9"/>
      <c r="N277" s="9"/>
      <c r="O277" s="9"/>
      <c r="P277" s="9"/>
      <c r="Q277" s="9"/>
      <c r="R277" s="9"/>
      <c r="S277" s="9"/>
      <c r="T277" s="9"/>
      <c r="U277" s="9"/>
      <c r="V277" s="9"/>
      <c r="W277" s="9"/>
      <c r="X277" s="9"/>
      <c r="Y277" s="9"/>
    </row>
    <row r="278" spans="2:25" x14ac:dyDescent="0.2">
      <c r="B278" s="7"/>
      <c r="C278" s="9"/>
      <c r="D278" s="9"/>
      <c r="E278" s="9"/>
      <c r="F278" s="9"/>
      <c r="G278" s="16"/>
      <c r="H278" s="9"/>
      <c r="I278" s="9"/>
      <c r="J278" s="9"/>
      <c r="K278" s="72"/>
      <c r="L278" s="9"/>
      <c r="M278" s="9"/>
      <c r="N278" s="9"/>
      <c r="O278" s="9"/>
      <c r="P278" s="9"/>
      <c r="Q278" s="9"/>
      <c r="R278" s="9"/>
      <c r="S278" s="9"/>
      <c r="T278" s="9"/>
      <c r="U278" s="9"/>
      <c r="V278" s="9"/>
      <c r="W278" s="9"/>
      <c r="X278" s="9"/>
      <c r="Y278" s="9"/>
    </row>
    <row r="279" spans="2:25" x14ac:dyDescent="0.2">
      <c r="B279" s="7"/>
      <c r="C279" s="9"/>
      <c r="D279" s="9"/>
      <c r="E279" s="9"/>
      <c r="F279" s="9"/>
      <c r="G279" s="16"/>
      <c r="H279" s="9"/>
      <c r="I279" s="9"/>
      <c r="J279" s="9"/>
      <c r="K279" s="72"/>
      <c r="L279" s="9"/>
      <c r="M279" s="9"/>
      <c r="N279" s="9"/>
      <c r="O279" s="9"/>
      <c r="P279" s="9"/>
      <c r="Q279" s="9"/>
      <c r="R279" s="9"/>
      <c r="S279" s="9"/>
      <c r="T279" s="9"/>
      <c r="U279" s="9"/>
      <c r="V279" s="9"/>
      <c r="W279" s="9"/>
      <c r="X279" s="9"/>
      <c r="Y279" s="9"/>
    </row>
    <row r="280" spans="2:25" x14ac:dyDescent="0.2">
      <c r="B280" s="7"/>
      <c r="C280" s="9"/>
      <c r="D280" s="9"/>
      <c r="E280" s="9"/>
      <c r="F280" s="9"/>
      <c r="G280" s="16"/>
      <c r="H280" s="9"/>
      <c r="I280" s="9"/>
      <c r="J280" s="9"/>
      <c r="K280" s="72"/>
      <c r="L280" s="9"/>
      <c r="M280" s="9"/>
      <c r="N280" s="9"/>
      <c r="O280" s="9"/>
      <c r="P280" s="9"/>
      <c r="Q280" s="9"/>
      <c r="R280" s="9"/>
      <c r="S280" s="9"/>
      <c r="T280" s="9"/>
      <c r="U280" s="9"/>
      <c r="V280" s="9"/>
      <c r="W280" s="9"/>
      <c r="X280" s="9"/>
      <c r="Y280" s="9"/>
    </row>
    <row r="281" spans="2:25" x14ac:dyDescent="0.2">
      <c r="B281" s="7"/>
      <c r="C281" s="9"/>
      <c r="D281" s="9"/>
      <c r="E281" s="9"/>
      <c r="F281" s="9"/>
      <c r="G281" s="16"/>
      <c r="H281" s="9"/>
      <c r="I281" s="9"/>
      <c r="J281" s="9"/>
      <c r="K281" s="72"/>
      <c r="L281" s="9"/>
      <c r="M281" s="9"/>
      <c r="N281" s="9"/>
      <c r="O281" s="9"/>
      <c r="P281" s="9"/>
      <c r="Q281" s="9"/>
      <c r="R281" s="9"/>
      <c r="S281" s="9"/>
      <c r="T281" s="9"/>
      <c r="U281" s="9"/>
      <c r="V281" s="9"/>
      <c r="W281" s="9"/>
      <c r="X281" s="9"/>
      <c r="Y281" s="9"/>
    </row>
    <row r="282" spans="2:25" x14ac:dyDescent="0.2">
      <c r="B282" s="7"/>
      <c r="C282" s="9"/>
      <c r="D282" s="9"/>
      <c r="E282" s="9"/>
      <c r="F282" s="9"/>
      <c r="G282" s="16"/>
      <c r="H282" s="9"/>
      <c r="I282" s="9"/>
      <c r="J282" s="9"/>
      <c r="K282" s="72"/>
      <c r="L282" s="9"/>
      <c r="M282" s="9"/>
      <c r="N282" s="9"/>
      <c r="O282" s="9"/>
      <c r="P282" s="9"/>
      <c r="Q282" s="9"/>
      <c r="R282" s="9"/>
      <c r="S282" s="9"/>
      <c r="T282" s="9"/>
      <c r="U282" s="9"/>
      <c r="V282" s="9"/>
      <c r="W282" s="9"/>
      <c r="X282" s="9"/>
      <c r="Y282" s="9"/>
    </row>
    <row r="283" spans="2:25" x14ac:dyDescent="0.2">
      <c r="B283" s="7"/>
      <c r="C283" s="9"/>
      <c r="D283" s="9"/>
      <c r="E283" s="9"/>
      <c r="F283" s="9"/>
      <c r="G283" s="16"/>
      <c r="H283" s="9"/>
      <c r="I283" s="9"/>
      <c r="J283" s="9"/>
      <c r="K283" s="72"/>
      <c r="L283" s="9"/>
      <c r="M283" s="9"/>
      <c r="N283" s="9"/>
      <c r="O283" s="9"/>
      <c r="P283" s="9"/>
      <c r="Q283" s="9"/>
      <c r="R283" s="9"/>
      <c r="S283" s="9"/>
      <c r="T283" s="9"/>
      <c r="U283" s="9"/>
      <c r="V283" s="9"/>
      <c r="W283" s="9"/>
      <c r="X283" s="9"/>
      <c r="Y283" s="9"/>
    </row>
    <row r="284" spans="2:25" x14ac:dyDescent="0.2">
      <c r="B284" s="7"/>
      <c r="C284" s="9"/>
      <c r="D284" s="9"/>
      <c r="E284" s="9"/>
      <c r="F284" s="9"/>
      <c r="G284" s="16"/>
      <c r="H284" s="9"/>
      <c r="I284" s="9"/>
      <c r="J284" s="9"/>
      <c r="K284" s="72"/>
      <c r="L284" s="9"/>
      <c r="M284" s="9"/>
      <c r="N284" s="9"/>
      <c r="O284" s="9"/>
      <c r="P284" s="9"/>
      <c r="Q284" s="9"/>
      <c r="R284" s="9"/>
      <c r="S284" s="9"/>
      <c r="T284" s="9"/>
      <c r="U284" s="9"/>
      <c r="V284" s="9"/>
      <c r="W284" s="9"/>
      <c r="X284" s="9"/>
      <c r="Y284" s="9"/>
    </row>
    <row r="285" spans="2:25" x14ac:dyDescent="0.2">
      <c r="B285" s="7"/>
      <c r="C285" s="9"/>
      <c r="D285" s="9"/>
      <c r="E285" s="9"/>
      <c r="F285" s="9"/>
      <c r="G285" s="16"/>
      <c r="H285" s="9"/>
      <c r="I285" s="9"/>
      <c r="J285" s="9"/>
      <c r="K285" s="72"/>
      <c r="L285" s="9"/>
      <c r="M285" s="9"/>
      <c r="N285" s="9"/>
      <c r="O285" s="9"/>
      <c r="P285" s="9"/>
      <c r="Q285" s="9"/>
      <c r="R285" s="9"/>
      <c r="S285" s="9"/>
      <c r="T285" s="9"/>
      <c r="U285" s="9"/>
      <c r="V285" s="9"/>
      <c r="W285" s="9"/>
      <c r="X285" s="9"/>
      <c r="Y285" s="9"/>
    </row>
    <row r="286" spans="2:25" x14ac:dyDescent="0.2">
      <c r="B286" s="7"/>
      <c r="C286" s="9"/>
      <c r="D286" s="9"/>
      <c r="E286" s="9"/>
      <c r="F286" s="9"/>
      <c r="G286" s="16"/>
      <c r="H286" s="9"/>
      <c r="I286" s="9"/>
      <c r="J286" s="9"/>
      <c r="K286" s="72"/>
      <c r="L286" s="9"/>
      <c r="M286" s="9"/>
      <c r="N286" s="9"/>
      <c r="O286" s="9"/>
      <c r="P286" s="9"/>
      <c r="Q286" s="9"/>
      <c r="R286" s="9"/>
      <c r="S286" s="9"/>
      <c r="T286" s="9"/>
      <c r="U286" s="9"/>
      <c r="V286" s="9"/>
      <c r="W286" s="9"/>
      <c r="X286" s="9"/>
      <c r="Y286" s="9"/>
    </row>
    <row r="287" spans="2:25" x14ac:dyDescent="0.2">
      <c r="B287" s="7"/>
      <c r="C287" s="9"/>
      <c r="D287" s="9"/>
      <c r="E287" s="9"/>
      <c r="F287" s="9"/>
      <c r="G287" s="16"/>
      <c r="H287" s="9"/>
      <c r="I287" s="9"/>
      <c r="J287" s="9"/>
      <c r="K287" s="72"/>
      <c r="L287" s="9"/>
      <c r="M287" s="9"/>
      <c r="N287" s="9"/>
      <c r="O287" s="9"/>
      <c r="P287" s="9"/>
      <c r="Q287" s="9"/>
      <c r="R287" s="9"/>
      <c r="S287" s="9"/>
      <c r="T287" s="9"/>
      <c r="U287" s="9"/>
      <c r="V287" s="9"/>
      <c r="W287" s="9"/>
      <c r="X287" s="9"/>
      <c r="Y287" s="9"/>
    </row>
    <row r="288" spans="2:25" x14ac:dyDescent="0.2">
      <c r="B288" s="7"/>
      <c r="C288" s="9"/>
      <c r="D288" s="9"/>
      <c r="E288" s="9"/>
      <c r="F288" s="9"/>
      <c r="G288" s="16"/>
      <c r="H288" s="9"/>
      <c r="I288" s="9"/>
      <c r="J288" s="9"/>
      <c r="K288" s="72"/>
      <c r="L288" s="9"/>
      <c r="M288" s="9"/>
      <c r="N288" s="9"/>
      <c r="O288" s="9"/>
      <c r="P288" s="9"/>
      <c r="Q288" s="9"/>
      <c r="R288" s="9"/>
      <c r="S288" s="9"/>
      <c r="T288" s="9"/>
      <c r="U288" s="9"/>
      <c r="V288" s="9"/>
      <c r="W288" s="9"/>
      <c r="X288" s="9"/>
      <c r="Y288" s="9"/>
    </row>
    <row r="289" spans="2:25" x14ac:dyDescent="0.2">
      <c r="B289" s="7"/>
      <c r="C289" s="9"/>
      <c r="D289" s="9"/>
      <c r="E289" s="9"/>
      <c r="F289" s="9"/>
      <c r="G289" s="16"/>
      <c r="H289" s="9"/>
      <c r="I289" s="9"/>
      <c r="J289" s="9"/>
      <c r="K289" s="72"/>
      <c r="L289" s="9"/>
      <c r="M289" s="9"/>
      <c r="N289" s="9"/>
      <c r="O289" s="9"/>
      <c r="P289" s="9"/>
      <c r="Q289" s="9"/>
      <c r="R289" s="9"/>
      <c r="S289" s="9"/>
      <c r="T289" s="9"/>
      <c r="U289" s="9"/>
      <c r="V289" s="9"/>
      <c r="W289" s="9"/>
      <c r="X289" s="9"/>
      <c r="Y289" s="9"/>
    </row>
    <row r="290" spans="2:25" x14ac:dyDescent="0.2">
      <c r="B290" s="7"/>
      <c r="C290" s="9"/>
      <c r="D290" s="9"/>
      <c r="E290" s="9"/>
      <c r="F290" s="9"/>
      <c r="G290" s="16"/>
      <c r="H290" s="9"/>
      <c r="I290" s="9"/>
      <c r="J290" s="9"/>
      <c r="K290" s="72"/>
      <c r="L290" s="9"/>
      <c r="M290" s="9"/>
      <c r="N290" s="9"/>
      <c r="O290" s="9"/>
      <c r="P290" s="9"/>
      <c r="Q290" s="9"/>
      <c r="R290" s="9"/>
      <c r="S290" s="9"/>
      <c r="T290" s="9"/>
      <c r="U290" s="9"/>
      <c r="V290" s="9"/>
      <c r="W290" s="9"/>
      <c r="X290" s="9"/>
      <c r="Y290" s="9"/>
    </row>
    <row r="291" spans="2:25" x14ac:dyDescent="0.2">
      <c r="B291" s="7"/>
      <c r="C291" s="9"/>
      <c r="D291" s="9"/>
      <c r="E291" s="9"/>
      <c r="F291" s="9"/>
      <c r="G291" s="16"/>
      <c r="H291" s="9"/>
      <c r="I291" s="9"/>
      <c r="J291" s="9"/>
      <c r="K291" s="72"/>
      <c r="L291" s="9"/>
      <c r="M291" s="9"/>
      <c r="N291" s="9"/>
      <c r="O291" s="9"/>
      <c r="P291" s="9"/>
      <c r="Q291" s="9"/>
      <c r="R291" s="9"/>
      <c r="S291" s="9"/>
      <c r="T291" s="9"/>
      <c r="U291" s="9"/>
      <c r="V291" s="9"/>
      <c r="W291" s="9"/>
      <c r="X291" s="9"/>
      <c r="Y291" s="9"/>
    </row>
    <row r="292" spans="2:25" x14ac:dyDescent="0.2">
      <c r="B292" s="7"/>
      <c r="C292" s="9"/>
      <c r="D292" s="9"/>
      <c r="E292" s="9"/>
      <c r="F292" s="9"/>
      <c r="G292" s="16"/>
      <c r="H292" s="9"/>
      <c r="I292" s="9"/>
      <c r="J292" s="9"/>
      <c r="K292" s="72"/>
      <c r="L292" s="9"/>
      <c r="M292" s="9"/>
      <c r="N292" s="9"/>
      <c r="O292" s="9"/>
      <c r="P292" s="9"/>
      <c r="Q292" s="9"/>
      <c r="R292" s="9"/>
      <c r="S292" s="9"/>
      <c r="T292" s="9"/>
      <c r="U292" s="9"/>
      <c r="V292" s="9"/>
      <c r="W292" s="9"/>
      <c r="X292" s="9"/>
      <c r="Y292" s="9"/>
    </row>
    <row r="293" spans="2:25" x14ac:dyDescent="0.2">
      <c r="B293" s="7"/>
      <c r="C293" s="9"/>
      <c r="D293" s="9"/>
      <c r="E293" s="9"/>
      <c r="F293" s="9"/>
      <c r="G293" s="16"/>
      <c r="H293" s="9"/>
      <c r="I293" s="9"/>
      <c r="J293" s="9"/>
      <c r="K293" s="72"/>
      <c r="L293" s="9"/>
      <c r="M293" s="9"/>
      <c r="N293" s="9"/>
      <c r="O293" s="9"/>
      <c r="P293" s="9"/>
      <c r="Q293" s="9"/>
      <c r="R293" s="9"/>
      <c r="S293" s="9"/>
      <c r="T293" s="9"/>
      <c r="U293" s="9"/>
      <c r="V293" s="9"/>
      <c r="W293" s="9"/>
      <c r="X293" s="9"/>
      <c r="Y293" s="9"/>
    </row>
    <row r="294" spans="2:25" x14ac:dyDescent="0.2">
      <c r="B294" s="7"/>
      <c r="C294" s="9"/>
      <c r="D294" s="9"/>
      <c r="E294" s="9"/>
      <c r="F294" s="9"/>
      <c r="G294" s="16"/>
      <c r="H294" s="9"/>
      <c r="I294" s="9"/>
      <c r="J294" s="9"/>
      <c r="K294" s="72"/>
      <c r="L294" s="9"/>
      <c r="M294" s="9"/>
      <c r="N294" s="9"/>
      <c r="O294" s="9"/>
      <c r="P294" s="9"/>
      <c r="Q294" s="9"/>
      <c r="R294" s="9"/>
      <c r="S294" s="9"/>
      <c r="T294" s="9"/>
      <c r="U294" s="9"/>
      <c r="V294" s="9"/>
      <c r="W294" s="9"/>
      <c r="X294" s="9"/>
      <c r="Y294" s="9"/>
    </row>
    <row r="295" spans="2:25" x14ac:dyDescent="0.2">
      <c r="B295" s="7"/>
      <c r="C295" s="9"/>
      <c r="D295" s="9"/>
      <c r="E295" s="9"/>
      <c r="F295" s="9"/>
      <c r="G295" s="16"/>
      <c r="H295" s="9"/>
      <c r="I295" s="9"/>
      <c r="J295" s="9"/>
      <c r="K295" s="72"/>
      <c r="L295" s="9"/>
      <c r="M295" s="9"/>
      <c r="N295" s="9"/>
      <c r="O295" s="9"/>
      <c r="P295" s="9"/>
      <c r="Q295" s="9"/>
      <c r="R295" s="9"/>
      <c r="S295" s="9"/>
      <c r="T295" s="9"/>
      <c r="U295" s="9"/>
      <c r="V295" s="9"/>
      <c r="W295" s="9"/>
      <c r="X295" s="9"/>
      <c r="Y295" s="9"/>
    </row>
    <row r="296" spans="2:25" x14ac:dyDescent="0.2">
      <c r="B296" s="7"/>
      <c r="C296" s="9"/>
      <c r="D296" s="9"/>
      <c r="E296" s="9"/>
      <c r="F296" s="9"/>
      <c r="G296" s="16"/>
      <c r="H296" s="9"/>
      <c r="I296" s="9"/>
      <c r="J296" s="9"/>
      <c r="K296" s="72"/>
      <c r="L296" s="9"/>
      <c r="M296" s="9"/>
      <c r="N296" s="9"/>
      <c r="O296" s="9"/>
      <c r="P296" s="9"/>
      <c r="Q296" s="9"/>
      <c r="R296" s="9"/>
      <c r="S296" s="9"/>
      <c r="T296" s="9"/>
      <c r="U296" s="9"/>
      <c r="V296" s="9"/>
      <c r="W296" s="9"/>
      <c r="X296" s="9"/>
      <c r="Y296" s="9"/>
    </row>
    <row r="297" spans="2:25" x14ac:dyDescent="0.2">
      <c r="B297" s="7"/>
      <c r="C297" s="9"/>
      <c r="D297" s="9"/>
      <c r="E297" s="9"/>
      <c r="F297" s="9"/>
      <c r="G297" s="16"/>
      <c r="H297" s="9"/>
      <c r="I297" s="9"/>
      <c r="J297" s="9"/>
      <c r="K297" s="72"/>
      <c r="L297" s="9"/>
      <c r="M297" s="9"/>
      <c r="N297" s="9"/>
      <c r="O297" s="9"/>
      <c r="P297" s="9"/>
      <c r="Q297" s="9"/>
      <c r="R297" s="9"/>
      <c r="S297" s="9"/>
      <c r="T297" s="9"/>
      <c r="U297" s="9"/>
      <c r="V297" s="9"/>
      <c r="W297" s="9"/>
      <c r="X297" s="9"/>
      <c r="Y297" s="9"/>
    </row>
    <row r="298" spans="2:25" x14ac:dyDescent="0.2">
      <c r="B298" s="7"/>
      <c r="C298" s="9"/>
      <c r="D298" s="9"/>
      <c r="E298" s="9"/>
      <c r="F298" s="9"/>
      <c r="G298" s="16"/>
      <c r="H298" s="9"/>
      <c r="I298" s="9"/>
      <c r="J298" s="9"/>
      <c r="K298" s="72"/>
      <c r="L298" s="9"/>
      <c r="M298" s="9"/>
      <c r="N298" s="9"/>
      <c r="O298" s="9"/>
      <c r="P298" s="9"/>
      <c r="Q298" s="9"/>
      <c r="R298" s="9"/>
      <c r="S298" s="9"/>
      <c r="T298" s="9"/>
      <c r="U298" s="9"/>
      <c r="V298" s="9"/>
      <c r="W298" s="9"/>
      <c r="X298" s="9"/>
      <c r="Y298" s="9"/>
    </row>
    <row r="299" spans="2:25" x14ac:dyDescent="0.2">
      <c r="B299" s="7"/>
      <c r="C299" s="9"/>
      <c r="D299" s="9"/>
      <c r="E299" s="9"/>
      <c r="F299" s="9"/>
      <c r="G299" s="16"/>
      <c r="H299" s="9"/>
      <c r="I299" s="9"/>
      <c r="J299" s="9"/>
      <c r="K299" s="72"/>
      <c r="L299" s="9"/>
      <c r="M299" s="9"/>
      <c r="N299" s="9"/>
      <c r="O299" s="9"/>
      <c r="P299" s="9"/>
      <c r="Q299" s="9"/>
      <c r="R299" s="9"/>
      <c r="S299" s="9"/>
      <c r="T299" s="9"/>
      <c r="U299" s="9"/>
      <c r="V299" s="9"/>
      <c r="W299" s="9"/>
      <c r="X299" s="9"/>
      <c r="Y299" s="9"/>
    </row>
    <row r="300" spans="2:25" x14ac:dyDescent="0.2">
      <c r="B300" s="7"/>
      <c r="C300" s="9"/>
      <c r="D300" s="9"/>
      <c r="E300" s="9"/>
      <c r="F300" s="9"/>
      <c r="G300" s="16"/>
      <c r="H300" s="9"/>
      <c r="I300" s="9"/>
      <c r="J300" s="9"/>
      <c r="K300" s="72"/>
      <c r="L300" s="9"/>
      <c r="M300" s="9"/>
      <c r="N300" s="9"/>
      <c r="O300" s="9"/>
      <c r="P300" s="9"/>
      <c r="Q300" s="9"/>
      <c r="R300" s="9"/>
      <c r="S300" s="9"/>
      <c r="T300" s="9"/>
      <c r="U300" s="9"/>
      <c r="V300" s="9"/>
      <c r="W300" s="9"/>
      <c r="X300" s="9"/>
      <c r="Y300" s="9"/>
    </row>
    <row r="301" spans="2:25" x14ac:dyDescent="0.2">
      <c r="B301" s="7"/>
      <c r="C301" s="9"/>
      <c r="D301" s="9"/>
      <c r="E301" s="9"/>
      <c r="F301" s="9"/>
      <c r="G301" s="16"/>
      <c r="H301" s="9"/>
      <c r="I301" s="9"/>
      <c r="J301" s="9"/>
      <c r="K301" s="72"/>
      <c r="L301" s="9"/>
      <c r="M301" s="9"/>
      <c r="N301" s="9"/>
      <c r="O301" s="9"/>
      <c r="P301" s="9"/>
      <c r="Q301" s="9"/>
      <c r="R301" s="9"/>
      <c r="S301" s="9"/>
      <c r="T301" s="9"/>
      <c r="U301" s="9"/>
      <c r="V301" s="9"/>
      <c r="W301" s="9"/>
      <c r="X301" s="9"/>
      <c r="Y301" s="9"/>
    </row>
    <row r="302" spans="2:25" x14ac:dyDescent="0.2">
      <c r="B302" s="7"/>
      <c r="C302" s="9"/>
      <c r="D302" s="9"/>
      <c r="E302" s="9"/>
      <c r="F302" s="9"/>
      <c r="G302" s="16"/>
      <c r="H302" s="9"/>
      <c r="I302" s="9"/>
      <c r="J302" s="9"/>
      <c r="K302" s="72"/>
      <c r="L302" s="9"/>
      <c r="M302" s="9"/>
      <c r="N302" s="9"/>
      <c r="O302" s="9"/>
      <c r="P302" s="9"/>
      <c r="Q302" s="9"/>
      <c r="R302" s="9"/>
      <c r="S302" s="9"/>
      <c r="T302" s="9"/>
      <c r="U302" s="9"/>
      <c r="V302" s="9"/>
      <c r="W302" s="9"/>
      <c r="X302" s="9"/>
      <c r="Y302" s="9"/>
    </row>
    <row r="303" spans="2:25" x14ac:dyDescent="0.2">
      <c r="B303" s="7"/>
      <c r="C303" s="9"/>
      <c r="D303" s="9"/>
      <c r="E303" s="9"/>
      <c r="F303" s="9"/>
      <c r="G303" s="16"/>
      <c r="H303" s="9"/>
      <c r="I303" s="9"/>
      <c r="J303" s="9"/>
      <c r="K303" s="72"/>
      <c r="L303" s="9"/>
      <c r="M303" s="9"/>
      <c r="N303" s="9"/>
      <c r="O303" s="9"/>
      <c r="P303" s="9"/>
      <c r="Q303" s="9"/>
      <c r="R303" s="9"/>
      <c r="S303" s="9"/>
      <c r="T303" s="9"/>
      <c r="U303" s="9"/>
      <c r="V303" s="9"/>
      <c r="W303" s="9"/>
      <c r="X303" s="9"/>
      <c r="Y303" s="9"/>
    </row>
    <row r="304" spans="2:25" x14ac:dyDescent="0.2">
      <c r="B304" s="7"/>
      <c r="C304" s="9"/>
      <c r="D304" s="9"/>
      <c r="E304" s="9"/>
      <c r="F304" s="9"/>
      <c r="G304" s="16"/>
      <c r="H304" s="9"/>
      <c r="I304" s="9"/>
      <c r="J304" s="9"/>
      <c r="K304" s="72"/>
      <c r="L304" s="9"/>
      <c r="M304" s="9"/>
      <c r="N304" s="9"/>
      <c r="O304" s="9"/>
      <c r="P304" s="9"/>
      <c r="Q304" s="9"/>
      <c r="R304" s="9"/>
      <c r="S304" s="9"/>
      <c r="T304" s="9"/>
      <c r="U304" s="9"/>
      <c r="V304" s="9"/>
      <c r="W304" s="9"/>
      <c r="X304" s="9"/>
      <c r="Y304" s="9"/>
    </row>
    <row r="305" spans="2:25" x14ac:dyDescent="0.2">
      <c r="B305" s="7"/>
      <c r="C305" s="9"/>
      <c r="D305" s="9"/>
      <c r="E305" s="9"/>
      <c r="F305" s="9"/>
      <c r="G305" s="16"/>
      <c r="H305" s="9"/>
      <c r="I305" s="9"/>
      <c r="J305" s="9"/>
      <c r="K305" s="72"/>
      <c r="L305" s="9"/>
      <c r="M305" s="9"/>
      <c r="N305" s="9"/>
      <c r="O305" s="9"/>
      <c r="P305" s="9"/>
      <c r="Q305" s="9"/>
      <c r="R305" s="9"/>
      <c r="S305" s="9"/>
      <c r="T305" s="9"/>
      <c r="U305" s="9"/>
      <c r="V305" s="9"/>
      <c r="W305" s="9"/>
      <c r="X305" s="9"/>
      <c r="Y305" s="9"/>
    </row>
    <row r="306" spans="2:25" x14ac:dyDescent="0.2">
      <c r="B306" s="7"/>
      <c r="C306" s="9"/>
      <c r="D306" s="9"/>
      <c r="E306" s="9"/>
      <c r="F306" s="9"/>
      <c r="G306" s="16"/>
      <c r="H306" s="9"/>
      <c r="I306" s="9"/>
      <c r="J306" s="9"/>
      <c r="K306" s="72"/>
      <c r="L306" s="9"/>
      <c r="M306" s="9"/>
      <c r="N306" s="9"/>
      <c r="O306" s="9"/>
      <c r="P306" s="9"/>
      <c r="Q306" s="9"/>
      <c r="R306" s="9"/>
      <c r="S306" s="9"/>
      <c r="T306" s="9"/>
      <c r="U306" s="9"/>
      <c r="V306" s="9"/>
      <c r="W306" s="9"/>
      <c r="X306" s="9"/>
      <c r="Y306" s="9"/>
    </row>
    <row r="307" spans="2:25" x14ac:dyDescent="0.2">
      <c r="B307" s="7"/>
      <c r="C307" s="9"/>
      <c r="D307" s="9"/>
      <c r="E307" s="9"/>
      <c r="F307" s="9"/>
      <c r="G307" s="16"/>
      <c r="H307" s="9"/>
      <c r="I307" s="9"/>
      <c r="J307" s="9"/>
      <c r="K307" s="72"/>
      <c r="L307" s="9"/>
      <c r="M307" s="9"/>
      <c r="N307" s="9"/>
      <c r="O307" s="9"/>
      <c r="P307" s="9"/>
      <c r="Q307" s="9"/>
      <c r="R307" s="9"/>
      <c r="S307" s="9"/>
      <c r="T307" s="9"/>
      <c r="U307" s="9"/>
      <c r="V307" s="9"/>
      <c r="W307" s="9"/>
      <c r="X307" s="9"/>
      <c r="Y307" s="9"/>
    </row>
    <row r="308" spans="2:25" x14ac:dyDescent="0.2">
      <c r="B308" s="7"/>
      <c r="C308" s="9"/>
      <c r="D308" s="9"/>
      <c r="E308" s="9"/>
      <c r="F308" s="9"/>
      <c r="G308" s="16"/>
      <c r="H308" s="9"/>
      <c r="I308" s="9"/>
      <c r="J308" s="9"/>
      <c r="K308" s="72"/>
      <c r="L308" s="9"/>
      <c r="M308" s="9"/>
      <c r="N308" s="9"/>
      <c r="O308" s="9"/>
      <c r="P308" s="9"/>
      <c r="Q308" s="9"/>
      <c r="R308" s="9"/>
      <c r="S308" s="9"/>
      <c r="T308" s="9"/>
      <c r="U308" s="9"/>
      <c r="V308" s="9"/>
      <c r="W308" s="9"/>
      <c r="X308" s="9"/>
      <c r="Y308" s="9"/>
    </row>
    <row r="309" spans="2:25" x14ac:dyDescent="0.2">
      <c r="B309" s="7"/>
      <c r="C309" s="9"/>
      <c r="D309" s="9"/>
      <c r="E309" s="9"/>
      <c r="F309" s="9"/>
      <c r="G309" s="16"/>
      <c r="H309" s="9"/>
      <c r="I309" s="9"/>
      <c r="J309" s="9"/>
      <c r="K309" s="72"/>
      <c r="L309" s="9"/>
      <c r="M309" s="9"/>
      <c r="N309" s="9"/>
      <c r="O309" s="9"/>
      <c r="P309" s="9"/>
      <c r="Q309" s="9"/>
      <c r="R309" s="9"/>
      <c r="S309" s="9"/>
      <c r="T309" s="9"/>
      <c r="U309" s="9"/>
      <c r="V309" s="9"/>
      <c r="W309" s="9"/>
      <c r="X309" s="9"/>
      <c r="Y309" s="9"/>
    </row>
    <row r="310" spans="2:25" x14ac:dyDescent="0.2">
      <c r="B310" s="7"/>
      <c r="C310" s="9"/>
      <c r="D310" s="9"/>
      <c r="E310" s="9"/>
      <c r="F310" s="9"/>
      <c r="G310" s="16"/>
      <c r="H310" s="9"/>
      <c r="I310" s="9"/>
      <c r="J310" s="9"/>
      <c r="K310" s="72"/>
      <c r="L310" s="9"/>
      <c r="M310" s="9"/>
      <c r="N310" s="9"/>
      <c r="O310" s="9"/>
      <c r="P310" s="9"/>
      <c r="Q310" s="9"/>
      <c r="R310" s="9"/>
      <c r="S310" s="9"/>
      <c r="T310" s="9"/>
      <c r="U310" s="9"/>
      <c r="V310" s="9"/>
      <c r="W310" s="9"/>
      <c r="X310" s="9"/>
      <c r="Y310" s="9"/>
    </row>
    <row r="311" spans="2:25" x14ac:dyDescent="0.2">
      <c r="B311" s="7"/>
      <c r="C311" s="9"/>
      <c r="D311" s="9"/>
      <c r="E311" s="9"/>
      <c r="F311" s="9"/>
      <c r="G311" s="16"/>
      <c r="H311" s="9"/>
      <c r="I311" s="9"/>
      <c r="J311" s="9"/>
      <c r="K311" s="72"/>
      <c r="L311" s="9"/>
      <c r="M311" s="9"/>
      <c r="N311" s="9"/>
      <c r="O311" s="9"/>
      <c r="P311" s="9"/>
      <c r="Q311" s="9"/>
      <c r="R311" s="9"/>
      <c r="S311" s="9"/>
      <c r="T311" s="9"/>
      <c r="U311" s="9"/>
      <c r="V311" s="9"/>
      <c r="W311" s="9"/>
      <c r="X311" s="9"/>
      <c r="Y311" s="9"/>
    </row>
    <row r="312" spans="2:25" x14ac:dyDescent="0.2">
      <c r="B312" s="7"/>
      <c r="C312" s="9"/>
      <c r="D312" s="9"/>
      <c r="E312" s="9"/>
      <c r="F312" s="9"/>
      <c r="G312" s="16"/>
      <c r="H312" s="9"/>
      <c r="I312" s="9"/>
      <c r="J312" s="9"/>
      <c r="K312" s="72"/>
      <c r="L312" s="9"/>
      <c r="M312" s="9"/>
      <c r="N312" s="9"/>
      <c r="O312" s="9"/>
      <c r="P312" s="9"/>
      <c r="Q312" s="9"/>
      <c r="R312" s="9"/>
      <c r="S312" s="9"/>
      <c r="T312" s="9"/>
      <c r="U312" s="9"/>
      <c r="V312" s="9"/>
      <c r="W312" s="9"/>
      <c r="X312" s="9"/>
      <c r="Y312" s="9"/>
    </row>
    <row r="313" spans="2:25" x14ac:dyDescent="0.2">
      <c r="B313" s="7"/>
      <c r="C313" s="9"/>
      <c r="D313" s="9"/>
      <c r="E313" s="9"/>
      <c r="F313" s="9"/>
      <c r="G313" s="16"/>
      <c r="H313" s="9"/>
      <c r="I313" s="9"/>
      <c r="J313" s="9"/>
      <c r="K313" s="72"/>
      <c r="L313" s="9"/>
      <c r="M313" s="9"/>
      <c r="N313" s="9"/>
      <c r="O313" s="9"/>
      <c r="P313" s="9"/>
      <c r="Q313" s="9"/>
      <c r="R313" s="9"/>
      <c r="S313" s="9"/>
      <c r="T313" s="9"/>
      <c r="U313" s="9"/>
      <c r="V313" s="9"/>
      <c r="W313" s="9"/>
      <c r="X313" s="9"/>
      <c r="Y313" s="9"/>
    </row>
    <row r="314" spans="2:25" x14ac:dyDescent="0.2">
      <c r="B314" s="7"/>
      <c r="C314" s="9"/>
      <c r="D314" s="9"/>
      <c r="E314" s="9"/>
      <c r="F314" s="9"/>
      <c r="G314" s="16"/>
      <c r="H314" s="9"/>
      <c r="I314" s="9"/>
      <c r="J314" s="9"/>
      <c r="K314" s="72"/>
      <c r="L314" s="9"/>
      <c r="M314" s="9"/>
      <c r="N314" s="9"/>
      <c r="O314" s="9"/>
      <c r="P314" s="9"/>
      <c r="Q314" s="9"/>
      <c r="R314" s="9"/>
      <c r="S314" s="9"/>
      <c r="T314" s="9"/>
      <c r="U314" s="9"/>
      <c r="V314" s="9"/>
      <c r="W314" s="9"/>
      <c r="X314" s="9"/>
      <c r="Y314" s="9"/>
    </row>
    <row r="315" spans="2:25" x14ac:dyDescent="0.2">
      <c r="B315" s="7"/>
      <c r="C315" s="9"/>
      <c r="D315" s="9"/>
      <c r="E315" s="9"/>
      <c r="F315" s="9"/>
      <c r="G315" s="16"/>
      <c r="H315" s="9"/>
      <c r="I315" s="9"/>
      <c r="J315" s="9"/>
      <c r="K315" s="72"/>
      <c r="L315" s="9"/>
      <c r="M315" s="9"/>
      <c r="N315" s="9"/>
      <c r="O315" s="9"/>
      <c r="P315" s="9"/>
      <c r="Q315" s="9"/>
      <c r="R315" s="9"/>
      <c r="S315" s="9"/>
      <c r="T315" s="9"/>
      <c r="U315" s="9"/>
      <c r="V315" s="9"/>
      <c r="W315" s="9"/>
      <c r="X315" s="9"/>
      <c r="Y315" s="9"/>
    </row>
    <row r="316" spans="2:25" x14ac:dyDescent="0.2">
      <c r="B316" s="7"/>
      <c r="C316" s="9"/>
      <c r="D316" s="9"/>
      <c r="E316" s="9"/>
      <c r="F316" s="9"/>
      <c r="G316" s="16"/>
      <c r="H316" s="9"/>
      <c r="I316" s="9"/>
      <c r="J316" s="9"/>
      <c r="K316" s="72"/>
      <c r="L316" s="9"/>
      <c r="M316" s="9"/>
      <c r="N316" s="9"/>
      <c r="O316" s="9"/>
      <c r="P316" s="9"/>
      <c r="Q316" s="9"/>
      <c r="R316" s="9"/>
      <c r="S316" s="9"/>
      <c r="T316" s="9"/>
      <c r="U316" s="9"/>
      <c r="V316" s="9"/>
      <c r="W316" s="9"/>
      <c r="X316" s="9"/>
      <c r="Y316" s="9"/>
    </row>
    <row r="317" spans="2:25" x14ac:dyDescent="0.2">
      <c r="B317" s="7"/>
      <c r="C317" s="9"/>
      <c r="D317" s="9"/>
      <c r="E317" s="9"/>
      <c r="F317" s="9"/>
      <c r="G317" s="16"/>
      <c r="H317" s="9"/>
      <c r="I317" s="9"/>
      <c r="J317" s="9"/>
      <c r="K317" s="72"/>
      <c r="L317" s="9"/>
      <c r="M317" s="9"/>
      <c r="N317" s="9"/>
      <c r="O317" s="9"/>
      <c r="P317" s="9"/>
      <c r="Q317" s="9"/>
      <c r="R317" s="9"/>
      <c r="S317" s="9"/>
      <c r="T317" s="9"/>
      <c r="U317" s="9"/>
      <c r="V317" s="9"/>
      <c r="W317" s="9"/>
      <c r="X317" s="9"/>
      <c r="Y317" s="9"/>
    </row>
    <row r="318" spans="2:25" x14ac:dyDescent="0.2">
      <c r="B318" s="7"/>
      <c r="C318" s="9"/>
      <c r="D318" s="9"/>
      <c r="E318" s="9"/>
      <c r="F318" s="9"/>
      <c r="G318" s="16"/>
      <c r="H318" s="9"/>
      <c r="I318" s="9"/>
      <c r="J318" s="9"/>
      <c r="K318" s="72"/>
      <c r="L318" s="9"/>
      <c r="M318" s="9"/>
      <c r="N318" s="9"/>
      <c r="O318" s="9"/>
      <c r="P318" s="9"/>
      <c r="Q318" s="9"/>
      <c r="R318" s="9"/>
      <c r="S318" s="9"/>
      <c r="T318" s="9"/>
      <c r="U318" s="9"/>
      <c r="V318" s="9"/>
      <c r="W318" s="9"/>
      <c r="X318" s="9"/>
      <c r="Y318" s="9"/>
    </row>
    <row r="319" spans="2:25" x14ac:dyDescent="0.2">
      <c r="B319" s="7"/>
      <c r="C319" s="9"/>
      <c r="D319" s="9"/>
      <c r="E319" s="9"/>
      <c r="F319" s="9"/>
      <c r="G319" s="16"/>
      <c r="H319" s="9"/>
      <c r="I319" s="9"/>
      <c r="J319" s="9"/>
      <c r="K319" s="72"/>
      <c r="L319" s="9"/>
      <c r="M319" s="9"/>
      <c r="N319" s="9"/>
      <c r="O319" s="9"/>
      <c r="P319" s="9"/>
      <c r="Q319" s="9"/>
      <c r="R319" s="9"/>
      <c r="S319" s="9"/>
      <c r="T319" s="9"/>
      <c r="U319" s="9"/>
      <c r="V319" s="9"/>
      <c r="W319" s="9"/>
      <c r="X319" s="9"/>
      <c r="Y319" s="9"/>
    </row>
    <row r="320" spans="2:25" x14ac:dyDescent="0.2">
      <c r="B320" s="7"/>
      <c r="C320" s="9"/>
      <c r="D320" s="9"/>
      <c r="E320" s="9"/>
      <c r="F320" s="9"/>
      <c r="G320" s="16"/>
      <c r="H320" s="9"/>
      <c r="I320" s="9"/>
      <c r="J320" s="9"/>
      <c r="K320" s="72"/>
      <c r="L320" s="9"/>
      <c r="M320" s="9"/>
      <c r="N320" s="9"/>
      <c r="O320" s="9"/>
      <c r="P320" s="9"/>
      <c r="Q320" s="9"/>
      <c r="R320" s="9"/>
      <c r="S320" s="9"/>
      <c r="T320" s="9"/>
      <c r="U320" s="9"/>
      <c r="V320" s="9"/>
      <c r="W320" s="9"/>
      <c r="X320" s="9"/>
      <c r="Y320" s="9"/>
    </row>
    <row r="321" spans="2:25" x14ac:dyDescent="0.2">
      <c r="B321" s="7"/>
      <c r="C321" s="9"/>
      <c r="D321" s="9"/>
      <c r="E321" s="9"/>
      <c r="F321" s="9"/>
      <c r="G321" s="16"/>
      <c r="H321" s="9"/>
      <c r="I321" s="9"/>
      <c r="J321" s="9"/>
      <c r="K321" s="72"/>
      <c r="L321" s="9"/>
      <c r="M321" s="9"/>
      <c r="N321" s="9"/>
      <c r="O321" s="9"/>
      <c r="P321" s="9"/>
      <c r="Q321" s="9"/>
      <c r="R321" s="9"/>
      <c r="S321" s="9"/>
      <c r="T321" s="9"/>
      <c r="U321" s="9"/>
      <c r="V321" s="9"/>
      <c r="W321" s="9"/>
      <c r="X321" s="9"/>
      <c r="Y321" s="9"/>
    </row>
    <row r="322" spans="2:25" x14ac:dyDescent="0.2">
      <c r="B322" s="7"/>
      <c r="C322" s="9"/>
      <c r="D322" s="9"/>
      <c r="E322" s="9"/>
      <c r="F322" s="9"/>
      <c r="G322" s="16"/>
      <c r="H322" s="9"/>
      <c r="I322" s="9"/>
      <c r="J322" s="9"/>
      <c r="K322" s="72"/>
      <c r="L322" s="9"/>
      <c r="M322" s="9"/>
      <c r="N322" s="9"/>
      <c r="O322" s="9"/>
      <c r="P322" s="9"/>
      <c r="Q322" s="9"/>
      <c r="R322" s="9"/>
      <c r="S322" s="9"/>
      <c r="T322" s="9"/>
      <c r="U322" s="9"/>
      <c r="V322" s="9"/>
      <c r="W322" s="9"/>
      <c r="X322" s="9"/>
      <c r="Y322" s="9"/>
    </row>
    <row r="323" spans="2:25" x14ac:dyDescent="0.2">
      <c r="B323" s="7"/>
      <c r="C323" s="9"/>
      <c r="D323" s="9"/>
      <c r="E323" s="9"/>
      <c r="F323" s="9"/>
      <c r="G323" s="16"/>
      <c r="H323" s="9"/>
      <c r="I323" s="9"/>
      <c r="J323" s="9"/>
      <c r="K323" s="72"/>
      <c r="L323" s="9"/>
      <c r="M323" s="9"/>
      <c r="N323" s="9"/>
      <c r="O323" s="9"/>
      <c r="P323" s="9"/>
      <c r="Q323" s="9"/>
      <c r="R323" s="9"/>
      <c r="S323" s="9"/>
      <c r="T323" s="9"/>
      <c r="U323" s="9"/>
      <c r="V323" s="9"/>
      <c r="W323" s="9"/>
      <c r="X323" s="9"/>
      <c r="Y323" s="9"/>
    </row>
    <row r="324" spans="2:25" x14ac:dyDescent="0.2">
      <c r="B324" s="7"/>
      <c r="C324" s="9"/>
      <c r="D324" s="9"/>
      <c r="E324" s="9"/>
      <c r="F324" s="9"/>
      <c r="G324" s="16"/>
      <c r="H324" s="9"/>
      <c r="I324" s="9"/>
      <c r="J324" s="9"/>
      <c r="K324" s="72"/>
      <c r="L324" s="9"/>
      <c r="M324" s="9"/>
      <c r="N324" s="9"/>
      <c r="O324" s="9"/>
      <c r="P324" s="9"/>
      <c r="Q324" s="9"/>
      <c r="R324" s="9"/>
      <c r="S324" s="9"/>
      <c r="T324" s="9"/>
      <c r="U324" s="9"/>
      <c r="V324" s="9"/>
      <c r="W324" s="9"/>
      <c r="X324" s="9"/>
      <c r="Y324" s="9"/>
    </row>
    <row r="325" spans="2:25" x14ac:dyDescent="0.2">
      <c r="B325" s="7"/>
      <c r="C325" s="9"/>
      <c r="D325" s="9"/>
      <c r="E325" s="9"/>
      <c r="F325" s="9"/>
      <c r="G325" s="16"/>
      <c r="H325" s="9"/>
      <c r="I325" s="9"/>
      <c r="J325" s="9"/>
      <c r="K325" s="72"/>
      <c r="L325" s="9"/>
      <c r="M325" s="9"/>
      <c r="N325" s="9"/>
      <c r="O325" s="9"/>
      <c r="P325" s="9"/>
      <c r="Q325" s="9"/>
      <c r="R325" s="9"/>
      <c r="S325" s="9"/>
      <c r="T325" s="9"/>
      <c r="U325" s="9"/>
      <c r="V325" s="9"/>
      <c r="W325" s="9"/>
      <c r="X325" s="9"/>
      <c r="Y325" s="9"/>
    </row>
    <row r="326" spans="2:25" x14ac:dyDescent="0.2">
      <c r="B326" s="7"/>
      <c r="C326" s="9"/>
      <c r="D326" s="9"/>
      <c r="E326" s="9"/>
      <c r="F326" s="9"/>
      <c r="G326" s="16"/>
      <c r="H326" s="9"/>
      <c r="I326" s="9"/>
      <c r="J326" s="9"/>
      <c r="K326" s="72"/>
      <c r="L326" s="9"/>
      <c r="M326" s="9"/>
      <c r="N326" s="9"/>
      <c r="O326" s="9"/>
      <c r="P326" s="9"/>
      <c r="Q326" s="9"/>
      <c r="R326" s="9"/>
      <c r="S326" s="9"/>
      <c r="T326" s="9"/>
      <c r="U326" s="9"/>
      <c r="V326" s="9"/>
      <c r="W326" s="9"/>
      <c r="X326" s="9"/>
      <c r="Y326" s="9"/>
    </row>
    <row r="327" spans="2:25" x14ac:dyDescent="0.2">
      <c r="B327" s="7"/>
      <c r="C327" s="9"/>
      <c r="D327" s="9"/>
      <c r="E327" s="9"/>
      <c r="F327" s="9"/>
      <c r="G327" s="16"/>
      <c r="H327" s="9"/>
      <c r="I327" s="9"/>
      <c r="J327" s="9"/>
      <c r="K327" s="72"/>
      <c r="L327" s="9"/>
      <c r="M327" s="9"/>
      <c r="N327" s="9"/>
      <c r="O327" s="9"/>
      <c r="P327" s="9"/>
      <c r="Q327" s="9"/>
      <c r="R327" s="9"/>
      <c r="S327" s="9"/>
      <c r="T327" s="9"/>
      <c r="U327" s="9"/>
      <c r="V327" s="9"/>
      <c r="W327" s="9"/>
      <c r="X327" s="9"/>
      <c r="Y327" s="9"/>
    </row>
    <row r="328" spans="2:25" x14ac:dyDescent="0.2">
      <c r="B328" s="7"/>
      <c r="C328" s="9"/>
      <c r="D328" s="9"/>
      <c r="E328" s="9"/>
      <c r="F328" s="9"/>
      <c r="G328" s="16"/>
      <c r="H328" s="9"/>
      <c r="I328" s="9"/>
      <c r="J328" s="9"/>
      <c r="K328" s="72"/>
      <c r="L328" s="9"/>
      <c r="M328" s="9"/>
      <c r="N328" s="9"/>
      <c r="O328" s="9"/>
      <c r="P328" s="9"/>
      <c r="Q328" s="9"/>
      <c r="R328" s="9"/>
      <c r="S328" s="9"/>
      <c r="T328" s="9"/>
      <c r="U328" s="9"/>
      <c r="V328" s="9"/>
      <c r="W328" s="9"/>
      <c r="X328" s="9"/>
      <c r="Y328" s="9"/>
    </row>
    <row r="329" spans="2:25" x14ac:dyDescent="0.2">
      <c r="B329" s="7"/>
      <c r="C329" s="9"/>
      <c r="D329" s="9"/>
      <c r="E329" s="9"/>
      <c r="F329" s="9"/>
      <c r="G329" s="16"/>
      <c r="H329" s="9"/>
      <c r="I329" s="9"/>
      <c r="J329" s="9"/>
      <c r="K329" s="72"/>
      <c r="L329" s="9"/>
      <c r="M329" s="9"/>
      <c r="N329" s="9"/>
      <c r="O329" s="9"/>
      <c r="P329" s="9"/>
      <c r="Q329" s="9"/>
      <c r="R329" s="9"/>
      <c r="S329" s="9"/>
      <c r="T329" s="9"/>
      <c r="U329" s="9"/>
      <c r="V329" s="9"/>
      <c r="W329" s="9"/>
      <c r="X329" s="9"/>
      <c r="Y329" s="9"/>
    </row>
    <row r="330" spans="2:25" x14ac:dyDescent="0.2">
      <c r="B330" s="7"/>
      <c r="C330" s="9"/>
      <c r="D330" s="9"/>
      <c r="E330" s="9"/>
      <c r="F330" s="9"/>
      <c r="G330" s="16"/>
      <c r="H330" s="9"/>
      <c r="I330" s="9"/>
      <c r="J330" s="9"/>
      <c r="K330" s="72"/>
      <c r="L330" s="9"/>
      <c r="M330" s="9"/>
      <c r="N330" s="9"/>
      <c r="O330" s="9"/>
      <c r="P330" s="9"/>
      <c r="Q330" s="9"/>
      <c r="R330" s="9"/>
      <c r="S330" s="9"/>
      <c r="T330" s="9"/>
      <c r="U330" s="9"/>
      <c r="V330" s="9"/>
      <c r="W330" s="9"/>
      <c r="X330" s="9"/>
      <c r="Y330" s="9"/>
    </row>
    <row r="331" spans="2:25" x14ac:dyDescent="0.2">
      <c r="B331" s="7"/>
      <c r="C331" s="9"/>
      <c r="D331" s="9"/>
      <c r="E331" s="9"/>
      <c r="F331" s="9"/>
      <c r="G331" s="16"/>
      <c r="H331" s="9"/>
      <c r="I331" s="9"/>
      <c r="J331" s="9"/>
      <c r="K331" s="72"/>
      <c r="L331" s="9"/>
      <c r="M331" s="9"/>
      <c r="N331" s="9"/>
      <c r="O331" s="9"/>
      <c r="P331" s="9"/>
      <c r="Q331" s="9"/>
      <c r="R331" s="9"/>
      <c r="S331" s="9"/>
      <c r="T331" s="9"/>
      <c r="U331" s="9"/>
      <c r="V331" s="9"/>
      <c r="W331" s="9"/>
      <c r="X331" s="9"/>
      <c r="Y331" s="9"/>
    </row>
    <row r="332" spans="2:25" x14ac:dyDescent="0.2">
      <c r="B332" s="7"/>
      <c r="C332" s="9"/>
      <c r="D332" s="9"/>
      <c r="E332" s="9"/>
      <c r="F332" s="9"/>
      <c r="G332" s="16"/>
      <c r="H332" s="9"/>
      <c r="I332" s="9"/>
      <c r="J332" s="9"/>
      <c r="K332" s="72"/>
      <c r="L332" s="9"/>
      <c r="M332" s="9"/>
      <c r="N332" s="9"/>
      <c r="O332" s="9"/>
      <c r="P332" s="9"/>
      <c r="Q332" s="9"/>
      <c r="R332" s="9"/>
      <c r="S332" s="9"/>
      <c r="T332" s="9"/>
      <c r="U332" s="9"/>
      <c r="V332" s="9"/>
      <c r="W332" s="9"/>
      <c r="X332" s="9"/>
      <c r="Y332" s="9"/>
    </row>
    <row r="333" spans="2:25" x14ac:dyDescent="0.2">
      <c r="B333" s="7"/>
      <c r="C333" s="9"/>
      <c r="D333" s="9"/>
      <c r="E333" s="9"/>
      <c r="F333" s="9"/>
      <c r="G333" s="16"/>
      <c r="H333" s="9"/>
      <c r="I333" s="9"/>
      <c r="J333" s="9"/>
      <c r="K333" s="72"/>
      <c r="L333" s="9"/>
      <c r="M333" s="9"/>
      <c r="N333" s="9"/>
      <c r="O333" s="9"/>
      <c r="P333" s="9"/>
      <c r="Q333" s="9"/>
      <c r="R333" s="9"/>
      <c r="S333" s="9"/>
      <c r="T333" s="9"/>
      <c r="U333" s="9"/>
      <c r="V333" s="9"/>
      <c r="W333" s="9"/>
      <c r="X333" s="9"/>
      <c r="Y333" s="9"/>
    </row>
    <row r="334" spans="2:25" x14ac:dyDescent="0.2">
      <c r="B334" s="7"/>
      <c r="C334" s="9"/>
      <c r="D334" s="9"/>
      <c r="E334" s="9"/>
      <c r="F334" s="9"/>
      <c r="G334" s="16"/>
      <c r="H334" s="9"/>
      <c r="I334" s="9"/>
      <c r="J334" s="9"/>
      <c r="K334" s="72"/>
      <c r="L334" s="9"/>
      <c r="M334" s="9"/>
      <c r="N334" s="9"/>
      <c r="O334" s="9"/>
      <c r="P334" s="9"/>
      <c r="Q334" s="9"/>
      <c r="R334" s="9"/>
      <c r="S334" s="9"/>
      <c r="T334" s="9"/>
      <c r="U334" s="9"/>
      <c r="V334" s="9"/>
      <c r="W334" s="9"/>
      <c r="X334" s="9"/>
      <c r="Y334" s="9"/>
    </row>
    <row r="335" spans="2:25" x14ac:dyDescent="0.2">
      <c r="B335" s="7"/>
      <c r="C335" s="9"/>
      <c r="D335" s="9"/>
      <c r="E335" s="9"/>
      <c r="F335" s="9"/>
      <c r="G335" s="16"/>
      <c r="H335" s="9"/>
      <c r="I335" s="9"/>
      <c r="J335" s="9"/>
      <c r="K335" s="72"/>
      <c r="L335" s="9"/>
      <c r="M335" s="9"/>
      <c r="N335" s="9"/>
      <c r="O335" s="9"/>
      <c r="P335" s="9"/>
      <c r="Q335" s="9"/>
      <c r="R335" s="9"/>
      <c r="S335" s="9"/>
      <c r="T335" s="9"/>
      <c r="U335" s="9"/>
      <c r="V335" s="9"/>
      <c r="W335" s="9"/>
      <c r="X335" s="9"/>
      <c r="Y335" s="9"/>
    </row>
    <row r="336" spans="2:25" x14ac:dyDescent="0.2">
      <c r="B336" s="7"/>
      <c r="C336" s="9"/>
      <c r="D336" s="9"/>
      <c r="E336" s="9"/>
      <c r="F336" s="9"/>
      <c r="G336" s="16"/>
      <c r="H336" s="9"/>
      <c r="I336" s="9"/>
      <c r="J336" s="9"/>
      <c r="K336" s="72"/>
      <c r="L336" s="9"/>
      <c r="M336" s="9"/>
      <c r="N336" s="9"/>
      <c r="O336" s="9"/>
      <c r="P336" s="9"/>
      <c r="Q336" s="9"/>
      <c r="R336" s="9"/>
      <c r="S336" s="9"/>
      <c r="T336" s="9"/>
      <c r="U336" s="9"/>
      <c r="V336" s="9"/>
      <c r="W336" s="9"/>
      <c r="X336" s="9"/>
      <c r="Y336" s="9"/>
    </row>
    <row r="337" spans="2:25" x14ac:dyDescent="0.2">
      <c r="B337" s="7"/>
      <c r="C337" s="9"/>
      <c r="D337" s="9"/>
      <c r="E337" s="9"/>
      <c r="F337" s="9"/>
      <c r="G337" s="16"/>
      <c r="H337" s="9"/>
      <c r="I337" s="9"/>
      <c r="J337" s="9"/>
      <c r="K337" s="72"/>
      <c r="L337" s="9"/>
      <c r="M337" s="9"/>
      <c r="N337" s="9"/>
      <c r="O337" s="9"/>
      <c r="P337" s="9"/>
      <c r="Q337" s="9"/>
      <c r="R337" s="9"/>
      <c r="S337" s="9"/>
      <c r="T337" s="9"/>
      <c r="U337" s="9"/>
      <c r="V337" s="9"/>
      <c r="W337" s="9"/>
      <c r="X337" s="9"/>
      <c r="Y337" s="9"/>
    </row>
    <row r="338" spans="2:25" x14ac:dyDescent="0.2">
      <c r="B338" s="7"/>
      <c r="C338" s="9"/>
      <c r="D338" s="9"/>
      <c r="E338" s="9"/>
      <c r="F338" s="9"/>
      <c r="G338" s="16"/>
      <c r="H338" s="9"/>
      <c r="I338" s="9"/>
      <c r="J338" s="9"/>
      <c r="K338" s="72"/>
      <c r="L338" s="9"/>
      <c r="M338" s="9"/>
      <c r="N338" s="9"/>
      <c r="O338" s="9"/>
      <c r="P338" s="9"/>
      <c r="Q338" s="9"/>
      <c r="R338" s="9"/>
      <c r="S338" s="9"/>
      <c r="T338" s="9"/>
      <c r="U338" s="9"/>
      <c r="V338" s="9"/>
      <c r="W338" s="9"/>
      <c r="X338" s="9"/>
      <c r="Y338" s="9"/>
    </row>
    <row r="339" spans="2:25" x14ac:dyDescent="0.2">
      <c r="B339" s="7"/>
      <c r="C339" s="9"/>
      <c r="D339" s="9"/>
      <c r="E339" s="9"/>
      <c r="F339" s="9"/>
      <c r="G339" s="16"/>
      <c r="H339" s="9"/>
      <c r="I339" s="9"/>
      <c r="J339" s="9"/>
      <c r="K339" s="72"/>
      <c r="L339" s="9"/>
      <c r="M339" s="9"/>
      <c r="N339" s="9"/>
      <c r="O339" s="9"/>
      <c r="P339" s="9"/>
      <c r="Q339" s="9"/>
      <c r="R339" s="9"/>
      <c r="S339" s="9"/>
      <c r="T339" s="9"/>
      <c r="U339" s="9"/>
      <c r="V339" s="9"/>
      <c r="W339" s="9"/>
      <c r="X339" s="9"/>
      <c r="Y339" s="9"/>
    </row>
    <row r="340" spans="2:25" x14ac:dyDescent="0.2">
      <c r="B340" s="7"/>
      <c r="C340" s="9"/>
      <c r="D340" s="9"/>
      <c r="E340" s="9"/>
      <c r="F340" s="9"/>
      <c r="G340" s="16"/>
      <c r="H340" s="9"/>
      <c r="I340" s="9"/>
      <c r="J340" s="9"/>
      <c r="K340" s="72"/>
      <c r="L340" s="9"/>
      <c r="M340" s="9"/>
      <c r="N340" s="9"/>
      <c r="O340" s="9"/>
      <c r="P340" s="9"/>
      <c r="Q340" s="9"/>
      <c r="R340" s="9"/>
      <c r="S340" s="9"/>
      <c r="T340" s="9"/>
      <c r="U340" s="9"/>
      <c r="V340" s="9"/>
      <c r="W340" s="9"/>
      <c r="X340" s="9"/>
      <c r="Y340" s="9"/>
    </row>
    <row r="341" spans="2:25" x14ac:dyDescent="0.2">
      <c r="B341" s="7"/>
      <c r="C341" s="9"/>
      <c r="D341" s="9"/>
      <c r="E341" s="9"/>
      <c r="F341" s="9"/>
      <c r="G341" s="16"/>
      <c r="H341" s="9"/>
      <c r="I341" s="9"/>
      <c r="J341" s="9"/>
      <c r="K341" s="72"/>
      <c r="L341" s="9"/>
      <c r="M341" s="9"/>
      <c r="N341" s="9"/>
      <c r="O341" s="9"/>
      <c r="P341" s="9"/>
      <c r="Q341" s="9"/>
      <c r="R341" s="9"/>
      <c r="S341" s="9"/>
      <c r="T341" s="9"/>
      <c r="U341" s="9"/>
      <c r="V341" s="9"/>
      <c r="W341" s="9"/>
      <c r="X341" s="9"/>
      <c r="Y341" s="9"/>
    </row>
    <row r="342" spans="2:25" x14ac:dyDescent="0.2">
      <c r="B342" s="7"/>
      <c r="C342" s="9"/>
      <c r="D342" s="9"/>
      <c r="E342" s="9"/>
      <c r="F342" s="9"/>
      <c r="G342" s="16"/>
      <c r="H342" s="9"/>
      <c r="I342" s="9"/>
      <c r="J342" s="9"/>
      <c r="K342" s="72"/>
      <c r="L342" s="9"/>
      <c r="M342" s="9"/>
      <c r="N342" s="9"/>
      <c r="O342" s="9"/>
      <c r="P342" s="9"/>
      <c r="Q342" s="9"/>
      <c r="R342" s="9"/>
      <c r="S342" s="9"/>
      <c r="T342" s="9"/>
      <c r="U342" s="9"/>
      <c r="V342" s="9"/>
      <c r="W342" s="9"/>
      <c r="X342" s="9"/>
      <c r="Y342" s="9"/>
    </row>
    <row r="343" spans="2:25" x14ac:dyDescent="0.2">
      <c r="B343" s="7"/>
      <c r="C343" s="9"/>
      <c r="D343" s="9"/>
      <c r="E343" s="9"/>
      <c r="F343" s="9"/>
      <c r="G343" s="16"/>
      <c r="H343" s="9"/>
      <c r="I343" s="9"/>
      <c r="J343" s="9"/>
      <c r="K343" s="72"/>
      <c r="L343" s="9"/>
      <c r="M343" s="9"/>
      <c r="N343" s="9"/>
      <c r="O343" s="9"/>
      <c r="P343" s="9"/>
      <c r="Q343" s="9"/>
      <c r="R343" s="9"/>
      <c r="S343" s="9"/>
      <c r="T343" s="9"/>
      <c r="U343" s="9"/>
      <c r="V343" s="9"/>
      <c r="W343" s="9"/>
      <c r="X343" s="9"/>
      <c r="Y343" s="9"/>
    </row>
    <row r="344" spans="2:25" x14ac:dyDescent="0.2">
      <c r="B344" s="7"/>
      <c r="C344" s="9"/>
      <c r="D344" s="9"/>
      <c r="E344" s="9"/>
      <c r="F344" s="9"/>
      <c r="G344" s="16"/>
      <c r="H344" s="9"/>
      <c r="I344" s="9"/>
      <c r="J344" s="9"/>
      <c r="K344" s="72"/>
      <c r="L344" s="9"/>
      <c r="M344" s="9"/>
      <c r="N344" s="9"/>
      <c r="O344" s="9"/>
      <c r="P344" s="9"/>
      <c r="Q344" s="9"/>
      <c r="R344" s="9"/>
      <c r="S344" s="9"/>
      <c r="T344" s="9"/>
      <c r="U344" s="9"/>
      <c r="V344" s="9"/>
      <c r="W344" s="9"/>
      <c r="X344" s="9"/>
      <c r="Y344" s="9"/>
    </row>
    <row r="345" spans="2:25" x14ac:dyDescent="0.2">
      <c r="B345" s="7"/>
      <c r="C345" s="9"/>
      <c r="D345" s="9"/>
      <c r="E345" s="9"/>
      <c r="F345" s="9"/>
      <c r="G345" s="16"/>
      <c r="H345" s="9"/>
      <c r="I345" s="9"/>
      <c r="J345" s="9"/>
      <c r="K345" s="72"/>
      <c r="L345" s="9"/>
      <c r="M345" s="9"/>
      <c r="N345" s="9"/>
      <c r="O345" s="9"/>
      <c r="P345" s="9"/>
      <c r="Q345" s="9"/>
      <c r="R345" s="9"/>
      <c r="S345" s="9"/>
      <c r="T345" s="9"/>
      <c r="U345" s="9"/>
      <c r="V345" s="9"/>
      <c r="W345" s="9"/>
      <c r="X345" s="9"/>
      <c r="Y345" s="9"/>
    </row>
    <row r="346" spans="2:25" x14ac:dyDescent="0.2">
      <c r="B346" s="7"/>
      <c r="C346" s="9"/>
      <c r="D346" s="9"/>
      <c r="E346" s="9"/>
      <c r="F346" s="9"/>
      <c r="G346" s="16"/>
      <c r="H346" s="9"/>
      <c r="I346" s="9"/>
      <c r="J346" s="9"/>
      <c r="K346" s="72"/>
      <c r="L346" s="9"/>
      <c r="M346" s="9"/>
      <c r="N346" s="9"/>
      <c r="O346" s="9"/>
      <c r="P346" s="9"/>
      <c r="Q346" s="9"/>
      <c r="R346" s="9"/>
      <c r="S346" s="9"/>
      <c r="T346" s="9"/>
      <c r="U346" s="9"/>
      <c r="V346" s="9"/>
      <c r="W346" s="9"/>
      <c r="X346" s="9"/>
      <c r="Y346" s="9"/>
    </row>
    <row r="347" spans="2:25" x14ac:dyDescent="0.2">
      <c r="B347" s="7"/>
      <c r="C347" s="9"/>
      <c r="D347" s="9"/>
      <c r="E347" s="9"/>
      <c r="F347" s="9"/>
      <c r="G347" s="16"/>
      <c r="H347" s="9"/>
      <c r="I347" s="9"/>
      <c r="J347" s="9"/>
      <c r="K347" s="72"/>
      <c r="L347" s="9"/>
      <c r="M347" s="9"/>
      <c r="N347" s="9"/>
      <c r="O347" s="9"/>
      <c r="P347" s="9"/>
      <c r="Q347" s="9"/>
      <c r="R347" s="9"/>
      <c r="S347" s="9"/>
      <c r="T347" s="9"/>
      <c r="U347" s="9"/>
      <c r="V347" s="9"/>
      <c r="W347" s="9"/>
      <c r="X347" s="9"/>
      <c r="Y347" s="9"/>
    </row>
    <row r="348" spans="2:25" x14ac:dyDescent="0.2">
      <c r="B348" s="7"/>
      <c r="C348" s="9"/>
      <c r="D348" s="9"/>
      <c r="E348" s="9"/>
      <c r="F348" s="9"/>
      <c r="G348" s="16"/>
      <c r="H348" s="9"/>
      <c r="I348" s="9"/>
      <c r="J348" s="9"/>
      <c r="K348" s="72"/>
      <c r="L348" s="9"/>
      <c r="M348" s="9"/>
      <c r="N348" s="9"/>
      <c r="O348" s="9"/>
      <c r="P348" s="9"/>
      <c r="Q348" s="9"/>
      <c r="R348" s="9"/>
      <c r="S348" s="9"/>
      <c r="T348" s="9"/>
      <c r="U348" s="9"/>
      <c r="V348" s="9"/>
      <c r="W348" s="9"/>
      <c r="X348" s="9"/>
      <c r="Y348" s="9"/>
    </row>
    <row r="349" spans="2:25" x14ac:dyDescent="0.2">
      <c r="B349" s="7"/>
      <c r="C349" s="9"/>
      <c r="D349" s="9"/>
      <c r="E349" s="9"/>
      <c r="F349" s="9"/>
      <c r="G349" s="16"/>
      <c r="H349" s="9"/>
      <c r="I349" s="9"/>
      <c r="J349" s="9"/>
      <c r="K349" s="72"/>
      <c r="L349" s="9"/>
      <c r="M349" s="9"/>
      <c r="N349" s="9"/>
      <c r="O349" s="9"/>
      <c r="P349" s="9"/>
      <c r="Q349" s="9"/>
      <c r="R349" s="9"/>
      <c r="S349" s="9"/>
      <c r="T349" s="9"/>
      <c r="U349" s="9"/>
      <c r="V349" s="9"/>
      <c r="W349" s="9"/>
      <c r="X349" s="9"/>
      <c r="Y349" s="9"/>
    </row>
    <row r="350" spans="2:25" x14ac:dyDescent="0.2">
      <c r="B350" s="7"/>
      <c r="C350" s="9"/>
      <c r="D350" s="9"/>
      <c r="E350" s="9"/>
      <c r="F350" s="9"/>
      <c r="G350" s="16"/>
      <c r="H350" s="9"/>
      <c r="I350" s="9"/>
      <c r="J350" s="9"/>
      <c r="K350" s="72"/>
      <c r="L350" s="9"/>
      <c r="M350" s="9"/>
      <c r="N350" s="9"/>
      <c r="O350" s="9"/>
      <c r="P350" s="9"/>
      <c r="Q350" s="9"/>
      <c r="R350" s="9"/>
      <c r="S350" s="9"/>
      <c r="T350" s="9"/>
      <c r="U350" s="9"/>
      <c r="V350" s="9"/>
      <c r="W350" s="9"/>
      <c r="X350" s="9"/>
      <c r="Y350" s="9"/>
    </row>
    <row r="351" spans="2:25" x14ac:dyDescent="0.2">
      <c r="B351" s="7"/>
      <c r="C351" s="9"/>
      <c r="D351" s="9"/>
      <c r="E351" s="9"/>
      <c r="F351" s="9"/>
      <c r="G351" s="16"/>
      <c r="H351" s="9"/>
      <c r="I351" s="9"/>
      <c r="J351" s="9"/>
      <c r="K351" s="72"/>
      <c r="L351" s="9"/>
      <c r="M351" s="9"/>
      <c r="N351" s="9"/>
      <c r="O351" s="9"/>
      <c r="P351" s="9"/>
      <c r="Q351" s="9"/>
      <c r="R351" s="9"/>
      <c r="S351" s="9"/>
      <c r="T351" s="9"/>
      <c r="U351" s="9"/>
      <c r="V351" s="9"/>
      <c r="W351" s="9"/>
      <c r="X351" s="9"/>
      <c r="Y351" s="9"/>
    </row>
    <row r="352" spans="2:25" x14ac:dyDescent="0.2">
      <c r="B352" s="7"/>
      <c r="C352" s="9"/>
      <c r="D352" s="9"/>
      <c r="E352" s="9"/>
      <c r="F352" s="9"/>
      <c r="G352" s="16"/>
      <c r="H352" s="9"/>
      <c r="I352" s="9"/>
      <c r="J352" s="9"/>
      <c r="K352" s="72"/>
      <c r="L352" s="9"/>
      <c r="M352" s="9"/>
      <c r="N352" s="9"/>
      <c r="O352" s="9"/>
      <c r="P352" s="9"/>
      <c r="Q352" s="9"/>
      <c r="R352" s="9"/>
      <c r="S352" s="9"/>
      <c r="T352" s="9"/>
      <c r="U352" s="9"/>
      <c r="V352" s="9"/>
      <c r="W352" s="9"/>
      <c r="X352" s="9"/>
      <c r="Y352" s="9"/>
    </row>
    <row r="353" spans="2:25" x14ac:dyDescent="0.2">
      <c r="B353" s="7"/>
      <c r="C353" s="9"/>
      <c r="D353" s="9"/>
      <c r="E353" s="9"/>
      <c r="F353" s="9"/>
      <c r="G353" s="16"/>
      <c r="H353" s="9"/>
      <c r="I353" s="9"/>
      <c r="J353" s="9"/>
      <c r="K353" s="72"/>
      <c r="L353" s="9"/>
      <c r="M353" s="9"/>
      <c r="N353" s="9"/>
      <c r="O353" s="9"/>
      <c r="P353" s="9"/>
      <c r="Q353" s="9"/>
      <c r="R353" s="9"/>
      <c r="S353" s="9"/>
      <c r="T353" s="9"/>
      <c r="U353" s="9"/>
      <c r="V353" s="9"/>
      <c r="W353" s="9"/>
      <c r="X353" s="9"/>
      <c r="Y353" s="9"/>
    </row>
    <row r="354" spans="2:25" x14ac:dyDescent="0.2">
      <c r="B354" s="7"/>
      <c r="C354" s="9"/>
      <c r="D354" s="9"/>
      <c r="E354" s="9"/>
      <c r="F354" s="9"/>
      <c r="G354" s="16"/>
      <c r="H354" s="9"/>
      <c r="I354" s="9"/>
      <c r="J354" s="9"/>
      <c r="K354" s="72"/>
      <c r="L354" s="9"/>
      <c r="M354" s="9"/>
      <c r="N354" s="9"/>
      <c r="O354" s="9"/>
      <c r="P354" s="9"/>
      <c r="Q354" s="9"/>
      <c r="R354" s="9"/>
      <c r="S354" s="9"/>
      <c r="T354" s="9"/>
      <c r="U354" s="9"/>
      <c r="V354" s="9"/>
      <c r="W354" s="9"/>
      <c r="X354" s="9"/>
      <c r="Y354" s="9"/>
    </row>
    <row r="355" spans="2:25" x14ac:dyDescent="0.2">
      <c r="B355" s="7"/>
      <c r="C355" s="9"/>
      <c r="D355" s="9"/>
      <c r="E355" s="9"/>
      <c r="F355" s="9"/>
      <c r="G355" s="16"/>
      <c r="H355" s="9"/>
      <c r="I355" s="9"/>
      <c r="J355" s="9"/>
      <c r="K355" s="72"/>
      <c r="L355" s="9"/>
      <c r="M355" s="9"/>
      <c r="N355" s="9"/>
      <c r="O355" s="9"/>
      <c r="P355" s="9"/>
      <c r="Q355" s="9"/>
      <c r="R355" s="9"/>
      <c r="S355" s="9"/>
      <c r="T355" s="9"/>
      <c r="U355" s="9"/>
      <c r="V355" s="9"/>
      <c r="W355" s="9"/>
      <c r="X355" s="9"/>
      <c r="Y355" s="9"/>
    </row>
    <row r="356" spans="2:25" x14ac:dyDescent="0.2">
      <c r="B356" s="7"/>
      <c r="C356" s="9"/>
      <c r="D356" s="9"/>
      <c r="E356" s="9"/>
      <c r="F356" s="9"/>
      <c r="G356" s="16"/>
      <c r="H356" s="9"/>
      <c r="I356" s="9"/>
      <c r="J356" s="9"/>
      <c r="K356" s="72"/>
      <c r="L356" s="9"/>
      <c r="M356" s="9"/>
      <c r="N356" s="9"/>
      <c r="O356" s="9"/>
      <c r="P356" s="9"/>
      <c r="Q356" s="9"/>
      <c r="R356" s="9"/>
      <c r="S356" s="9"/>
      <c r="T356" s="9"/>
      <c r="U356" s="9"/>
      <c r="V356" s="9"/>
      <c r="W356" s="9"/>
      <c r="X356" s="9"/>
      <c r="Y356" s="9"/>
    </row>
    <row r="357" spans="2:25" x14ac:dyDescent="0.2">
      <c r="B357" s="7"/>
      <c r="C357" s="9"/>
      <c r="D357" s="9"/>
      <c r="E357" s="9"/>
      <c r="F357" s="9"/>
      <c r="G357" s="16"/>
      <c r="H357" s="9"/>
      <c r="I357" s="9"/>
      <c r="J357" s="9"/>
      <c r="K357" s="72"/>
      <c r="L357" s="9"/>
      <c r="M357" s="9"/>
      <c r="N357" s="9"/>
      <c r="O357" s="9"/>
      <c r="P357" s="9"/>
      <c r="Q357" s="9"/>
      <c r="R357" s="9"/>
      <c r="S357" s="9"/>
      <c r="T357" s="9"/>
      <c r="U357" s="9"/>
      <c r="V357" s="9"/>
      <c r="W357" s="9"/>
      <c r="X357" s="9"/>
      <c r="Y357" s="9"/>
    </row>
    <row r="358" spans="2:25" x14ac:dyDescent="0.2">
      <c r="B358" s="7"/>
      <c r="C358" s="9"/>
      <c r="D358" s="9"/>
      <c r="E358" s="9"/>
      <c r="F358" s="9"/>
      <c r="G358" s="16"/>
      <c r="H358" s="9"/>
      <c r="I358" s="9"/>
      <c r="J358" s="9"/>
      <c r="K358" s="72"/>
      <c r="L358" s="9"/>
      <c r="M358" s="9"/>
      <c r="N358" s="9"/>
      <c r="O358" s="9"/>
      <c r="P358" s="9"/>
      <c r="Q358" s="9"/>
      <c r="R358" s="9"/>
      <c r="S358" s="9"/>
      <c r="T358" s="9"/>
      <c r="U358" s="9"/>
      <c r="V358" s="9"/>
      <c r="W358" s="9"/>
      <c r="X358" s="9"/>
      <c r="Y358" s="9"/>
    </row>
    <row r="359" spans="2:25" x14ac:dyDescent="0.2">
      <c r="B359" s="7"/>
      <c r="C359" s="9"/>
      <c r="D359" s="9"/>
      <c r="E359" s="9"/>
      <c r="F359" s="9"/>
      <c r="G359" s="16"/>
      <c r="H359" s="9"/>
      <c r="I359" s="9"/>
      <c r="J359" s="9"/>
      <c r="K359" s="72"/>
      <c r="L359" s="9"/>
      <c r="M359" s="9"/>
      <c r="N359" s="9"/>
      <c r="O359" s="9"/>
      <c r="P359" s="9"/>
      <c r="Q359" s="9"/>
      <c r="R359" s="9"/>
      <c r="S359" s="9"/>
      <c r="T359" s="9"/>
      <c r="U359" s="9"/>
      <c r="V359" s="9"/>
      <c r="W359" s="9"/>
      <c r="X359" s="9"/>
      <c r="Y359" s="9"/>
    </row>
    <row r="360" spans="2:25" x14ac:dyDescent="0.2">
      <c r="B360" s="7"/>
      <c r="C360" s="9"/>
      <c r="D360" s="9"/>
      <c r="E360" s="9"/>
      <c r="F360" s="9"/>
      <c r="G360" s="16"/>
      <c r="H360" s="9"/>
      <c r="I360" s="9"/>
      <c r="J360" s="9"/>
      <c r="K360" s="72"/>
      <c r="L360" s="9"/>
      <c r="M360" s="9"/>
      <c r="N360" s="9"/>
      <c r="O360" s="9"/>
      <c r="P360" s="9"/>
      <c r="Q360" s="9"/>
      <c r="R360" s="9"/>
      <c r="S360" s="9"/>
      <c r="T360" s="9"/>
      <c r="U360" s="9"/>
      <c r="V360" s="9"/>
      <c r="W360" s="9"/>
      <c r="X360" s="9"/>
      <c r="Y360" s="9"/>
    </row>
    <row r="361" spans="2:25" x14ac:dyDescent="0.2">
      <c r="B361" s="7"/>
      <c r="C361" s="9"/>
      <c r="D361" s="9"/>
      <c r="E361" s="9"/>
      <c r="F361" s="9"/>
      <c r="G361" s="16"/>
      <c r="H361" s="9"/>
      <c r="I361" s="9"/>
      <c r="J361" s="9"/>
      <c r="K361" s="72"/>
      <c r="L361" s="9"/>
      <c r="M361" s="9"/>
      <c r="N361" s="9"/>
      <c r="O361" s="9"/>
      <c r="P361" s="9"/>
      <c r="Q361" s="9"/>
      <c r="R361" s="9"/>
      <c r="S361" s="9"/>
      <c r="T361" s="9"/>
      <c r="U361" s="9"/>
      <c r="V361" s="9"/>
      <c r="W361" s="9"/>
      <c r="X361" s="9"/>
      <c r="Y361" s="9"/>
    </row>
    <row r="362" spans="2:25" x14ac:dyDescent="0.2">
      <c r="B362" s="7"/>
      <c r="C362" s="9"/>
      <c r="D362" s="9"/>
      <c r="E362" s="9"/>
      <c r="F362" s="9"/>
      <c r="G362" s="16"/>
      <c r="H362" s="9"/>
      <c r="I362" s="9"/>
      <c r="J362" s="9"/>
      <c r="K362" s="72"/>
      <c r="L362" s="9"/>
      <c r="M362" s="9"/>
      <c r="N362" s="9"/>
      <c r="O362" s="9"/>
      <c r="P362" s="9"/>
      <c r="Q362" s="9"/>
      <c r="R362" s="9"/>
      <c r="S362" s="9"/>
      <c r="T362" s="9"/>
      <c r="U362" s="9"/>
      <c r="V362" s="9"/>
      <c r="W362" s="9"/>
      <c r="X362" s="9"/>
      <c r="Y362" s="9"/>
    </row>
    <row r="363" spans="2:25" x14ac:dyDescent="0.2">
      <c r="B363" s="7"/>
      <c r="C363" s="9"/>
      <c r="D363" s="9"/>
      <c r="E363" s="9"/>
      <c r="F363" s="9"/>
      <c r="G363" s="16"/>
      <c r="H363" s="9"/>
      <c r="I363" s="9"/>
      <c r="J363" s="9"/>
      <c r="K363" s="72"/>
      <c r="L363" s="9"/>
      <c r="M363" s="9"/>
      <c r="N363" s="9"/>
      <c r="O363" s="9"/>
      <c r="P363" s="9"/>
      <c r="Q363" s="9"/>
      <c r="R363" s="9"/>
      <c r="S363" s="9"/>
      <c r="T363" s="9"/>
      <c r="U363" s="9"/>
      <c r="V363" s="9"/>
      <c r="W363" s="9"/>
      <c r="X363" s="9"/>
      <c r="Y363" s="9"/>
    </row>
    <row r="364" spans="2:25" x14ac:dyDescent="0.2">
      <c r="B364" s="7"/>
      <c r="C364" s="9"/>
      <c r="D364" s="9"/>
      <c r="E364" s="9"/>
      <c r="F364" s="9"/>
      <c r="G364" s="16"/>
      <c r="H364" s="9"/>
      <c r="I364" s="9"/>
      <c r="J364" s="9"/>
      <c r="K364" s="72"/>
      <c r="L364" s="9"/>
      <c r="M364" s="9"/>
      <c r="N364" s="9"/>
      <c r="O364" s="9"/>
      <c r="P364" s="9"/>
      <c r="Q364" s="9"/>
      <c r="R364" s="9"/>
      <c r="S364" s="9"/>
      <c r="T364" s="9"/>
      <c r="U364" s="9"/>
      <c r="V364" s="9"/>
      <c r="W364" s="9"/>
      <c r="X364" s="9"/>
      <c r="Y364" s="9"/>
    </row>
    <row r="365" spans="2:25" x14ac:dyDescent="0.2">
      <c r="B365" s="7"/>
      <c r="C365" s="9"/>
      <c r="D365" s="9"/>
      <c r="E365" s="9"/>
      <c r="F365" s="9"/>
      <c r="G365" s="16"/>
      <c r="H365" s="9"/>
      <c r="I365" s="9"/>
      <c r="J365" s="9"/>
      <c r="K365" s="72"/>
      <c r="L365" s="9"/>
      <c r="M365" s="9"/>
      <c r="N365" s="9"/>
      <c r="O365" s="9"/>
      <c r="P365" s="9"/>
      <c r="Q365" s="9"/>
      <c r="R365" s="9"/>
      <c r="S365" s="9"/>
      <c r="T365" s="9"/>
      <c r="U365" s="9"/>
      <c r="V365" s="9"/>
      <c r="W365" s="9"/>
      <c r="X365" s="9"/>
      <c r="Y365" s="9"/>
    </row>
    <row r="366" spans="2:25" x14ac:dyDescent="0.2">
      <c r="B366" s="7"/>
      <c r="C366" s="9"/>
      <c r="D366" s="9"/>
      <c r="E366" s="9"/>
      <c r="F366" s="9"/>
      <c r="G366" s="16"/>
      <c r="H366" s="9"/>
      <c r="I366" s="9"/>
      <c r="J366" s="9"/>
      <c r="K366" s="72"/>
      <c r="L366" s="9"/>
      <c r="M366" s="9"/>
      <c r="N366" s="9"/>
      <c r="O366" s="9"/>
      <c r="P366" s="9"/>
      <c r="Q366" s="9"/>
      <c r="R366" s="9"/>
      <c r="S366" s="9"/>
      <c r="T366" s="9"/>
      <c r="U366" s="9"/>
      <c r="V366" s="9"/>
      <c r="W366" s="9"/>
      <c r="X366" s="9"/>
      <c r="Y366" s="9"/>
    </row>
    <row r="367" spans="2:25" x14ac:dyDescent="0.2">
      <c r="B367" s="7"/>
      <c r="C367" s="9"/>
      <c r="D367" s="9"/>
      <c r="E367" s="9"/>
      <c r="F367" s="9"/>
      <c r="G367" s="16"/>
      <c r="H367" s="9"/>
      <c r="I367" s="9"/>
      <c r="J367" s="9"/>
      <c r="K367" s="72"/>
      <c r="L367" s="9"/>
      <c r="M367" s="9"/>
      <c r="N367" s="9"/>
      <c r="O367" s="9"/>
      <c r="P367" s="9"/>
      <c r="Q367" s="9"/>
      <c r="R367" s="9"/>
      <c r="S367" s="9"/>
      <c r="T367" s="9"/>
      <c r="U367" s="9"/>
      <c r="V367" s="9"/>
      <c r="W367" s="9"/>
      <c r="X367" s="9"/>
      <c r="Y367" s="9"/>
    </row>
    <row r="368" spans="2:25" x14ac:dyDescent="0.2">
      <c r="B368" s="7"/>
      <c r="C368" s="9"/>
      <c r="D368" s="9"/>
      <c r="E368" s="9"/>
      <c r="F368" s="9"/>
      <c r="G368" s="16"/>
      <c r="H368" s="9"/>
      <c r="I368" s="9"/>
      <c r="J368" s="9"/>
      <c r="K368" s="72"/>
      <c r="L368" s="9"/>
      <c r="M368" s="9"/>
      <c r="N368" s="9"/>
      <c r="O368" s="9"/>
      <c r="P368" s="9"/>
      <c r="Q368" s="9"/>
      <c r="R368" s="9"/>
      <c r="S368" s="9"/>
      <c r="T368" s="9"/>
      <c r="U368" s="9"/>
      <c r="V368" s="9"/>
      <c r="W368" s="9"/>
      <c r="X368" s="9"/>
      <c r="Y368" s="9"/>
    </row>
    <row r="369" spans="2:25" x14ac:dyDescent="0.2">
      <c r="B369" s="7"/>
      <c r="C369" s="9"/>
      <c r="D369" s="9"/>
      <c r="E369" s="9"/>
      <c r="F369" s="9"/>
      <c r="G369" s="16"/>
      <c r="H369" s="9"/>
      <c r="I369" s="9"/>
      <c r="J369" s="9"/>
      <c r="K369" s="72"/>
      <c r="L369" s="9"/>
      <c r="M369" s="9"/>
      <c r="N369" s="9"/>
      <c r="O369" s="9"/>
      <c r="P369" s="9"/>
      <c r="Q369" s="9"/>
      <c r="R369" s="9"/>
      <c r="S369" s="9"/>
      <c r="T369" s="9"/>
      <c r="U369" s="9"/>
      <c r="V369" s="9"/>
      <c r="W369" s="9"/>
      <c r="X369" s="9"/>
      <c r="Y369" s="9"/>
    </row>
    <row r="370" spans="2:25" x14ac:dyDescent="0.2">
      <c r="B370" s="7"/>
      <c r="C370" s="9"/>
      <c r="D370" s="9"/>
      <c r="E370" s="9"/>
      <c r="F370" s="9"/>
      <c r="G370" s="16"/>
      <c r="H370" s="9"/>
      <c r="I370" s="9"/>
      <c r="J370" s="9"/>
      <c r="K370" s="72"/>
      <c r="L370" s="9"/>
      <c r="M370" s="9"/>
      <c r="N370" s="9"/>
      <c r="O370" s="9"/>
      <c r="P370" s="9"/>
      <c r="Q370" s="9"/>
      <c r="R370" s="9"/>
      <c r="S370" s="9"/>
      <c r="T370" s="9"/>
      <c r="U370" s="9"/>
      <c r="V370" s="9"/>
      <c r="W370" s="9"/>
      <c r="X370" s="9"/>
      <c r="Y370" s="9"/>
    </row>
    <row r="371" spans="2:25" x14ac:dyDescent="0.2">
      <c r="B371" s="7"/>
      <c r="C371" s="9"/>
      <c r="D371" s="9"/>
      <c r="E371" s="9"/>
      <c r="F371" s="9"/>
      <c r="G371" s="16"/>
      <c r="H371" s="9"/>
      <c r="I371" s="9"/>
      <c r="J371" s="9"/>
      <c r="K371" s="72"/>
      <c r="L371" s="9"/>
      <c r="M371" s="9"/>
      <c r="N371" s="9"/>
      <c r="O371" s="9"/>
      <c r="P371" s="9"/>
      <c r="Q371" s="9"/>
      <c r="R371" s="9"/>
      <c r="S371" s="9"/>
      <c r="T371" s="9"/>
      <c r="U371" s="9"/>
      <c r="V371" s="9"/>
      <c r="W371" s="9"/>
      <c r="X371" s="9"/>
      <c r="Y371" s="9"/>
    </row>
    <row r="372" spans="2:25" x14ac:dyDescent="0.2">
      <c r="B372" s="7"/>
      <c r="C372" s="9"/>
      <c r="D372" s="9"/>
      <c r="E372" s="9"/>
      <c r="F372" s="9"/>
      <c r="G372" s="16"/>
      <c r="H372" s="9"/>
      <c r="I372" s="9"/>
      <c r="J372" s="9"/>
      <c r="K372" s="72"/>
      <c r="L372" s="9"/>
      <c r="M372" s="9"/>
      <c r="N372" s="9"/>
      <c r="O372" s="9"/>
      <c r="P372" s="9"/>
      <c r="Q372" s="9"/>
      <c r="R372" s="9"/>
      <c r="S372" s="9"/>
      <c r="T372" s="9"/>
      <c r="U372" s="9"/>
      <c r="V372" s="9"/>
      <c r="W372" s="9"/>
      <c r="X372" s="9"/>
      <c r="Y372" s="9"/>
    </row>
    <row r="373" spans="2:25" x14ac:dyDescent="0.2">
      <c r="B373" s="7"/>
      <c r="C373" s="9"/>
      <c r="D373" s="9"/>
      <c r="E373" s="9"/>
      <c r="F373" s="9"/>
      <c r="G373" s="16"/>
      <c r="H373" s="9"/>
      <c r="I373" s="9"/>
      <c r="J373" s="9"/>
      <c r="K373" s="72"/>
      <c r="L373" s="9"/>
      <c r="M373" s="9"/>
      <c r="N373" s="9"/>
      <c r="O373" s="9"/>
      <c r="P373" s="9"/>
      <c r="Q373" s="9"/>
      <c r="R373" s="9"/>
      <c r="S373" s="9"/>
      <c r="T373" s="9"/>
      <c r="U373" s="9"/>
      <c r="V373" s="9"/>
      <c r="W373" s="9"/>
      <c r="X373" s="9"/>
      <c r="Y373" s="9"/>
    </row>
    <row r="374" spans="2:25" x14ac:dyDescent="0.2">
      <c r="B374" s="7"/>
      <c r="C374" s="9"/>
      <c r="D374" s="9"/>
      <c r="E374" s="9"/>
      <c r="F374" s="9"/>
      <c r="G374" s="16"/>
      <c r="H374" s="9"/>
      <c r="I374" s="9"/>
      <c r="J374" s="9"/>
      <c r="K374" s="72"/>
      <c r="L374" s="9"/>
      <c r="M374" s="9"/>
      <c r="N374" s="9"/>
      <c r="O374" s="9"/>
      <c r="P374" s="9"/>
      <c r="Q374" s="9"/>
      <c r="R374" s="9"/>
      <c r="S374" s="9"/>
      <c r="T374" s="9"/>
      <c r="U374" s="9"/>
      <c r="V374" s="9"/>
      <c r="W374" s="9"/>
      <c r="X374" s="9"/>
      <c r="Y374" s="9"/>
    </row>
    <row r="375" spans="2:25" x14ac:dyDescent="0.2">
      <c r="B375" s="7"/>
      <c r="C375" s="9"/>
      <c r="D375" s="9"/>
      <c r="E375" s="9"/>
      <c r="F375" s="9"/>
      <c r="G375" s="16"/>
      <c r="H375" s="9"/>
      <c r="I375" s="9"/>
      <c r="J375" s="9"/>
      <c r="K375" s="72"/>
      <c r="L375" s="9"/>
      <c r="M375" s="9"/>
      <c r="N375" s="9"/>
      <c r="O375" s="9"/>
      <c r="P375" s="9"/>
      <c r="Q375" s="9"/>
      <c r="R375" s="9"/>
      <c r="S375" s="9"/>
      <c r="T375" s="9"/>
      <c r="U375" s="9"/>
      <c r="V375" s="9"/>
      <c r="W375" s="9"/>
      <c r="X375" s="9"/>
      <c r="Y375" s="9"/>
    </row>
    <row r="376" spans="2:25" x14ac:dyDescent="0.2">
      <c r="B376" s="7"/>
      <c r="C376" s="9"/>
      <c r="D376" s="9"/>
      <c r="E376" s="9"/>
      <c r="F376" s="9"/>
      <c r="G376" s="16"/>
      <c r="H376" s="9"/>
      <c r="I376" s="9"/>
      <c r="J376" s="9"/>
      <c r="K376" s="72"/>
      <c r="L376" s="9"/>
      <c r="M376" s="9"/>
      <c r="N376" s="9"/>
      <c r="O376" s="9"/>
      <c r="P376" s="9"/>
      <c r="Q376" s="9"/>
      <c r="R376" s="9"/>
      <c r="S376" s="9"/>
      <c r="T376" s="9"/>
      <c r="U376" s="9"/>
      <c r="V376" s="9"/>
      <c r="W376" s="9"/>
      <c r="X376" s="9"/>
      <c r="Y376" s="9"/>
    </row>
    <row r="377" spans="2:25" x14ac:dyDescent="0.2">
      <c r="B377" s="7"/>
      <c r="C377" s="9"/>
      <c r="D377" s="9"/>
      <c r="E377" s="9"/>
      <c r="F377" s="9"/>
      <c r="G377" s="16"/>
      <c r="H377" s="9"/>
      <c r="I377" s="9"/>
      <c r="J377" s="9"/>
      <c r="K377" s="72"/>
      <c r="L377" s="9"/>
      <c r="M377" s="9"/>
      <c r="N377" s="9"/>
      <c r="O377" s="9"/>
      <c r="P377" s="9"/>
      <c r="Q377" s="9"/>
      <c r="R377" s="9"/>
      <c r="S377" s="9"/>
      <c r="T377" s="9"/>
      <c r="U377" s="9"/>
      <c r="V377" s="9"/>
      <c r="W377" s="9"/>
      <c r="X377" s="9"/>
      <c r="Y377" s="9"/>
    </row>
    <row r="378" spans="2:25" x14ac:dyDescent="0.2">
      <c r="B378" s="7"/>
      <c r="C378" s="9"/>
      <c r="D378" s="9"/>
      <c r="E378" s="9"/>
      <c r="F378" s="9"/>
      <c r="G378" s="16"/>
      <c r="H378" s="9"/>
      <c r="I378" s="9"/>
      <c r="J378" s="9"/>
      <c r="K378" s="72"/>
      <c r="L378" s="9"/>
      <c r="M378" s="9"/>
      <c r="N378" s="9"/>
      <c r="O378" s="9"/>
      <c r="P378" s="9"/>
      <c r="Q378" s="9"/>
      <c r="R378" s="9"/>
      <c r="S378" s="9"/>
      <c r="T378" s="9"/>
      <c r="U378" s="9"/>
      <c r="V378" s="9"/>
      <c r="W378" s="9"/>
      <c r="X378" s="9"/>
      <c r="Y378" s="9"/>
    </row>
    <row r="379" spans="2:25" x14ac:dyDescent="0.2">
      <c r="B379" s="7"/>
      <c r="C379" s="9"/>
      <c r="D379" s="9"/>
      <c r="E379" s="9"/>
      <c r="F379" s="9"/>
      <c r="G379" s="16"/>
      <c r="H379" s="9"/>
      <c r="I379" s="9"/>
      <c r="J379" s="9"/>
      <c r="K379" s="72"/>
      <c r="L379" s="9"/>
      <c r="M379" s="9"/>
      <c r="N379" s="9"/>
      <c r="O379" s="9"/>
      <c r="P379" s="9"/>
      <c r="Q379" s="9"/>
      <c r="R379" s="9"/>
      <c r="S379" s="9"/>
      <c r="T379" s="9"/>
      <c r="U379" s="9"/>
      <c r="V379" s="9"/>
      <c r="W379" s="9"/>
      <c r="X379" s="9"/>
      <c r="Y379" s="9"/>
    </row>
    <row r="380" spans="2:25" x14ac:dyDescent="0.2">
      <c r="B380" s="7"/>
      <c r="C380" s="9"/>
      <c r="D380" s="9"/>
      <c r="E380" s="9"/>
      <c r="F380" s="9"/>
      <c r="G380" s="16"/>
      <c r="H380" s="9"/>
      <c r="I380" s="9"/>
      <c r="J380" s="9"/>
      <c r="K380" s="72"/>
      <c r="L380" s="9"/>
      <c r="M380" s="9"/>
      <c r="N380" s="9"/>
      <c r="O380" s="9"/>
      <c r="P380" s="9"/>
      <c r="Q380" s="9"/>
      <c r="R380" s="9"/>
      <c r="S380" s="9"/>
      <c r="T380" s="9"/>
      <c r="U380" s="9"/>
      <c r="V380" s="9"/>
      <c r="W380" s="9"/>
      <c r="X380" s="9"/>
      <c r="Y380" s="9"/>
    </row>
    <row r="381" spans="2:25" x14ac:dyDescent="0.2">
      <c r="B381" s="7"/>
      <c r="C381" s="9"/>
      <c r="D381" s="9"/>
      <c r="E381" s="9"/>
      <c r="F381" s="9"/>
      <c r="G381" s="16"/>
      <c r="H381" s="9"/>
      <c r="I381" s="9"/>
      <c r="J381" s="9"/>
      <c r="K381" s="72"/>
      <c r="L381" s="9"/>
      <c r="M381" s="9"/>
      <c r="N381" s="9"/>
      <c r="O381" s="9"/>
      <c r="P381" s="9"/>
      <c r="Q381" s="9"/>
      <c r="R381" s="9"/>
      <c r="S381" s="9"/>
      <c r="T381" s="9"/>
      <c r="U381" s="9"/>
      <c r="V381" s="9"/>
      <c r="W381" s="9"/>
      <c r="X381" s="9"/>
      <c r="Y381" s="9"/>
    </row>
    <row r="382" spans="2:25" x14ac:dyDescent="0.2">
      <c r="B382" s="7"/>
      <c r="C382" s="9"/>
      <c r="D382" s="9"/>
      <c r="E382" s="9"/>
      <c r="F382" s="9"/>
      <c r="G382" s="16"/>
      <c r="H382" s="9"/>
      <c r="I382" s="9"/>
      <c r="J382" s="9"/>
      <c r="K382" s="72"/>
      <c r="L382" s="9"/>
      <c r="M382" s="9"/>
      <c r="N382" s="9"/>
      <c r="O382" s="9"/>
      <c r="P382" s="9"/>
      <c r="Q382" s="9"/>
      <c r="R382" s="9"/>
      <c r="S382" s="9"/>
      <c r="T382" s="9"/>
      <c r="U382" s="9"/>
      <c r="V382" s="9"/>
      <c r="W382" s="9"/>
      <c r="X382" s="9"/>
      <c r="Y382" s="9"/>
    </row>
    <row r="383" spans="2:25" x14ac:dyDescent="0.2">
      <c r="B383" s="7"/>
      <c r="C383" s="9"/>
      <c r="D383" s="9"/>
      <c r="E383" s="9"/>
      <c r="F383" s="9"/>
      <c r="G383" s="16"/>
      <c r="H383" s="9"/>
      <c r="I383" s="9"/>
      <c r="J383" s="9"/>
      <c r="K383" s="72"/>
      <c r="L383" s="9"/>
      <c r="M383" s="9"/>
      <c r="N383" s="9"/>
      <c r="O383" s="9"/>
      <c r="P383" s="9"/>
      <c r="Q383" s="9"/>
      <c r="R383" s="9"/>
      <c r="S383" s="9"/>
      <c r="T383" s="9"/>
      <c r="U383" s="9"/>
      <c r="V383" s="9"/>
      <c r="W383" s="9"/>
      <c r="X383" s="9"/>
      <c r="Y383" s="9"/>
    </row>
    <row r="384" spans="2:25" x14ac:dyDescent="0.2">
      <c r="B384" s="7"/>
      <c r="C384" s="9"/>
      <c r="D384" s="9"/>
      <c r="E384" s="9"/>
      <c r="F384" s="9"/>
      <c r="G384" s="16"/>
      <c r="H384" s="9"/>
      <c r="I384" s="9"/>
      <c r="J384" s="9"/>
      <c r="K384" s="72"/>
      <c r="L384" s="9"/>
      <c r="M384" s="9"/>
      <c r="N384" s="9"/>
      <c r="O384" s="9"/>
      <c r="P384" s="9"/>
      <c r="Q384" s="9"/>
      <c r="R384" s="9"/>
      <c r="S384" s="9"/>
      <c r="T384" s="9"/>
      <c r="U384" s="9"/>
      <c r="V384" s="9"/>
      <c r="W384" s="9"/>
      <c r="X384" s="9"/>
      <c r="Y384" s="9"/>
    </row>
    <row r="385" spans="2:25" x14ac:dyDescent="0.2">
      <c r="B385" s="7"/>
      <c r="C385" s="9"/>
      <c r="D385" s="9"/>
      <c r="E385" s="9"/>
      <c r="F385" s="9"/>
      <c r="G385" s="16"/>
      <c r="H385" s="9"/>
      <c r="I385" s="9"/>
      <c r="J385" s="9"/>
      <c r="K385" s="72"/>
      <c r="L385" s="9"/>
      <c r="M385" s="9"/>
      <c r="N385" s="9"/>
      <c r="O385" s="9"/>
      <c r="P385" s="9"/>
      <c r="Q385" s="9"/>
      <c r="R385" s="9"/>
      <c r="S385" s="9"/>
      <c r="T385" s="9"/>
      <c r="U385" s="9"/>
      <c r="V385" s="9"/>
      <c r="W385" s="9"/>
      <c r="X385" s="9"/>
      <c r="Y385" s="9"/>
    </row>
    <row r="386" spans="2:25" x14ac:dyDescent="0.2">
      <c r="B386" s="7"/>
      <c r="C386" s="9"/>
      <c r="D386" s="9"/>
      <c r="E386" s="9"/>
      <c r="F386" s="9"/>
      <c r="G386" s="16"/>
      <c r="H386" s="9"/>
      <c r="I386" s="9"/>
      <c r="J386" s="9"/>
      <c r="K386" s="72"/>
      <c r="L386" s="9"/>
      <c r="M386" s="9"/>
      <c r="N386" s="9"/>
      <c r="O386" s="9"/>
      <c r="P386" s="9"/>
      <c r="Q386" s="9"/>
      <c r="R386" s="9"/>
      <c r="S386" s="9"/>
      <c r="T386" s="9"/>
      <c r="U386" s="9"/>
      <c r="V386" s="9"/>
      <c r="W386" s="9"/>
      <c r="X386" s="9"/>
      <c r="Y386" s="9"/>
    </row>
    <row r="387" spans="2:25" x14ac:dyDescent="0.2">
      <c r="B387" s="7"/>
      <c r="C387" s="9"/>
      <c r="D387" s="9"/>
      <c r="E387" s="9"/>
      <c r="F387" s="9"/>
      <c r="G387" s="16"/>
      <c r="H387" s="9"/>
      <c r="I387" s="9"/>
      <c r="J387" s="9"/>
      <c r="K387" s="72"/>
      <c r="L387" s="9"/>
      <c r="M387" s="9"/>
      <c r="N387" s="9"/>
      <c r="O387" s="9"/>
      <c r="P387" s="9"/>
      <c r="Q387" s="9"/>
      <c r="R387" s="9"/>
      <c r="S387" s="9"/>
      <c r="T387" s="9"/>
      <c r="U387" s="9"/>
      <c r="V387" s="9"/>
      <c r="W387" s="9"/>
      <c r="X387" s="9"/>
      <c r="Y387" s="9"/>
    </row>
    <row r="388" spans="2:25" x14ac:dyDescent="0.2">
      <c r="B388" s="7"/>
      <c r="C388" s="9"/>
      <c r="D388" s="9"/>
      <c r="E388" s="9"/>
      <c r="F388" s="9"/>
      <c r="G388" s="16"/>
      <c r="H388" s="9"/>
      <c r="I388" s="9"/>
      <c r="J388" s="9"/>
      <c r="K388" s="72"/>
      <c r="L388" s="9"/>
      <c r="M388" s="9"/>
      <c r="N388" s="9"/>
      <c r="O388" s="9"/>
      <c r="P388" s="9"/>
      <c r="Q388" s="9"/>
      <c r="R388" s="9"/>
      <c r="S388" s="9"/>
      <c r="T388" s="9"/>
      <c r="U388" s="9"/>
      <c r="V388" s="9"/>
      <c r="W388" s="9"/>
      <c r="X388" s="9"/>
      <c r="Y388" s="9"/>
    </row>
    <row r="389" spans="2:25" x14ac:dyDescent="0.2">
      <c r="B389" s="7"/>
      <c r="C389" s="9"/>
      <c r="D389" s="9"/>
      <c r="E389" s="9"/>
      <c r="F389" s="9"/>
      <c r="G389" s="16"/>
      <c r="H389" s="9"/>
      <c r="I389" s="9"/>
      <c r="J389" s="9"/>
      <c r="K389" s="72"/>
      <c r="L389" s="9"/>
      <c r="M389" s="9"/>
      <c r="N389" s="9"/>
      <c r="O389" s="9"/>
      <c r="P389" s="9"/>
      <c r="Q389" s="9"/>
      <c r="R389" s="9"/>
      <c r="S389" s="9"/>
      <c r="T389" s="9"/>
      <c r="U389" s="9"/>
      <c r="V389" s="9"/>
      <c r="W389" s="9"/>
      <c r="X389" s="9"/>
      <c r="Y389" s="9"/>
    </row>
    <row r="390" spans="2:25" x14ac:dyDescent="0.2">
      <c r="B390" s="7"/>
      <c r="C390" s="9"/>
      <c r="D390" s="9"/>
      <c r="E390" s="9"/>
      <c r="F390" s="9"/>
      <c r="G390" s="16"/>
      <c r="H390" s="9"/>
      <c r="I390" s="9"/>
      <c r="J390" s="9"/>
      <c r="K390" s="72"/>
      <c r="L390" s="9"/>
      <c r="M390" s="9"/>
      <c r="N390" s="9"/>
      <c r="O390" s="9"/>
      <c r="P390" s="9"/>
      <c r="Q390" s="9"/>
      <c r="R390" s="9"/>
      <c r="S390" s="9"/>
      <c r="T390" s="9"/>
      <c r="U390" s="9"/>
      <c r="V390" s="9"/>
      <c r="W390" s="9"/>
      <c r="X390" s="9"/>
      <c r="Y390" s="9"/>
    </row>
    <row r="391" spans="2:25" x14ac:dyDescent="0.2">
      <c r="B391" s="7"/>
      <c r="C391" s="9"/>
      <c r="D391" s="9"/>
      <c r="E391" s="9"/>
      <c r="F391" s="9"/>
      <c r="G391" s="16"/>
      <c r="H391" s="9"/>
      <c r="I391" s="9"/>
      <c r="J391" s="9"/>
      <c r="K391" s="72"/>
      <c r="L391" s="9"/>
      <c r="M391" s="9"/>
      <c r="N391" s="9"/>
      <c r="O391" s="9"/>
      <c r="P391" s="9"/>
      <c r="Q391" s="9"/>
      <c r="R391" s="9"/>
      <c r="S391" s="9"/>
      <c r="T391" s="9"/>
      <c r="U391" s="9"/>
      <c r="V391" s="9"/>
      <c r="W391" s="9"/>
      <c r="X391" s="9"/>
      <c r="Y391" s="9"/>
    </row>
    <row r="392" spans="2:25" x14ac:dyDescent="0.2">
      <c r="B392" s="7"/>
      <c r="C392" s="9"/>
      <c r="D392" s="9"/>
      <c r="E392" s="9"/>
      <c r="F392" s="9"/>
      <c r="G392" s="16"/>
      <c r="H392" s="9"/>
      <c r="I392" s="9"/>
      <c r="J392" s="9"/>
      <c r="K392" s="72"/>
      <c r="L392" s="9"/>
      <c r="M392" s="9"/>
      <c r="N392" s="9"/>
      <c r="O392" s="9"/>
      <c r="P392" s="9"/>
      <c r="Q392" s="9"/>
      <c r="R392" s="9"/>
      <c r="S392" s="9"/>
      <c r="T392" s="9"/>
      <c r="U392" s="9"/>
      <c r="V392" s="9"/>
      <c r="W392" s="9"/>
      <c r="X392" s="9"/>
      <c r="Y392" s="9"/>
    </row>
    <row r="393" spans="2:25" x14ac:dyDescent="0.2">
      <c r="B393" s="7"/>
      <c r="C393" s="9"/>
      <c r="D393" s="9"/>
      <c r="E393" s="9"/>
      <c r="F393" s="9"/>
      <c r="G393" s="16"/>
      <c r="H393" s="9"/>
      <c r="I393" s="9"/>
      <c r="J393" s="9"/>
      <c r="K393" s="72"/>
      <c r="L393" s="9"/>
      <c r="M393" s="9"/>
      <c r="N393" s="9"/>
      <c r="O393" s="9"/>
      <c r="P393" s="9"/>
      <c r="Q393" s="9"/>
      <c r="R393" s="9"/>
      <c r="S393" s="9"/>
      <c r="T393" s="9"/>
      <c r="U393" s="9"/>
      <c r="V393" s="9"/>
      <c r="W393" s="9"/>
      <c r="X393" s="9"/>
      <c r="Y393" s="9"/>
    </row>
    <row r="394" spans="2:25" x14ac:dyDescent="0.2">
      <c r="B394" s="7"/>
      <c r="C394" s="9"/>
      <c r="D394" s="9"/>
      <c r="E394" s="9"/>
      <c r="F394" s="9"/>
      <c r="G394" s="16"/>
      <c r="H394" s="9"/>
      <c r="I394" s="9"/>
      <c r="J394" s="9"/>
      <c r="K394" s="72"/>
      <c r="L394" s="9"/>
      <c r="M394" s="9"/>
      <c r="N394" s="9"/>
      <c r="O394" s="9"/>
      <c r="P394" s="9"/>
      <c r="Q394" s="9"/>
      <c r="R394" s="9"/>
      <c r="S394" s="9"/>
      <c r="T394" s="9"/>
      <c r="U394" s="9"/>
      <c r="V394" s="9"/>
      <c r="W394" s="9"/>
      <c r="X394" s="9"/>
      <c r="Y394" s="9"/>
    </row>
    <row r="395" spans="2:25" x14ac:dyDescent="0.2">
      <c r="B395" s="7"/>
      <c r="C395" s="9"/>
      <c r="D395" s="9"/>
      <c r="E395" s="9"/>
      <c r="F395" s="9"/>
      <c r="G395" s="16"/>
      <c r="H395" s="9"/>
      <c r="I395" s="9"/>
      <c r="J395" s="9"/>
      <c r="K395" s="72"/>
      <c r="L395" s="9"/>
      <c r="M395" s="9"/>
      <c r="N395" s="9"/>
      <c r="O395" s="9"/>
      <c r="P395" s="9"/>
      <c r="Q395" s="9"/>
      <c r="R395" s="9"/>
      <c r="S395" s="9"/>
      <c r="T395" s="9"/>
      <c r="U395" s="9"/>
      <c r="V395" s="9"/>
      <c r="W395" s="9"/>
      <c r="X395" s="9"/>
      <c r="Y395" s="9"/>
    </row>
    <row r="396" spans="2:25" x14ac:dyDescent="0.2">
      <c r="B396" s="7"/>
      <c r="C396" s="9"/>
      <c r="D396" s="9"/>
      <c r="E396" s="9"/>
      <c r="F396" s="9"/>
      <c r="G396" s="16"/>
      <c r="H396" s="9"/>
      <c r="I396" s="9"/>
      <c r="J396" s="9"/>
      <c r="K396" s="72"/>
      <c r="L396" s="9"/>
      <c r="M396" s="9"/>
      <c r="N396" s="9"/>
      <c r="O396" s="9"/>
      <c r="P396" s="9"/>
      <c r="Q396" s="9"/>
      <c r="R396" s="9"/>
      <c r="S396" s="9"/>
      <c r="T396" s="9"/>
      <c r="U396" s="9"/>
      <c r="V396" s="9"/>
      <c r="W396" s="9"/>
      <c r="X396" s="9"/>
      <c r="Y396" s="9"/>
    </row>
    <row r="397" spans="2:25" x14ac:dyDescent="0.2">
      <c r="B397" s="7"/>
      <c r="C397" s="9"/>
      <c r="D397" s="9"/>
      <c r="E397" s="9"/>
      <c r="F397" s="9"/>
      <c r="G397" s="16"/>
      <c r="H397" s="9"/>
      <c r="I397" s="9"/>
      <c r="J397" s="9"/>
      <c r="K397" s="72"/>
      <c r="L397" s="9"/>
      <c r="M397" s="9"/>
      <c r="N397" s="9"/>
      <c r="O397" s="9"/>
      <c r="P397" s="9"/>
      <c r="Q397" s="9"/>
      <c r="R397" s="9"/>
      <c r="S397" s="9"/>
      <c r="T397" s="9"/>
      <c r="U397" s="9"/>
      <c r="V397" s="9"/>
      <c r="W397" s="9"/>
      <c r="X397" s="9"/>
      <c r="Y397" s="9"/>
    </row>
    <row r="398" spans="2:25" x14ac:dyDescent="0.2">
      <c r="B398" s="7"/>
      <c r="C398" s="9"/>
      <c r="D398" s="9"/>
      <c r="E398" s="9"/>
      <c r="F398" s="9"/>
      <c r="G398" s="16"/>
      <c r="H398" s="9"/>
      <c r="I398" s="9"/>
      <c r="J398" s="9"/>
      <c r="K398" s="72"/>
      <c r="L398" s="9"/>
      <c r="M398" s="9"/>
      <c r="N398" s="9"/>
      <c r="O398" s="9"/>
      <c r="P398" s="9"/>
      <c r="Q398" s="9"/>
      <c r="R398" s="9"/>
      <c r="S398" s="9"/>
      <c r="T398" s="9"/>
      <c r="U398" s="9"/>
      <c r="V398" s="9"/>
      <c r="W398" s="9"/>
      <c r="X398" s="9"/>
      <c r="Y398" s="9"/>
    </row>
    <row r="399" spans="2:25" x14ac:dyDescent="0.2">
      <c r="B399" s="7"/>
      <c r="C399" s="9"/>
      <c r="D399" s="9"/>
      <c r="E399" s="9"/>
      <c r="F399" s="9"/>
      <c r="G399" s="16"/>
      <c r="H399" s="9"/>
      <c r="I399" s="9"/>
      <c r="J399" s="9"/>
      <c r="K399" s="72"/>
      <c r="L399" s="9"/>
      <c r="M399" s="9"/>
      <c r="N399" s="9"/>
      <c r="O399" s="9"/>
      <c r="P399" s="9"/>
      <c r="Q399" s="9"/>
      <c r="R399" s="9"/>
      <c r="S399" s="9"/>
      <c r="T399" s="9"/>
      <c r="U399" s="9"/>
      <c r="V399" s="9"/>
      <c r="W399" s="9"/>
      <c r="X399" s="9"/>
      <c r="Y399" s="9"/>
    </row>
    <row r="400" spans="2:25" x14ac:dyDescent="0.2">
      <c r="B400" s="7"/>
      <c r="C400" s="9"/>
      <c r="D400" s="9"/>
      <c r="E400" s="9"/>
      <c r="F400" s="9"/>
      <c r="G400" s="16"/>
      <c r="H400" s="9"/>
      <c r="I400" s="9"/>
      <c r="J400" s="9"/>
      <c r="K400" s="72"/>
      <c r="L400" s="9"/>
      <c r="M400" s="9"/>
      <c r="N400" s="9"/>
      <c r="O400" s="9"/>
      <c r="P400" s="9"/>
      <c r="Q400" s="9"/>
      <c r="R400" s="9"/>
      <c r="S400" s="9"/>
      <c r="T400" s="9"/>
      <c r="U400" s="9"/>
      <c r="V400" s="9"/>
      <c r="W400" s="9"/>
      <c r="X400" s="9"/>
      <c r="Y400" s="9"/>
    </row>
    <row r="401" spans="2:25" x14ac:dyDescent="0.2">
      <c r="B401" s="7"/>
      <c r="C401" s="9"/>
      <c r="D401" s="9"/>
      <c r="E401" s="9"/>
      <c r="F401" s="9"/>
      <c r="G401" s="16"/>
      <c r="H401" s="9"/>
      <c r="I401" s="9"/>
      <c r="J401" s="9"/>
      <c r="K401" s="72"/>
      <c r="L401" s="9"/>
      <c r="M401" s="9"/>
      <c r="N401" s="9"/>
      <c r="O401" s="9"/>
      <c r="P401" s="9"/>
      <c r="Q401" s="9"/>
      <c r="R401" s="9"/>
      <c r="S401" s="9"/>
      <c r="T401" s="9"/>
      <c r="U401" s="9"/>
      <c r="V401" s="9"/>
      <c r="W401" s="9"/>
      <c r="X401" s="9"/>
      <c r="Y401" s="9"/>
    </row>
    <row r="402" spans="2:25" x14ac:dyDescent="0.2">
      <c r="B402" s="7"/>
      <c r="C402" s="9"/>
      <c r="D402" s="9"/>
      <c r="E402" s="9"/>
      <c r="F402" s="9"/>
      <c r="G402" s="16"/>
      <c r="H402" s="9"/>
      <c r="I402" s="9"/>
      <c r="J402" s="9"/>
      <c r="K402" s="72"/>
      <c r="L402" s="9"/>
      <c r="M402" s="9"/>
      <c r="N402" s="9"/>
      <c r="O402" s="9"/>
      <c r="P402" s="9"/>
      <c r="Q402" s="9"/>
      <c r="R402" s="9"/>
      <c r="S402" s="9"/>
      <c r="T402" s="9"/>
      <c r="U402" s="9"/>
      <c r="V402" s="9"/>
      <c r="W402" s="9"/>
      <c r="X402" s="9"/>
      <c r="Y402" s="9"/>
    </row>
    <row r="403" spans="2:25" x14ac:dyDescent="0.2">
      <c r="B403" s="7"/>
      <c r="C403" s="9"/>
      <c r="D403" s="9"/>
      <c r="E403" s="9"/>
      <c r="F403" s="9"/>
      <c r="G403" s="16"/>
      <c r="H403" s="9"/>
      <c r="I403" s="9"/>
      <c r="J403" s="9"/>
      <c r="K403" s="72"/>
      <c r="L403" s="9"/>
      <c r="M403" s="9"/>
      <c r="N403" s="9"/>
      <c r="O403" s="9"/>
      <c r="P403" s="9"/>
      <c r="Q403" s="9"/>
      <c r="R403" s="9"/>
      <c r="S403" s="9"/>
      <c r="T403" s="9"/>
      <c r="U403" s="9"/>
      <c r="V403" s="9"/>
      <c r="W403" s="9"/>
      <c r="X403" s="9"/>
      <c r="Y403" s="9"/>
    </row>
    <row r="404" spans="2:25" x14ac:dyDescent="0.2">
      <c r="B404" s="7"/>
      <c r="C404" s="9"/>
      <c r="D404" s="9"/>
      <c r="E404" s="9"/>
      <c r="F404" s="9"/>
      <c r="G404" s="16"/>
      <c r="H404" s="9"/>
      <c r="I404" s="9"/>
      <c r="J404" s="9"/>
      <c r="K404" s="72"/>
      <c r="L404" s="9"/>
      <c r="M404" s="9"/>
      <c r="N404" s="9"/>
      <c r="O404" s="9"/>
      <c r="P404" s="9"/>
      <c r="Q404" s="9"/>
      <c r="R404" s="9"/>
      <c r="S404" s="9"/>
      <c r="T404" s="9"/>
      <c r="U404" s="9"/>
      <c r="V404" s="9"/>
      <c r="W404" s="9"/>
      <c r="X404" s="9"/>
      <c r="Y404" s="9"/>
    </row>
    <row r="405" spans="2:25" x14ac:dyDescent="0.2">
      <c r="B405" s="7"/>
      <c r="C405" s="9"/>
      <c r="D405" s="9"/>
      <c r="E405" s="9"/>
      <c r="F405" s="9"/>
      <c r="G405" s="16"/>
      <c r="H405" s="9"/>
      <c r="I405" s="9"/>
      <c r="J405" s="9"/>
      <c r="K405" s="72"/>
      <c r="L405" s="9"/>
      <c r="M405" s="9"/>
      <c r="N405" s="9"/>
      <c r="O405" s="9"/>
      <c r="P405" s="9"/>
      <c r="Q405" s="9"/>
      <c r="R405" s="9"/>
      <c r="S405" s="9"/>
      <c r="T405" s="9"/>
      <c r="U405" s="9"/>
      <c r="V405" s="9"/>
      <c r="W405" s="9"/>
      <c r="X405" s="9"/>
      <c r="Y405" s="9"/>
    </row>
    <row r="406" spans="2:25" x14ac:dyDescent="0.2">
      <c r="B406" s="7"/>
      <c r="C406" s="9"/>
      <c r="D406" s="9"/>
      <c r="E406" s="9"/>
      <c r="F406" s="9"/>
      <c r="G406" s="16"/>
      <c r="H406" s="9"/>
      <c r="I406" s="9"/>
      <c r="J406" s="9"/>
      <c r="K406" s="72"/>
      <c r="L406" s="9"/>
      <c r="M406" s="9"/>
      <c r="N406" s="9"/>
      <c r="O406" s="9"/>
      <c r="P406" s="9"/>
      <c r="Q406" s="9"/>
      <c r="R406" s="9"/>
      <c r="S406" s="9"/>
      <c r="T406" s="9"/>
      <c r="U406" s="9"/>
      <c r="V406" s="9"/>
      <c r="W406" s="9"/>
      <c r="X406" s="9"/>
      <c r="Y406" s="9"/>
    </row>
    <row r="407" spans="2:25" x14ac:dyDescent="0.2">
      <c r="B407" s="7"/>
      <c r="C407" s="9"/>
      <c r="D407" s="9"/>
      <c r="E407" s="9"/>
      <c r="F407" s="9"/>
      <c r="G407" s="16"/>
      <c r="H407" s="9"/>
      <c r="I407" s="9"/>
      <c r="J407" s="9"/>
      <c r="K407" s="72"/>
      <c r="L407" s="9"/>
      <c r="M407" s="9"/>
      <c r="N407" s="9"/>
      <c r="O407" s="9"/>
      <c r="P407" s="9"/>
      <c r="Q407" s="9"/>
      <c r="R407" s="9"/>
      <c r="S407" s="9"/>
      <c r="T407" s="9"/>
      <c r="U407" s="9"/>
      <c r="V407" s="9"/>
      <c r="W407" s="9"/>
      <c r="X407" s="9"/>
      <c r="Y407" s="9"/>
    </row>
    <row r="408" spans="2:25" x14ac:dyDescent="0.2">
      <c r="B408" s="7"/>
      <c r="C408" s="9"/>
      <c r="D408" s="9"/>
      <c r="E408" s="9"/>
      <c r="F408" s="9"/>
      <c r="G408" s="16"/>
      <c r="H408" s="9"/>
      <c r="I408" s="9"/>
      <c r="J408" s="9"/>
      <c r="K408" s="72"/>
      <c r="L408" s="9"/>
      <c r="M408" s="9"/>
      <c r="N408" s="9"/>
      <c r="O408" s="9"/>
      <c r="P408" s="9"/>
      <c r="Q408" s="9"/>
      <c r="R408" s="9"/>
      <c r="S408" s="9"/>
      <c r="T408" s="9"/>
      <c r="U408" s="9"/>
      <c r="V408" s="9"/>
      <c r="W408" s="9"/>
      <c r="X408" s="9"/>
      <c r="Y408" s="9"/>
    </row>
    <row r="409" spans="2:25" x14ac:dyDescent="0.2">
      <c r="B409" s="7"/>
      <c r="C409" s="9"/>
      <c r="D409" s="9"/>
      <c r="E409" s="9"/>
      <c r="F409" s="9"/>
      <c r="G409" s="16"/>
      <c r="H409" s="9"/>
      <c r="I409" s="9"/>
      <c r="J409" s="9"/>
      <c r="K409" s="72"/>
      <c r="L409" s="9"/>
      <c r="M409" s="9"/>
      <c r="N409" s="9"/>
      <c r="O409" s="9"/>
      <c r="P409" s="9"/>
      <c r="Q409" s="9"/>
      <c r="R409" s="9"/>
      <c r="S409" s="9"/>
      <c r="T409" s="9"/>
      <c r="U409" s="9"/>
      <c r="V409" s="9"/>
      <c r="W409" s="9"/>
      <c r="X409" s="9"/>
      <c r="Y409" s="9"/>
    </row>
    <row r="410" spans="2:25" x14ac:dyDescent="0.2">
      <c r="B410" s="7"/>
      <c r="C410" s="9"/>
      <c r="D410" s="9"/>
      <c r="E410" s="9"/>
      <c r="F410" s="9"/>
      <c r="G410" s="16"/>
      <c r="H410" s="9"/>
      <c r="I410" s="9"/>
      <c r="J410" s="9"/>
      <c r="K410" s="72"/>
      <c r="L410" s="9"/>
      <c r="M410" s="9"/>
      <c r="N410" s="9"/>
      <c r="O410" s="9"/>
      <c r="P410" s="9"/>
      <c r="Q410" s="9"/>
      <c r="R410" s="9"/>
      <c r="S410" s="9"/>
      <c r="T410" s="9"/>
      <c r="U410" s="9"/>
      <c r="V410" s="9"/>
      <c r="W410" s="9"/>
      <c r="X410" s="9"/>
      <c r="Y410" s="9"/>
    </row>
    <row r="411" spans="2:25" x14ac:dyDescent="0.2">
      <c r="B411" s="7"/>
      <c r="C411" s="9"/>
      <c r="D411" s="9"/>
      <c r="E411" s="9"/>
      <c r="F411" s="9"/>
      <c r="G411" s="16"/>
      <c r="H411" s="9"/>
      <c r="I411" s="9"/>
      <c r="J411" s="9"/>
      <c r="K411" s="72"/>
      <c r="L411" s="9"/>
      <c r="M411" s="9"/>
      <c r="N411" s="9"/>
      <c r="O411" s="9"/>
      <c r="P411" s="9"/>
      <c r="Q411" s="9"/>
      <c r="R411" s="9"/>
      <c r="S411" s="9"/>
      <c r="T411" s="9"/>
      <c r="U411" s="9"/>
      <c r="V411" s="9"/>
      <c r="W411" s="9"/>
      <c r="X411" s="9"/>
      <c r="Y411" s="9"/>
    </row>
    <row r="412" spans="2:25" x14ac:dyDescent="0.2">
      <c r="B412" s="7"/>
      <c r="C412" s="9"/>
      <c r="D412" s="9"/>
      <c r="E412" s="9"/>
      <c r="F412" s="9"/>
      <c r="G412" s="16"/>
      <c r="H412" s="9"/>
      <c r="I412" s="9"/>
      <c r="J412" s="9"/>
      <c r="K412" s="72"/>
      <c r="L412" s="9"/>
      <c r="M412" s="9"/>
      <c r="N412" s="9"/>
      <c r="O412" s="9"/>
      <c r="P412" s="9"/>
      <c r="Q412" s="9"/>
      <c r="R412" s="9"/>
      <c r="S412" s="9"/>
      <c r="T412" s="9"/>
      <c r="U412" s="9"/>
      <c r="V412" s="9"/>
      <c r="W412" s="9"/>
      <c r="X412" s="9"/>
      <c r="Y412" s="9"/>
    </row>
    <row r="413" spans="2:25" x14ac:dyDescent="0.2">
      <c r="B413" s="7"/>
      <c r="C413" s="9"/>
      <c r="D413" s="9"/>
      <c r="E413" s="9"/>
      <c r="F413" s="9"/>
      <c r="G413" s="16"/>
      <c r="H413" s="9"/>
      <c r="I413" s="9"/>
      <c r="J413" s="9"/>
      <c r="K413" s="72"/>
      <c r="L413" s="9"/>
      <c r="M413" s="9"/>
      <c r="N413" s="9"/>
      <c r="O413" s="9"/>
      <c r="P413" s="9"/>
      <c r="Q413" s="9"/>
      <c r="R413" s="9"/>
      <c r="S413" s="9"/>
      <c r="T413" s="9"/>
      <c r="U413" s="9"/>
      <c r="V413" s="9"/>
      <c r="W413" s="9"/>
      <c r="X413" s="9"/>
      <c r="Y413" s="9"/>
    </row>
    <row r="414" spans="2:25" x14ac:dyDescent="0.2">
      <c r="B414" s="7"/>
      <c r="C414" s="9"/>
      <c r="D414" s="9"/>
      <c r="E414" s="9"/>
      <c r="F414" s="9"/>
      <c r="G414" s="16"/>
      <c r="H414" s="9"/>
      <c r="I414" s="9"/>
      <c r="J414" s="9"/>
      <c r="K414" s="72"/>
      <c r="L414" s="9"/>
      <c r="M414" s="9"/>
      <c r="N414" s="9"/>
      <c r="O414" s="9"/>
      <c r="P414" s="9"/>
      <c r="Q414" s="9"/>
      <c r="R414" s="9"/>
      <c r="S414" s="9"/>
      <c r="T414" s="9"/>
      <c r="U414" s="9"/>
      <c r="V414" s="9"/>
      <c r="W414" s="9"/>
      <c r="X414" s="9"/>
      <c r="Y414" s="9"/>
    </row>
    <row r="415" spans="2:25" x14ac:dyDescent="0.2">
      <c r="B415" s="7"/>
      <c r="C415" s="9"/>
      <c r="D415" s="9"/>
      <c r="E415" s="9"/>
      <c r="F415" s="9"/>
      <c r="G415" s="16"/>
      <c r="H415" s="9"/>
      <c r="I415" s="9"/>
      <c r="J415" s="9"/>
      <c r="K415" s="72"/>
      <c r="L415" s="9"/>
      <c r="M415" s="9"/>
      <c r="N415" s="9"/>
      <c r="O415" s="9"/>
      <c r="P415" s="9"/>
      <c r="Q415" s="9"/>
      <c r="R415" s="9"/>
      <c r="S415" s="9"/>
      <c r="T415" s="9"/>
      <c r="U415" s="9"/>
      <c r="V415" s="9"/>
      <c r="W415" s="9"/>
      <c r="X415" s="9"/>
      <c r="Y415" s="9"/>
    </row>
    <row r="416" spans="2:25" x14ac:dyDescent="0.2">
      <c r="B416" s="7"/>
      <c r="C416" s="9"/>
      <c r="D416" s="9"/>
      <c r="E416" s="9"/>
      <c r="F416" s="9"/>
      <c r="G416" s="16"/>
      <c r="H416" s="9"/>
      <c r="I416" s="9"/>
      <c r="J416" s="9"/>
      <c r="K416" s="72"/>
      <c r="L416" s="9"/>
      <c r="M416" s="9"/>
      <c r="N416" s="9"/>
      <c r="O416" s="9"/>
      <c r="P416" s="9"/>
      <c r="Q416" s="9"/>
      <c r="R416" s="9"/>
      <c r="S416" s="9"/>
      <c r="T416" s="9"/>
      <c r="U416" s="9"/>
      <c r="V416" s="9"/>
      <c r="W416" s="9"/>
      <c r="X416" s="9"/>
      <c r="Y416" s="9"/>
    </row>
    <row r="417" spans="2:25" x14ac:dyDescent="0.2">
      <c r="B417" s="7"/>
      <c r="C417" s="9"/>
      <c r="D417" s="9"/>
      <c r="E417" s="9"/>
      <c r="F417" s="9"/>
      <c r="G417" s="16"/>
      <c r="H417" s="9"/>
      <c r="I417" s="9"/>
      <c r="J417" s="9"/>
      <c r="K417" s="72"/>
      <c r="L417" s="9"/>
      <c r="M417" s="9"/>
      <c r="N417" s="9"/>
      <c r="O417" s="9"/>
      <c r="P417" s="9"/>
      <c r="Q417" s="9"/>
      <c r="R417" s="9"/>
      <c r="S417" s="9"/>
      <c r="T417" s="9"/>
      <c r="U417" s="9"/>
      <c r="V417" s="9"/>
      <c r="W417" s="9"/>
      <c r="X417" s="9"/>
      <c r="Y417" s="9"/>
    </row>
    <row r="418" spans="2:25" x14ac:dyDescent="0.2">
      <c r="B418" s="7"/>
      <c r="C418" s="9"/>
      <c r="D418" s="9"/>
      <c r="E418" s="9"/>
      <c r="F418" s="9"/>
      <c r="G418" s="16"/>
      <c r="H418" s="9"/>
      <c r="I418" s="9"/>
      <c r="J418" s="9"/>
      <c r="K418" s="72"/>
      <c r="L418" s="9"/>
      <c r="M418" s="9"/>
      <c r="N418" s="9"/>
      <c r="O418" s="9"/>
      <c r="P418" s="9"/>
      <c r="Q418" s="9"/>
      <c r="R418" s="9"/>
      <c r="S418" s="9"/>
      <c r="T418" s="9"/>
      <c r="U418" s="9"/>
      <c r="V418" s="9"/>
      <c r="W418" s="9"/>
      <c r="X418" s="9"/>
      <c r="Y418" s="9"/>
    </row>
    <row r="419" spans="2:25" x14ac:dyDescent="0.2">
      <c r="B419" s="7"/>
      <c r="C419" s="9"/>
      <c r="D419" s="9"/>
      <c r="E419" s="9"/>
      <c r="F419" s="9"/>
      <c r="G419" s="16"/>
      <c r="H419" s="9"/>
      <c r="I419" s="9"/>
      <c r="J419" s="9"/>
      <c r="K419" s="72"/>
      <c r="L419" s="9"/>
      <c r="M419" s="9"/>
      <c r="N419" s="9"/>
      <c r="O419" s="9"/>
      <c r="P419" s="9"/>
      <c r="Q419" s="9"/>
      <c r="R419" s="9"/>
      <c r="S419" s="9"/>
      <c r="T419" s="9"/>
      <c r="U419" s="9"/>
      <c r="V419" s="9"/>
      <c r="W419" s="9"/>
      <c r="X419" s="9"/>
      <c r="Y419" s="9"/>
    </row>
    <row r="420" spans="2:25" x14ac:dyDescent="0.2">
      <c r="B420" s="7"/>
      <c r="C420" s="9"/>
      <c r="D420" s="9"/>
      <c r="E420" s="9"/>
      <c r="F420" s="9"/>
      <c r="G420" s="16"/>
      <c r="H420" s="9"/>
      <c r="I420" s="9"/>
      <c r="J420" s="9"/>
      <c r="K420" s="72"/>
      <c r="L420" s="9"/>
      <c r="M420" s="9"/>
      <c r="N420" s="9"/>
      <c r="O420" s="9"/>
      <c r="P420" s="9"/>
      <c r="Q420" s="9"/>
      <c r="R420" s="9"/>
      <c r="S420" s="9"/>
      <c r="T420" s="9"/>
      <c r="U420" s="9"/>
      <c r="V420" s="9"/>
      <c r="W420" s="9"/>
      <c r="X420" s="9"/>
      <c r="Y420" s="9"/>
    </row>
    <row r="421" spans="2:25" x14ac:dyDescent="0.2">
      <c r="B421" s="7"/>
      <c r="C421" s="9"/>
      <c r="D421" s="9"/>
      <c r="E421" s="9"/>
      <c r="F421" s="9"/>
      <c r="G421" s="16"/>
      <c r="H421" s="9"/>
      <c r="I421" s="9"/>
      <c r="J421" s="9"/>
      <c r="K421" s="72"/>
      <c r="L421" s="9"/>
      <c r="M421" s="9"/>
      <c r="N421" s="9"/>
      <c r="O421" s="9"/>
      <c r="P421" s="9"/>
      <c r="Q421" s="9"/>
      <c r="R421" s="9"/>
      <c r="S421" s="9"/>
      <c r="T421" s="9"/>
      <c r="U421" s="9"/>
      <c r="V421" s="9"/>
      <c r="W421" s="9"/>
      <c r="X421" s="9"/>
      <c r="Y421" s="9"/>
    </row>
    <row r="422" spans="2:25" x14ac:dyDescent="0.2">
      <c r="B422" s="7"/>
      <c r="C422" s="9"/>
      <c r="D422" s="9"/>
      <c r="E422" s="9"/>
      <c r="F422" s="9"/>
      <c r="G422" s="16"/>
      <c r="H422" s="9"/>
      <c r="I422" s="9"/>
      <c r="J422" s="9"/>
      <c r="K422" s="72"/>
      <c r="L422" s="9"/>
      <c r="M422" s="9"/>
      <c r="N422" s="9"/>
      <c r="O422" s="9"/>
      <c r="P422" s="9"/>
      <c r="Q422" s="9"/>
      <c r="R422" s="9"/>
      <c r="S422" s="9"/>
      <c r="T422" s="9"/>
      <c r="U422" s="9"/>
      <c r="V422" s="9"/>
      <c r="W422" s="9"/>
      <c r="X422" s="9"/>
      <c r="Y422" s="9"/>
    </row>
    <row r="423" spans="2:25" x14ac:dyDescent="0.2">
      <c r="B423" s="7"/>
      <c r="C423" s="9"/>
      <c r="D423" s="9"/>
      <c r="E423" s="9"/>
      <c r="F423" s="9"/>
      <c r="G423" s="16"/>
      <c r="H423" s="9"/>
      <c r="I423" s="9"/>
      <c r="J423" s="9"/>
      <c r="K423" s="72"/>
      <c r="L423" s="9"/>
      <c r="M423" s="9"/>
      <c r="N423" s="9"/>
      <c r="O423" s="9"/>
      <c r="P423" s="9"/>
      <c r="Q423" s="9"/>
      <c r="R423" s="9"/>
      <c r="S423" s="9"/>
      <c r="T423" s="9"/>
      <c r="U423" s="9"/>
      <c r="V423" s="9"/>
      <c r="W423" s="9"/>
      <c r="X423" s="9"/>
      <c r="Y423" s="9"/>
    </row>
    <row r="424" spans="2:25" x14ac:dyDescent="0.2">
      <c r="B424" s="7"/>
      <c r="C424" s="9"/>
      <c r="D424" s="9"/>
      <c r="E424" s="9"/>
      <c r="F424" s="9"/>
      <c r="G424" s="16"/>
      <c r="H424" s="9"/>
      <c r="I424" s="9"/>
      <c r="J424" s="9"/>
      <c r="K424" s="72"/>
      <c r="L424" s="9"/>
      <c r="M424" s="9"/>
      <c r="N424" s="9"/>
      <c r="O424" s="9"/>
      <c r="P424" s="9"/>
      <c r="Q424" s="9"/>
      <c r="R424" s="9"/>
      <c r="S424" s="9"/>
      <c r="T424" s="9"/>
      <c r="U424" s="9"/>
      <c r="V424" s="9"/>
      <c r="W424" s="9"/>
      <c r="X424" s="9"/>
      <c r="Y424" s="9"/>
    </row>
    <row r="425" spans="2:25" x14ac:dyDescent="0.2">
      <c r="B425" s="7"/>
      <c r="C425" s="9"/>
      <c r="D425" s="9"/>
      <c r="E425" s="9"/>
      <c r="F425" s="9"/>
      <c r="G425" s="16"/>
      <c r="H425" s="9"/>
      <c r="I425" s="9"/>
      <c r="J425" s="9"/>
      <c r="K425" s="72"/>
      <c r="L425" s="9"/>
      <c r="M425" s="9"/>
      <c r="N425" s="9"/>
      <c r="O425" s="9"/>
      <c r="P425" s="9"/>
      <c r="Q425" s="9"/>
      <c r="R425" s="9"/>
      <c r="S425" s="9"/>
      <c r="T425" s="9"/>
      <c r="U425" s="9"/>
      <c r="V425" s="9"/>
      <c r="W425" s="9"/>
      <c r="X425" s="9"/>
      <c r="Y425" s="9"/>
    </row>
    <row r="426" spans="2:25" x14ac:dyDescent="0.2">
      <c r="B426" s="7"/>
      <c r="C426" s="9"/>
      <c r="D426" s="9"/>
      <c r="E426" s="9"/>
      <c r="F426" s="9"/>
      <c r="G426" s="16"/>
      <c r="H426" s="9"/>
      <c r="I426" s="9"/>
      <c r="J426" s="9"/>
      <c r="K426" s="72"/>
      <c r="L426" s="9"/>
      <c r="M426" s="9"/>
      <c r="N426" s="9"/>
      <c r="O426" s="9"/>
      <c r="P426" s="9"/>
      <c r="Q426" s="9"/>
      <c r="R426" s="9"/>
      <c r="S426" s="9"/>
      <c r="T426" s="9"/>
      <c r="U426" s="9"/>
      <c r="V426" s="9"/>
      <c r="W426" s="9"/>
      <c r="X426" s="9"/>
      <c r="Y426" s="9"/>
    </row>
    <row r="427" spans="2:25" x14ac:dyDescent="0.2">
      <c r="B427" s="7"/>
      <c r="C427" s="9"/>
      <c r="D427" s="9"/>
      <c r="E427" s="9"/>
      <c r="F427" s="9"/>
      <c r="G427" s="16"/>
      <c r="H427" s="9"/>
      <c r="I427" s="9"/>
      <c r="J427" s="9"/>
      <c r="K427" s="72"/>
      <c r="L427" s="9"/>
      <c r="M427" s="9"/>
      <c r="N427" s="9"/>
      <c r="O427" s="9"/>
      <c r="P427" s="9"/>
      <c r="Q427" s="9"/>
      <c r="R427" s="9"/>
      <c r="S427" s="9"/>
      <c r="T427" s="9"/>
      <c r="U427" s="9"/>
      <c r="V427" s="9"/>
      <c r="W427" s="9"/>
      <c r="X427" s="9"/>
      <c r="Y427" s="9"/>
    </row>
    <row r="428" spans="2:25" x14ac:dyDescent="0.2">
      <c r="B428" s="7"/>
      <c r="C428" s="9"/>
      <c r="D428" s="9"/>
      <c r="E428" s="9"/>
      <c r="F428" s="9"/>
      <c r="G428" s="16"/>
      <c r="H428" s="9"/>
      <c r="I428" s="9"/>
      <c r="J428" s="9"/>
      <c r="K428" s="72"/>
      <c r="L428" s="9"/>
      <c r="M428" s="9"/>
      <c r="N428" s="9"/>
      <c r="O428" s="9"/>
      <c r="P428" s="9"/>
      <c r="Q428" s="9"/>
      <c r="R428" s="9"/>
      <c r="S428" s="9"/>
      <c r="T428" s="9"/>
      <c r="U428" s="9"/>
      <c r="V428" s="9"/>
      <c r="W428" s="9"/>
      <c r="X428" s="9"/>
      <c r="Y428" s="9"/>
    </row>
    <row r="429" spans="2:25" x14ac:dyDescent="0.2">
      <c r="B429" s="7"/>
      <c r="C429" s="9"/>
      <c r="D429" s="9"/>
      <c r="E429" s="9"/>
      <c r="F429" s="9"/>
      <c r="G429" s="16"/>
      <c r="H429" s="9"/>
      <c r="I429" s="9"/>
      <c r="J429" s="9"/>
      <c r="K429" s="72"/>
      <c r="L429" s="9"/>
      <c r="M429" s="9"/>
      <c r="N429" s="9"/>
      <c r="O429" s="9"/>
      <c r="P429" s="9"/>
      <c r="Q429" s="9"/>
      <c r="R429" s="9"/>
      <c r="S429" s="9"/>
      <c r="T429" s="9"/>
      <c r="U429" s="9"/>
      <c r="V429" s="9"/>
      <c r="W429" s="9"/>
      <c r="X429" s="9"/>
      <c r="Y429" s="9"/>
    </row>
    <row r="430" spans="2:25" x14ac:dyDescent="0.2">
      <c r="B430" s="7"/>
      <c r="C430" s="9"/>
      <c r="D430" s="9"/>
      <c r="E430" s="9"/>
      <c r="F430" s="9"/>
      <c r="G430" s="16"/>
      <c r="H430" s="9"/>
      <c r="I430" s="9"/>
      <c r="J430" s="9"/>
      <c r="K430" s="72"/>
      <c r="L430" s="9"/>
      <c r="M430" s="9"/>
      <c r="N430" s="9"/>
      <c r="O430" s="9"/>
      <c r="P430" s="9"/>
      <c r="Q430" s="9"/>
      <c r="R430" s="9"/>
      <c r="S430" s="9"/>
      <c r="T430" s="9"/>
      <c r="U430" s="9"/>
      <c r="V430" s="9"/>
      <c r="W430" s="9"/>
      <c r="X430" s="9"/>
      <c r="Y430" s="9"/>
    </row>
    <row r="431" spans="2:25" x14ac:dyDescent="0.2">
      <c r="B431" s="7"/>
      <c r="C431" s="9"/>
      <c r="D431" s="9"/>
      <c r="E431" s="9"/>
      <c r="F431" s="9"/>
      <c r="G431" s="16"/>
      <c r="H431" s="9"/>
      <c r="I431" s="9"/>
      <c r="J431" s="9"/>
      <c r="K431" s="72"/>
      <c r="L431" s="9"/>
      <c r="M431" s="9"/>
      <c r="N431" s="9"/>
      <c r="O431" s="9"/>
      <c r="P431" s="9"/>
      <c r="Q431" s="9"/>
      <c r="R431" s="9"/>
      <c r="S431" s="9"/>
      <c r="T431" s="9"/>
      <c r="U431" s="9"/>
      <c r="V431" s="9"/>
      <c r="W431" s="9"/>
      <c r="X431" s="9"/>
      <c r="Y431" s="9"/>
    </row>
    <row r="432" spans="2:25" x14ac:dyDescent="0.2">
      <c r="B432" s="7"/>
      <c r="C432" s="9"/>
      <c r="D432" s="9"/>
      <c r="E432" s="9"/>
      <c r="F432" s="9"/>
      <c r="G432" s="16"/>
      <c r="H432" s="9"/>
      <c r="I432" s="9"/>
      <c r="J432" s="9"/>
      <c r="K432" s="72"/>
      <c r="L432" s="9"/>
      <c r="M432" s="9"/>
      <c r="N432" s="9"/>
      <c r="O432" s="9"/>
      <c r="P432" s="9"/>
      <c r="Q432" s="9"/>
      <c r="R432" s="9"/>
      <c r="S432" s="9"/>
      <c r="T432" s="9"/>
      <c r="U432" s="9"/>
      <c r="V432" s="9"/>
      <c r="W432" s="9"/>
      <c r="X432" s="9"/>
      <c r="Y432" s="9"/>
    </row>
    <row r="433" spans="2:25" x14ac:dyDescent="0.2">
      <c r="B433" s="7"/>
      <c r="C433" s="9"/>
      <c r="D433" s="9"/>
      <c r="E433" s="9"/>
      <c r="F433" s="9"/>
      <c r="G433" s="16"/>
      <c r="H433" s="9"/>
      <c r="I433" s="9"/>
      <c r="J433" s="9"/>
      <c r="K433" s="72"/>
      <c r="L433" s="9"/>
      <c r="M433" s="9"/>
      <c r="N433" s="9"/>
      <c r="O433" s="9"/>
      <c r="P433" s="9"/>
      <c r="Q433" s="9"/>
      <c r="R433" s="9"/>
      <c r="S433" s="9"/>
      <c r="T433" s="9"/>
      <c r="U433" s="9"/>
      <c r="V433" s="9"/>
      <c r="W433" s="9"/>
      <c r="X433" s="9"/>
      <c r="Y433" s="9"/>
    </row>
    <row r="434" spans="2:25" x14ac:dyDescent="0.2">
      <c r="B434" s="7"/>
      <c r="C434" s="9"/>
      <c r="D434" s="9"/>
      <c r="E434" s="9"/>
      <c r="F434" s="9"/>
      <c r="G434" s="16"/>
      <c r="H434" s="9"/>
      <c r="I434" s="9"/>
      <c r="J434" s="9"/>
      <c r="K434" s="72"/>
      <c r="L434" s="9"/>
      <c r="M434" s="9"/>
      <c r="N434" s="9"/>
      <c r="O434" s="9"/>
      <c r="P434" s="9"/>
      <c r="Q434" s="9"/>
      <c r="R434" s="9"/>
      <c r="S434" s="9"/>
      <c r="T434" s="9"/>
      <c r="U434" s="9"/>
      <c r="V434" s="9"/>
      <c r="W434" s="9"/>
      <c r="X434" s="9"/>
      <c r="Y434" s="9"/>
    </row>
    <row r="435" spans="2:25" x14ac:dyDescent="0.2">
      <c r="B435" s="7"/>
      <c r="C435" s="9"/>
      <c r="D435" s="9"/>
      <c r="E435" s="9"/>
      <c r="F435" s="9"/>
      <c r="G435" s="16"/>
      <c r="H435" s="9"/>
      <c r="I435" s="9"/>
      <c r="J435" s="9"/>
      <c r="K435" s="72"/>
      <c r="L435" s="9"/>
      <c r="M435" s="9"/>
      <c r="N435" s="9"/>
      <c r="O435" s="9"/>
      <c r="P435" s="9"/>
      <c r="Q435" s="9"/>
      <c r="R435" s="9"/>
      <c r="S435" s="9"/>
      <c r="T435" s="9"/>
      <c r="U435" s="9"/>
      <c r="V435" s="9"/>
      <c r="W435" s="9"/>
      <c r="X435" s="9"/>
      <c r="Y435" s="9"/>
    </row>
    <row r="436" spans="2:25" x14ac:dyDescent="0.2">
      <c r="B436" s="7"/>
      <c r="C436" s="9"/>
      <c r="D436" s="9"/>
      <c r="E436" s="9"/>
      <c r="F436" s="9"/>
      <c r="G436" s="16"/>
      <c r="H436" s="9"/>
      <c r="I436" s="9"/>
      <c r="J436" s="9"/>
      <c r="K436" s="72"/>
      <c r="L436" s="9"/>
      <c r="M436" s="9"/>
      <c r="N436" s="9"/>
      <c r="O436" s="9"/>
      <c r="P436" s="9"/>
      <c r="Q436" s="9"/>
      <c r="R436" s="9"/>
      <c r="S436" s="9"/>
      <c r="T436" s="9"/>
      <c r="U436" s="9"/>
      <c r="V436" s="9"/>
      <c r="W436" s="9"/>
      <c r="X436" s="9"/>
      <c r="Y436" s="9"/>
    </row>
    <row r="437" spans="2:25" x14ac:dyDescent="0.2">
      <c r="B437" s="7"/>
      <c r="C437" s="9"/>
      <c r="D437" s="9"/>
      <c r="E437" s="9"/>
      <c r="F437" s="9"/>
      <c r="G437" s="16"/>
      <c r="H437" s="9"/>
      <c r="I437" s="9"/>
      <c r="J437" s="9"/>
      <c r="K437" s="72"/>
      <c r="L437" s="9"/>
      <c r="M437" s="9"/>
      <c r="N437" s="9"/>
      <c r="O437" s="9"/>
      <c r="P437" s="9"/>
      <c r="Q437" s="9"/>
      <c r="R437" s="9"/>
      <c r="S437" s="9"/>
      <c r="T437" s="9"/>
      <c r="U437" s="9"/>
      <c r="V437" s="9"/>
      <c r="W437" s="9"/>
      <c r="X437" s="9"/>
      <c r="Y437" s="9"/>
    </row>
    <row r="438" spans="2:25" x14ac:dyDescent="0.2">
      <c r="B438" s="7"/>
      <c r="C438" s="9"/>
      <c r="D438" s="9"/>
      <c r="E438" s="9"/>
      <c r="F438" s="9"/>
      <c r="G438" s="16"/>
      <c r="H438" s="9"/>
      <c r="I438" s="9"/>
      <c r="J438" s="9"/>
      <c r="K438" s="72"/>
      <c r="L438" s="9"/>
      <c r="M438" s="9"/>
      <c r="N438" s="9"/>
      <c r="O438" s="9"/>
      <c r="P438" s="9"/>
      <c r="Q438" s="9"/>
      <c r="R438" s="9"/>
      <c r="S438" s="9"/>
      <c r="T438" s="9"/>
      <c r="U438" s="9"/>
      <c r="V438" s="9"/>
      <c r="W438" s="9"/>
      <c r="X438" s="9"/>
      <c r="Y438" s="9"/>
    </row>
    <row r="439" spans="2:25" x14ac:dyDescent="0.2">
      <c r="B439" s="7"/>
      <c r="C439" s="9"/>
      <c r="D439" s="9"/>
      <c r="E439" s="9"/>
      <c r="F439" s="9"/>
      <c r="G439" s="16"/>
      <c r="H439" s="9"/>
      <c r="I439" s="9"/>
      <c r="J439" s="9"/>
      <c r="K439" s="72"/>
      <c r="L439" s="9"/>
      <c r="M439" s="9"/>
      <c r="N439" s="9"/>
      <c r="O439" s="9"/>
      <c r="P439" s="9"/>
      <c r="Q439" s="9"/>
      <c r="R439" s="9"/>
      <c r="S439" s="9"/>
      <c r="T439" s="9"/>
      <c r="U439" s="9"/>
      <c r="V439" s="9"/>
      <c r="W439" s="9"/>
      <c r="X439" s="9"/>
      <c r="Y439" s="9"/>
    </row>
    <row r="440" spans="2:25" x14ac:dyDescent="0.2">
      <c r="B440" s="7"/>
      <c r="C440" s="9"/>
      <c r="D440" s="9"/>
      <c r="E440" s="9"/>
      <c r="F440" s="9"/>
      <c r="G440" s="16"/>
      <c r="H440" s="9"/>
      <c r="I440" s="9"/>
      <c r="J440" s="9"/>
      <c r="K440" s="72"/>
      <c r="L440" s="9"/>
      <c r="M440" s="9"/>
      <c r="N440" s="9"/>
      <c r="O440" s="9"/>
      <c r="P440" s="9"/>
      <c r="Q440" s="9"/>
      <c r="R440" s="9"/>
      <c r="S440" s="9"/>
      <c r="T440" s="9"/>
      <c r="U440" s="9"/>
      <c r="V440" s="9"/>
      <c r="W440" s="9"/>
      <c r="X440" s="9"/>
      <c r="Y440" s="9"/>
    </row>
    <row r="441" spans="2:25" x14ac:dyDescent="0.2">
      <c r="B441" s="7"/>
      <c r="C441" s="9"/>
      <c r="D441" s="9"/>
      <c r="E441" s="9"/>
      <c r="F441" s="9"/>
      <c r="G441" s="16"/>
      <c r="H441" s="9"/>
      <c r="I441" s="9"/>
      <c r="J441" s="9"/>
      <c r="K441" s="72"/>
      <c r="L441" s="9"/>
      <c r="M441" s="9"/>
      <c r="N441" s="9"/>
      <c r="O441" s="9"/>
      <c r="P441" s="9"/>
      <c r="Q441" s="9"/>
      <c r="R441" s="9"/>
      <c r="S441" s="9"/>
      <c r="T441" s="9"/>
      <c r="U441" s="9"/>
      <c r="V441" s="9"/>
      <c r="W441" s="9"/>
      <c r="X441" s="9"/>
      <c r="Y441" s="9"/>
    </row>
    <row r="442" spans="2:25" x14ac:dyDescent="0.2">
      <c r="B442" s="7"/>
      <c r="C442" s="9"/>
      <c r="D442" s="9"/>
      <c r="E442" s="9"/>
      <c r="F442" s="9"/>
      <c r="G442" s="16"/>
      <c r="H442" s="9"/>
      <c r="I442" s="9"/>
      <c r="J442" s="9"/>
      <c r="K442" s="72"/>
      <c r="L442" s="9"/>
      <c r="M442" s="9"/>
      <c r="N442" s="9"/>
      <c r="O442" s="9"/>
      <c r="P442" s="9"/>
      <c r="Q442" s="9"/>
      <c r="R442" s="9"/>
      <c r="S442" s="9"/>
      <c r="T442" s="9"/>
      <c r="U442" s="9"/>
      <c r="V442" s="9"/>
      <c r="W442" s="9"/>
      <c r="X442" s="9"/>
      <c r="Y442" s="9"/>
    </row>
    <row r="443" spans="2:25" x14ac:dyDescent="0.2">
      <c r="B443" s="7"/>
      <c r="C443" s="9"/>
      <c r="D443" s="9"/>
      <c r="E443" s="9"/>
      <c r="F443" s="9"/>
      <c r="G443" s="16"/>
      <c r="H443" s="9"/>
      <c r="I443" s="9"/>
      <c r="J443" s="9"/>
      <c r="K443" s="72"/>
      <c r="L443" s="9"/>
      <c r="M443" s="9"/>
      <c r="N443" s="9"/>
      <c r="O443" s="9"/>
      <c r="P443" s="9"/>
      <c r="Q443" s="9"/>
      <c r="R443" s="9"/>
      <c r="S443" s="9"/>
      <c r="T443" s="9"/>
      <c r="U443" s="9"/>
      <c r="V443" s="9"/>
      <c r="W443" s="9"/>
      <c r="X443" s="9"/>
      <c r="Y443" s="9"/>
    </row>
    <row r="444" spans="2:25" x14ac:dyDescent="0.2">
      <c r="B444" s="7"/>
      <c r="C444" s="9"/>
      <c r="D444" s="9"/>
      <c r="E444" s="9"/>
      <c r="F444" s="9"/>
      <c r="G444" s="16"/>
      <c r="H444" s="9"/>
      <c r="I444" s="9"/>
      <c r="J444" s="9"/>
      <c r="K444" s="72"/>
      <c r="L444" s="9"/>
      <c r="M444" s="9"/>
      <c r="N444" s="9"/>
      <c r="O444" s="9"/>
      <c r="P444" s="9"/>
      <c r="Q444" s="9"/>
      <c r="R444" s="9"/>
      <c r="S444" s="9"/>
      <c r="T444" s="9"/>
      <c r="U444" s="9"/>
      <c r="V444" s="9"/>
      <c r="W444" s="9"/>
      <c r="X444" s="9"/>
      <c r="Y444" s="9"/>
    </row>
    <row r="445" spans="2:25" x14ac:dyDescent="0.2">
      <c r="B445" s="7"/>
      <c r="C445" s="9"/>
      <c r="D445" s="9"/>
      <c r="E445" s="9"/>
      <c r="F445" s="9"/>
      <c r="G445" s="16"/>
      <c r="H445" s="9"/>
      <c r="I445" s="9"/>
      <c r="J445" s="9"/>
      <c r="K445" s="72"/>
      <c r="L445" s="9"/>
      <c r="M445" s="9"/>
      <c r="N445" s="9"/>
      <c r="O445" s="9"/>
      <c r="P445" s="9"/>
      <c r="Q445" s="9"/>
      <c r="R445" s="9"/>
      <c r="S445" s="9"/>
      <c r="T445" s="9"/>
      <c r="U445" s="9"/>
      <c r="V445" s="9"/>
      <c r="W445" s="9"/>
      <c r="X445" s="9"/>
      <c r="Y445" s="9"/>
    </row>
    <row r="446" spans="2:25" x14ac:dyDescent="0.2">
      <c r="B446" s="7"/>
      <c r="C446" s="9"/>
      <c r="D446" s="9"/>
      <c r="E446" s="9"/>
      <c r="F446" s="9"/>
      <c r="G446" s="16"/>
      <c r="H446" s="9"/>
      <c r="I446" s="9"/>
      <c r="J446" s="9"/>
      <c r="K446" s="72"/>
      <c r="L446" s="9"/>
      <c r="M446" s="9"/>
      <c r="N446" s="9"/>
      <c r="O446" s="9"/>
      <c r="P446" s="9"/>
      <c r="Q446" s="9"/>
      <c r="R446" s="9"/>
      <c r="S446" s="9"/>
      <c r="T446" s="9"/>
      <c r="U446" s="9"/>
      <c r="V446" s="9"/>
      <c r="W446" s="9"/>
      <c r="X446" s="9"/>
      <c r="Y446" s="9"/>
    </row>
    <row r="447" spans="2:25" x14ac:dyDescent="0.2">
      <c r="B447" s="7"/>
      <c r="C447" s="9"/>
      <c r="D447" s="9"/>
      <c r="E447" s="9"/>
      <c r="F447" s="9"/>
      <c r="G447" s="16"/>
      <c r="H447" s="9"/>
      <c r="I447" s="9"/>
      <c r="J447" s="9"/>
      <c r="K447" s="72"/>
      <c r="L447" s="9"/>
      <c r="M447" s="9"/>
      <c r="N447" s="9"/>
      <c r="O447" s="9"/>
      <c r="P447" s="9"/>
      <c r="Q447" s="9"/>
      <c r="R447" s="9"/>
      <c r="S447" s="9"/>
      <c r="T447" s="9"/>
      <c r="U447" s="9"/>
      <c r="V447" s="9"/>
      <c r="W447" s="9"/>
      <c r="X447" s="9"/>
      <c r="Y447" s="9"/>
    </row>
    <row r="448" spans="2:25" x14ac:dyDescent="0.2">
      <c r="B448" s="7"/>
      <c r="C448" s="9"/>
      <c r="D448" s="9"/>
      <c r="E448" s="9"/>
      <c r="F448" s="9"/>
      <c r="G448" s="16"/>
      <c r="H448" s="9"/>
      <c r="I448" s="9"/>
      <c r="J448" s="9"/>
      <c r="K448" s="72"/>
      <c r="L448" s="9"/>
      <c r="M448" s="9"/>
      <c r="N448" s="9"/>
      <c r="O448" s="9"/>
      <c r="P448" s="9"/>
      <c r="Q448" s="9"/>
      <c r="R448" s="9"/>
      <c r="S448" s="9"/>
      <c r="T448" s="9"/>
      <c r="U448" s="9"/>
      <c r="V448" s="9"/>
      <c r="W448" s="9"/>
      <c r="X448" s="9"/>
      <c r="Y448" s="9"/>
    </row>
    <row r="449" spans="2:25" x14ac:dyDescent="0.2">
      <c r="B449" s="7"/>
      <c r="C449" s="9"/>
      <c r="D449" s="9"/>
      <c r="E449" s="9"/>
      <c r="F449" s="9"/>
      <c r="G449" s="16"/>
      <c r="H449" s="9"/>
      <c r="I449" s="9"/>
      <c r="J449" s="9"/>
      <c r="K449" s="72"/>
      <c r="L449" s="9"/>
      <c r="M449" s="9"/>
      <c r="N449" s="9"/>
      <c r="O449" s="9"/>
      <c r="P449" s="9"/>
      <c r="Q449" s="9"/>
      <c r="R449" s="9"/>
      <c r="S449" s="9"/>
      <c r="T449" s="9"/>
      <c r="U449" s="9"/>
      <c r="V449" s="9"/>
      <c r="W449" s="9"/>
      <c r="X449" s="9"/>
      <c r="Y449" s="9"/>
    </row>
    <row r="450" spans="2:25" x14ac:dyDescent="0.2">
      <c r="B450" s="7"/>
      <c r="C450" s="9"/>
      <c r="D450" s="9"/>
      <c r="E450" s="9"/>
      <c r="F450" s="9"/>
      <c r="G450" s="16"/>
      <c r="H450" s="9"/>
      <c r="I450" s="9"/>
      <c r="J450" s="9"/>
      <c r="K450" s="72"/>
      <c r="L450" s="9"/>
      <c r="M450" s="9"/>
      <c r="N450" s="9"/>
      <c r="O450" s="9"/>
      <c r="P450" s="9"/>
      <c r="Q450" s="9"/>
      <c r="R450" s="9"/>
      <c r="S450" s="9"/>
      <c r="T450" s="9"/>
      <c r="U450" s="9"/>
      <c r="V450" s="9"/>
      <c r="W450" s="9"/>
      <c r="X450" s="9"/>
      <c r="Y450" s="9"/>
    </row>
    <row r="451" spans="2:25" x14ac:dyDescent="0.2">
      <c r="B451" s="7"/>
      <c r="C451" s="9"/>
      <c r="D451" s="9"/>
      <c r="E451" s="9"/>
      <c r="F451" s="9"/>
      <c r="G451" s="16"/>
      <c r="H451" s="9"/>
      <c r="I451" s="9"/>
      <c r="J451" s="9"/>
      <c r="K451" s="72"/>
      <c r="L451" s="9"/>
      <c r="M451" s="9"/>
      <c r="N451" s="9"/>
      <c r="O451" s="9"/>
      <c r="P451" s="9"/>
      <c r="Q451" s="9"/>
      <c r="R451" s="9"/>
      <c r="S451" s="9"/>
      <c r="T451" s="9"/>
      <c r="U451" s="9"/>
      <c r="V451" s="9"/>
      <c r="W451" s="9"/>
      <c r="X451" s="9"/>
      <c r="Y451" s="9"/>
    </row>
    <row r="452" spans="2:25" x14ac:dyDescent="0.2">
      <c r="B452" s="7"/>
      <c r="C452" s="9"/>
      <c r="D452" s="9"/>
      <c r="E452" s="9"/>
      <c r="F452" s="9"/>
      <c r="G452" s="16"/>
      <c r="H452" s="9"/>
      <c r="I452" s="9"/>
      <c r="J452" s="9"/>
      <c r="K452" s="72"/>
      <c r="L452" s="9"/>
      <c r="M452" s="9"/>
      <c r="N452" s="9"/>
      <c r="O452" s="9"/>
      <c r="P452" s="9"/>
      <c r="Q452" s="9"/>
      <c r="R452" s="9"/>
      <c r="S452" s="9"/>
      <c r="T452" s="9"/>
      <c r="U452" s="9"/>
      <c r="V452" s="9"/>
      <c r="W452" s="9"/>
      <c r="X452" s="9"/>
      <c r="Y452" s="9"/>
    </row>
    <row r="453" spans="2:25" x14ac:dyDescent="0.2">
      <c r="B453" s="7"/>
      <c r="C453" s="9"/>
      <c r="D453" s="9"/>
      <c r="E453" s="9"/>
      <c r="F453" s="9"/>
      <c r="G453" s="16"/>
      <c r="H453" s="9"/>
      <c r="I453" s="9"/>
      <c r="J453" s="9"/>
      <c r="K453" s="72"/>
      <c r="L453" s="9"/>
      <c r="M453" s="9"/>
      <c r="N453" s="9"/>
      <c r="O453" s="9"/>
      <c r="P453" s="9"/>
      <c r="Q453" s="9"/>
      <c r="R453" s="9"/>
      <c r="S453" s="9"/>
      <c r="T453" s="9"/>
      <c r="U453" s="9"/>
      <c r="V453" s="9"/>
      <c r="W453" s="9"/>
      <c r="X453" s="9"/>
      <c r="Y453" s="9"/>
    </row>
    <row r="454" spans="2:25" x14ac:dyDescent="0.2">
      <c r="B454" s="7"/>
      <c r="C454" s="9"/>
      <c r="D454" s="9"/>
      <c r="E454" s="9"/>
      <c r="F454" s="9"/>
      <c r="G454" s="16"/>
      <c r="H454" s="9"/>
      <c r="I454" s="9"/>
      <c r="J454" s="9"/>
      <c r="K454" s="72"/>
      <c r="L454" s="9"/>
      <c r="M454" s="9"/>
      <c r="N454" s="9"/>
      <c r="O454" s="9"/>
      <c r="P454" s="9"/>
      <c r="Q454" s="9"/>
      <c r="R454" s="9"/>
      <c r="S454" s="9"/>
      <c r="T454" s="9"/>
      <c r="U454" s="9"/>
      <c r="V454" s="9"/>
      <c r="W454" s="9"/>
      <c r="X454" s="9"/>
      <c r="Y454" s="9"/>
    </row>
    <row r="455" spans="2:25" x14ac:dyDescent="0.2">
      <c r="B455" s="7"/>
      <c r="C455" s="9"/>
      <c r="D455" s="9"/>
      <c r="E455" s="9"/>
      <c r="F455" s="9"/>
      <c r="G455" s="16"/>
      <c r="H455" s="9"/>
      <c r="I455" s="9"/>
      <c r="J455" s="9"/>
      <c r="K455" s="72"/>
      <c r="L455" s="9"/>
      <c r="M455" s="9"/>
      <c r="N455" s="9"/>
      <c r="O455" s="9"/>
      <c r="P455" s="9"/>
      <c r="Q455" s="9"/>
      <c r="R455" s="9"/>
      <c r="S455" s="9"/>
      <c r="T455" s="9"/>
      <c r="U455" s="9"/>
      <c r="V455" s="9"/>
      <c r="W455" s="9"/>
      <c r="X455" s="9"/>
      <c r="Y455" s="9"/>
    </row>
    <row r="456" spans="2:25" x14ac:dyDescent="0.2">
      <c r="B456" s="7"/>
      <c r="C456" s="9"/>
      <c r="D456" s="9"/>
      <c r="E456" s="9"/>
      <c r="F456" s="9"/>
      <c r="G456" s="16"/>
      <c r="H456" s="9"/>
      <c r="I456" s="9"/>
      <c r="J456" s="9"/>
      <c r="K456" s="72"/>
      <c r="L456" s="9"/>
      <c r="M456" s="9"/>
      <c r="N456" s="9"/>
      <c r="O456" s="9"/>
      <c r="P456" s="9"/>
      <c r="Q456" s="9"/>
      <c r="R456" s="9"/>
      <c r="S456" s="9"/>
      <c r="T456" s="9"/>
      <c r="U456" s="9"/>
      <c r="V456" s="9"/>
      <c r="W456" s="9"/>
      <c r="X456" s="9"/>
      <c r="Y456" s="9"/>
    </row>
    <row r="457" spans="2:25" x14ac:dyDescent="0.2">
      <c r="B457" s="7"/>
      <c r="C457" s="9"/>
      <c r="D457" s="9"/>
      <c r="E457" s="9"/>
      <c r="F457" s="9"/>
      <c r="G457" s="16"/>
      <c r="H457" s="9"/>
      <c r="I457" s="9"/>
      <c r="J457" s="9"/>
      <c r="K457" s="72"/>
      <c r="L457" s="9"/>
      <c r="M457" s="9"/>
      <c r="N457" s="9"/>
      <c r="O457" s="9"/>
      <c r="P457" s="9"/>
      <c r="Q457" s="9"/>
      <c r="R457" s="9"/>
      <c r="S457" s="9"/>
      <c r="T457" s="9"/>
      <c r="U457" s="9"/>
      <c r="V457" s="9"/>
      <c r="W457" s="9"/>
      <c r="X457" s="9"/>
      <c r="Y457" s="9"/>
    </row>
    <row r="458" spans="2:25" x14ac:dyDescent="0.2">
      <c r="B458" s="7"/>
      <c r="C458" s="9"/>
      <c r="D458" s="9"/>
      <c r="E458" s="9"/>
      <c r="F458" s="9"/>
      <c r="G458" s="16"/>
      <c r="H458" s="9"/>
      <c r="I458" s="9"/>
      <c r="J458" s="9"/>
      <c r="K458" s="72"/>
      <c r="L458" s="9"/>
      <c r="M458" s="9"/>
      <c r="N458" s="9"/>
      <c r="O458" s="9"/>
      <c r="P458" s="9"/>
      <c r="Q458" s="9"/>
      <c r="R458" s="9"/>
      <c r="S458" s="9"/>
      <c r="T458" s="9"/>
      <c r="U458" s="9"/>
      <c r="V458" s="9"/>
      <c r="W458" s="9"/>
      <c r="X458" s="9"/>
      <c r="Y458" s="9"/>
    </row>
    <row r="459" spans="2:25" x14ac:dyDescent="0.2">
      <c r="B459" s="7"/>
      <c r="C459" s="9"/>
      <c r="D459" s="9"/>
      <c r="E459" s="9"/>
      <c r="F459" s="9"/>
      <c r="G459" s="16"/>
      <c r="H459" s="9"/>
      <c r="I459" s="9"/>
      <c r="J459" s="9"/>
      <c r="K459" s="72"/>
      <c r="L459" s="9"/>
      <c r="M459" s="9"/>
      <c r="N459" s="9"/>
      <c r="O459" s="9"/>
      <c r="P459" s="9"/>
      <c r="Q459" s="9"/>
      <c r="R459" s="9"/>
      <c r="S459" s="9"/>
      <c r="T459" s="9"/>
      <c r="U459" s="9"/>
      <c r="V459" s="9"/>
      <c r="W459" s="9"/>
      <c r="X459" s="9"/>
      <c r="Y459" s="9"/>
    </row>
    <row r="460" spans="2:25" x14ac:dyDescent="0.2">
      <c r="B460" s="7"/>
      <c r="C460" s="9"/>
      <c r="D460" s="9"/>
      <c r="E460" s="9"/>
      <c r="F460" s="9"/>
      <c r="G460" s="16"/>
      <c r="H460" s="9"/>
      <c r="I460" s="9"/>
      <c r="J460" s="9"/>
      <c r="K460" s="72"/>
      <c r="L460" s="9"/>
      <c r="M460" s="9"/>
      <c r="N460" s="9"/>
      <c r="O460" s="9"/>
      <c r="P460" s="9"/>
      <c r="Q460" s="9"/>
      <c r="R460" s="9"/>
      <c r="S460" s="9"/>
      <c r="T460" s="9"/>
      <c r="U460" s="9"/>
      <c r="V460" s="9"/>
      <c r="W460" s="9"/>
      <c r="X460" s="9"/>
      <c r="Y460" s="9"/>
    </row>
    <row r="461" spans="2:25" x14ac:dyDescent="0.2">
      <c r="B461" s="7"/>
      <c r="C461" s="9"/>
      <c r="D461" s="9"/>
      <c r="E461" s="9"/>
      <c r="F461" s="9"/>
      <c r="G461" s="16"/>
      <c r="H461" s="9"/>
      <c r="I461" s="9"/>
      <c r="J461" s="9"/>
      <c r="K461" s="72"/>
      <c r="L461" s="9"/>
      <c r="M461" s="9"/>
      <c r="N461" s="9"/>
      <c r="O461" s="9"/>
      <c r="P461" s="9"/>
      <c r="Q461" s="9"/>
      <c r="R461" s="9"/>
      <c r="S461" s="9"/>
      <c r="T461" s="9"/>
      <c r="U461" s="9"/>
      <c r="V461" s="9"/>
      <c r="W461" s="9"/>
      <c r="X461" s="9"/>
      <c r="Y461" s="9"/>
    </row>
    <row r="462" spans="2:25" x14ac:dyDescent="0.2">
      <c r="B462" s="7"/>
      <c r="C462" s="9"/>
      <c r="D462" s="9"/>
      <c r="E462" s="9"/>
      <c r="F462" s="9"/>
      <c r="G462" s="16"/>
      <c r="H462" s="9"/>
      <c r="I462" s="9"/>
      <c r="J462" s="9"/>
      <c r="K462" s="72"/>
      <c r="L462" s="9"/>
      <c r="M462" s="9"/>
      <c r="N462" s="9"/>
      <c r="O462" s="9"/>
      <c r="P462" s="9"/>
      <c r="Q462" s="9"/>
      <c r="R462" s="9"/>
      <c r="S462" s="9"/>
      <c r="T462" s="9"/>
      <c r="U462" s="9"/>
      <c r="V462" s="9"/>
      <c r="W462" s="9"/>
      <c r="X462" s="9"/>
      <c r="Y462" s="9"/>
    </row>
    <row r="463" spans="2:25" x14ac:dyDescent="0.2">
      <c r="B463" s="7"/>
      <c r="C463" s="9"/>
      <c r="D463" s="9"/>
      <c r="E463" s="9"/>
      <c r="F463" s="9"/>
      <c r="G463" s="16"/>
      <c r="H463" s="9"/>
      <c r="I463" s="9"/>
      <c r="J463" s="9"/>
      <c r="K463" s="72"/>
      <c r="L463" s="9"/>
      <c r="M463" s="9"/>
      <c r="N463" s="9"/>
      <c r="O463" s="9"/>
      <c r="P463" s="9"/>
      <c r="Q463" s="9"/>
      <c r="R463" s="9"/>
      <c r="S463" s="9"/>
      <c r="T463" s="9"/>
      <c r="U463" s="9"/>
      <c r="V463" s="9"/>
      <c r="W463" s="9"/>
      <c r="X463" s="9"/>
      <c r="Y463" s="9"/>
    </row>
    <row r="464" spans="2:25" x14ac:dyDescent="0.2">
      <c r="B464" s="7"/>
      <c r="C464" s="9"/>
      <c r="D464" s="9"/>
      <c r="E464" s="9"/>
      <c r="F464" s="9"/>
      <c r="G464" s="16"/>
      <c r="H464" s="9"/>
      <c r="I464" s="9"/>
      <c r="J464" s="9"/>
      <c r="K464" s="72"/>
      <c r="L464" s="9"/>
      <c r="M464" s="9"/>
      <c r="N464" s="9"/>
      <c r="O464" s="9"/>
      <c r="P464" s="9"/>
      <c r="Q464" s="9"/>
      <c r="R464" s="9"/>
      <c r="S464" s="9"/>
      <c r="T464" s="9"/>
      <c r="U464" s="9"/>
      <c r="V464" s="9"/>
      <c r="W464" s="9"/>
      <c r="X464" s="9"/>
      <c r="Y464" s="9"/>
    </row>
    <row r="465" spans="2:25" x14ac:dyDescent="0.2">
      <c r="B465" s="7"/>
      <c r="C465" s="9"/>
      <c r="D465" s="9"/>
      <c r="E465" s="9"/>
      <c r="F465" s="9"/>
      <c r="G465" s="16"/>
      <c r="H465" s="9"/>
      <c r="I465" s="9"/>
      <c r="J465" s="9"/>
      <c r="K465" s="72"/>
      <c r="L465" s="9"/>
      <c r="M465" s="9"/>
      <c r="N465" s="9"/>
      <c r="O465" s="9"/>
      <c r="P465" s="9"/>
      <c r="Q465" s="9"/>
      <c r="R465" s="9"/>
      <c r="S465" s="9"/>
      <c r="T465" s="9"/>
      <c r="U465" s="9"/>
      <c r="V465" s="9"/>
      <c r="W465" s="9"/>
      <c r="X465" s="9"/>
      <c r="Y465" s="9"/>
    </row>
    <row r="466" spans="2:25" x14ac:dyDescent="0.2">
      <c r="B466" s="7"/>
      <c r="C466" s="9"/>
      <c r="D466" s="9"/>
      <c r="E466" s="9"/>
      <c r="F466" s="9"/>
      <c r="G466" s="16"/>
      <c r="H466" s="9"/>
      <c r="I466" s="9"/>
      <c r="J466" s="9"/>
      <c r="K466" s="72"/>
      <c r="L466" s="9"/>
      <c r="M466" s="9"/>
      <c r="N466" s="9"/>
      <c r="O466" s="9"/>
      <c r="P466" s="9"/>
      <c r="Q466" s="9"/>
      <c r="R466" s="9"/>
      <c r="S466" s="9"/>
      <c r="T466" s="9"/>
      <c r="U466" s="9"/>
      <c r="V466" s="9"/>
      <c r="W466" s="9"/>
      <c r="X466" s="9"/>
      <c r="Y466" s="9"/>
    </row>
    <row r="467" spans="2:25" x14ac:dyDescent="0.2">
      <c r="B467" s="7"/>
      <c r="C467" s="9"/>
      <c r="D467" s="9"/>
      <c r="E467" s="9"/>
      <c r="F467" s="9"/>
      <c r="G467" s="16"/>
      <c r="H467" s="9"/>
      <c r="I467" s="9"/>
      <c r="J467" s="9"/>
      <c r="K467" s="72"/>
      <c r="L467" s="9"/>
      <c r="M467" s="9"/>
      <c r="N467" s="9"/>
      <c r="O467" s="9"/>
      <c r="P467" s="9"/>
      <c r="Q467" s="9"/>
      <c r="R467" s="9"/>
      <c r="S467" s="9"/>
      <c r="T467" s="9"/>
      <c r="U467" s="9"/>
      <c r="V467" s="9"/>
      <c r="W467" s="9"/>
      <c r="X467" s="9"/>
      <c r="Y467" s="9"/>
    </row>
    <row r="468" spans="2:25" x14ac:dyDescent="0.2">
      <c r="B468" s="7"/>
      <c r="C468" s="9"/>
      <c r="D468" s="9"/>
      <c r="E468" s="9"/>
      <c r="F468" s="9"/>
      <c r="G468" s="16"/>
      <c r="H468" s="9"/>
      <c r="I468" s="9"/>
      <c r="J468" s="9"/>
      <c r="K468" s="72"/>
      <c r="L468" s="9"/>
      <c r="M468" s="9"/>
      <c r="N468" s="9"/>
      <c r="O468" s="9"/>
      <c r="P468" s="9"/>
      <c r="Q468" s="9"/>
      <c r="R468" s="9"/>
      <c r="S468" s="9"/>
      <c r="T468" s="9"/>
      <c r="U468" s="9"/>
      <c r="V468" s="9"/>
      <c r="W468" s="9"/>
      <c r="X468" s="9"/>
      <c r="Y468" s="9"/>
    </row>
    <row r="469" spans="2:25" x14ac:dyDescent="0.2">
      <c r="B469" s="7"/>
      <c r="C469" s="9"/>
      <c r="D469" s="9"/>
      <c r="E469" s="9"/>
      <c r="F469" s="9"/>
      <c r="G469" s="16"/>
      <c r="H469" s="9"/>
      <c r="I469" s="9"/>
      <c r="J469" s="9"/>
      <c r="K469" s="72"/>
      <c r="L469" s="9"/>
      <c r="M469" s="9"/>
      <c r="N469" s="9"/>
      <c r="O469" s="9"/>
      <c r="P469" s="9"/>
      <c r="Q469" s="9"/>
      <c r="R469" s="9"/>
      <c r="S469" s="9"/>
      <c r="T469" s="9"/>
      <c r="U469" s="9"/>
      <c r="V469" s="9"/>
      <c r="W469" s="9"/>
      <c r="X469" s="9"/>
      <c r="Y469" s="9"/>
    </row>
    <row r="470" spans="2:25" x14ac:dyDescent="0.2">
      <c r="B470" s="7"/>
      <c r="C470" s="9"/>
      <c r="D470" s="9"/>
      <c r="E470" s="9"/>
      <c r="F470" s="9"/>
      <c r="G470" s="16"/>
      <c r="H470" s="9"/>
      <c r="I470" s="9"/>
      <c r="J470" s="9"/>
      <c r="K470" s="72"/>
      <c r="L470" s="9"/>
      <c r="M470" s="9"/>
      <c r="N470" s="9"/>
      <c r="O470" s="9"/>
      <c r="P470" s="9"/>
      <c r="Q470" s="9"/>
      <c r="R470" s="9"/>
      <c r="S470" s="9"/>
      <c r="T470" s="9"/>
      <c r="U470" s="9"/>
      <c r="V470" s="9"/>
      <c r="W470" s="9"/>
      <c r="X470" s="9"/>
      <c r="Y470" s="9"/>
    </row>
    <row r="471" spans="2:25" x14ac:dyDescent="0.2">
      <c r="B471" s="7"/>
      <c r="C471" s="9"/>
      <c r="D471" s="9"/>
      <c r="E471" s="9"/>
      <c r="F471" s="9"/>
      <c r="G471" s="16"/>
      <c r="H471" s="9"/>
      <c r="I471" s="9"/>
      <c r="J471" s="9"/>
      <c r="K471" s="72"/>
      <c r="L471" s="9"/>
      <c r="M471" s="9"/>
      <c r="N471" s="9"/>
      <c r="O471" s="9"/>
      <c r="P471" s="9"/>
      <c r="Q471" s="9"/>
      <c r="R471" s="9"/>
      <c r="S471" s="9"/>
      <c r="T471" s="9"/>
      <c r="U471" s="9"/>
      <c r="V471" s="9"/>
      <c r="W471" s="9"/>
      <c r="X471" s="9"/>
      <c r="Y471" s="9"/>
    </row>
    <row r="472" spans="2:25" x14ac:dyDescent="0.2">
      <c r="B472" s="7"/>
      <c r="C472" s="9"/>
      <c r="D472" s="9"/>
      <c r="E472" s="9"/>
      <c r="F472" s="9"/>
      <c r="G472" s="16"/>
      <c r="H472" s="9"/>
      <c r="I472" s="9"/>
      <c r="J472" s="9"/>
      <c r="K472" s="72"/>
      <c r="L472" s="9"/>
      <c r="M472" s="9"/>
      <c r="N472" s="9"/>
      <c r="O472" s="9"/>
      <c r="P472" s="9"/>
      <c r="Q472" s="9"/>
      <c r="R472" s="9"/>
      <c r="S472" s="9"/>
      <c r="T472" s="9"/>
      <c r="U472" s="9"/>
      <c r="V472" s="9"/>
      <c r="W472" s="9"/>
      <c r="X472" s="9"/>
      <c r="Y472" s="9"/>
    </row>
    <row r="473" spans="2:25" x14ac:dyDescent="0.2">
      <c r="B473" s="7"/>
      <c r="C473" s="9"/>
      <c r="D473" s="9"/>
      <c r="E473" s="9"/>
      <c r="F473" s="9"/>
      <c r="G473" s="16"/>
      <c r="H473" s="9"/>
      <c r="I473" s="9"/>
      <c r="J473" s="9"/>
      <c r="K473" s="72"/>
      <c r="L473" s="9"/>
      <c r="M473" s="9"/>
      <c r="N473" s="9"/>
      <c r="O473" s="9"/>
      <c r="P473" s="9"/>
      <c r="Q473" s="9"/>
      <c r="R473" s="9"/>
      <c r="S473" s="9"/>
      <c r="T473" s="9"/>
      <c r="U473" s="9"/>
      <c r="V473" s="9"/>
      <c r="W473" s="9"/>
      <c r="X473" s="9"/>
      <c r="Y473" s="9"/>
    </row>
    <row r="474" spans="2:25" x14ac:dyDescent="0.2">
      <c r="B474" s="7"/>
      <c r="C474" s="9"/>
      <c r="D474" s="9"/>
      <c r="E474" s="9"/>
      <c r="F474" s="9"/>
      <c r="G474" s="16"/>
      <c r="H474" s="9"/>
      <c r="I474" s="9"/>
      <c r="J474" s="9"/>
      <c r="K474" s="72"/>
      <c r="L474" s="9"/>
      <c r="M474" s="9"/>
      <c r="N474" s="9"/>
      <c r="O474" s="9"/>
      <c r="P474" s="9"/>
      <c r="Q474" s="9"/>
      <c r="R474" s="9"/>
      <c r="S474" s="9"/>
      <c r="T474" s="9"/>
      <c r="U474" s="9"/>
      <c r="V474" s="9"/>
      <c r="W474" s="9"/>
      <c r="X474" s="9"/>
      <c r="Y474" s="9"/>
    </row>
    <row r="475" spans="2:25" x14ac:dyDescent="0.2">
      <c r="B475" s="7"/>
      <c r="C475" s="9"/>
      <c r="D475" s="9"/>
      <c r="E475" s="9"/>
      <c r="F475" s="9"/>
      <c r="G475" s="16"/>
      <c r="H475" s="9"/>
      <c r="I475" s="9"/>
      <c r="J475" s="9"/>
      <c r="K475" s="72"/>
      <c r="L475" s="9"/>
      <c r="M475" s="9"/>
      <c r="N475" s="9"/>
      <c r="O475" s="9"/>
      <c r="P475" s="9"/>
      <c r="Q475" s="9"/>
      <c r="R475" s="9"/>
      <c r="S475" s="9"/>
      <c r="T475" s="9"/>
      <c r="U475" s="9"/>
      <c r="V475" s="9"/>
      <c r="W475" s="9"/>
      <c r="X475" s="9"/>
      <c r="Y475" s="9"/>
    </row>
    <row r="476" spans="2:25" x14ac:dyDescent="0.2">
      <c r="B476" s="7"/>
      <c r="C476" s="9"/>
      <c r="D476" s="9"/>
      <c r="E476" s="9"/>
      <c r="F476" s="9"/>
      <c r="G476" s="16"/>
      <c r="H476" s="9"/>
      <c r="I476" s="9"/>
      <c r="J476" s="9"/>
      <c r="K476" s="72"/>
      <c r="L476" s="9"/>
      <c r="M476" s="9"/>
      <c r="N476" s="9"/>
      <c r="O476" s="9"/>
      <c r="P476" s="9"/>
      <c r="Q476" s="9"/>
      <c r="R476" s="9"/>
      <c r="S476" s="9"/>
      <c r="T476" s="9"/>
      <c r="U476" s="9"/>
      <c r="V476" s="9"/>
      <c r="W476" s="9"/>
      <c r="X476" s="9"/>
      <c r="Y476" s="9"/>
    </row>
    <row r="477" spans="2:25" x14ac:dyDescent="0.2">
      <c r="B477" s="7"/>
      <c r="C477" s="9"/>
      <c r="D477" s="9"/>
      <c r="E477" s="9"/>
      <c r="F477" s="9"/>
      <c r="G477" s="16"/>
      <c r="H477" s="9"/>
      <c r="I477" s="9"/>
      <c r="J477" s="9"/>
      <c r="K477" s="72"/>
      <c r="L477" s="9"/>
      <c r="M477" s="9"/>
      <c r="N477" s="9"/>
      <c r="O477" s="9"/>
      <c r="P477" s="9"/>
      <c r="Q477" s="9"/>
      <c r="R477" s="9"/>
      <c r="S477" s="9"/>
      <c r="T477" s="9"/>
      <c r="U477" s="9"/>
      <c r="V477" s="9"/>
      <c r="W477" s="9"/>
      <c r="X477" s="9"/>
      <c r="Y477" s="9"/>
    </row>
    <row r="478" spans="2:25" x14ac:dyDescent="0.2">
      <c r="B478" s="7"/>
      <c r="C478" s="9"/>
      <c r="D478" s="9"/>
      <c r="E478" s="9"/>
      <c r="F478" s="9"/>
      <c r="G478" s="16"/>
      <c r="H478" s="9"/>
      <c r="I478" s="9"/>
      <c r="J478" s="9"/>
      <c r="K478" s="72"/>
      <c r="L478" s="9"/>
      <c r="M478" s="9"/>
      <c r="N478" s="9"/>
      <c r="O478" s="9"/>
      <c r="P478" s="9"/>
      <c r="Q478" s="9"/>
      <c r="R478" s="9"/>
      <c r="S478" s="9"/>
      <c r="T478" s="9"/>
      <c r="U478" s="9"/>
      <c r="V478" s="9"/>
      <c r="W478" s="9"/>
      <c r="X478" s="9"/>
      <c r="Y478" s="9"/>
    </row>
    <row r="479" spans="2:25" x14ac:dyDescent="0.2">
      <c r="B479" s="7"/>
      <c r="C479" s="9"/>
      <c r="D479" s="9"/>
      <c r="E479" s="9"/>
      <c r="F479" s="9"/>
      <c r="G479" s="16"/>
      <c r="H479" s="9"/>
      <c r="I479" s="9"/>
      <c r="J479" s="9"/>
      <c r="K479" s="72"/>
      <c r="L479" s="9"/>
      <c r="M479" s="9"/>
      <c r="N479" s="9"/>
      <c r="O479" s="9"/>
      <c r="P479" s="9"/>
      <c r="Q479" s="9"/>
      <c r="R479" s="9"/>
      <c r="S479" s="9"/>
      <c r="T479" s="9"/>
      <c r="U479" s="9"/>
      <c r="V479" s="9"/>
      <c r="W479" s="9"/>
      <c r="X479" s="9"/>
      <c r="Y479" s="9"/>
    </row>
    <row r="480" spans="2:25" x14ac:dyDescent="0.2">
      <c r="B480" s="7"/>
      <c r="C480" s="9"/>
      <c r="D480" s="9"/>
      <c r="E480" s="9"/>
      <c r="F480" s="9"/>
      <c r="G480" s="16"/>
      <c r="H480" s="9"/>
      <c r="I480" s="9"/>
      <c r="J480" s="9"/>
      <c r="K480" s="72"/>
      <c r="L480" s="9"/>
      <c r="M480" s="9"/>
      <c r="N480" s="9"/>
      <c r="O480" s="9"/>
      <c r="P480" s="9"/>
      <c r="Q480" s="9"/>
      <c r="R480" s="9"/>
      <c r="S480" s="9"/>
      <c r="T480" s="9"/>
      <c r="U480" s="9"/>
      <c r="V480" s="9"/>
      <c r="W480" s="9"/>
      <c r="X480" s="9"/>
      <c r="Y480" s="9"/>
    </row>
    <row r="481" spans="2:25" x14ac:dyDescent="0.2">
      <c r="B481" s="7"/>
      <c r="C481" s="9"/>
      <c r="D481" s="9"/>
      <c r="E481" s="9"/>
      <c r="F481" s="9"/>
      <c r="G481" s="16"/>
      <c r="H481" s="9"/>
      <c r="I481" s="9"/>
      <c r="J481" s="9"/>
      <c r="K481" s="72"/>
      <c r="L481" s="9"/>
      <c r="M481" s="9"/>
      <c r="N481" s="9"/>
      <c r="O481" s="9"/>
      <c r="P481" s="9"/>
      <c r="Q481" s="9"/>
      <c r="R481" s="9"/>
      <c r="S481" s="9"/>
      <c r="T481" s="9"/>
      <c r="U481" s="9"/>
      <c r="V481" s="9"/>
      <c r="W481" s="9"/>
      <c r="X481" s="9"/>
      <c r="Y481" s="9"/>
    </row>
    <row r="482" spans="2:25" x14ac:dyDescent="0.2">
      <c r="B482" s="7"/>
      <c r="C482" s="9"/>
      <c r="D482" s="9"/>
      <c r="E482" s="9"/>
      <c r="F482" s="9"/>
      <c r="G482" s="16"/>
      <c r="H482" s="9"/>
      <c r="I482" s="9"/>
      <c r="J482" s="9"/>
      <c r="K482" s="72"/>
      <c r="L482" s="9"/>
      <c r="M482" s="9"/>
      <c r="N482" s="9"/>
      <c r="O482" s="9"/>
      <c r="P482" s="9"/>
      <c r="Q482" s="9"/>
      <c r="R482" s="9"/>
      <c r="S482" s="9"/>
      <c r="T482" s="9"/>
      <c r="U482" s="9"/>
      <c r="V482" s="9"/>
      <c r="W482" s="9"/>
      <c r="X482" s="9"/>
      <c r="Y482" s="9"/>
    </row>
    <row r="483" spans="2:25" x14ac:dyDescent="0.2">
      <c r="B483" s="7"/>
      <c r="C483" s="9"/>
      <c r="D483" s="9"/>
      <c r="E483" s="9"/>
      <c r="F483" s="9"/>
      <c r="G483" s="16"/>
      <c r="H483" s="9"/>
      <c r="I483" s="9"/>
      <c r="J483" s="9"/>
      <c r="K483" s="72"/>
      <c r="L483" s="9"/>
      <c r="M483" s="9"/>
      <c r="N483" s="9"/>
      <c r="O483" s="9"/>
      <c r="P483" s="9"/>
      <c r="Q483" s="9"/>
      <c r="R483" s="9"/>
      <c r="S483" s="9"/>
      <c r="T483" s="9"/>
      <c r="U483" s="9"/>
      <c r="V483" s="9"/>
      <c r="W483" s="9"/>
      <c r="X483" s="9"/>
      <c r="Y483" s="9"/>
    </row>
    <row r="484" spans="2:25" x14ac:dyDescent="0.2">
      <c r="B484" s="7"/>
      <c r="C484" s="9"/>
      <c r="D484" s="9"/>
      <c r="E484" s="9"/>
      <c r="F484" s="9"/>
      <c r="G484" s="16"/>
      <c r="H484" s="9"/>
      <c r="I484" s="9"/>
      <c r="J484" s="9"/>
      <c r="K484" s="72"/>
      <c r="L484" s="9"/>
      <c r="M484" s="9"/>
      <c r="N484" s="9"/>
      <c r="O484" s="9"/>
      <c r="P484" s="9"/>
      <c r="Q484" s="9"/>
      <c r="R484" s="9"/>
      <c r="S484" s="9"/>
      <c r="T484" s="9"/>
      <c r="U484" s="9"/>
      <c r="V484" s="9"/>
      <c r="W484" s="9"/>
      <c r="X484" s="9"/>
      <c r="Y484" s="9"/>
    </row>
    <row r="485" spans="2:25" x14ac:dyDescent="0.2">
      <c r="B485" s="7"/>
      <c r="C485" s="9"/>
      <c r="D485" s="9"/>
      <c r="E485" s="9"/>
      <c r="F485" s="9"/>
      <c r="G485" s="16"/>
      <c r="H485" s="9"/>
      <c r="I485" s="9"/>
      <c r="J485" s="9"/>
      <c r="K485" s="72"/>
      <c r="L485" s="9"/>
      <c r="M485" s="9"/>
      <c r="N485" s="9"/>
      <c r="O485" s="9"/>
      <c r="P485" s="9"/>
      <c r="Q485" s="9"/>
      <c r="R485" s="9"/>
      <c r="S485" s="9"/>
      <c r="T485" s="9"/>
      <c r="U485" s="9"/>
      <c r="V485" s="9"/>
      <c r="W485" s="9"/>
      <c r="X485" s="9"/>
      <c r="Y485" s="9"/>
    </row>
    <row r="486" spans="2:25" x14ac:dyDescent="0.2">
      <c r="B486" s="7"/>
      <c r="C486" s="9"/>
      <c r="D486" s="9"/>
      <c r="E486" s="9"/>
      <c r="F486" s="9"/>
      <c r="G486" s="16"/>
      <c r="H486" s="9"/>
      <c r="I486" s="9"/>
      <c r="J486" s="9"/>
      <c r="K486" s="72"/>
      <c r="L486" s="9"/>
      <c r="M486" s="9"/>
      <c r="N486" s="9"/>
      <c r="O486" s="9"/>
      <c r="P486" s="9"/>
      <c r="Q486" s="9"/>
      <c r="R486" s="9"/>
      <c r="S486" s="9"/>
      <c r="T486" s="9"/>
      <c r="U486" s="9"/>
      <c r="V486" s="9"/>
      <c r="W486" s="9"/>
      <c r="X486" s="9"/>
      <c r="Y486" s="9"/>
    </row>
    <row r="487" spans="2:25" x14ac:dyDescent="0.2">
      <c r="B487" s="7"/>
      <c r="C487" s="9"/>
      <c r="D487" s="9"/>
      <c r="E487" s="9"/>
      <c r="F487" s="9"/>
      <c r="G487" s="16"/>
      <c r="H487" s="9"/>
      <c r="I487" s="9"/>
      <c r="J487" s="9"/>
      <c r="K487" s="72"/>
      <c r="L487" s="9"/>
      <c r="M487" s="9"/>
      <c r="N487" s="9"/>
      <c r="O487" s="9"/>
      <c r="P487" s="9"/>
      <c r="Q487" s="9"/>
      <c r="R487" s="9"/>
      <c r="S487" s="9"/>
      <c r="T487" s="9"/>
      <c r="U487" s="9"/>
      <c r="V487" s="9"/>
      <c r="W487" s="9"/>
      <c r="X487" s="9"/>
      <c r="Y487" s="9"/>
    </row>
    <row r="488" spans="2:25" x14ac:dyDescent="0.2">
      <c r="B488" s="7"/>
      <c r="C488" s="9"/>
      <c r="D488" s="9"/>
      <c r="E488" s="9"/>
      <c r="F488" s="9"/>
      <c r="G488" s="16"/>
      <c r="H488" s="9"/>
      <c r="I488" s="9"/>
      <c r="J488" s="9"/>
      <c r="K488" s="72"/>
      <c r="L488" s="9"/>
      <c r="M488" s="9"/>
      <c r="N488" s="9"/>
      <c r="O488" s="9"/>
      <c r="P488" s="9"/>
      <c r="Q488" s="9"/>
      <c r="R488" s="9"/>
      <c r="S488" s="9"/>
      <c r="T488" s="9"/>
      <c r="U488" s="9"/>
      <c r="V488" s="9"/>
      <c r="W488" s="9"/>
      <c r="X488" s="9"/>
      <c r="Y488" s="9"/>
    </row>
    <row r="489" spans="2:25" x14ac:dyDescent="0.2">
      <c r="B489" s="7"/>
      <c r="C489" s="9"/>
      <c r="D489" s="9"/>
      <c r="E489" s="9"/>
      <c r="F489" s="9"/>
      <c r="G489" s="16"/>
      <c r="H489" s="9"/>
      <c r="I489" s="9"/>
      <c r="J489" s="9"/>
      <c r="K489" s="72"/>
      <c r="L489" s="9"/>
      <c r="M489" s="9"/>
      <c r="N489" s="9"/>
      <c r="O489" s="9"/>
      <c r="P489" s="9"/>
      <c r="Q489" s="9"/>
      <c r="R489" s="9"/>
      <c r="S489" s="9"/>
      <c r="T489" s="9"/>
      <c r="U489" s="9"/>
      <c r="V489" s="9"/>
      <c r="W489" s="9"/>
      <c r="X489" s="9"/>
      <c r="Y489" s="9"/>
    </row>
    <row r="490" spans="2:25" x14ac:dyDescent="0.2">
      <c r="B490" s="7"/>
      <c r="C490" s="9"/>
      <c r="D490" s="9"/>
      <c r="E490" s="9"/>
      <c r="F490" s="9"/>
      <c r="G490" s="16"/>
      <c r="H490" s="9"/>
      <c r="I490" s="9"/>
      <c r="J490" s="9"/>
      <c r="K490" s="72"/>
      <c r="L490" s="9"/>
      <c r="M490" s="9"/>
      <c r="N490" s="9"/>
      <c r="O490" s="9"/>
      <c r="P490" s="9"/>
      <c r="Q490" s="9"/>
      <c r="R490" s="9"/>
      <c r="S490" s="9"/>
      <c r="T490" s="9"/>
      <c r="U490" s="9"/>
      <c r="V490" s="9"/>
      <c r="W490" s="9"/>
      <c r="X490" s="9"/>
      <c r="Y490" s="9"/>
    </row>
    <row r="491" spans="2:25" x14ac:dyDescent="0.2">
      <c r="B491" s="7"/>
      <c r="C491" s="9"/>
      <c r="D491" s="9"/>
      <c r="E491" s="9"/>
      <c r="F491" s="9"/>
      <c r="G491" s="16"/>
      <c r="H491" s="9"/>
      <c r="I491" s="9"/>
      <c r="J491" s="9"/>
      <c r="K491" s="72"/>
      <c r="L491" s="9"/>
      <c r="M491" s="9"/>
      <c r="N491" s="9"/>
      <c r="O491" s="9"/>
      <c r="P491" s="9"/>
      <c r="Q491" s="9"/>
      <c r="R491" s="9"/>
      <c r="S491" s="9"/>
      <c r="T491" s="9"/>
      <c r="U491" s="9"/>
      <c r="V491" s="9"/>
      <c r="W491" s="9"/>
      <c r="X491" s="9"/>
      <c r="Y491" s="9"/>
    </row>
    <row r="492" spans="2:25" x14ac:dyDescent="0.2">
      <c r="B492" s="7"/>
      <c r="C492" s="9"/>
      <c r="D492" s="9"/>
      <c r="E492" s="9"/>
      <c r="F492" s="9"/>
      <c r="G492" s="16"/>
      <c r="H492" s="9"/>
      <c r="I492" s="9"/>
      <c r="J492" s="9"/>
      <c r="K492" s="72"/>
      <c r="L492" s="9"/>
      <c r="M492" s="9"/>
      <c r="N492" s="9"/>
      <c r="O492" s="9"/>
      <c r="P492" s="9"/>
      <c r="Q492" s="9"/>
      <c r="R492" s="9"/>
      <c r="S492" s="9"/>
      <c r="T492" s="9"/>
      <c r="U492" s="9"/>
      <c r="V492" s="9"/>
      <c r="W492" s="9"/>
      <c r="X492" s="9"/>
      <c r="Y492" s="9"/>
    </row>
    <row r="493" spans="2:25" x14ac:dyDescent="0.2">
      <c r="B493" s="7"/>
      <c r="C493" s="9"/>
      <c r="D493" s="9"/>
      <c r="E493" s="9"/>
      <c r="F493" s="9"/>
      <c r="G493" s="16"/>
      <c r="H493" s="9"/>
      <c r="I493" s="9"/>
      <c r="J493" s="9"/>
      <c r="K493" s="72"/>
      <c r="L493" s="9"/>
      <c r="M493" s="9"/>
      <c r="N493" s="9"/>
      <c r="O493" s="9"/>
      <c r="P493" s="9"/>
      <c r="Q493" s="9"/>
      <c r="R493" s="9"/>
      <c r="S493" s="9"/>
      <c r="T493" s="9"/>
      <c r="U493" s="9"/>
      <c r="V493" s="9"/>
      <c r="W493" s="9"/>
      <c r="X493" s="9"/>
      <c r="Y493" s="9"/>
    </row>
    <row r="494" spans="2:25" x14ac:dyDescent="0.2">
      <c r="B494" s="7"/>
      <c r="C494" s="9"/>
      <c r="D494" s="9"/>
      <c r="E494" s="9"/>
      <c r="F494" s="9"/>
      <c r="G494" s="16"/>
      <c r="H494" s="9"/>
      <c r="I494" s="9"/>
      <c r="J494" s="9"/>
      <c r="K494" s="72"/>
      <c r="L494" s="9"/>
      <c r="M494" s="9"/>
      <c r="N494" s="9"/>
      <c r="O494" s="9"/>
      <c r="P494" s="9"/>
      <c r="Q494" s="9"/>
      <c r="R494" s="9"/>
      <c r="S494" s="9"/>
      <c r="T494" s="9"/>
      <c r="U494" s="9"/>
      <c r="V494" s="9"/>
      <c r="W494" s="9"/>
      <c r="X494" s="9"/>
      <c r="Y494" s="9"/>
    </row>
    <row r="495" spans="2:25" x14ac:dyDescent="0.2">
      <c r="B495" s="7"/>
      <c r="C495" s="9"/>
      <c r="D495" s="9"/>
      <c r="E495" s="9"/>
      <c r="F495" s="9"/>
      <c r="G495" s="16"/>
      <c r="H495" s="9"/>
      <c r="I495" s="9"/>
      <c r="J495" s="9"/>
      <c r="K495" s="72"/>
      <c r="L495" s="9"/>
      <c r="M495" s="9"/>
      <c r="N495" s="9"/>
      <c r="O495" s="9"/>
      <c r="P495" s="9"/>
      <c r="Q495" s="9"/>
      <c r="R495" s="9"/>
      <c r="S495" s="9"/>
      <c r="T495" s="9"/>
      <c r="U495" s="9"/>
      <c r="V495" s="9"/>
      <c r="W495" s="9"/>
      <c r="X495" s="9"/>
      <c r="Y495" s="9"/>
    </row>
    <row r="496" spans="2:25" x14ac:dyDescent="0.2">
      <c r="B496" s="7"/>
      <c r="C496" s="9"/>
      <c r="D496" s="9"/>
      <c r="E496" s="9"/>
      <c r="F496" s="9"/>
      <c r="G496" s="16"/>
      <c r="H496" s="9"/>
      <c r="I496" s="9"/>
      <c r="J496" s="9"/>
      <c r="K496" s="72"/>
      <c r="L496" s="9"/>
      <c r="M496" s="9"/>
      <c r="N496" s="9"/>
      <c r="O496" s="9"/>
      <c r="P496" s="9"/>
      <c r="Q496" s="9"/>
      <c r="R496" s="9"/>
      <c r="S496" s="9"/>
      <c r="T496" s="9"/>
      <c r="U496" s="9"/>
      <c r="V496" s="9"/>
      <c r="W496" s="9"/>
      <c r="X496" s="9"/>
      <c r="Y496" s="9"/>
    </row>
    <row r="497" spans="2:25" x14ac:dyDescent="0.2">
      <c r="B497" s="7"/>
      <c r="C497" s="9"/>
      <c r="D497" s="9"/>
      <c r="E497" s="9"/>
      <c r="F497" s="9"/>
      <c r="G497" s="16"/>
      <c r="H497" s="9"/>
      <c r="I497" s="9"/>
      <c r="J497" s="9"/>
      <c r="K497" s="72"/>
      <c r="L497" s="9"/>
      <c r="M497" s="9"/>
      <c r="N497" s="9"/>
      <c r="O497" s="9"/>
      <c r="P497" s="9"/>
      <c r="Q497" s="9"/>
      <c r="R497" s="9"/>
      <c r="S497" s="9"/>
      <c r="T497" s="9"/>
      <c r="U497" s="9"/>
      <c r="V497" s="9"/>
      <c r="W497" s="9"/>
      <c r="X497" s="9"/>
      <c r="Y497" s="9"/>
    </row>
    <row r="498" spans="2:25" x14ac:dyDescent="0.2">
      <c r="B498" s="7"/>
      <c r="C498" s="9"/>
      <c r="D498" s="9"/>
      <c r="E498" s="9"/>
      <c r="F498" s="9"/>
      <c r="G498" s="16"/>
      <c r="H498" s="9"/>
      <c r="I498" s="9"/>
      <c r="J498" s="9"/>
      <c r="K498" s="72"/>
      <c r="L498" s="9"/>
      <c r="M498" s="9"/>
      <c r="N498" s="9"/>
      <c r="O498" s="9"/>
      <c r="P498" s="9"/>
      <c r="Q498" s="9"/>
      <c r="R498" s="9"/>
      <c r="S498" s="9"/>
      <c r="T498" s="9"/>
      <c r="U498" s="9"/>
      <c r="V498" s="9"/>
      <c r="W498" s="9"/>
      <c r="X498" s="9"/>
      <c r="Y498" s="9"/>
    </row>
    <row r="499" spans="2:25" x14ac:dyDescent="0.2">
      <c r="B499" s="7"/>
      <c r="C499" s="9"/>
      <c r="D499" s="9"/>
      <c r="E499" s="9"/>
      <c r="F499" s="9"/>
      <c r="G499" s="16"/>
      <c r="H499" s="9"/>
      <c r="I499" s="9"/>
      <c r="J499" s="9"/>
      <c r="K499" s="72"/>
      <c r="L499" s="9"/>
      <c r="M499" s="9"/>
      <c r="N499" s="9"/>
      <c r="O499" s="9"/>
      <c r="P499" s="9"/>
      <c r="Q499" s="9"/>
      <c r="R499" s="9"/>
      <c r="S499" s="9"/>
      <c r="T499" s="9"/>
      <c r="U499" s="9"/>
      <c r="V499" s="9"/>
      <c r="W499" s="9"/>
      <c r="X499" s="9"/>
      <c r="Y499" s="9"/>
    </row>
    <row r="500" spans="2:25" x14ac:dyDescent="0.2">
      <c r="B500" s="7"/>
      <c r="C500" s="9"/>
      <c r="D500" s="9"/>
      <c r="E500" s="9"/>
      <c r="F500" s="9"/>
      <c r="G500" s="16"/>
      <c r="H500" s="9"/>
      <c r="I500" s="9"/>
      <c r="J500" s="9"/>
      <c r="K500" s="72"/>
      <c r="L500" s="9"/>
      <c r="M500" s="9"/>
      <c r="N500" s="9"/>
      <c r="O500" s="9"/>
      <c r="P500" s="9"/>
      <c r="Q500" s="9"/>
      <c r="R500" s="9"/>
      <c r="S500" s="9"/>
      <c r="T500" s="9"/>
      <c r="U500" s="9"/>
      <c r="V500" s="9"/>
      <c r="W500" s="9"/>
      <c r="X500" s="9"/>
      <c r="Y500" s="9"/>
    </row>
    <row r="501" spans="2:25" x14ac:dyDescent="0.2">
      <c r="B501" s="7"/>
      <c r="C501" s="9"/>
      <c r="D501" s="9"/>
      <c r="E501" s="9"/>
      <c r="F501" s="9"/>
      <c r="G501" s="16"/>
      <c r="H501" s="9"/>
      <c r="I501" s="9"/>
      <c r="J501" s="9"/>
      <c r="K501" s="72"/>
      <c r="L501" s="9"/>
      <c r="M501" s="9"/>
      <c r="N501" s="9"/>
      <c r="O501" s="9"/>
      <c r="P501" s="9"/>
      <c r="Q501" s="9"/>
      <c r="R501" s="9"/>
      <c r="S501" s="9"/>
      <c r="T501" s="9"/>
      <c r="U501" s="9"/>
      <c r="V501" s="9"/>
      <c r="W501" s="9"/>
      <c r="X501" s="9"/>
      <c r="Y501" s="9"/>
    </row>
    <row r="502" spans="2:25" x14ac:dyDescent="0.2">
      <c r="B502" s="7"/>
      <c r="C502" s="9"/>
      <c r="D502" s="9"/>
      <c r="E502" s="9"/>
      <c r="F502" s="9"/>
      <c r="G502" s="16"/>
      <c r="H502" s="9"/>
      <c r="I502" s="9"/>
      <c r="J502" s="9"/>
      <c r="K502" s="72"/>
      <c r="L502" s="9"/>
      <c r="M502" s="9"/>
      <c r="N502" s="9"/>
      <c r="O502" s="9"/>
      <c r="P502" s="9"/>
      <c r="Q502" s="9"/>
      <c r="R502" s="9"/>
      <c r="S502" s="9"/>
      <c r="T502" s="9"/>
      <c r="U502" s="9"/>
      <c r="V502" s="9"/>
      <c r="W502" s="9"/>
      <c r="X502" s="9"/>
      <c r="Y502" s="9"/>
    </row>
    <row r="503" spans="2:25" x14ac:dyDescent="0.2">
      <c r="B503" s="7"/>
      <c r="C503" s="9"/>
      <c r="D503" s="9"/>
      <c r="E503" s="9"/>
      <c r="F503" s="9"/>
      <c r="G503" s="16"/>
      <c r="H503" s="9"/>
      <c r="I503" s="9"/>
      <c r="J503" s="9"/>
      <c r="K503" s="72"/>
      <c r="L503" s="9"/>
      <c r="M503" s="9"/>
      <c r="N503" s="9"/>
      <c r="O503" s="9"/>
      <c r="P503" s="9"/>
      <c r="Q503" s="9"/>
      <c r="R503" s="9"/>
      <c r="S503" s="9"/>
      <c r="T503" s="9"/>
      <c r="U503" s="9"/>
      <c r="V503" s="9"/>
      <c r="W503" s="9"/>
      <c r="X503" s="9"/>
      <c r="Y503" s="9"/>
    </row>
    <row r="504" spans="2:25" x14ac:dyDescent="0.2">
      <c r="B504" s="7"/>
      <c r="C504" s="9"/>
      <c r="D504" s="9"/>
      <c r="E504" s="9"/>
      <c r="F504" s="9"/>
      <c r="G504" s="16"/>
      <c r="H504" s="9"/>
      <c r="I504" s="9"/>
      <c r="J504" s="9"/>
      <c r="K504" s="72"/>
      <c r="L504" s="9"/>
      <c r="M504" s="9"/>
      <c r="N504" s="9"/>
      <c r="O504" s="9"/>
      <c r="P504" s="9"/>
      <c r="Q504" s="9"/>
      <c r="R504" s="9"/>
      <c r="S504" s="9"/>
      <c r="T504" s="9"/>
      <c r="U504" s="9"/>
      <c r="V504" s="9"/>
      <c r="W504" s="9"/>
      <c r="X504" s="9"/>
      <c r="Y504" s="9"/>
    </row>
    <row r="505" spans="2:25" x14ac:dyDescent="0.2">
      <c r="B505" s="7"/>
      <c r="C505" s="9"/>
      <c r="D505" s="9"/>
      <c r="E505" s="9"/>
      <c r="F505" s="9"/>
      <c r="G505" s="16"/>
      <c r="H505" s="9"/>
      <c r="I505" s="9"/>
      <c r="J505" s="9"/>
      <c r="K505" s="72"/>
      <c r="L505" s="9"/>
      <c r="M505" s="9"/>
      <c r="N505" s="9"/>
      <c r="O505" s="9"/>
      <c r="P505" s="9"/>
      <c r="Q505" s="9"/>
      <c r="R505" s="9"/>
      <c r="S505" s="9"/>
      <c r="T505" s="9"/>
      <c r="U505" s="9"/>
      <c r="V505" s="9"/>
      <c r="W505" s="9"/>
      <c r="X505" s="9"/>
      <c r="Y505" s="9"/>
    </row>
    <row r="506" spans="2:25" x14ac:dyDescent="0.2">
      <c r="B506" s="7"/>
      <c r="C506" s="9"/>
      <c r="D506" s="9"/>
      <c r="E506" s="9"/>
      <c r="F506" s="9"/>
      <c r="G506" s="16"/>
      <c r="H506" s="9"/>
      <c r="I506" s="9"/>
      <c r="J506" s="9"/>
      <c r="K506" s="72"/>
      <c r="L506" s="9"/>
      <c r="M506" s="9"/>
      <c r="N506" s="9"/>
      <c r="O506" s="9"/>
      <c r="P506" s="9"/>
      <c r="Q506" s="9"/>
      <c r="R506" s="9"/>
      <c r="S506" s="9"/>
      <c r="T506" s="9"/>
      <c r="U506" s="9"/>
      <c r="V506" s="9"/>
      <c r="W506" s="9"/>
      <c r="X506" s="9"/>
      <c r="Y506" s="9"/>
    </row>
    <row r="507" spans="2:25" x14ac:dyDescent="0.2">
      <c r="B507" s="7"/>
      <c r="C507" s="9"/>
      <c r="D507" s="9"/>
      <c r="E507" s="9"/>
      <c r="F507" s="9"/>
      <c r="G507" s="16"/>
      <c r="H507" s="9"/>
      <c r="I507" s="9"/>
      <c r="J507" s="9"/>
      <c r="K507" s="72"/>
      <c r="L507" s="9"/>
      <c r="M507" s="9"/>
      <c r="N507" s="9"/>
      <c r="O507" s="9"/>
      <c r="P507" s="9"/>
      <c r="Q507" s="9"/>
      <c r="R507" s="9"/>
      <c r="S507" s="9"/>
      <c r="T507" s="9"/>
      <c r="U507" s="9"/>
      <c r="V507" s="9"/>
      <c r="W507" s="9"/>
      <c r="X507" s="9"/>
      <c r="Y507" s="9"/>
    </row>
    <row r="508" spans="2:25" x14ac:dyDescent="0.2">
      <c r="B508" s="7"/>
      <c r="C508" s="9"/>
      <c r="D508" s="9"/>
      <c r="E508" s="9"/>
      <c r="F508" s="9"/>
      <c r="G508" s="16"/>
      <c r="H508" s="9"/>
      <c r="I508" s="9"/>
      <c r="J508" s="9"/>
      <c r="K508" s="72"/>
      <c r="L508" s="9"/>
      <c r="M508" s="9"/>
      <c r="N508" s="9"/>
      <c r="O508" s="9"/>
      <c r="P508" s="9"/>
      <c r="Q508" s="9"/>
      <c r="R508" s="9"/>
      <c r="S508" s="9"/>
      <c r="T508" s="9"/>
      <c r="U508" s="9"/>
      <c r="V508" s="9"/>
      <c r="W508" s="9"/>
      <c r="X508" s="9"/>
      <c r="Y508" s="9"/>
    </row>
    <row r="509" spans="2:25" x14ac:dyDescent="0.2">
      <c r="B509" s="7"/>
      <c r="C509" s="9"/>
      <c r="D509" s="9"/>
      <c r="E509" s="9"/>
      <c r="F509" s="9"/>
      <c r="G509" s="16"/>
      <c r="H509" s="9"/>
      <c r="I509" s="9"/>
      <c r="J509" s="9"/>
      <c r="K509" s="72"/>
      <c r="L509" s="9"/>
      <c r="M509" s="9"/>
      <c r="N509" s="9"/>
      <c r="O509" s="9"/>
      <c r="P509" s="9"/>
      <c r="Q509" s="9"/>
      <c r="R509" s="9"/>
      <c r="S509" s="9"/>
      <c r="T509" s="9"/>
      <c r="U509" s="9"/>
      <c r="V509" s="9"/>
      <c r="W509" s="9"/>
      <c r="X509" s="9"/>
      <c r="Y509" s="9"/>
    </row>
    <row r="510" spans="2:25" x14ac:dyDescent="0.2">
      <c r="B510" s="7"/>
      <c r="C510" s="9"/>
      <c r="D510" s="9"/>
      <c r="E510" s="9"/>
      <c r="F510" s="9"/>
      <c r="G510" s="16"/>
      <c r="H510" s="9"/>
      <c r="I510" s="9"/>
      <c r="J510" s="9"/>
      <c r="K510" s="72"/>
      <c r="L510" s="9"/>
      <c r="M510" s="9"/>
      <c r="N510" s="9"/>
      <c r="O510" s="9"/>
      <c r="P510" s="9"/>
      <c r="Q510" s="9"/>
      <c r="R510" s="9"/>
      <c r="S510" s="9"/>
      <c r="T510" s="9"/>
      <c r="U510" s="9"/>
      <c r="V510" s="9"/>
      <c r="W510" s="9"/>
      <c r="X510" s="9"/>
      <c r="Y510" s="9"/>
    </row>
    <row r="511" spans="2:25" x14ac:dyDescent="0.2">
      <c r="B511" s="7"/>
      <c r="C511" s="9"/>
      <c r="D511" s="9"/>
      <c r="E511" s="9"/>
      <c r="F511" s="9"/>
      <c r="G511" s="16"/>
      <c r="H511" s="9"/>
      <c r="I511" s="9"/>
      <c r="J511" s="9"/>
      <c r="K511" s="72"/>
      <c r="L511" s="9"/>
      <c r="M511" s="9"/>
      <c r="N511" s="9"/>
      <c r="O511" s="9"/>
      <c r="P511" s="9"/>
      <c r="Q511" s="9"/>
      <c r="R511" s="9"/>
      <c r="S511" s="9"/>
      <c r="T511" s="9"/>
      <c r="U511" s="9"/>
      <c r="V511" s="9"/>
      <c r="W511" s="9"/>
      <c r="X511" s="9"/>
      <c r="Y511" s="9"/>
    </row>
    <row r="512" spans="2:25" x14ac:dyDescent="0.2">
      <c r="B512" s="7"/>
      <c r="C512" s="9"/>
      <c r="D512" s="9"/>
      <c r="E512" s="9"/>
      <c r="F512" s="9"/>
      <c r="G512" s="16"/>
      <c r="H512" s="9"/>
      <c r="I512" s="9"/>
      <c r="J512" s="9"/>
      <c r="K512" s="72"/>
      <c r="L512" s="9"/>
      <c r="M512" s="9"/>
      <c r="N512" s="9"/>
      <c r="O512" s="9"/>
      <c r="P512" s="9"/>
      <c r="Q512" s="9"/>
      <c r="R512" s="9"/>
      <c r="S512" s="9"/>
      <c r="T512" s="9"/>
      <c r="U512" s="9"/>
      <c r="V512" s="9"/>
      <c r="W512" s="9"/>
      <c r="X512" s="9"/>
      <c r="Y512" s="9"/>
    </row>
    <row r="513" spans="2:25" x14ac:dyDescent="0.2">
      <c r="B513" s="7"/>
      <c r="C513" s="9"/>
      <c r="D513" s="9"/>
      <c r="E513" s="9"/>
      <c r="F513" s="9"/>
      <c r="G513" s="16"/>
      <c r="H513" s="9"/>
      <c r="I513" s="9"/>
      <c r="J513" s="9"/>
      <c r="K513" s="72"/>
      <c r="L513" s="9"/>
      <c r="M513" s="9"/>
      <c r="N513" s="9"/>
      <c r="O513" s="9"/>
      <c r="P513" s="9"/>
      <c r="Q513" s="9"/>
      <c r="R513" s="9"/>
      <c r="S513" s="9"/>
      <c r="T513" s="9"/>
      <c r="U513" s="9"/>
      <c r="V513" s="9"/>
      <c r="W513" s="9"/>
      <c r="X513" s="9"/>
      <c r="Y513" s="9"/>
    </row>
    <row r="514" spans="2:25" x14ac:dyDescent="0.2">
      <c r="B514" s="7"/>
      <c r="C514" s="9"/>
      <c r="D514" s="9"/>
      <c r="E514" s="9"/>
      <c r="F514" s="9"/>
      <c r="G514" s="16"/>
      <c r="H514" s="9"/>
      <c r="I514" s="9"/>
      <c r="J514" s="9"/>
      <c r="K514" s="72"/>
      <c r="L514" s="9"/>
      <c r="M514" s="9"/>
      <c r="N514" s="9"/>
      <c r="O514" s="9"/>
      <c r="P514" s="9"/>
      <c r="Q514" s="9"/>
      <c r="R514" s="9"/>
      <c r="S514" s="9"/>
      <c r="T514" s="9"/>
      <c r="U514" s="9"/>
      <c r="V514" s="9"/>
      <c r="W514" s="9"/>
      <c r="X514" s="9"/>
      <c r="Y514" s="9"/>
    </row>
    <row r="515" spans="2:25" x14ac:dyDescent="0.2">
      <c r="B515" s="7"/>
      <c r="C515" s="9"/>
      <c r="D515" s="9"/>
      <c r="E515" s="9"/>
      <c r="F515" s="9"/>
      <c r="G515" s="16"/>
      <c r="H515" s="9"/>
      <c r="I515" s="9"/>
      <c r="J515" s="9"/>
      <c r="K515" s="72"/>
      <c r="L515" s="9"/>
      <c r="M515" s="9"/>
      <c r="N515" s="9"/>
      <c r="O515" s="9"/>
      <c r="P515" s="9"/>
      <c r="Q515" s="9"/>
      <c r="R515" s="9"/>
      <c r="S515" s="9"/>
      <c r="T515" s="9"/>
      <c r="U515" s="9"/>
      <c r="V515" s="9"/>
      <c r="W515" s="9"/>
      <c r="X515" s="9"/>
      <c r="Y515" s="9"/>
    </row>
    <row r="516" spans="2:25" x14ac:dyDescent="0.2">
      <c r="B516" s="7"/>
      <c r="C516" s="9"/>
      <c r="D516" s="9"/>
      <c r="E516" s="9"/>
      <c r="F516" s="9"/>
      <c r="G516" s="16"/>
      <c r="H516" s="9"/>
      <c r="I516" s="9"/>
      <c r="J516" s="9"/>
      <c r="K516" s="72"/>
      <c r="L516" s="9"/>
      <c r="M516" s="9"/>
      <c r="N516" s="9"/>
      <c r="O516" s="9"/>
      <c r="P516" s="9"/>
      <c r="Q516" s="9"/>
      <c r="R516" s="9"/>
      <c r="S516" s="9"/>
      <c r="T516" s="9"/>
      <c r="U516" s="9"/>
      <c r="V516" s="9"/>
      <c r="W516" s="9"/>
      <c r="X516" s="9"/>
      <c r="Y516" s="9"/>
    </row>
    <row r="517" spans="2:25" x14ac:dyDescent="0.2">
      <c r="B517" s="7"/>
      <c r="C517" s="9"/>
      <c r="D517" s="9"/>
      <c r="E517" s="9"/>
      <c r="F517" s="9"/>
      <c r="G517" s="16"/>
      <c r="H517" s="9"/>
      <c r="I517" s="9"/>
      <c r="J517" s="9"/>
      <c r="K517" s="72"/>
      <c r="L517" s="9"/>
      <c r="M517" s="9"/>
      <c r="N517" s="9"/>
      <c r="O517" s="9"/>
      <c r="P517" s="9"/>
      <c r="Q517" s="9"/>
      <c r="R517" s="9"/>
      <c r="S517" s="9"/>
      <c r="T517" s="9"/>
      <c r="U517" s="9"/>
      <c r="V517" s="9"/>
      <c r="W517" s="9"/>
      <c r="X517" s="9"/>
      <c r="Y517" s="9"/>
    </row>
    <row r="518" spans="2:25" x14ac:dyDescent="0.2">
      <c r="B518" s="7"/>
      <c r="C518" s="9"/>
      <c r="D518" s="9"/>
      <c r="E518" s="9"/>
      <c r="F518" s="9"/>
      <c r="G518" s="16"/>
      <c r="H518" s="9"/>
      <c r="I518" s="9"/>
      <c r="J518" s="9"/>
      <c r="K518" s="72"/>
      <c r="L518" s="9"/>
      <c r="M518" s="9"/>
      <c r="N518" s="9"/>
      <c r="O518" s="9"/>
      <c r="P518" s="9"/>
      <c r="Q518" s="9"/>
      <c r="R518" s="9"/>
      <c r="S518" s="9"/>
      <c r="T518" s="9"/>
      <c r="U518" s="9"/>
      <c r="V518" s="9"/>
      <c r="W518" s="9"/>
      <c r="X518" s="9"/>
      <c r="Y518" s="9"/>
    </row>
    <row r="519" spans="2:25" x14ac:dyDescent="0.2">
      <c r="B519" s="7"/>
      <c r="C519" s="9"/>
      <c r="D519" s="9"/>
      <c r="E519" s="9"/>
      <c r="F519" s="9"/>
      <c r="G519" s="16"/>
      <c r="H519" s="9"/>
      <c r="I519" s="9"/>
      <c r="J519" s="9"/>
      <c r="K519" s="72"/>
      <c r="L519" s="9"/>
      <c r="M519" s="9"/>
      <c r="N519" s="9"/>
      <c r="O519" s="9"/>
      <c r="P519" s="9"/>
      <c r="Q519" s="9"/>
      <c r="R519" s="9"/>
      <c r="S519" s="9"/>
      <c r="T519" s="9"/>
      <c r="U519" s="9"/>
      <c r="V519" s="9"/>
      <c r="W519" s="9"/>
      <c r="X519" s="9"/>
      <c r="Y519" s="9"/>
    </row>
    <row r="520" spans="2:25" x14ac:dyDescent="0.2">
      <c r="B520" s="7"/>
      <c r="C520" s="9"/>
      <c r="D520" s="9"/>
      <c r="E520" s="9"/>
      <c r="F520" s="9"/>
      <c r="G520" s="16"/>
      <c r="H520" s="9"/>
      <c r="I520" s="9"/>
      <c r="J520" s="9"/>
      <c r="K520" s="72"/>
      <c r="L520" s="9"/>
      <c r="M520" s="9"/>
      <c r="N520" s="9"/>
      <c r="O520" s="9"/>
      <c r="P520" s="9"/>
      <c r="Q520" s="9"/>
      <c r="R520" s="9"/>
      <c r="S520" s="9"/>
      <c r="T520" s="9"/>
      <c r="U520" s="9"/>
      <c r="V520" s="9"/>
      <c r="W520" s="9"/>
      <c r="X520" s="9"/>
      <c r="Y520" s="9"/>
    </row>
    <row r="521" spans="2:25" x14ac:dyDescent="0.2">
      <c r="B521" s="7"/>
      <c r="C521" s="9"/>
      <c r="D521" s="9"/>
      <c r="E521" s="9"/>
      <c r="F521" s="9"/>
      <c r="G521" s="16"/>
      <c r="H521" s="9"/>
      <c r="I521" s="9"/>
      <c r="J521" s="9"/>
      <c r="K521" s="72"/>
      <c r="L521" s="9"/>
      <c r="M521" s="9"/>
      <c r="N521" s="9"/>
      <c r="O521" s="9"/>
      <c r="P521" s="9"/>
      <c r="Q521" s="9"/>
      <c r="R521" s="9"/>
      <c r="S521" s="9"/>
      <c r="T521" s="9"/>
      <c r="U521" s="9"/>
      <c r="V521" s="9"/>
      <c r="W521" s="9"/>
      <c r="X521" s="9"/>
      <c r="Y521" s="9"/>
    </row>
    <row r="522" spans="2:25" x14ac:dyDescent="0.2">
      <c r="B522" s="7"/>
      <c r="C522" s="9"/>
      <c r="D522" s="9"/>
      <c r="E522" s="9"/>
      <c r="F522" s="9"/>
      <c r="G522" s="16"/>
      <c r="H522" s="9"/>
      <c r="I522" s="9"/>
      <c r="J522" s="9"/>
      <c r="K522" s="72"/>
      <c r="L522" s="9"/>
      <c r="M522" s="9"/>
      <c r="N522" s="9"/>
      <c r="O522" s="9"/>
      <c r="P522" s="9"/>
      <c r="Q522" s="9"/>
      <c r="R522" s="9"/>
      <c r="S522" s="9"/>
      <c r="T522" s="9"/>
      <c r="U522" s="9"/>
      <c r="V522" s="9"/>
      <c r="W522" s="9"/>
      <c r="X522" s="9"/>
      <c r="Y522" s="9"/>
    </row>
    <row r="523" spans="2:25" x14ac:dyDescent="0.2">
      <c r="B523" s="7"/>
      <c r="C523" s="9"/>
      <c r="D523" s="9"/>
      <c r="E523" s="9"/>
      <c r="F523" s="9"/>
      <c r="G523" s="16"/>
      <c r="H523" s="9"/>
      <c r="I523" s="9"/>
      <c r="J523" s="9"/>
      <c r="K523" s="72"/>
      <c r="L523" s="9"/>
      <c r="M523" s="9"/>
      <c r="N523" s="9"/>
      <c r="O523" s="9"/>
      <c r="P523" s="9"/>
      <c r="Q523" s="9"/>
      <c r="R523" s="9"/>
      <c r="S523" s="9"/>
      <c r="T523" s="9"/>
      <c r="U523" s="9"/>
      <c r="V523" s="9"/>
      <c r="W523" s="9"/>
      <c r="X523" s="9"/>
      <c r="Y523" s="9"/>
    </row>
    <row r="524" spans="2:25" x14ac:dyDescent="0.2">
      <c r="B524" s="7"/>
      <c r="C524" s="9"/>
      <c r="D524" s="9"/>
      <c r="E524" s="9"/>
      <c r="F524" s="9"/>
      <c r="G524" s="16"/>
      <c r="H524" s="9"/>
      <c r="I524" s="9"/>
      <c r="J524" s="9"/>
      <c r="K524" s="72"/>
      <c r="L524" s="9"/>
      <c r="M524" s="9"/>
      <c r="N524" s="9"/>
      <c r="O524" s="9"/>
      <c r="P524" s="9"/>
      <c r="Q524" s="9"/>
      <c r="R524" s="9"/>
      <c r="S524" s="9"/>
      <c r="T524" s="9"/>
      <c r="U524" s="9"/>
      <c r="V524" s="9"/>
      <c r="W524" s="9"/>
      <c r="X524" s="9"/>
      <c r="Y524" s="9"/>
    </row>
    <row r="525" spans="2:25" x14ac:dyDescent="0.2">
      <c r="B525" s="7"/>
      <c r="C525" s="9"/>
      <c r="D525" s="9"/>
      <c r="E525" s="9"/>
      <c r="F525" s="9"/>
      <c r="G525" s="16"/>
      <c r="H525" s="9"/>
      <c r="I525" s="9"/>
      <c r="J525" s="9"/>
      <c r="K525" s="72"/>
      <c r="L525" s="9"/>
      <c r="M525" s="9"/>
      <c r="N525" s="9"/>
      <c r="O525" s="9"/>
      <c r="P525" s="9"/>
      <c r="Q525" s="9"/>
      <c r="R525" s="9"/>
      <c r="S525" s="9"/>
      <c r="T525" s="9"/>
      <c r="U525" s="9"/>
      <c r="V525" s="9"/>
      <c r="W525" s="9"/>
      <c r="X525" s="9"/>
      <c r="Y525" s="9"/>
    </row>
    <row r="526" spans="2:25" x14ac:dyDescent="0.2">
      <c r="B526" s="7"/>
      <c r="C526" s="9"/>
      <c r="D526" s="9"/>
      <c r="E526" s="9"/>
      <c r="F526" s="9"/>
      <c r="G526" s="16"/>
      <c r="H526" s="9"/>
      <c r="I526" s="9"/>
      <c r="J526" s="9"/>
      <c r="K526" s="72"/>
      <c r="L526" s="9"/>
      <c r="M526" s="9"/>
      <c r="N526" s="9"/>
      <c r="O526" s="9"/>
      <c r="P526" s="9"/>
      <c r="Q526" s="9"/>
      <c r="R526" s="9"/>
      <c r="S526" s="9"/>
      <c r="T526" s="9"/>
      <c r="U526" s="9"/>
      <c r="V526" s="9"/>
      <c r="W526" s="9"/>
      <c r="X526" s="9"/>
      <c r="Y526" s="9"/>
    </row>
    <row r="527" spans="2:25" x14ac:dyDescent="0.2">
      <c r="B527" s="7"/>
      <c r="C527" s="9"/>
      <c r="D527" s="9"/>
      <c r="E527" s="9"/>
      <c r="F527" s="9"/>
      <c r="G527" s="16"/>
      <c r="H527" s="9"/>
      <c r="I527" s="9"/>
      <c r="J527" s="9"/>
      <c r="K527" s="72"/>
      <c r="L527" s="9"/>
      <c r="M527" s="9"/>
      <c r="N527" s="9"/>
      <c r="O527" s="9"/>
      <c r="P527" s="9"/>
      <c r="Q527" s="9"/>
      <c r="R527" s="9"/>
      <c r="S527" s="9"/>
      <c r="T527" s="9"/>
      <c r="U527" s="9"/>
      <c r="V527" s="9"/>
      <c r="W527" s="9"/>
      <c r="X527" s="9"/>
      <c r="Y527" s="9"/>
    </row>
    <row r="528" spans="2:25" x14ac:dyDescent="0.2">
      <c r="B528" s="7"/>
      <c r="C528" s="9"/>
      <c r="D528" s="9"/>
      <c r="E528" s="9"/>
      <c r="F528" s="9"/>
      <c r="G528" s="16"/>
      <c r="H528" s="9"/>
      <c r="I528" s="9"/>
      <c r="J528" s="9"/>
      <c r="K528" s="72"/>
      <c r="L528" s="9"/>
      <c r="M528" s="9"/>
      <c r="N528" s="9"/>
      <c r="O528" s="9"/>
      <c r="P528" s="9"/>
      <c r="Q528" s="9"/>
      <c r="R528" s="9"/>
      <c r="S528" s="9"/>
      <c r="T528" s="9"/>
      <c r="U528" s="9"/>
      <c r="V528" s="9"/>
      <c r="W528" s="9"/>
      <c r="X528" s="9"/>
      <c r="Y528" s="9"/>
    </row>
    <row r="529" spans="2:25" x14ac:dyDescent="0.2">
      <c r="B529" s="7"/>
      <c r="C529" s="9"/>
      <c r="D529" s="9"/>
      <c r="E529" s="9"/>
      <c r="F529" s="9"/>
      <c r="G529" s="16"/>
      <c r="H529" s="9"/>
      <c r="I529" s="9"/>
      <c r="J529" s="9"/>
      <c r="K529" s="72"/>
      <c r="L529" s="9"/>
      <c r="M529" s="9"/>
      <c r="N529" s="9"/>
      <c r="O529" s="9"/>
      <c r="P529" s="9"/>
      <c r="Q529" s="9"/>
      <c r="R529" s="9"/>
      <c r="S529" s="9"/>
      <c r="T529" s="9"/>
      <c r="U529" s="9"/>
      <c r="V529" s="9"/>
      <c r="W529" s="9"/>
      <c r="X529" s="9"/>
      <c r="Y529" s="9"/>
    </row>
    <row r="530" spans="2:25" x14ac:dyDescent="0.2">
      <c r="B530" s="7"/>
      <c r="C530" s="9"/>
      <c r="D530" s="9"/>
      <c r="E530" s="9"/>
      <c r="F530" s="9"/>
      <c r="G530" s="16"/>
      <c r="H530" s="9"/>
      <c r="I530" s="9"/>
      <c r="J530" s="9"/>
      <c r="K530" s="72"/>
      <c r="L530" s="9"/>
      <c r="M530" s="9"/>
      <c r="N530" s="9"/>
      <c r="O530" s="9"/>
      <c r="P530" s="9"/>
      <c r="Q530" s="9"/>
      <c r="R530" s="9"/>
      <c r="S530" s="9"/>
      <c r="T530" s="9"/>
      <c r="U530" s="9"/>
      <c r="V530" s="9"/>
      <c r="W530" s="9"/>
      <c r="X530" s="9"/>
      <c r="Y530" s="9"/>
    </row>
    <row r="531" spans="2:25" x14ac:dyDescent="0.2">
      <c r="B531" s="7"/>
      <c r="C531" s="9"/>
      <c r="D531" s="9"/>
      <c r="E531" s="9"/>
      <c r="F531" s="9"/>
      <c r="G531" s="16"/>
      <c r="H531" s="9"/>
      <c r="I531" s="9"/>
      <c r="J531" s="9"/>
      <c r="K531" s="72"/>
      <c r="L531" s="9"/>
      <c r="M531" s="9"/>
      <c r="N531" s="9"/>
      <c r="O531" s="9"/>
      <c r="P531" s="9"/>
      <c r="Q531" s="9"/>
      <c r="R531" s="9"/>
      <c r="S531" s="9"/>
      <c r="T531" s="9"/>
      <c r="U531" s="9"/>
      <c r="V531" s="9"/>
      <c r="W531" s="9"/>
      <c r="X531" s="9"/>
      <c r="Y531" s="9"/>
    </row>
    <row r="532" spans="2:25" x14ac:dyDescent="0.2">
      <c r="B532" s="7"/>
      <c r="C532" s="9"/>
      <c r="D532" s="9"/>
      <c r="E532" s="9"/>
      <c r="F532" s="9"/>
      <c r="G532" s="16"/>
      <c r="H532" s="9"/>
      <c r="I532" s="9"/>
      <c r="J532" s="9"/>
      <c r="K532" s="72"/>
      <c r="L532" s="9"/>
      <c r="M532" s="9"/>
      <c r="N532" s="9"/>
      <c r="O532" s="9"/>
      <c r="P532" s="9"/>
      <c r="Q532" s="9"/>
      <c r="R532" s="9"/>
      <c r="S532" s="9"/>
      <c r="T532" s="9"/>
      <c r="U532" s="9"/>
      <c r="V532" s="9"/>
      <c r="W532" s="9"/>
      <c r="X532" s="9"/>
      <c r="Y532" s="9"/>
    </row>
    <row r="533" spans="2:25" x14ac:dyDescent="0.2">
      <c r="B533" s="7"/>
      <c r="C533" s="9"/>
      <c r="D533" s="9"/>
      <c r="E533" s="9"/>
      <c r="F533" s="9"/>
      <c r="G533" s="16"/>
      <c r="H533" s="9"/>
      <c r="I533" s="9"/>
      <c r="J533" s="9"/>
      <c r="K533" s="72"/>
      <c r="L533" s="9"/>
      <c r="M533" s="9"/>
      <c r="N533" s="9"/>
      <c r="O533" s="9"/>
      <c r="P533" s="9"/>
      <c r="Q533" s="9"/>
      <c r="R533" s="9"/>
      <c r="S533" s="9"/>
      <c r="T533" s="9"/>
      <c r="U533" s="9"/>
      <c r="V533" s="9"/>
      <c r="W533" s="9"/>
      <c r="X533" s="9"/>
      <c r="Y533" s="9"/>
    </row>
    <row r="534" spans="2:25" x14ac:dyDescent="0.2">
      <c r="B534" s="7"/>
      <c r="C534" s="9"/>
      <c r="D534" s="9"/>
      <c r="E534" s="9"/>
      <c r="F534" s="9"/>
      <c r="G534" s="16"/>
      <c r="H534" s="9"/>
      <c r="I534" s="9"/>
      <c r="J534" s="9"/>
      <c r="K534" s="72"/>
      <c r="L534" s="9"/>
      <c r="M534" s="9"/>
      <c r="N534" s="9"/>
      <c r="O534" s="9"/>
      <c r="P534" s="9"/>
      <c r="Q534" s="9"/>
      <c r="R534" s="9"/>
      <c r="S534" s="9"/>
      <c r="T534" s="9"/>
      <c r="U534" s="9"/>
      <c r="V534" s="9"/>
      <c r="W534" s="9"/>
      <c r="X534" s="9"/>
      <c r="Y534" s="9"/>
    </row>
    <row r="535" spans="2:25" x14ac:dyDescent="0.2">
      <c r="B535" s="7"/>
      <c r="C535" s="9"/>
      <c r="D535" s="9"/>
      <c r="E535" s="9"/>
      <c r="F535" s="9"/>
      <c r="G535" s="16"/>
      <c r="H535" s="9"/>
      <c r="I535" s="9"/>
      <c r="J535" s="9"/>
      <c r="K535" s="72"/>
      <c r="L535" s="9"/>
      <c r="M535" s="9"/>
      <c r="N535" s="9"/>
      <c r="O535" s="9"/>
      <c r="P535" s="9"/>
      <c r="Q535" s="9"/>
      <c r="R535" s="9"/>
      <c r="S535" s="9"/>
      <c r="T535" s="9"/>
      <c r="U535" s="9"/>
      <c r="V535" s="9"/>
      <c r="W535" s="9"/>
      <c r="X535" s="9"/>
      <c r="Y535" s="9"/>
    </row>
    <row r="536" spans="2:25" x14ac:dyDescent="0.2">
      <c r="B536" s="7"/>
      <c r="C536" s="9"/>
      <c r="D536" s="9"/>
      <c r="E536" s="9"/>
      <c r="F536" s="9"/>
      <c r="G536" s="16"/>
      <c r="H536" s="9"/>
      <c r="I536" s="9"/>
      <c r="J536" s="9"/>
      <c r="K536" s="72"/>
      <c r="L536" s="9"/>
      <c r="M536" s="9"/>
      <c r="N536" s="9"/>
      <c r="O536" s="9"/>
      <c r="P536" s="9"/>
      <c r="Q536" s="9"/>
      <c r="R536" s="9"/>
      <c r="S536" s="9"/>
      <c r="T536" s="9"/>
      <c r="U536" s="9"/>
      <c r="V536" s="9"/>
      <c r="W536" s="9"/>
      <c r="X536" s="9"/>
      <c r="Y536" s="9"/>
    </row>
    <row r="537" spans="2:25" x14ac:dyDescent="0.2">
      <c r="B537" s="7"/>
      <c r="C537" s="9"/>
      <c r="D537" s="9"/>
      <c r="E537" s="9"/>
      <c r="F537" s="9"/>
      <c r="G537" s="16"/>
      <c r="H537" s="9"/>
      <c r="I537" s="9"/>
      <c r="J537" s="9"/>
      <c r="K537" s="72"/>
      <c r="L537" s="9"/>
      <c r="M537" s="9"/>
      <c r="N537" s="9"/>
      <c r="O537" s="9"/>
      <c r="P537" s="9"/>
      <c r="Q537" s="9"/>
      <c r="R537" s="9"/>
      <c r="S537" s="9"/>
      <c r="T537" s="9"/>
      <c r="U537" s="9"/>
      <c r="V537" s="9"/>
      <c r="W537" s="9"/>
      <c r="X537" s="9"/>
      <c r="Y537" s="9"/>
    </row>
    <row r="538" spans="2:25" x14ac:dyDescent="0.2">
      <c r="B538" s="7"/>
      <c r="C538" s="9"/>
      <c r="D538" s="9"/>
      <c r="E538" s="9"/>
      <c r="F538" s="9"/>
      <c r="G538" s="16"/>
      <c r="H538" s="9"/>
      <c r="I538" s="9"/>
      <c r="J538" s="9"/>
      <c r="K538" s="72"/>
      <c r="L538" s="9"/>
      <c r="M538" s="9"/>
      <c r="N538" s="9"/>
      <c r="O538" s="9"/>
      <c r="P538" s="9"/>
      <c r="Q538" s="9"/>
      <c r="R538" s="9"/>
      <c r="S538" s="9"/>
      <c r="T538" s="9"/>
      <c r="U538" s="9"/>
      <c r="V538" s="9"/>
      <c r="W538" s="9"/>
      <c r="X538" s="9"/>
      <c r="Y538" s="9"/>
    </row>
    <row r="539" spans="2:25" x14ac:dyDescent="0.2">
      <c r="B539" s="7"/>
      <c r="C539" s="9"/>
      <c r="D539" s="9"/>
      <c r="E539" s="9"/>
      <c r="F539" s="9"/>
      <c r="G539" s="16"/>
      <c r="H539" s="9"/>
      <c r="I539" s="9"/>
      <c r="J539" s="9"/>
      <c r="K539" s="72"/>
      <c r="L539" s="9"/>
      <c r="M539" s="9"/>
      <c r="N539" s="9"/>
      <c r="O539" s="9"/>
      <c r="P539" s="9"/>
      <c r="Q539" s="9"/>
      <c r="R539" s="9"/>
      <c r="S539" s="9"/>
      <c r="T539" s="9"/>
      <c r="U539" s="9"/>
      <c r="V539" s="9"/>
      <c r="W539" s="9"/>
      <c r="X539" s="9"/>
      <c r="Y539" s="9"/>
    </row>
    <row r="540" spans="2:25" x14ac:dyDescent="0.2">
      <c r="B540" s="7"/>
      <c r="C540" s="9"/>
      <c r="D540" s="9"/>
      <c r="E540" s="9"/>
      <c r="F540" s="9"/>
      <c r="G540" s="16"/>
      <c r="H540" s="9"/>
      <c r="I540" s="9"/>
      <c r="J540" s="9"/>
      <c r="K540" s="72"/>
      <c r="L540" s="9"/>
      <c r="M540" s="9"/>
      <c r="N540" s="9"/>
      <c r="O540" s="9"/>
      <c r="P540" s="9"/>
      <c r="Q540" s="9"/>
      <c r="R540" s="9"/>
      <c r="S540" s="9"/>
      <c r="T540" s="9"/>
      <c r="U540" s="9"/>
      <c r="V540" s="9"/>
      <c r="W540" s="9"/>
      <c r="X540" s="9"/>
      <c r="Y540" s="9"/>
    </row>
    <row r="541" spans="2:25" x14ac:dyDescent="0.2">
      <c r="B541" s="7"/>
      <c r="C541" s="9"/>
      <c r="D541" s="9"/>
      <c r="E541" s="9"/>
      <c r="F541" s="9"/>
      <c r="G541" s="16"/>
      <c r="H541" s="9"/>
      <c r="I541" s="9"/>
      <c r="J541" s="9"/>
      <c r="K541" s="72"/>
      <c r="L541" s="9"/>
      <c r="M541" s="9"/>
      <c r="N541" s="9"/>
      <c r="O541" s="9"/>
      <c r="P541" s="9"/>
      <c r="Q541" s="9"/>
      <c r="R541" s="9"/>
      <c r="S541" s="9"/>
      <c r="T541" s="9"/>
      <c r="U541" s="9"/>
      <c r="V541" s="9"/>
      <c r="W541" s="9"/>
      <c r="X541" s="9"/>
      <c r="Y541" s="9"/>
    </row>
    <row r="542" spans="2:25" x14ac:dyDescent="0.2">
      <c r="B542" s="7"/>
      <c r="C542" s="9"/>
      <c r="D542" s="9"/>
      <c r="E542" s="9"/>
      <c r="F542" s="9"/>
      <c r="G542" s="16"/>
      <c r="H542" s="9"/>
      <c r="I542" s="9"/>
      <c r="J542" s="9"/>
      <c r="K542" s="72"/>
      <c r="L542" s="9"/>
      <c r="M542" s="9"/>
      <c r="N542" s="9"/>
      <c r="O542" s="9"/>
      <c r="P542" s="9"/>
      <c r="Q542" s="9"/>
      <c r="R542" s="9"/>
      <c r="S542" s="9"/>
      <c r="T542" s="9"/>
      <c r="U542" s="9"/>
      <c r="V542" s="9"/>
      <c r="W542" s="9"/>
      <c r="X542" s="9"/>
      <c r="Y542" s="9"/>
    </row>
    <row r="543" spans="2:25" x14ac:dyDescent="0.2">
      <c r="B543" s="7"/>
      <c r="C543" s="9"/>
      <c r="D543" s="9"/>
      <c r="E543" s="9"/>
      <c r="F543" s="9"/>
      <c r="G543" s="16"/>
      <c r="H543" s="9"/>
      <c r="I543" s="9"/>
      <c r="J543" s="9"/>
      <c r="K543" s="72"/>
      <c r="L543" s="9"/>
      <c r="M543" s="9"/>
      <c r="N543" s="9"/>
      <c r="O543" s="9"/>
      <c r="P543" s="9"/>
      <c r="Q543" s="9"/>
      <c r="R543" s="9"/>
      <c r="S543" s="9"/>
      <c r="T543" s="9"/>
      <c r="U543" s="9"/>
      <c r="V543" s="9"/>
      <c r="W543" s="9"/>
      <c r="X543" s="9"/>
      <c r="Y543" s="9"/>
    </row>
    <row r="544" spans="2:25" x14ac:dyDescent="0.2">
      <c r="B544" s="7"/>
      <c r="C544" s="9"/>
      <c r="D544" s="9"/>
      <c r="E544" s="9"/>
      <c r="F544" s="9"/>
      <c r="G544" s="16"/>
      <c r="H544" s="9"/>
      <c r="I544" s="9"/>
      <c r="J544" s="9"/>
      <c r="K544" s="72"/>
      <c r="L544" s="9"/>
      <c r="M544" s="9"/>
      <c r="N544" s="9"/>
      <c r="O544" s="9"/>
      <c r="P544" s="9"/>
      <c r="Q544" s="9"/>
      <c r="R544" s="9"/>
      <c r="S544" s="9"/>
      <c r="T544" s="9"/>
      <c r="U544" s="9"/>
      <c r="V544" s="9"/>
      <c r="W544" s="9"/>
      <c r="X544" s="9"/>
      <c r="Y544" s="9"/>
    </row>
    <row r="545" spans="2:25" x14ac:dyDescent="0.2">
      <c r="B545" s="7"/>
      <c r="C545" s="9"/>
      <c r="D545" s="9"/>
      <c r="E545" s="9"/>
      <c r="F545" s="9"/>
      <c r="G545" s="16"/>
      <c r="H545" s="9"/>
      <c r="I545" s="9"/>
      <c r="J545" s="9"/>
      <c r="K545" s="72"/>
      <c r="L545" s="9"/>
      <c r="M545" s="9"/>
      <c r="N545" s="9"/>
      <c r="O545" s="9"/>
      <c r="P545" s="9"/>
      <c r="Q545" s="9"/>
      <c r="R545" s="9"/>
      <c r="S545" s="9"/>
      <c r="T545" s="9"/>
      <c r="U545" s="9"/>
      <c r="V545" s="9"/>
      <c r="W545" s="9"/>
      <c r="X545" s="9"/>
      <c r="Y545" s="9"/>
    </row>
    <row r="546" spans="2:25" x14ac:dyDescent="0.2">
      <c r="B546" s="7"/>
      <c r="C546" s="9"/>
      <c r="D546" s="9"/>
      <c r="E546" s="9"/>
      <c r="F546" s="9"/>
      <c r="G546" s="16"/>
      <c r="H546" s="9"/>
      <c r="I546" s="9"/>
      <c r="J546" s="9"/>
      <c r="K546" s="72"/>
      <c r="L546" s="9"/>
      <c r="M546" s="9"/>
      <c r="N546" s="9"/>
      <c r="O546" s="9"/>
      <c r="P546" s="9"/>
      <c r="Q546" s="9"/>
      <c r="R546" s="9"/>
      <c r="S546" s="9"/>
      <c r="T546" s="9"/>
      <c r="U546" s="9"/>
      <c r="V546" s="9"/>
      <c r="W546" s="9"/>
      <c r="X546" s="9"/>
      <c r="Y546" s="9"/>
    </row>
    <row r="547" spans="2:25" x14ac:dyDescent="0.2">
      <c r="B547" s="7"/>
      <c r="C547" s="9"/>
      <c r="D547" s="9"/>
      <c r="E547" s="9"/>
      <c r="F547" s="9"/>
      <c r="G547" s="16"/>
      <c r="H547" s="9"/>
      <c r="I547" s="9"/>
      <c r="J547" s="9"/>
      <c r="K547" s="72"/>
      <c r="L547" s="9"/>
      <c r="M547" s="9"/>
      <c r="N547" s="9"/>
      <c r="O547" s="9"/>
      <c r="P547" s="9"/>
      <c r="Q547" s="9"/>
      <c r="R547" s="9"/>
      <c r="S547" s="9"/>
      <c r="T547" s="9"/>
      <c r="U547" s="9"/>
      <c r="V547" s="9"/>
      <c r="W547" s="9"/>
      <c r="X547" s="9"/>
      <c r="Y547" s="9"/>
    </row>
    <row r="548" spans="2:25" x14ac:dyDescent="0.2">
      <c r="B548" s="7"/>
      <c r="C548" s="9"/>
      <c r="D548" s="9"/>
      <c r="E548" s="9"/>
      <c r="F548" s="9"/>
      <c r="G548" s="16"/>
      <c r="H548" s="9"/>
      <c r="I548" s="9"/>
      <c r="J548" s="9"/>
      <c r="K548" s="72"/>
      <c r="L548" s="9"/>
      <c r="M548" s="9"/>
      <c r="N548" s="9"/>
      <c r="O548" s="9"/>
      <c r="P548" s="9"/>
      <c r="Q548" s="9"/>
      <c r="R548" s="9"/>
      <c r="S548" s="9"/>
      <c r="T548" s="9"/>
      <c r="U548" s="9"/>
      <c r="V548" s="9"/>
      <c r="W548" s="9"/>
      <c r="X548" s="9"/>
      <c r="Y548" s="9"/>
    </row>
    <row r="549" spans="2:25" x14ac:dyDescent="0.2">
      <c r="B549" s="7"/>
      <c r="C549" s="9"/>
      <c r="D549" s="9"/>
      <c r="E549" s="9"/>
      <c r="F549" s="9"/>
      <c r="G549" s="16"/>
      <c r="H549" s="9"/>
      <c r="I549" s="9"/>
      <c r="J549" s="9"/>
      <c r="K549" s="72"/>
      <c r="L549" s="9"/>
      <c r="M549" s="9"/>
      <c r="N549" s="9"/>
      <c r="O549" s="9"/>
      <c r="P549" s="9"/>
      <c r="Q549" s="9"/>
      <c r="R549" s="9"/>
      <c r="S549" s="9"/>
      <c r="T549" s="9"/>
      <c r="U549" s="9"/>
      <c r="V549" s="9"/>
      <c r="W549" s="9"/>
      <c r="X549" s="9"/>
      <c r="Y549" s="9"/>
    </row>
    <row r="550" spans="2:25" x14ac:dyDescent="0.2">
      <c r="B550" s="7"/>
      <c r="C550" s="9"/>
      <c r="D550" s="9"/>
      <c r="E550" s="9"/>
      <c r="F550" s="9"/>
      <c r="G550" s="16"/>
      <c r="H550" s="9"/>
      <c r="I550" s="9"/>
      <c r="J550" s="9"/>
      <c r="K550" s="72"/>
      <c r="L550" s="9"/>
      <c r="M550" s="9"/>
      <c r="N550" s="9"/>
      <c r="O550" s="9"/>
      <c r="P550" s="9"/>
      <c r="Q550" s="9"/>
      <c r="R550" s="9"/>
      <c r="S550" s="9"/>
      <c r="T550" s="9"/>
      <c r="U550" s="9"/>
      <c r="V550" s="9"/>
      <c r="W550" s="9"/>
      <c r="X550" s="9"/>
      <c r="Y550" s="9"/>
    </row>
    <row r="551" spans="2:25" x14ac:dyDescent="0.2">
      <c r="B551" s="7"/>
      <c r="C551" s="9"/>
      <c r="D551" s="9"/>
      <c r="E551" s="9"/>
      <c r="F551" s="9"/>
      <c r="G551" s="16"/>
      <c r="H551" s="9"/>
      <c r="I551" s="9"/>
      <c r="J551" s="9"/>
      <c r="K551" s="72"/>
      <c r="L551" s="9"/>
      <c r="M551" s="9"/>
      <c r="N551" s="9"/>
      <c r="O551" s="9"/>
      <c r="P551" s="9"/>
      <c r="Q551" s="9"/>
      <c r="R551" s="9"/>
      <c r="S551" s="9"/>
      <c r="T551" s="9"/>
      <c r="U551" s="9"/>
      <c r="V551" s="9"/>
      <c r="W551" s="9"/>
      <c r="X551" s="9"/>
      <c r="Y551" s="9"/>
    </row>
    <row r="552" spans="2:25" x14ac:dyDescent="0.2">
      <c r="B552" s="7"/>
      <c r="C552" s="9"/>
      <c r="D552" s="9"/>
      <c r="E552" s="9"/>
      <c r="F552" s="9"/>
      <c r="G552" s="16"/>
      <c r="H552" s="9"/>
      <c r="I552" s="9"/>
      <c r="J552" s="9"/>
      <c r="K552" s="72"/>
      <c r="L552" s="9"/>
      <c r="M552" s="9"/>
      <c r="N552" s="9"/>
      <c r="O552" s="9"/>
      <c r="P552" s="9"/>
      <c r="Q552" s="9"/>
      <c r="R552" s="9"/>
      <c r="S552" s="9"/>
      <c r="T552" s="9"/>
      <c r="U552" s="9"/>
      <c r="V552" s="9"/>
      <c r="W552" s="9"/>
      <c r="X552" s="9"/>
      <c r="Y552" s="9"/>
    </row>
    <row r="553" spans="2:25" x14ac:dyDescent="0.2">
      <c r="B553" s="7"/>
      <c r="C553" s="9"/>
      <c r="D553" s="9"/>
      <c r="E553" s="9"/>
      <c r="F553" s="9"/>
      <c r="G553" s="16"/>
      <c r="H553" s="9"/>
      <c r="I553" s="9"/>
      <c r="J553" s="9"/>
      <c r="K553" s="72"/>
      <c r="L553" s="9"/>
      <c r="M553" s="9"/>
      <c r="N553" s="9"/>
      <c r="O553" s="9"/>
      <c r="P553" s="9"/>
      <c r="Q553" s="9"/>
      <c r="R553" s="9"/>
      <c r="S553" s="9"/>
      <c r="T553" s="9"/>
      <c r="U553" s="9"/>
      <c r="V553" s="9"/>
      <c r="W553" s="9"/>
      <c r="X553" s="9"/>
      <c r="Y553" s="9"/>
    </row>
    <row r="554" spans="2:25" x14ac:dyDescent="0.2">
      <c r="B554" s="7"/>
      <c r="C554" s="9"/>
      <c r="D554" s="9"/>
      <c r="E554" s="9"/>
      <c r="F554" s="9"/>
      <c r="G554" s="16"/>
      <c r="H554" s="9"/>
      <c r="I554" s="9"/>
      <c r="J554" s="9"/>
      <c r="K554" s="72"/>
      <c r="L554" s="9"/>
      <c r="M554" s="9"/>
      <c r="N554" s="9"/>
      <c r="O554" s="9"/>
      <c r="P554" s="9"/>
      <c r="Q554" s="9"/>
      <c r="R554" s="9"/>
      <c r="S554" s="9"/>
      <c r="T554" s="9"/>
      <c r="U554" s="9"/>
      <c r="V554" s="9"/>
      <c r="W554" s="9"/>
      <c r="X554" s="9"/>
      <c r="Y554" s="9"/>
    </row>
    <row r="555" spans="2:25" x14ac:dyDescent="0.2">
      <c r="B555" s="7"/>
      <c r="C555" s="9"/>
      <c r="D555" s="9"/>
      <c r="E555" s="9"/>
      <c r="F555" s="9"/>
      <c r="G555" s="16"/>
      <c r="H555" s="9"/>
      <c r="I555" s="9"/>
      <c r="J555" s="9"/>
      <c r="K555" s="72"/>
      <c r="L555" s="9"/>
      <c r="M555" s="9"/>
      <c r="N555" s="9"/>
      <c r="O555" s="9"/>
      <c r="P555" s="9"/>
      <c r="Q555" s="9"/>
      <c r="R555" s="9"/>
      <c r="S555" s="9"/>
      <c r="T555" s="9"/>
      <c r="U555" s="9"/>
      <c r="V555" s="9"/>
      <c r="W555" s="9"/>
      <c r="X555" s="9"/>
      <c r="Y555" s="9"/>
    </row>
    <row r="556" spans="2:25" x14ac:dyDescent="0.2">
      <c r="B556" s="7"/>
      <c r="C556" s="9"/>
      <c r="D556" s="9"/>
      <c r="E556" s="9"/>
      <c r="F556" s="9"/>
      <c r="G556" s="16"/>
      <c r="H556" s="9"/>
      <c r="I556" s="9"/>
      <c r="J556" s="9"/>
      <c r="K556" s="72"/>
      <c r="L556" s="9"/>
      <c r="M556" s="9"/>
      <c r="N556" s="9"/>
      <c r="O556" s="9"/>
      <c r="P556" s="9"/>
      <c r="Q556" s="9"/>
      <c r="R556" s="9"/>
      <c r="S556" s="9"/>
      <c r="T556" s="9"/>
      <c r="U556" s="9"/>
      <c r="V556" s="9"/>
      <c r="W556" s="9"/>
      <c r="X556" s="9"/>
      <c r="Y556" s="9"/>
    </row>
    <row r="557" spans="2:25" x14ac:dyDescent="0.2">
      <c r="B557" s="7"/>
      <c r="C557" s="9"/>
      <c r="D557" s="9"/>
      <c r="E557" s="9"/>
      <c r="F557" s="9"/>
      <c r="G557" s="16"/>
      <c r="H557" s="9"/>
      <c r="I557" s="9"/>
      <c r="J557" s="9"/>
      <c r="K557" s="72"/>
      <c r="L557" s="9"/>
      <c r="M557" s="9"/>
      <c r="N557" s="9"/>
      <c r="O557" s="9"/>
      <c r="P557" s="9"/>
      <c r="Q557" s="9"/>
      <c r="R557" s="9"/>
      <c r="S557" s="9"/>
      <c r="T557" s="9"/>
      <c r="U557" s="9"/>
      <c r="V557" s="9"/>
      <c r="W557" s="9"/>
      <c r="X557" s="9"/>
      <c r="Y557" s="9"/>
    </row>
    <row r="558" spans="2:25" x14ac:dyDescent="0.2">
      <c r="B558" s="7"/>
      <c r="C558" s="9"/>
      <c r="D558" s="9"/>
      <c r="E558" s="9"/>
      <c r="F558" s="9"/>
      <c r="G558" s="16"/>
      <c r="H558" s="9"/>
      <c r="I558" s="9"/>
      <c r="J558" s="9"/>
      <c r="K558" s="72"/>
      <c r="L558" s="9"/>
      <c r="M558" s="9"/>
      <c r="N558" s="9"/>
      <c r="O558" s="9"/>
      <c r="P558" s="9"/>
      <c r="Q558" s="9"/>
      <c r="R558" s="9"/>
      <c r="S558" s="9"/>
      <c r="T558" s="9"/>
      <c r="U558" s="9"/>
      <c r="V558" s="9"/>
      <c r="W558" s="9"/>
      <c r="X558" s="9"/>
      <c r="Y558" s="9"/>
    </row>
    <row r="559" spans="2:25" x14ac:dyDescent="0.2">
      <c r="B559" s="7"/>
      <c r="C559" s="9"/>
      <c r="D559" s="9"/>
      <c r="E559" s="9"/>
      <c r="F559" s="9"/>
      <c r="G559" s="16"/>
      <c r="H559" s="9"/>
      <c r="I559" s="9"/>
      <c r="J559" s="9"/>
      <c r="K559" s="72"/>
      <c r="L559" s="9"/>
      <c r="M559" s="9"/>
      <c r="N559" s="9"/>
      <c r="O559" s="9"/>
      <c r="P559" s="9"/>
      <c r="Q559" s="9"/>
      <c r="R559" s="9"/>
      <c r="S559" s="9"/>
      <c r="T559" s="9"/>
      <c r="U559" s="9"/>
      <c r="V559" s="9"/>
      <c r="W559" s="9"/>
      <c r="X559" s="9"/>
      <c r="Y559" s="9"/>
    </row>
    <row r="560" spans="2:25" x14ac:dyDescent="0.2">
      <c r="B560" s="7"/>
      <c r="C560" s="9"/>
      <c r="D560" s="9"/>
      <c r="E560" s="9"/>
      <c r="F560" s="9"/>
      <c r="G560" s="16"/>
      <c r="H560" s="9"/>
      <c r="I560" s="9"/>
      <c r="J560" s="9"/>
      <c r="K560" s="72"/>
      <c r="L560" s="9"/>
      <c r="M560" s="9"/>
      <c r="N560" s="9"/>
      <c r="O560" s="9"/>
      <c r="P560" s="9"/>
      <c r="Q560" s="9"/>
      <c r="R560" s="9"/>
      <c r="S560" s="9"/>
      <c r="T560" s="9"/>
      <c r="U560" s="9"/>
      <c r="V560" s="9"/>
      <c r="W560" s="9"/>
      <c r="X560" s="9"/>
      <c r="Y560" s="9"/>
    </row>
    <row r="561" spans="2:25" x14ac:dyDescent="0.2">
      <c r="B561" s="7"/>
      <c r="C561" s="9"/>
      <c r="D561" s="9"/>
      <c r="E561" s="9"/>
      <c r="F561" s="9"/>
      <c r="G561" s="16"/>
      <c r="H561" s="9"/>
      <c r="I561" s="9"/>
      <c r="J561" s="9"/>
      <c r="K561" s="72"/>
      <c r="L561" s="9"/>
      <c r="M561" s="9"/>
      <c r="N561" s="9"/>
      <c r="O561" s="9"/>
      <c r="P561" s="9"/>
      <c r="Q561" s="9"/>
      <c r="R561" s="9"/>
      <c r="S561" s="9"/>
      <c r="T561" s="9"/>
      <c r="U561" s="9"/>
      <c r="V561" s="9"/>
      <c r="W561" s="9"/>
      <c r="X561" s="9"/>
      <c r="Y561" s="9"/>
    </row>
    <row r="562" spans="2:25" x14ac:dyDescent="0.2">
      <c r="B562" s="7"/>
      <c r="C562" s="9"/>
      <c r="D562" s="9"/>
      <c r="E562" s="9"/>
      <c r="F562" s="9"/>
      <c r="G562" s="16"/>
      <c r="H562" s="9"/>
      <c r="I562" s="9"/>
      <c r="J562" s="9"/>
      <c r="K562" s="72"/>
      <c r="L562" s="9"/>
      <c r="M562" s="9"/>
      <c r="N562" s="9"/>
      <c r="O562" s="9"/>
      <c r="P562" s="9"/>
      <c r="Q562" s="9"/>
      <c r="R562" s="9"/>
      <c r="S562" s="9"/>
      <c r="T562" s="9"/>
      <c r="U562" s="9"/>
      <c r="V562" s="9"/>
      <c r="W562" s="9"/>
      <c r="X562" s="9"/>
      <c r="Y562" s="9"/>
    </row>
    <row r="563" spans="2:25" x14ac:dyDescent="0.2">
      <c r="B563" s="7"/>
      <c r="C563" s="9"/>
      <c r="D563" s="9"/>
      <c r="E563" s="9"/>
      <c r="F563" s="9"/>
      <c r="G563" s="16"/>
      <c r="H563" s="9"/>
      <c r="I563" s="9"/>
      <c r="J563" s="9"/>
      <c r="K563" s="72"/>
      <c r="L563" s="9"/>
      <c r="M563" s="9"/>
      <c r="N563" s="9"/>
      <c r="O563" s="9"/>
      <c r="P563" s="9"/>
      <c r="Q563" s="9"/>
      <c r="R563" s="9"/>
      <c r="S563" s="9"/>
      <c r="T563" s="9"/>
      <c r="U563" s="9"/>
      <c r="V563" s="9"/>
      <c r="W563" s="9"/>
      <c r="X563" s="9"/>
      <c r="Y563" s="9"/>
    </row>
    <row r="564" spans="2:25" x14ac:dyDescent="0.2">
      <c r="B564" s="7"/>
      <c r="C564" s="9"/>
      <c r="D564" s="9"/>
      <c r="E564" s="9"/>
      <c r="F564" s="9"/>
      <c r="G564" s="16"/>
      <c r="H564" s="9"/>
      <c r="I564" s="9"/>
      <c r="J564" s="9"/>
      <c r="K564" s="72"/>
      <c r="L564" s="9"/>
      <c r="M564" s="9"/>
      <c r="N564" s="9"/>
      <c r="O564" s="9"/>
      <c r="P564" s="9"/>
      <c r="Q564" s="9"/>
      <c r="R564" s="9"/>
      <c r="S564" s="9"/>
      <c r="T564" s="9"/>
      <c r="U564" s="9"/>
      <c r="V564" s="9"/>
      <c r="W564" s="9"/>
      <c r="X564" s="9"/>
      <c r="Y564" s="9"/>
    </row>
    <row r="565" spans="2:25" x14ac:dyDescent="0.2">
      <c r="B565" s="7"/>
      <c r="C565" s="9"/>
      <c r="D565" s="9"/>
      <c r="E565" s="9"/>
      <c r="F565" s="9"/>
      <c r="G565" s="16"/>
      <c r="H565" s="9"/>
      <c r="I565" s="9"/>
      <c r="J565" s="9"/>
      <c r="K565" s="72"/>
      <c r="L565" s="9"/>
      <c r="M565" s="9"/>
      <c r="N565" s="9"/>
      <c r="O565" s="9"/>
      <c r="P565" s="9"/>
      <c r="Q565" s="9"/>
      <c r="R565" s="9"/>
      <c r="S565" s="9"/>
      <c r="T565" s="9"/>
      <c r="U565" s="9"/>
      <c r="V565" s="9"/>
      <c r="W565" s="9"/>
      <c r="X565" s="9"/>
      <c r="Y565" s="9"/>
    </row>
    <row r="566" spans="2:25" x14ac:dyDescent="0.2">
      <c r="B566" s="7"/>
      <c r="C566" s="9"/>
      <c r="D566" s="9"/>
      <c r="E566" s="9"/>
      <c r="F566" s="9"/>
      <c r="G566" s="16"/>
      <c r="H566" s="9"/>
      <c r="I566" s="9"/>
      <c r="J566" s="9"/>
      <c r="K566" s="72"/>
      <c r="L566" s="9"/>
      <c r="M566" s="9"/>
      <c r="N566" s="9"/>
      <c r="O566" s="9"/>
      <c r="P566" s="9"/>
      <c r="Q566" s="9"/>
      <c r="R566" s="9"/>
      <c r="S566" s="9"/>
      <c r="T566" s="9"/>
      <c r="U566" s="9"/>
      <c r="V566" s="9"/>
      <c r="W566" s="9"/>
      <c r="X566" s="9"/>
      <c r="Y566" s="9"/>
    </row>
    <row r="567" spans="2:25" x14ac:dyDescent="0.2">
      <c r="B567" s="7"/>
      <c r="C567" s="9"/>
      <c r="D567" s="9"/>
      <c r="E567" s="9"/>
      <c r="F567" s="9"/>
      <c r="G567" s="16"/>
      <c r="H567" s="9"/>
      <c r="I567" s="9"/>
      <c r="J567" s="9"/>
      <c r="K567" s="72"/>
      <c r="L567" s="9"/>
      <c r="M567" s="9"/>
      <c r="N567" s="9"/>
      <c r="O567" s="9"/>
      <c r="P567" s="9"/>
      <c r="Q567" s="9"/>
      <c r="R567" s="9"/>
      <c r="S567" s="9"/>
      <c r="T567" s="9"/>
      <c r="U567" s="9"/>
      <c r="V567" s="9"/>
      <c r="W567" s="9"/>
      <c r="X567" s="9"/>
      <c r="Y567" s="9"/>
    </row>
    <row r="568" spans="2:25" x14ac:dyDescent="0.2">
      <c r="B568" s="7"/>
      <c r="C568" s="9"/>
      <c r="D568" s="9"/>
      <c r="E568" s="9"/>
      <c r="F568" s="9"/>
      <c r="G568" s="16"/>
      <c r="H568" s="9"/>
      <c r="I568" s="9"/>
      <c r="J568" s="9"/>
      <c r="K568" s="72"/>
      <c r="L568" s="9"/>
      <c r="M568" s="9"/>
      <c r="N568" s="9"/>
      <c r="O568" s="9"/>
      <c r="P568" s="9"/>
      <c r="Q568" s="9"/>
      <c r="R568" s="9"/>
      <c r="S568" s="9"/>
      <c r="T568" s="9"/>
      <c r="U568" s="9"/>
      <c r="V568" s="9"/>
      <c r="W568" s="9"/>
      <c r="X568" s="9"/>
      <c r="Y568" s="9"/>
    </row>
    <row r="569" spans="2:25" x14ac:dyDescent="0.2">
      <c r="B569" s="7"/>
      <c r="C569" s="9"/>
      <c r="D569" s="9"/>
      <c r="E569" s="9"/>
      <c r="F569" s="9"/>
      <c r="G569" s="16"/>
      <c r="H569" s="9"/>
      <c r="I569" s="9"/>
      <c r="J569" s="9"/>
      <c r="K569" s="72"/>
      <c r="L569" s="9"/>
      <c r="M569" s="9"/>
      <c r="N569" s="9"/>
      <c r="O569" s="9"/>
      <c r="P569" s="9"/>
      <c r="Q569" s="9"/>
      <c r="R569" s="9"/>
      <c r="S569" s="9"/>
      <c r="T569" s="9"/>
      <c r="U569" s="9"/>
      <c r="V569" s="9"/>
      <c r="W569" s="9"/>
      <c r="X569" s="9"/>
      <c r="Y569" s="9"/>
    </row>
    <row r="570" spans="2:25" x14ac:dyDescent="0.2">
      <c r="B570" s="7"/>
      <c r="C570" s="9"/>
      <c r="D570" s="9"/>
      <c r="E570" s="9"/>
      <c r="F570" s="9"/>
      <c r="G570" s="16"/>
      <c r="H570" s="9"/>
      <c r="I570" s="9"/>
      <c r="J570" s="9"/>
      <c r="K570" s="72"/>
      <c r="L570" s="9"/>
      <c r="M570" s="9"/>
      <c r="N570" s="9"/>
      <c r="O570" s="9"/>
      <c r="P570" s="9"/>
      <c r="Q570" s="9"/>
      <c r="R570" s="9"/>
      <c r="S570" s="9"/>
      <c r="T570" s="9"/>
      <c r="U570" s="9"/>
      <c r="V570" s="9"/>
      <c r="W570" s="9"/>
      <c r="X570" s="9"/>
      <c r="Y570" s="9"/>
    </row>
    <row r="571" spans="2:25" x14ac:dyDescent="0.2">
      <c r="B571" s="7"/>
      <c r="C571" s="9"/>
      <c r="D571" s="9"/>
      <c r="E571" s="9"/>
      <c r="F571" s="9"/>
      <c r="G571" s="16"/>
      <c r="H571" s="9"/>
      <c r="I571" s="9"/>
      <c r="J571" s="9"/>
      <c r="K571" s="72"/>
      <c r="L571" s="9"/>
      <c r="M571" s="9"/>
      <c r="N571" s="9"/>
      <c r="O571" s="9"/>
      <c r="P571" s="9"/>
      <c r="Q571" s="9"/>
      <c r="R571" s="9"/>
      <c r="S571" s="9"/>
      <c r="T571" s="9"/>
      <c r="U571" s="9"/>
      <c r="V571" s="9"/>
      <c r="W571" s="9"/>
      <c r="X571" s="9"/>
      <c r="Y571" s="9"/>
    </row>
    <row r="572" spans="2:25" x14ac:dyDescent="0.2">
      <c r="B572" s="7"/>
      <c r="C572" s="9"/>
      <c r="D572" s="9"/>
      <c r="E572" s="9"/>
      <c r="F572" s="9"/>
      <c r="G572" s="16"/>
      <c r="H572" s="9"/>
      <c r="I572" s="9"/>
      <c r="J572" s="9"/>
      <c r="K572" s="72"/>
      <c r="L572" s="9"/>
      <c r="M572" s="9"/>
      <c r="N572" s="9"/>
      <c r="O572" s="9"/>
      <c r="P572" s="9"/>
      <c r="Q572" s="9"/>
      <c r="R572" s="9"/>
      <c r="S572" s="9"/>
      <c r="T572" s="9"/>
      <c r="U572" s="9"/>
      <c r="V572" s="9"/>
      <c r="W572" s="9"/>
      <c r="X572" s="9"/>
      <c r="Y572" s="9"/>
    </row>
    <row r="573" spans="2:25" x14ac:dyDescent="0.2">
      <c r="B573" s="7"/>
      <c r="C573" s="9"/>
      <c r="D573" s="9"/>
      <c r="E573" s="9"/>
      <c r="F573" s="9"/>
      <c r="G573" s="16"/>
      <c r="H573" s="9"/>
      <c r="I573" s="9"/>
      <c r="J573" s="9"/>
      <c r="K573" s="72"/>
      <c r="L573" s="9"/>
      <c r="M573" s="9"/>
      <c r="N573" s="9"/>
      <c r="O573" s="9"/>
      <c r="P573" s="9"/>
      <c r="Q573" s="9"/>
      <c r="R573" s="9"/>
      <c r="S573" s="9"/>
      <c r="T573" s="9"/>
      <c r="U573" s="9"/>
      <c r="V573" s="9"/>
      <c r="W573" s="9"/>
      <c r="X573" s="9"/>
      <c r="Y573" s="9"/>
    </row>
    <row r="574" spans="2:25" x14ac:dyDescent="0.2">
      <c r="B574" s="7"/>
      <c r="C574" s="9"/>
      <c r="D574" s="9"/>
      <c r="E574" s="9"/>
      <c r="F574" s="9"/>
      <c r="G574" s="16"/>
      <c r="H574" s="9"/>
      <c r="I574" s="9"/>
      <c r="J574" s="9"/>
      <c r="K574" s="72"/>
      <c r="L574" s="9"/>
      <c r="M574" s="9"/>
      <c r="N574" s="9"/>
      <c r="O574" s="9"/>
      <c r="P574" s="9"/>
      <c r="Q574" s="9"/>
      <c r="R574" s="9"/>
      <c r="S574" s="9"/>
      <c r="T574" s="9"/>
      <c r="U574" s="9"/>
      <c r="V574" s="9"/>
      <c r="W574" s="9"/>
      <c r="X574" s="9"/>
      <c r="Y574" s="9"/>
    </row>
    <row r="575" spans="2:25" x14ac:dyDescent="0.2">
      <c r="B575" s="7"/>
      <c r="C575" s="9"/>
      <c r="D575" s="9"/>
      <c r="E575" s="9"/>
      <c r="F575" s="9"/>
      <c r="G575" s="16"/>
      <c r="H575" s="9"/>
      <c r="I575" s="9"/>
      <c r="J575" s="9"/>
      <c r="K575" s="72"/>
      <c r="L575" s="9"/>
      <c r="M575" s="9"/>
      <c r="N575" s="9"/>
      <c r="O575" s="9"/>
      <c r="P575" s="9"/>
      <c r="Q575" s="9"/>
      <c r="R575" s="9"/>
      <c r="S575" s="9"/>
      <c r="T575" s="9"/>
      <c r="U575" s="9"/>
      <c r="V575" s="9"/>
      <c r="W575" s="9"/>
      <c r="X575" s="9"/>
      <c r="Y575" s="9"/>
    </row>
    <row r="576" spans="2:25" x14ac:dyDescent="0.2">
      <c r="B576" s="7"/>
      <c r="C576" s="9"/>
      <c r="D576" s="9"/>
      <c r="E576" s="9"/>
      <c r="F576" s="9"/>
      <c r="G576" s="16"/>
      <c r="H576" s="9"/>
      <c r="I576" s="9"/>
      <c r="J576" s="9"/>
      <c r="K576" s="72"/>
      <c r="L576" s="9"/>
      <c r="M576" s="9"/>
      <c r="N576" s="9"/>
      <c r="O576" s="9"/>
      <c r="P576" s="9"/>
      <c r="Q576" s="9"/>
      <c r="R576" s="9"/>
      <c r="S576" s="9"/>
      <c r="T576" s="9"/>
      <c r="U576" s="9"/>
      <c r="V576" s="9"/>
      <c r="W576" s="9"/>
      <c r="X576" s="9"/>
      <c r="Y576" s="9"/>
    </row>
    <row r="577" spans="2:25" x14ac:dyDescent="0.2">
      <c r="B577" s="7"/>
      <c r="C577" s="9"/>
      <c r="D577" s="9"/>
      <c r="E577" s="9"/>
      <c r="F577" s="9"/>
      <c r="G577" s="16"/>
      <c r="H577" s="9"/>
      <c r="I577" s="9"/>
      <c r="J577" s="9"/>
      <c r="K577" s="72"/>
      <c r="L577" s="9"/>
      <c r="M577" s="9"/>
      <c r="N577" s="9"/>
      <c r="O577" s="9"/>
      <c r="P577" s="9"/>
      <c r="Q577" s="9"/>
      <c r="R577" s="9"/>
      <c r="S577" s="9"/>
      <c r="T577" s="9"/>
      <c r="U577" s="9"/>
      <c r="V577" s="9"/>
      <c r="W577" s="9"/>
      <c r="X577" s="9"/>
      <c r="Y577" s="9"/>
    </row>
    <row r="578" spans="2:25" x14ac:dyDescent="0.2">
      <c r="B578" s="7"/>
      <c r="C578" s="9"/>
      <c r="D578" s="9"/>
      <c r="E578" s="9"/>
      <c r="F578" s="9"/>
      <c r="G578" s="16"/>
      <c r="H578" s="9"/>
      <c r="I578" s="9"/>
      <c r="J578" s="9"/>
      <c r="K578" s="72"/>
      <c r="L578" s="9"/>
      <c r="M578" s="9"/>
      <c r="N578" s="9"/>
      <c r="O578" s="9"/>
      <c r="P578" s="9"/>
      <c r="Q578" s="9"/>
      <c r="R578" s="9"/>
      <c r="S578" s="9"/>
      <c r="T578" s="9"/>
      <c r="U578" s="9"/>
      <c r="V578" s="9"/>
      <c r="W578" s="9"/>
      <c r="X578" s="9"/>
      <c r="Y578" s="9"/>
    </row>
    <row r="579" spans="2:25" x14ac:dyDescent="0.2">
      <c r="B579" s="7"/>
      <c r="C579" s="9"/>
      <c r="D579" s="9"/>
      <c r="E579" s="9"/>
      <c r="F579" s="9"/>
      <c r="G579" s="16"/>
      <c r="H579" s="9"/>
      <c r="I579" s="9"/>
      <c r="J579" s="9"/>
      <c r="K579" s="72"/>
      <c r="L579" s="9"/>
      <c r="M579" s="9"/>
      <c r="N579" s="9"/>
      <c r="O579" s="9"/>
      <c r="P579" s="9"/>
      <c r="Q579" s="9"/>
      <c r="R579" s="9"/>
      <c r="S579" s="9"/>
      <c r="T579" s="9"/>
      <c r="U579" s="9"/>
      <c r="V579" s="9"/>
      <c r="W579" s="9"/>
      <c r="X579" s="9"/>
      <c r="Y579" s="9"/>
    </row>
    <row r="580" spans="2:25" x14ac:dyDescent="0.2">
      <c r="B580" s="7"/>
      <c r="C580" s="9"/>
      <c r="D580" s="9"/>
      <c r="E580" s="9"/>
      <c r="F580" s="9"/>
      <c r="G580" s="16"/>
      <c r="H580" s="9"/>
      <c r="I580" s="9"/>
      <c r="J580" s="9"/>
      <c r="K580" s="72"/>
      <c r="L580" s="9"/>
      <c r="M580" s="9"/>
      <c r="N580" s="9"/>
      <c r="O580" s="9"/>
      <c r="P580" s="9"/>
      <c r="Q580" s="9"/>
      <c r="R580" s="9"/>
      <c r="S580" s="9"/>
      <c r="T580" s="9"/>
      <c r="U580" s="9"/>
      <c r="V580" s="9"/>
      <c r="W580" s="9"/>
      <c r="X580" s="9"/>
      <c r="Y580" s="9"/>
    </row>
    <row r="581" spans="2:25" x14ac:dyDescent="0.2">
      <c r="B581" s="7"/>
      <c r="C581" s="9"/>
      <c r="D581" s="9"/>
      <c r="E581" s="9"/>
      <c r="F581" s="9"/>
      <c r="G581" s="16"/>
      <c r="H581" s="9"/>
      <c r="I581" s="9"/>
      <c r="J581" s="9"/>
      <c r="K581" s="72"/>
      <c r="L581" s="9"/>
      <c r="M581" s="9"/>
      <c r="N581" s="9"/>
      <c r="O581" s="9"/>
      <c r="P581" s="9"/>
      <c r="Q581" s="9"/>
      <c r="R581" s="9"/>
      <c r="S581" s="9"/>
      <c r="T581" s="9"/>
      <c r="U581" s="9"/>
      <c r="V581" s="9"/>
      <c r="W581" s="9"/>
      <c r="X581" s="9"/>
      <c r="Y581" s="9"/>
    </row>
    <row r="582" spans="2:25" x14ac:dyDescent="0.2">
      <c r="B582" s="7"/>
      <c r="C582" s="9"/>
      <c r="D582" s="9"/>
      <c r="E582" s="9"/>
      <c r="F582" s="9"/>
      <c r="G582" s="16"/>
      <c r="H582" s="9"/>
      <c r="I582" s="9"/>
      <c r="J582" s="9"/>
      <c r="K582" s="72"/>
      <c r="L582" s="9"/>
      <c r="M582" s="9"/>
      <c r="N582" s="9"/>
      <c r="O582" s="9"/>
      <c r="P582" s="9"/>
      <c r="Q582" s="9"/>
      <c r="R582" s="9"/>
      <c r="S582" s="9"/>
      <c r="T582" s="9"/>
      <c r="U582" s="9"/>
      <c r="V582" s="9"/>
      <c r="W582" s="9"/>
      <c r="X582" s="9"/>
      <c r="Y582" s="9"/>
    </row>
    <row r="583" spans="2:25" x14ac:dyDescent="0.2">
      <c r="B583" s="7"/>
      <c r="C583" s="9"/>
      <c r="D583" s="9"/>
      <c r="E583" s="9"/>
      <c r="F583" s="9"/>
      <c r="G583" s="16"/>
      <c r="H583" s="9"/>
      <c r="I583" s="9"/>
      <c r="J583" s="9"/>
      <c r="K583" s="72"/>
      <c r="L583" s="9"/>
      <c r="M583" s="9"/>
      <c r="N583" s="9"/>
      <c r="O583" s="9"/>
      <c r="P583" s="9"/>
      <c r="Q583" s="9"/>
      <c r="R583" s="9"/>
      <c r="S583" s="9"/>
      <c r="T583" s="9"/>
      <c r="U583" s="9"/>
      <c r="V583" s="9"/>
      <c r="W583" s="9"/>
      <c r="X583" s="9"/>
      <c r="Y583" s="9"/>
    </row>
    <row r="584" spans="2:25" x14ac:dyDescent="0.2">
      <c r="B584" s="7"/>
      <c r="C584" s="9"/>
      <c r="D584" s="9"/>
      <c r="E584" s="9"/>
      <c r="F584" s="9"/>
      <c r="G584" s="16"/>
      <c r="H584" s="9"/>
      <c r="I584" s="9"/>
      <c r="J584" s="9"/>
      <c r="K584" s="72"/>
      <c r="L584" s="9"/>
      <c r="M584" s="9"/>
      <c r="N584" s="9"/>
      <c r="O584" s="9"/>
      <c r="P584" s="9"/>
      <c r="Q584" s="9"/>
      <c r="R584" s="9"/>
      <c r="S584" s="9"/>
      <c r="T584" s="9"/>
      <c r="U584" s="9"/>
      <c r="V584" s="9"/>
      <c r="W584" s="9"/>
      <c r="X584" s="9"/>
      <c r="Y584" s="9"/>
    </row>
    <row r="585" spans="2:25" x14ac:dyDescent="0.2">
      <c r="B585" s="7"/>
      <c r="C585" s="9"/>
      <c r="D585" s="9"/>
      <c r="E585" s="9"/>
      <c r="F585" s="9"/>
      <c r="G585" s="16"/>
      <c r="H585" s="9"/>
      <c r="I585" s="9"/>
      <c r="J585" s="9"/>
      <c r="K585" s="72"/>
      <c r="L585" s="9"/>
      <c r="M585" s="9"/>
      <c r="N585" s="9"/>
      <c r="O585" s="9"/>
      <c r="P585" s="9"/>
      <c r="Q585" s="9"/>
      <c r="R585" s="9"/>
      <c r="S585" s="9"/>
      <c r="T585" s="9"/>
      <c r="U585" s="9"/>
      <c r="V585" s="9"/>
      <c r="W585" s="9"/>
      <c r="X585" s="9"/>
      <c r="Y585" s="9"/>
    </row>
    <row r="586" spans="2:25" x14ac:dyDescent="0.2">
      <c r="B586" s="7"/>
      <c r="C586" s="9"/>
      <c r="D586" s="9"/>
      <c r="E586" s="9"/>
      <c r="F586" s="9"/>
      <c r="G586" s="16"/>
      <c r="H586" s="9"/>
      <c r="I586" s="9"/>
      <c r="J586" s="9"/>
      <c r="K586" s="72"/>
      <c r="L586" s="9"/>
      <c r="M586" s="9"/>
      <c r="N586" s="9"/>
      <c r="O586" s="9"/>
      <c r="P586" s="9"/>
      <c r="Q586" s="9"/>
      <c r="R586" s="9"/>
      <c r="S586" s="9"/>
      <c r="T586" s="9"/>
      <c r="U586" s="9"/>
      <c r="V586" s="9"/>
      <c r="W586" s="9"/>
      <c r="X586" s="9"/>
      <c r="Y586" s="9"/>
    </row>
    <row r="587" spans="2:25" x14ac:dyDescent="0.2">
      <c r="B587" s="7"/>
      <c r="C587" s="9"/>
      <c r="D587" s="9"/>
      <c r="E587" s="9"/>
      <c r="F587" s="9"/>
      <c r="G587" s="16"/>
      <c r="H587" s="9"/>
      <c r="I587" s="9"/>
      <c r="J587" s="9"/>
      <c r="K587" s="72"/>
      <c r="L587" s="9"/>
      <c r="M587" s="9"/>
      <c r="N587" s="9"/>
      <c r="O587" s="9"/>
      <c r="P587" s="9"/>
      <c r="Q587" s="9"/>
      <c r="R587" s="9"/>
      <c r="S587" s="9"/>
      <c r="T587" s="9"/>
      <c r="U587" s="9"/>
      <c r="V587" s="9"/>
      <c r="W587" s="9"/>
      <c r="X587" s="9"/>
      <c r="Y587" s="9"/>
    </row>
    <row r="588" spans="2:25" x14ac:dyDescent="0.2">
      <c r="B588" s="7"/>
      <c r="C588" s="9"/>
      <c r="D588" s="9"/>
      <c r="E588" s="9"/>
      <c r="F588" s="9"/>
      <c r="G588" s="16"/>
      <c r="H588" s="9"/>
      <c r="I588" s="9"/>
      <c r="J588" s="9"/>
      <c r="K588" s="72"/>
      <c r="L588" s="9"/>
      <c r="M588" s="9"/>
      <c r="N588" s="9"/>
      <c r="O588" s="9"/>
      <c r="P588" s="9"/>
      <c r="Q588" s="9"/>
      <c r="R588" s="9"/>
      <c r="S588" s="9"/>
      <c r="T588" s="9"/>
      <c r="U588" s="9"/>
      <c r="V588" s="9"/>
      <c r="W588" s="9"/>
      <c r="X588" s="9"/>
      <c r="Y588" s="9"/>
    </row>
    <row r="589" spans="2:25" x14ac:dyDescent="0.2">
      <c r="B589" s="7"/>
      <c r="C589" s="9"/>
      <c r="D589" s="9"/>
      <c r="E589" s="9"/>
      <c r="F589" s="9"/>
      <c r="G589" s="16"/>
      <c r="H589" s="9"/>
      <c r="I589" s="9"/>
      <c r="J589" s="9"/>
      <c r="K589" s="72"/>
      <c r="L589" s="9"/>
      <c r="M589" s="9"/>
      <c r="N589" s="9"/>
      <c r="O589" s="9"/>
      <c r="P589" s="9"/>
      <c r="Q589" s="9"/>
      <c r="R589" s="9"/>
      <c r="S589" s="9"/>
      <c r="T589" s="9"/>
      <c r="U589" s="9"/>
      <c r="V589" s="9"/>
      <c r="W589" s="9"/>
      <c r="X589" s="9"/>
      <c r="Y589" s="9"/>
    </row>
    <row r="590" spans="2:25" x14ac:dyDescent="0.2">
      <c r="B590" s="7"/>
      <c r="C590" s="9"/>
      <c r="D590" s="9"/>
      <c r="E590" s="9"/>
      <c r="F590" s="9"/>
      <c r="G590" s="16"/>
      <c r="H590" s="9"/>
      <c r="I590" s="9"/>
      <c r="J590" s="9"/>
      <c r="K590" s="72"/>
      <c r="L590" s="9"/>
      <c r="M590" s="9"/>
      <c r="N590" s="9"/>
      <c r="O590" s="9"/>
      <c r="P590" s="9"/>
      <c r="Q590" s="9"/>
      <c r="R590" s="9"/>
      <c r="S590" s="9"/>
      <c r="T590" s="9"/>
      <c r="U590" s="9"/>
      <c r="V590" s="9"/>
      <c r="W590" s="9"/>
      <c r="X590" s="9"/>
      <c r="Y590" s="9"/>
    </row>
    <row r="591" spans="2:25" x14ac:dyDescent="0.2">
      <c r="B591" s="7"/>
      <c r="C591" s="9"/>
      <c r="D591" s="9"/>
      <c r="E591" s="9"/>
      <c r="F591" s="9"/>
      <c r="G591" s="16"/>
      <c r="H591" s="9"/>
      <c r="I591" s="9"/>
      <c r="J591" s="9"/>
      <c r="K591" s="72"/>
      <c r="L591" s="9"/>
      <c r="M591" s="9"/>
      <c r="N591" s="9"/>
      <c r="O591" s="9"/>
      <c r="P591" s="9"/>
      <c r="Q591" s="9"/>
      <c r="R591" s="9"/>
      <c r="S591" s="9"/>
      <c r="T591" s="9"/>
      <c r="U591" s="9"/>
      <c r="V591" s="9"/>
      <c r="W591" s="9"/>
      <c r="X591" s="9"/>
      <c r="Y591" s="9"/>
    </row>
    <row r="592" spans="2:25" x14ac:dyDescent="0.2">
      <c r="B592" s="7"/>
      <c r="C592" s="9"/>
      <c r="D592" s="9"/>
      <c r="E592" s="9"/>
      <c r="F592" s="9"/>
      <c r="G592" s="16"/>
      <c r="H592" s="9"/>
      <c r="I592" s="9"/>
      <c r="J592" s="9"/>
      <c r="K592" s="72"/>
      <c r="L592" s="9"/>
      <c r="M592" s="9"/>
      <c r="N592" s="9"/>
      <c r="O592" s="9"/>
      <c r="P592" s="9"/>
      <c r="Q592" s="9"/>
      <c r="R592" s="9"/>
      <c r="S592" s="9"/>
      <c r="T592" s="9"/>
      <c r="U592" s="9"/>
      <c r="V592" s="9"/>
      <c r="W592" s="9"/>
      <c r="X592" s="9"/>
      <c r="Y592" s="9"/>
    </row>
    <row r="593" spans="2:25" x14ac:dyDescent="0.2">
      <c r="B593" s="7"/>
      <c r="C593" s="9"/>
      <c r="D593" s="9"/>
      <c r="E593" s="9"/>
      <c r="F593" s="9"/>
      <c r="G593" s="16"/>
      <c r="H593" s="9"/>
      <c r="I593" s="9"/>
      <c r="J593" s="9"/>
      <c r="K593" s="72"/>
      <c r="L593" s="9"/>
      <c r="M593" s="9"/>
      <c r="N593" s="9"/>
      <c r="O593" s="9"/>
      <c r="P593" s="9"/>
      <c r="Q593" s="9"/>
      <c r="R593" s="9"/>
      <c r="S593" s="9"/>
      <c r="T593" s="9"/>
      <c r="U593" s="9"/>
      <c r="V593" s="9"/>
      <c r="W593" s="9"/>
      <c r="X593" s="9"/>
      <c r="Y593" s="9"/>
    </row>
    <row r="594" spans="2:25" x14ac:dyDescent="0.2">
      <c r="B594" s="7"/>
      <c r="C594" s="9"/>
      <c r="D594" s="9"/>
      <c r="E594" s="9"/>
      <c r="F594" s="9"/>
      <c r="G594" s="16"/>
      <c r="H594" s="9"/>
      <c r="I594" s="9"/>
      <c r="J594" s="9"/>
      <c r="K594" s="72"/>
      <c r="L594" s="9"/>
      <c r="M594" s="9"/>
      <c r="N594" s="9"/>
      <c r="O594" s="9"/>
      <c r="P594" s="9"/>
      <c r="Q594" s="9"/>
      <c r="R594" s="9"/>
      <c r="S594" s="9"/>
      <c r="T594" s="9"/>
      <c r="U594" s="9"/>
      <c r="V594" s="9"/>
      <c r="W594" s="9"/>
      <c r="X594" s="9"/>
      <c r="Y594" s="9"/>
    </row>
    <row r="595" spans="2:25" x14ac:dyDescent="0.2">
      <c r="B595" s="7"/>
      <c r="C595" s="9"/>
      <c r="D595" s="9"/>
      <c r="E595" s="9"/>
      <c r="F595" s="9"/>
      <c r="G595" s="16"/>
      <c r="H595" s="9"/>
      <c r="I595" s="9"/>
      <c r="J595" s="9"/>
      <c r="K595" s="72"/>
      <c r="L595" s="9"/>
      <c r="M595" s="9"/>
      <c r="N595" s="9"/>
      <c r="O595" s="9"/>
      <c r="P595" s="9"/>
      <c r="Q595" s="9"/>
      <c r="R595" s="9"/>
      <c r="S595" s="9"/>
      <c r="T595" s="9"/>
      <c r="U595" s="9"/>
      <c r="V595" s="9"/>
      <c r="W595" s="9"/>
      <c r="X595" s="9"/>
      <c r="Y595" s="9"/>
    </row>
    <row r="596" spans="2:25" x14ac:dyDescent="0.2">
      <c r="B596" s="7"/>
      <c r="C596" s="9"/>
      <c r="D596" s="9"/>
      <c r="E596" s="9"/>
      <c r="F596" s="9"/>
      <c r="G596" s="16"/>
      <c r="H596" s="9"/>
      <c r="I596" s="9"/>
      <c r="J596" s="9"/>
      <c r="K596" s="72"/>
      <c r="L596" s="9"/>
      <c r="M596" s="9"/>
      <c r="N596" s="9"/>
      <c r="O596" s="9"/>
      <c r="P596" s="9"/>
      <c r="Q596" s="9"/>
      <c r="R596" s="9"/>
      <c r="S596" s="9"/>
      <c r="T596" s="9"/>
      <c r="U596" s="9"/>
      <c r="V596" s="9"/>
      <c r="W596" s="9"/>
      <c r="X596" s="9"/>
      <c r="Y596" s="9"/>
    </row>
    <row r="597" spans="2:25" x14ac:dyDescent="0.2">
      <c r="B597" s="7"/>
      <c r="C597" s="9"/>
      <c r="D597" s="9"/>
      <c r="E597" s="9"/>
      <c r="F597" s="9"/>
      <c r="G597" s="16"/>
      <c r="H597" s="9"/>
      <c r="I597" s="9"/>
      <c r="J597" s="9"/>
      <c r="K597" s="72"/>
      <c r="L597" s="9"/>
      <c r="M597" s="9"/>
      <c r="N597" s="9"/>
      <c r="O597" s="9"/>
      <c r="P597" s="9"/>
      <c r="Q597" s="9"/>
      <c r="R597" s="9"/>
      <c r="S597" s="9"/>
      <c r="T597" s="9"/>
      <c r="U597" s="9"/>
      <c r="V597" s="9"/>
      <c r="W597" s="9"/>
      <c r="X597" s="9"/>
      <c r="Y597" s="9"/>
    </row>
    <row r="598" spans="2:25" x14ac:dyDescent="0.2">
      <c r="B598" s="7"/>
      <c r="C598" s="9"/>
      <c r="D598" s="9"/>
      <c r="E598" s="9"/>
      <c r="F598" s="9"/>
      <c r="G598" s="16"/>
      <c r="H598" s="9"/>
      <c r="I598" s="9"/>
      <c r="J598" s="9"/>
      <c r="K598" s="72"/>
      <c r="L598" s="9"/>
      <c r="M598" s="9"/>
      <c r="N598" s="9"/>
      <c r="O598" s="9"/>
      <c r="P598" s="9"/>
      <c r="Q598" s="9"/>
      <c r="R598" s="9"/>
      <c r="S598" s="9"/>
      <c r="T598" s="9"/>
      <c r="U598" s="9"/>
      <c r="V598" s="9"/>
      <c r="W598" s="9"/>
      <c r="X598" s="9"/>
      <c r="Y598" s="9"/>
    </row>
    <row r="599" spans="2:25" x14ac:dyDescent="0.2">
      <c r="B599" s="7"/>
      <c r="C599" s="9"/>
      <c r="D599" s="9"/>
      <c r="E599" s="9"/>
      <c r="F599" s="9"/>
      <c r="G599" s="16"/>
      <c r="H599" s="9"/>
      <c r="I599" s="9"/>
      <c r="J599" s="9"/>
      <c r="K599" s="72"/>
      <c r="L599" s="9"/>
      <c r="M599" s="9"/>
      <c r="N599" s="9"/>
      <c r="O599" s="9"/>
      <c r="P599" s="9"/>
      <c r="Q599" s="9"/>
      <c r="R599" s="9"/>
      <c r="S599" s="9"/>
      <c r="T599" s="9"/>
      <c r="U599" s="9"/>
      <c r="V599" s="9"/>
      <c r="W599" s="9"/>
      <c r="X599" s="9"/>
      <c r="Y599" s="9"/>
    </row>
    <row r="600" spans="2:25" x14ac:dyDescent="0.2">
      <c r="B600" s="7"/>
      <c r="C600" s="9"/>
      <c r="D600" s="9"/>
      <c r="E600" s="9"/>
      <c r="F600" s="9"/>
      <c r="G600" s="16"/>
      <c r="H600" s="9"/>
      <c r="I600" s="9"/>
      <c r="J600" s="9"/>
      <c r="K600" s="72"/>
      <c r="L600" s="9"/>
      <c r="M600" s="9"/>
      <c r="N600" s="9"/>
      <c r="O600" s="9"/>
      <c r="P600" s="9"/>
      <c r="Q600" s="9"/>
      <c r="R600" s="9"/>
      <c r="S600" s="9"/>
      <c r="T600" s="9"/>
      <c r="U600" s="9"/>
      <c r="V600" s="9"/>
      <c r="W600" s="9"/>
      <c r="X600" s="9"/>
      <c r="Y600" s="9"/>
    </row>
    <row r="601" spans="2:25" x14ac:dyDescent="0.2">
      <c r="B601" s="7"/>
      <c r="C601" s="9"/>
      <c r="D601" s="9"/>
      <c r="E601" s="9"/>
      <c r="F601" s="9"/>
      <c r="G601" s="16"/>
      <c r="H601" s="9"/>
      <c r="I601" s="9"/>
      <c r="J601" s="9"/>
      <c r="K601" s="72"/>
      <c r="L601" s="9"/>
      <c r="M601" s="9"/>
      <c r="N601" s="9"/>
      <c r="O601" s="9"/>
      <c r="P601" s="9"/>
      <c r="Q601" s="9"/>
      <c r="R601" s="9"/>
      <c r="S601" s="9"/>
      <c r="T601" s="9"/>
      <c r="U601" s="9"/>
      <c r="V601" s="9"/>
      <c r="W601" s="9"/>
      <c r="X601" s="9"/>
      <c r="Y601" s="9"/>
    </row>
    <row r="602" spans="2:25" x14ac:dyDescent="0.2">
      <c r="B602" s="7"/>
      <c r="C602" s="9"/>
      <c r="D602" s="9"/>
      <c r="E602" s="9"/>
      <c r="F602" s="9"/>
      <c r="G602" s="16"/>
      <c r="H602" s="9"/>
      <c r="I602" s="9"/>
      <c r="J602" s="9"/>
      <c r="K602" s="72"/>
      <c r="L602" s="9"/>
      <c r="M602" s="9"/>
      <c r="N602" s="9"/>
      <c r="O602" s="9"/>
      <c r="P602" s="9"/>
      <c r="Q602" s="9"/>
      <c r="R602" s="9"/>
      <c r="S602" s="9"/>
      <c r="T602" s="9"/>
      <c r="U602" s="9"/>
      <c r="V602" s="9"/>
      <c r="W602" s="9"/>
      <c r="X602" s="9"/>
      <c r="Y602" s="9"/>
    </row>
    <row r="603" spans="2:25" x14ac:dyDescent="0.2">
      <c r="B603" s="7"/>
      <c r="C603" s="9"/>
      <c r="D603" s="9"/>
      <c r="E603" s="9"/>
      <c r="F603" s="9"/>
      <c r="G603" s="16"/>
      <c r="H603" s="9"/>
      <c r="I603" s="9"/>
      <c r="J603" s="9"/>
      <c r="K603" s="72"/>
      <c r="L603" s="9"/>
      <c r="M603" s="9"/>
      <c r="N603" s="9"/>
      <c r="O603" s="9"/>
      <c r="P603" s="9"/>
      <c r="Q603" s="9"/>
      <c r="R603" s="9"/>
      <c r="S603" s="9"/>
      <c r="T603" s="9"/>
      <c r="U603" s="9"/>
      <c r="V603" s="9"/>
      <c r="W603" s="9"/>
      <c r="X603" s="9"/>
      <c r="Y603" s="9"/>
    </row>
    <row r="604" spans="2:25" x14ac:dyDescent="0.2">
      <c r="B604" s="7"/>
      <c r="C604" s="9"/>
      <c r="D604" s="9"/>
      <c r="E604" s="9"/>
      <c r="F604" s="9"/>
      <c r="G604" s="16"/>
      <c r="H604" s="9"/>
      <c r="I604" s="9"/>
      <c r="J604" s="9"/>
      <c r="K604" s="72"/>
      <c r="L604" s="9"/>
      <c r="M604" s="9"/>
      <c r="N604" s="9"/>
      <c r="O604" s="9"/>
      <c r="P604" s="9"/>
      <c r="Q604" s="9"/>
      <c r="R604" s="9"/>
      <c r="S604" s="9"/>
      <c r="T604" s="9"/>
      <c r="U604" s="9"/>
      <c r="V604" s="9"/>
      <c r="W604" s="9"/>
      <c r="X604" s="9"/>
      <c r="Y604" s="9"/>
    </row>
    <row r="605" spans="2:25" x14ac:dyDescent="0.2">
      <c r="B605" s="7"/>
      <c r="C605" s="9"/>
      <c r="D605" s="9"/>
      <c r="E605" s="9"/>
      <c r="F605" s="9"/>
      <c r="G605" s="16"/>
      <c r="H605" s="9"/>
      <c r="I605" s="9"/>
      <c r="J605" s="9"/>
      <c r="K605" s="72"/>
      <c r="L605" s="9"/>
      <c r="M605" s="9"/>
      <c r="N605" s="9"/>
      <c r="O605" s="9"/>
      <c r="P605" s="9"/>
      <c r="Q605" s="9"/>
      <c r="R605" s="9"/>
      <c r="S605" s="9"/>
      <c r="T605" s="9"/>
      <c r="U605" s="9"/>
      <c r="V605" s="9"/>
      <c r="W605" s="9"/>
      <c r="X605" s="9"/>
      <c r="Y605" s="9"/>
    </row>
    <row r="606" spans="2:25" x14ac:dyDescent="0.2">
      <c r="B606" s="7"/>
      <c r="C606" s="9"/>
      <c r="D606" s="9"/>
      <c r="E606" s="9"/>
      <c r="F606" s="9"/>
      <c r="G606" s="16"/>
      <c r="H606" s="9"/>
      <c r="I606" s="9"/>
      <c r="J606" s="9"/>
      <c r="K606" s="72"/>
      <c r="L606" s="9"/>
      <c r="M606" s="9"/>
      <c r="N606" s="9"/>
      <c r="O606" s="9"/>
      <c r="P606" s="9"/>
      <c r="Q606" s="9"/>
      <c r="R606" s="9"/>
      <c r="S606" s="9"/>
      <c r="T606" s="9"/>
      <c r="U606" s="9"/>
      <c r="V606" s="9"/>
      <c r="W606" s="9"/>
      <c r="X606" s="9"/>
      <c r="Y606" s="9"/>
    </row>
    <row r="607" spans="2:25" x14ac:dyDescent="0.2">
      <c r="B607" s="7"/>
      <c r="C607" s="9"/>
      <c r="D607" s="9"/>
      <c r="E607" s="9"/>
      <c r="F607" s="9"/>
      <c r="G607" s="16"/>
      <c r="H607" s="9"/>
      <c r="I607" s="9"/>
      <c r="J607" s="9"/>
      <c r="K607" s="72"/>
      <c r="L607" s="9"/>
      <c r="M607" s="9"/>
      <c r="N607" s="9"/>
      <c r="O607" s="9"/>
      <c r="P607" s="9"/>
      <c r="Q607" s="9"/>
      <c r="R607" s="9"/>
      <c r="S607" s="9"/>
      <c r="T607" s="9"/>
      <c r="U607" s="9"/>
      <c r="V607" s="9"/>
      <c r="W607" s="9"/>
      <c r="X607" s="9"/>
      <c r="Y607" s="9"/>
    </row>
    <row r="608" spans="2:25" x14ac:dyDescent="0.2">
      <c r="B608" s="7"/>
      <c r="C608" s="9"/>
      <c r="D608" s="9"/>
      <c r="E608" s="9"/>
      <c r="F608" s="9"/>
      <c r="G608" s="16"/>
      <c r="H608" s="9"/>
      <c r="I608" s="9"/>
      <c r="J608" s="9"/>
      <c r="K608" s="72"/>
      <c r="L608" s="9"/>
      <c r="M608" s="9"/>
      <c r="N608" s="9"/>
      <c r="O608" s="9"/>
      <c r="P608" s="9"/>
      <c r="Q608" s="9"/>
      <c r="R608" s="9"/>
      <c r="S608" s="9"/>
      <c r="T608" s="9"/>
      <c r="U608" s="9"/>
      <c r="V608" s="9"/>
      <c r="W608" s="9"/>
      <c r="X608" s="9"/>
      <c r="Y608" s="9"/>
    </row>
    <row r="609" spans="2:25" x14ac:dyDescent="0.2">
      <c r="B609" s="7"/>
      <c r="C609" s="9"/>
      <c r="D609" s="9"/>
      <c r="E609" s="9"/>
      <c r="F609" s="9"/>
      <c r="G609" s="16"/>
      <c r="H609" s="9"/>
      <c r="I609" s="9"/>
      <c r="J609" s="9"/>
      <c r="K609" s="72"/>
      <c r="L609" s="9"/>
      <c r="M609" s="9"/>
      <c r="N609" s="9"/>
      <c r="O609" s="9"/>
      <c r="P609" s="9"/>
      <c r="Q609" s="9"/>
      <c r="R609" s="9"/>
      <c r="S609" s="9"/>
      <c r="T609" s="9"/>
      <c r="U609" s="9"/>
      <c r="V609" s="9"/>
      <c r="W609" s="9"/>
      <c r="X609" s="9"/>
      <c r="Y609" s="9"/>
    </row>
    <row r="610" spans="2:25" x14ac:dyDescent="0.2">
      <c r="B610" s="7"/>
      <c r="C610" s="9"/>
      <c r="D610" s="9"/>
      <c r="E610" s="9"/>
      <c r="F610" s="9"/>
      <c r="G610" s="16"/>
      <c r="H610" s="9"/>
      <c r="I610" s="9"/>
      <c r="J610" s="9"/>
      <c r="K610" s="72"/>
      <c r="L610" s="9"/>
      <c r="M610" s="9"/>
      <c r="N610" s="9"/>
      <c r="O610" s="9"/>
      <c r="P610" s="9"/>
      <c r="Q610" s="9"/>
      <c r="R610" s="9"/>
      <c r="S610" s="9"/>
      <c r="T610" s="9"/>
      <c r="U610" s="9"/>
      <c r="V610" s="9"/>
      <c r="W610" s="9"/>
      <c r="X610" s="9"/>
      <c r="Y610" s="9"/>
    </row>
    <row r="611" spans="2:25" x14ac:dyDescent="0.2">
      <c r="B611" s="7"/>
      <c r="C611" s="9"/>
      <c r="D611" s="9"/>
      <c r="E611" s="9"/>
      <c r="F611" s="9"/>
      <c r="G611" s="16"/>
      <c r="H611" s="9"/>
      <c r="I611" s="9"/>
      <c r="J611" s="9"/>
      <c r="K611" s="72"/>
      <c r="L611" s="9"/>
      <c r="M611" s="9"/>
      <c r="N611" s="9"/>
      <c r="O611" s="9"/>
      <c r="P611" s="9"/>
      <c r="Q611" s="9"/>
      <c r="R611" s="9"/>
      <c r="S611" s="9"/>
      <c r="T611" s="9"/>
      <c r="U611" s="9"/>
      <c r="V611" s="9"/>
      <c r="W611" s="9"/>
      <c r="X611" s="9"/>
      <c r="Y611" s="9"/>
    </row>
    <row r="612" spans="2:25" x14ac:dyDescent="0.2">
      <c r="B612" s="7"/>
      <c r="C612" s="9"/>
      <c r="D612" s="9"/>
      <c r="E612" s="9"/>
      <c r="F612" s="9"/>
      <c r="G612" s="16"/>
      <c r="H612" s="9"/>
      <c r="I612" s="9"/>
      <c r="J612" s="9"/>
      <c r="K612" s="72"/>
      <c r="L612" s="9"/>
      <c r="M612" s="9"/>
      <c r="N612" s="9"/>
      <c r="O612" s="9"/>
      <c r="P612" s="9"/>
      <c r="Q612" s="9"/>
      <c r="R612" s="9"/>
      <c r="S612" s="9"/>
      <c r="T612" s="9"/>
      <c r="U612" s="9"/>
      <c r="V612" s="9"/>
      <c r="W612" s="9"/>
      <c r="X612" s="9"/>
      <c r="Y612" s="9"/>
    </row>
    <row r="613" spans="2:25" x14ac:dyDescent="0.2">
      <c r="B613" s="7"/>
      <c r="C613" s="9"/>
      <c r="D613" s="9"/>
      <c r="E613" s="9"/>
      <c r="F613" s="9"/>
      <c r="G613" s="16"/>
      <c r="H613" s="9"/>
      <c r="I613" s="9"/>
      <c r="J613" s="9"/>
      <c r="K613" s="72"/>
      <c r="L613" s="9"/>
      <c r="M613" s="9"/>
      <c r="N613" s="9"/>
      <c r="O613" s="9"/>
      <c r="P613" s="9"/>
      <c r="Q613" s="9"/>
      <c r="R613" s="9"/>
      <c r="S613" s="9"/>
      <c r="T613" s="9"/>
      <c r="U613" s="9"/>
      <c r="V613" s="9"/>
      <c r="W613" s="9"/>
      <c r="X613" s="9"/>
      <c r="Y613" s="9"/>
    </row>
    <row r="614" spans="2:25" x14ac:dyDescent="0.2">
      <c r="B614" s="7"/>
      <c r="C614" s="9"/>
      <c r="D614" s="9"/>
      <c r="E614" s="9"/>
      <c r="F614" s="9"/>
      <c r="G614" s="16"/>
      <c r="H614" s="9"/>
      <c r="I614" s="9"/>
      <c r="J614" s="9"/>
      <c r="K614" s="72"/>
      <c r="L614" s="9"/>
      <c r="M614" s="9"/>
      <c r="N614" s="9"/>
      <c r="O614" s="9"/>
      <c r="P614" s="9"/>
      <c r="Q614" s="9"/>
      <c r="R614" s="9"/>
      <c r="S614" s="9"/>
      <c r="T614" s="9"/>
      <c r="U614" s="9"/>
      <c r="V614" s="9"/>
      <c r="W614" s="9"/>
      <c r="X614" s="9"/>
      <c r="Y614" s="9"/>
    </row>
    <row r="615" spans="2:25" x14ac:dyDescent="0.2">
      <c r="B615" s="7"/>
      <c r="C615" s="9"/>
      <c r="D615" s="9"/>
      <c r="E615" s="9"/>
      <c r="F615" s="9"/>
      <c r="G615" s="16"/>
      <c r="H615" s="9"/>
      <c r="I615" s="9"/>
      <c r="J615" s="9"/>
      <c r="K615" s="72"/>
      <c r="L615" s="9"/>
      <c r="M615" s="9"/>
      <c r="N615" s="9"/>
      <c r="O615" s="9"/>
      <c r="P615" s="9"/>
      <c r="Q615" s="9"/>
      <c r="R615" s="9"/>
      <c r="S615" s="9"/>
      <c r="T615" s="9"/>
      <c r="U615" s="9"/>
      <c r="V615" s="9"/>
      <c r="W615" s="9"/>
      <c r="X615" s="9"/>
      <c r="Y615" s="9"/>
    </row>
    <row r="616" spans="2:25" x14ac:dyDescent="0.2">
      <c r="B616" s="7"/>
      <c r="C616" s="9"/>
      <c r="D616" s="9"/>
      <c r="E616" s="9"/>
      <c r="F616" s="9"/>
      <c r="G616" s="16"/>
      <c r="H616" s="9"/>
      <c r="I616" s="9"/>
      <c r="J616" s="9"/>
      <c r="K616" s="72"/>
      <c r="L616" s="9"/>
      <c r="M616" s="9"/>
      <c r="N616" s="9"/>
      <c r="O616" s="9"/>
      <c r="P616" s="9"/>
      <c r="Q616" s="9"/>
      <c r="R616" s="9"/>
      <c r="S616" s="9"/>
      <c r="T616" s="9"/>
      <c r="U616" s="9"/>
      <c r="V616" s="9"/>
      <c r="W616" s="9"/>
      <c r="X616" s="9"/>
      <c r="Y616" s="9"/>
    </row>
    <row r="617" spans="2:25" x14ac:dyDescent="0.2">
      <c r="B617" s="7"/>
      <c r="C617" s="9"/>
      <c r="D617" s="9"/>
      <c r="E617" s="9"/>
      <c r="F617" s="9"/>
      <c r="G617" s="16"/>
      <c r="H617" s="9"/>
      <c r="I617" s="9"/>
      <c r="J617" s="9"/>
      <c r="K617" s="72"/>
      <c r="L617" s="9"/>
      <c r="M617" s="9"/>
      <c r="N617" s="9"/>
      <c r="O617" s="9"/>
      <c r="P617" s="9"/>
      <c r="Q617" s="9"/>
      <c r="R617" s="9"/>
      <c r="S617" s="9"/>
      <c r="T617" s="9"/>
      <c r="U617" s="9"/>
      <c r="V617" s="9"/>
      <c r="W617" s="9"/>
      <c r="X617" s="9"/>
      <c r="Y617" s="9"/>
    </row>
    <row r="618" spans="2:25" x14ac:dyDescent="0.2">
      <c r="B618" s="7"/>
      <c r="C618" s="9"/>
      <c r="D618" s="9"/>
      <c r="E618" s="9"/>
      <c r="F618" s="9"/>
      <c r="G618" s="16"/>
      <c r="H618" s="9"/>
      <c r="I618" s="9"/>
      <c r="J618" s="9"/>
      <c r="K618" s="72"/>
      <c r="L618" s="9"/>
      <c r="M618" s="9"/>
      <c r="N618" s="9"/>
      <c r="O618" s="9"/>
      <c r="P618" s="9"/>
      <c r="Q618" s="9"/>
      <c r="R618" s="9"/>
      <c r="S618" s="9"/>
      <c r="T618" s="9"/>
      <c r="U618" s="9"/>
      <c r="V618" s="9"/>
      <c r="W618" s="9"/>
      <c r="X618" s="9"/>
      <c r="Y618" s="9"/>
    </row>
    <row r="619" spans="2:25" x14ac:dyDescent="0.2">
      <c r="B619" s="7"/>
      <c r="C619" s="9"/>
      <c r="D619" s="9"/>
      <c r="E619" s="9"/>
      <c r="F619" s="9"/>
      <c r="G619" s="16"/>
      <c r="H619" s="9"/>
      <c r="I619" s="9"/>
      <c r="J619" s="9"/>
      <c r="K619" s="72"/>
      <c r="L619" s="9"/>
      <c r="M619" s="9"/>
      <c r="N619" s="9"/>
      <c r="O619" s="9"/>
      <c r="P619" s="9"/>
      <c r="Q619" s="9"/>
      <c r="R619" s="9"/>
      <c r="S619" s="9"/>
      <c r="T619" s="9"/>
      <c r="U619" s="9"/>
      <c r="V619" s="9"/>
      <c r="W619" s="9"/>
      <c r="X619" s="9"/>
      <c r="Y619" s="9"/>
    </row>
    <row r="620" spans="2:25" x14ac:dyDescent="0.2">
      <c r="B620" s="7"/>
      <c r="C620" s="9"/>
      <c r="D620" s="9"/>
      <c r="E620" s="9"/>
      <c r="F620" s="9"/>
      <c r="G620" s="16"/>
      <c r="H620" s="9"/>
      <c r="I620" s="9"/>
      <c r="J620" s="9"/>
      <c r="K620" s="72"/>
      <c r="L620" s="9"/>
      <c r="M620" s="9"/>
      <c r="N620" s="9"/>
      <c r="O620" s="9"/>
      <c r="P620" s="9"/>
      <c r="Q620" s="9"/>
      <c r="R620" s="9"/>
      <c r="S620" s="9"/>
      <c r="T620" s="9"/>
      <c r="U620" s="9"/>
      <c r="V620" s="9"/>
      <c r="W620" s="9"/>
      <c r="X620" s="9"/>
      <c r="Y620" s="9"/>
    </row>
    <row r="621" spans="2:25" x14ac:dyDescent="0.2">
      <c r="B621" s="7"/>
      <c r="C621" s="9"/>
      <c r="D621" s="9"/>
      <c r="E621" s="9"/>
      <c r="F621" s="9"/>
      <c r="G621" s="16"/>
      <c r="H621" s="9"/>
      <c r="I621" s="9"/>
      <c r="J621" s="9"/>
      <c r="K621" s="72"/>
      <c r="L621" s="9"/>
      <c r="M621" s="9"/>
      <c r="N621" s="9"/>
      <c r="O621" s="9"/>
      <c r="P621" s="9"/>
      <c r="Q621" s="9"/>
      <c r="R621" s="9"/>
      <c r="S621" s="9"/>
      <c r="T621" s="9"/>
      <c r="U621" s="9"/>
      <c r="V621" s="9"/>
      <c r="W621" s="9"/>
      <c r="X621" s="9"/>
      <c r="Y621" s="9"/>
    </row>
    <row r="622" spans="2:25" x14ac:dyDescent="0.2">
      <c r="B622" s="7"/>
      <c r="C622" s="9"/>
      <c r="D622" s="9"/>
      <c r="E622" s="9"/>
      <c r="F622" s="9"/>
      <c r="G622" s="16"/>
      <c r="H622" s="9"/>
      <c r="I622" s="9"/>
      <c r="J622" s="9"/>
      <c r="K622" s="72"/>
      <c r="L622" s="9"/>
      <c r="M622" s="9"/>
      <c r="N622" s="9"/>
      <c r="O622" s="9"/>
      <c r="P622" s="9"/>
      <c r="Q622" s="9"/>
      <c r="R622" s="9"/>
      <c r="S622" s="9"/>
      <c r="T622" s="9"/>
      <c r="U622" s="9"/>
      <c r="V622" s="9"/>
      <c r="W622" s="9"/>
      <c r="X622" s="9"/>
      <c r="Y622" s="9"/>
    </row>
    <row r="623" spans="2:25" x14ac:dyDescent="0.2">
      <c r="B623" s="7"/>
      <c r="C623" s="9"/>
      <c r="D623" s="9"/>
      <c r="E623" s="9"/>
      <c r="F623" s="9"/>
      <c r="G623" s="16"/>
      <c r="H623" s="9"/>
      <c r="I623" s="9"/>
      <c r="J623" s="9"/>
      <c r="K623" s="72"/>
      <c r="L623" s="9"/>
      <c r="M623" s="9"/>
      <c r="N623" s="9"/>
      <c r="O623" s="9"/>
      <c r="P623" s="9"/>
      <c r="Q623" s="9"/>
      <c r="R623" s="9"/>
      <c r="S623" s="9"/>
      <c r="T623" s="9"/>
      <c r="U623" s="9"/>
      <c r="V623" s="9"/>
      <c r="W623" s="9"/>
      <c r="X623" s="9"/>
      <c r="Y623" s="9"/>
    </row>
    <row r="624" spans="2:25" x14ac:dyDescent="0.2">
      <c r="B624" s="7"/>
      <c r="C624" s="9"/>
      <c r="D624" s="9"/>
      <c r="E624" s="9"/>
      <c r="F624" s="9"/>
      <c r="G624" s="16"/>
      <c r="H624" s="9"/>
      <c r="I624" s="9"/>
      <c r="J624" s="9"/>
      <c r="K624" s="72"/>
      <c r="L624" s="9"/>
      <c r="M624" s="9"/>
      <c r="N624" s="9"/>
      <c r="O624" s="9"/>
      <c r="P624" s="9"/>
      <c r="Q624" s="9"/>
      <c r="R624" s="9"/>
      <c r="S624" s="9"/>
      <c r="T624" s="9"/>
      <c r="U624" s="9"/>
      <c r="V624" s="9"/>
      <c r="W624" s="9"/>
      <c r="X624" s="9"/>
      <c r="Y624" s="9"/>
    </row>
    <row r="625" spans="2:25" x14ac:dyDescent="0.2">
      <c r="B625" s="7"/>
      <c r="C625" s="9"/>
      <c r="D625" s="9"/>
      <c r="E625" s="9"/>
      <c r="F625" s="9"/>
      <c r="G625" s="16"/>
      <c r="H625" s="9"/>
      <c r="I625" s="9"/>
      <c r="J625" s="9"/>
      <c r="K625" s="72"/>
      <c r="L625" s="9"/>
      <c r="M625" s="9"/>
      <c r="N625" s="9"/>
      <c r="O625" s="9"/>
      <c r="P625" s="9"/>
      <c r="Q625" s="9"/>
      <c r="R625" s="9"/>
      <c r="S625" s="9"/>
      <c r="T625" s="9"/>
      <c r="U625" s="9"/>
      <c r="V625" s="9"/>
      <c r="W625" s="9"/>
      <c r="X625" s="9"/>
      <c r="Y625" s="9"/>
    </row>
    <row r="626" spans="2:25" x14ac:dyDescent="0.2">
      <c r="B626" s="7"/>
      <c r="C626" s="9"/>
      <c r="D626" s="9"/>
      <c r="E626" s="9"/>
      <c r="F626" s="9"/>
      <c r="G626" s="16"/>
      <c r="H626" s="9"/>
      <c r="I626" s="9"/>
      <c r="J626" s="9"/>
      <c r="K626" s="72"/>
      <c r="L626" s="9"/>
      <c r="M626" s="9"/>
      <c r="N626" s="9"/>
      <c r="O626" s="9"/>
      <c r="P626" s="9"/>
      <c r="Q626" s="9"/>
      <c r="R626" s="9"/>
      <c r="S626" s="9"/>
      <c r="T626" s="9"/>
      <c r="U626" s="9"/>
      <c r="V626" s="9"/>
      <c r="W626" s="9"/>
      <c r="X626" s="9"/>
      <c r="Y626" s="9"/>
    </row>
    <row r="627" spans="2:25" x14ac:dyDescent="0.2">
      <c r="B627" s="7"/>
      <c r="C627" s="9"/>
      <c r="D627" s="9"/>
      <c r="E627" s="9"/>
      <c r="F627" s="9"/>
      <c r="G627" s="16"/>
      <c r="H627" s="9"/>
      <c r="I627" s="9"/>
      <c r="J627" s="9"/>
      <c r="K627" s="72"/>
      <c r="L627" s="9"/>
      <c r="M627" s="9"/>
      <c r="N627" s="9"/>
      <c r="O627" s="9"/>
      <c r="P627" s="9"/>
      <c r="Q627" s="9"/>
      <c r="R627" s="9"/>
      <c r="S627" s="9"/>
      <c r="T627" s="9"/>
      <c r="U627" s="9"/>
      <c r="V627" s="9"/>
      <c r="W627" s="9"/>
      <c r="X627" s="9"/>
      <c r="Y627" s="9"/>
    </row>
    <row r="628" spans="2:25" x14ac:dyDescent="0.2">
      <c r="B628" s="7"/>
      <c r="C628" s="9"/>
      <c r="D628" s="9"/>
      <c r="E628" s="9"/>
      <c r="F628" s="9"/>
      <c r="G628" s="16"/>
      <c r="H628" s="9"/>
      <c r="I628" s="9"/>
      <c r="J628" s="9"/>
      <c r="K628" s="72"/>
      <c r="L628" s="9"/>
      <c r="M628" s="9"/>
      <c r="N628" s="9"/>
      <c r="O628" s="9"/>
      <c r="P628" s="9"/>
      <c r="Q628" s="9"/>
      <c r="R628" s="9"/>
      <c r="S628" s="9"/>
      <c r="T628" s="9"/>
      <c r="U628" s="9"/>
      <c r="V628" s="9"/>
      <c r="W628" s="9"/>
      <c r="X628" s="9"/>
      <c r="Y628" s="9"/>
    </row>
    <row r="629" spans="2:25" x14ac:dyDescent="0.2">
      <c r="B629" s="7"/>
      <c r="C629" s="9"/>
      <c r="D629" s="9"/>
      <c r="E629" s="9"/>
      <c r="F629" s="9"/>
      <c r="G629" s="16"/>
      <c r="H629" s="9"/>
      <c r="I629" s="9"/>
      <c r="J629" s="9"/>
      <c r="K629" s="72"/>
      <c r="L629" s="9"/>
      <c r="M629" s="9"/>
      <c r="N629" s="9"/>
      <c r="O629" s="9"/>
      <c r="P629" s="9"/>
      <c r="Q629" s="9"/>
      <c r="R629" s="9"/>
      <c r="S629" s="9"/>
      <c r="T629" s="9"/>
      <c r="U629" s="9"/>
      <c r="V629" s="9"/>
      <c r="W629" s="9"/>
      <c r="X629" s="9"/>
      <c r="Y629" s="9"/>
    </row>
    <row r="630" spans="2:25" x14ac:dyDescent="0.2">
      <c r="B630" s="7"/>
      <c r="C630" s="9"/>
      <c r="D630" s="9"/>
      <c r="E630" s="9"/>
      <c r="F630" s="9"/>
      <c r="G630" s="16"/>
      <c r="H630" s="9"/>
      <c r="I630" s="9"/>
      <c r="J630" s="9"/>
      <c r="K630" s="72"/>
      <c r="L630" s="9"/>
      <c r="M630" s="9"/>
      <c r="N630" s="9"/>
      <c r="O630" s="9"/>
      <c r="P630" s="9"/>
      <c r="Q630" s="9"/>
      <c r="R630" s="9"/>
      <c r="S630" s="9"/>
      <c r="T630" s="9"/>
      <c r="U630" s="9"/>
      <c r="V630" s="9"/>
      <c r="W630" s="9"/>
      <c r="X630" s="9"/>
      <c r="Y630" s="9"/>
    </row>
    <row r="631" spans="2:25" x14ac:dyDescent="0.2">
      <c r="B631" s="7"/>
      <c r="C631" s="9"/>
      <c r="D631" s="9"/>
      <c r="E631" s="9"/>
      <c r="F631" s="9"/>
      <c r="G631" s="16"/>
      <c r="H631" s="9"/>
      <c r="I631" s="9"/>
      <c r="J631" s="9"/>
      <c r="K631" s="72"/>
      <c r="L631" s="9"/>
      <c r="M631" s="9"/>
      <c r="N631" s="9"/>
      <c r="O631" s="9"/>
      <c r="P631" s="9"/>
      <c r="Q631" s="9"/>
      <c r="R631" s="9"/>
      <c r="S631" s="9"/>
      <c r="T631" s="9"/>
      <c r="U631" s="9"/>
      <c r="V631" s="9"/>
      <c r="W631" s="9"/>
      <c r="X631" s="9"/>
      <c r="Y631" s="9"/>
    </row>
    <row r="632" spans="2:25" x14ac:dyDescent="0.2">
      <c r="B632" s="7"/>
      <c r="C632" s="9"/>
      <c r="D632" s="9"/>
      <c r="E632" s="9"/>
      <c r="F632" s="9"/>
      <c r="G632" s="16"/>
      <c r="H632" s="9"/>
      <c r="I632" s="9"/>
      <c r="J632" s="9"/>
      <c r="K632" s="72"/>
      <c r="L632" s="9"/>
      <c r="M632" s="9"/>
      <c r="N632" s="9"/>
      <c r="O632" s="9"/>
      <c r="P632" s="9"/>
      <c r="Q632" s="9"/>
      <c r="R632" s="9"/>
      <c r="S632" s="9"/>
      <c r="T632" s="9"/>
      <c r="U632" s="9"/>
      <c r="V632" s="9"/>
      <c r="W632" s="9"/>
      <c r="X632" s="9"/>
      <c r="Y632" s="9"/>
    </row>
    <row r="633" spans="2:25" x14ac:dyDescent="0.2">
      <c r="B633" s="7"/>
      <c r="C633" s="9"/>
      <c r="D633" s="9"/>
      <c r="E633" s="9"/>
      <c r="F633" s="9"/>
      <c r="G633" s="16"/>
      <c r="H633" s="9"/>
      <c r="I633" s="9"/>
      <c r="J633" s="9"/>
      <c r="K633" s="72"/>
      <c r="L633" s="9"/>
      <c r="M633" s="9"/>
      <c r="N633" s="9"/>
      <c r="O633" s="9"/>
      <c r="P633" s="9"/>
      <c r="Q633" s="9"/>
      <c r="R633" s="9"/>
      <c r="S633" s="9"/>
      <c r="T633" s="9"/>
      <c r="U633" s="9"/>
      <c r="V633" s="9"/>
      <c r="W633" s="9"/>
      <c r="X633" s="9"/>
      <c r="Y633" s="9"/>
    </row>
    <row r="634" spans="2:25" x14ac:dyDescent="0.2">
      <c r="B634" s="7"/>
      <c r="C634" s="9"/>
      <c r="D634" s="9"/>
      <c r="E634" s="9"/>
      <c r="F634" s="9"/>
      <c r="G634" s="16"/>
      <c r="H634" s="9"/>
      <c r="I634" s="9"/>
      <c r="J634" s="9"/>
      <c r="K634" s="72"/>
      <c r="L634" s="9"/>
      <c r="M634" s="9"/>
      <c r="N634" s="9"/>
      <c r="O634" s="9"/>
      <c r="P634" s="9"/>
      <c r="Q634" s="9"/>
      <c r="R634" s="9"/>
      <c r="S634" s="9"/>
      <c r="T634" s="9"/>
      <c r="U634" s="9"/>
      <c r="V634" s="9"/>
      <c r="W634" s="9"/>
      <c r="X634" s="9"/>
      <c r="Y634" s="9"/>
    </row>
    <row r="635" spans="2:25" x14ac:dyDescent="0.2">
      <c r="B635" s="7"/>
      <c r="C635" s="9"/>
      <c r="D635" s="9"/>
      <c r="E635" s="9"/>
      <c r="F635" s="9"/>
      <c r="G635" s="16"/>
      <c r="H635" s="9"/>
      <c r="I635" s="9"/>
      <c r="J635" s="9"/>
      <c r="K635" s="72"/>
      <c r="L635" s="9"/>
      <c r="M635" s="9"/>
      <c r="N635" s="9"/>
      <c r="O635" s="9"/>
      <c r="P635" s="9"/>
      <c r="Q635" s="9"/>
      <c r="R635" s="9"/>
      <c r="S635" s="9"/>
      <c r="T635" s="9"/>
      <c r="U635" s="9"/>
      <c r="V635" s="9"/>
      <c r="W635" s="9"/>
      <c r="X635" s="9"/>
      <c r="Y635" s="9"/>
    </row>
    <row r="636" spans="2:25" x14ac:dyDescent="0.2">
      <c r="B636" s="7"/>
      <c r="C636" s="9"/>
      <c r="D636" s="9"/>
      <c r="E636" s="9"/>
      <c r="F636" s="9"/>
      <c r="G636" s="16"/>
      <c r="H636" s="9"/>
      <c r="I636" s="9"/>
      <c r="J636" s="9"/>
      <c r="K636" s="72"/>
      <c r="L636" s="9"/>
      <c r="M636" s="9"/>
      <c r="N636" s="9"/>
      <c r="O636" s="9"/>
      <c r="P636" s="9"/>
      <c r="Q636" s="9"/>
      <c r="R636" s="9"/>
      <c r="S636" s="9"/>
      <c r="T636" s="9"/>
      <c r="U636" s="9"/>
      <c r="V636" s="9"/>
      <c r="W636" s="9"/>
      <c r="X636" s="9"/>
      <c r="Y636" s="9"/>
    </row>
    <row r="637" spans="2:25" x14ac:dyDescent="0.2">
      <c r="B637" s="7"/>
      <c r="C637" s="9"/>
      <c r="D637" s="9"/>
      <c r="E637" s="9"/>
      <c r="F637" s="9"/>
      <c r="G637" s="16"/>
      <c r="H637" s="9"/>
      <c r="I637" s="9"/>
      <c r="J637" s="9"/>
      <c r="K637" s="72"/>
      <c r="L637" s="9"/>
      <c r="M637" s="9"/>
      <c r="N637" s="9"/>
      <c r="O637" s="9"/>
      <c r="P637" s="9"/>
      <c r="Q637" s="9"/>
      <c r="R637" s="9"/>
      <c r="S637" s="9"/>
      <c r="T637" s="9"/>
      <c r="U637" s="9"/>
      <c r="V637" s="9"/>
      <c r="W637" s="9"/>
      <c r="X637" s="9"/>
      <c r="Y637" s="9"/>
    </row>
    <row r="638" spans="2:25" x14ac:dyDescent="0.2">
      <c r="B638" s="7"/>
      <c r="C638" s="9"/>
      <c r="D638" s="9"/>
      <c r="E638" s="9"/>
      <c r="F638" s="9"/>
      <c r="G638" s="16"/>
      <c r="H638" s="9"/>
      <c r="I638" s="9"/>
      <c r="J638" s="9"/>
      <c r="K638" s="72"/>
      <c r="L638" s="9"/>
      <c r="M638" s="9"/>
      <c r="N638" s="9"/>
      <c r="O638" s="9"/>
      <c r="P638" s="9"/>
      <c r="Q638" s="9"/>
      <c r="R638" s="9"/>
      <c r="S638" s="9"/>
      <c r="T638" s="9"/>
      <c r="U638" s="9"/>
      <c r="V638" s="9"/>
      <c r="W638" s="9"/>
      <c r="X638" s="9"/>
      <c r="Y638" s="9"/>
    </row>
    <row r="639" spans="2:25" x14ac:dyDescent="0.2">
      <c r="B639" s="7"/>
      <c r="C639" s="9"/>
      <c r="D639" s="9"/>
      <c r="E639" s="9"/>
      <c r="F639" s="9"/>
      <c r="G639" s="16"/>
      <c r="H639" s="9"/>
      <c r="I639" s="9"/>
      <c r="J639" s="9"/>
      <c r="K639" s="72"/>
      <c r="L639" s="9"/>
      <c r="M639" s="9"/>
      <c r="N639" s="9"/>
      <c r="O639" s="9"/>
      <c r="P639" s="9"/>
      <c r="Q639" s="9"/>
      <c r="R639" s="9"/>
      <c r="S639" s="9"/>
      <c r="T639" s="9"/>
      <c r="U639" s="9"/>
      <c r="V639" s="9"/>
      <c r="W639" s="9"/>
      <c r="X639" s="9"/>
      <c r="Y639" s="9"/>
    </row>
    <row r="640" spans="2:25" x14ac:dyDescent="0.2">
      <c r="B640" s="7"/>
      <c r="C640" s="9"/>
      <c r="D640" s="9"/>
      <c r="E640" s="9"/>
      <c r="F640" s="9"/>
      <c r="G640" s="16"/>
      <c r="H640" s="9"/>
      <c r="I640" s="9"/>
      <c r="J640" s="9"/>
      <c r="K640" s="72"/>
      <c r="L640" s="9"/>
      <c r="M640" s="9"/>
      <c r="N640" s="9"/>
      <c r="O640" s="9"/>
      <c r="P640" s="9"/>
      <c r="Q640" s="9"/>
      <c r="R640" s="9"/>
      <c r="S640" s="9"/>
      <c r="T640" s="9"/>
      <c r="U640" s="9"/>
      <c r="V640" s="9"/>
      <c r="W640" s="9"/>
      <c r="X640" s="9"/>
      <c r="Y640" s="9"/>
    </row>
    <row r="641" spans="2:25" x14ac:dyDescent="0.2">
      <c r="B641" s="7"/>
      <c r="C641" s="9"/>
      <c r="D641" s="9"/>
      <c r="E641" s="9"/>
      <c r="F641" s="9"/>
      <c r="G641" s="16"/>
      <c r="H641" s="9"/>
      <c r="I641" s="9"/>
      <c r="J641" s="9"/>
      <c r="K641" s="72"/>
      <c r="L641" s="9"/>
      <c r="M641" s="9"/>
      <c r="N641" s="9"/>
      <c r="O641" s="9"/>
      <c r="P641" s="9"/>
      <c r="Q641" s="9"/>
      <c r="R641" s="9"/>
      <c r="S641" s="9"/>
      <c r="T641" s="9"/>
      <c r="U641" s="9"/>
      <c r="V641" s="9"/>
      <c r="W641" s="9"/>
      <c r="X641" s="9"/>
      <c r="Y641" s="9"/>
    </row>
    <row r="642" spans="2:25" x14ac:dyDescent="0.2">
      <c r="B642" s="7"/>
      <c r="C642" s="9"/>
      <c r="D642" s="9"/>
      <c r="E642" s="9"/>
      <c r="F642" s="9"/>
      <c r="G642" s="16"/>
      <c r="H642" s="9"/>
      <c r="I642" s="9"/>
      <c r="J642" s="9"/>
      <c r="K642" s="72"/>
      <c r="L642" s="9"/>
      <c r="M642" s="9"/>
      <c r="N642" s="9"/>
      <c r="O642" s="9"/>
      <c r="P642" s="9"/>
      <c r="Q642" s="9"/>
      <c r="R642" s="9"/>
      <c r="S642" s="9"/>
      <c r="T642" s="9"/>
      <c r="U642" s="9"/>
      <c r="V642" s="9"/>
      <c r="W642" s="9"/>
      <c r="X642" s="9"/>
      <c r="Y642" s="9"/>
    </row>
    <row r="643" spans="2:25" x14ac:dyDescent="0.2">
      <c r="B643" s="7"/>
      <c r="C643" s="9"/>
      <c r="D643" s="9"/>
      <c r="E643" s="9"/>
      <c r="F643" s="9"/>
      <c r="G643" s="16"/>
      <c r="H643" s="9"/>
      <c r="I643" s="9"/>
      <c r="J643" s="9"/>
      <c r="K643" s="72"/>
      <c r="L643" s="9"/>
      <c r="M643" s="9"/>
      <c r="N643" s="9"/>
      <c r="O643" s="9"/>
      <c r="P643" s="9"/>
      <c r="Q643" s="9"/>
      <c r="R643" s="9"/>
      <c r="S643" s="9"/>
      <c r="T643" s="9"/>
      <c r="U643" s="9"/>
      <c r="V643" s="9"/>
      <c r="W643" s="9"/>
      <c r="X643" s="9"/>
      <c r="Y643" s="9"/>
    </row>
    <row r="644" spans="2:25" x14ac:dyDescent="0.2">
      <c r="B644" s="7"/>
      <c r="C644" s="9"/>
      <c r="D644" s="9"/>
      <c r="E644" s="9"/>
      <c r="F644" s="9"/>
      <c r="G644" s="16"/>
      <c r="H644" s="9"/>
      <c r="I644" s="9"/>
      <c r="J644" s="9"/>
      <c r="K644" s="72"/>
      <c r="L644" s="9"/>
      <c r="M644" s="9"/>
      <c r="N644" s="9"/>
      <c r="O644" s="9"/>
      <c r="P644" s="9"/>
      <c r="Q644" s="9"/>
      <c r="R644" s="9"/>
      <c r="S644" s="9"/>
      <c r="T644" s="9"/>
      <c r="U644" s="9"/>
      <c r="V644" s="9"/>
      <c r="W644" s="9"/>
      <c r="X644" s="9"/>
      <c r="Y644" s="9"/>
    </row>
    <row r="645" spans="2:25" x14ac:dyDescent="0.2">
      <c r="B645" s="7"/>
      <c r="C645" s="9"/>
      <c r="D645" s="9"/>
      <c r="E645" s="9"/>
      <c r="F645" s="9"/>
      <c r="G645" s="16"/>
      <c r="H645" s="9"/>
      <c r="I645" s="9"/>
      <c r="J645" s="9"/>
      <c r="K645" s="72"/>
      <c r="L645" s="9"/>
      <c r="M645" s="9"/>
      <c r="N645" s="9"/>
      <c r="O645" s="9"/>
      <c r="P645" s="9"/>
      <c r="Q645" s="9"/>
      <c r="R645" s="9"/>
      <c r="S645" s="9"/>
      <c r="T645" s="9"/>
      <c r="U645" s="9"/>
      <c r="V645" s="9"/>
      <c r="W645" s="9"/>
      <c r="X645" s="9"/>
      <c r="Y645" s="9"/>
    </row>
    <row r="646" spans="2:25" x14ac:dyDescent="0.2">
      <c r="B646" s="7"/>
      <c r="C646" s="9"/>
      <c r="D646" s="9"/>
      <c r="E646" s="9"/>
      <c r="F646" s="9"/>
      <c r="G646" s="16"/>
      <c r="H646" s="9"/>
      <c r="I646" s="9"/>
      <c r="J646" s="9"/>
      <c r="K646" s="72"/>
      <c r="L646" s="9"/>
      <c r="M646" s="9"/>
      <c r="N646" s="9"/>
      <c r="O646" s="9"/>
      <c r="P646" s="9"/>
      <c r="Q646" s="9"/>
      <c r="R646" s="9"/>
      <c r="S646" s="9"/>
      <c r="T646" s="9"/>
      <c r="U646" s="9"/>
      <c r="V646" s="9"/>
      <c r="W646" s="9"/>
      <c r="X646" s="9"/>
      <c r="Y646" s="9"/>
    </row>
    <row r="647" spans="2:25" x14ac:dyDescent="0.2">
      <c r="B647" s="7"/>
      <c r="C647" s="9"/>
      <c r="D647" s="9"/>
      <c r="E647" s="9"/>
      <c r="F647" s="9"/>
      <c r="G647" s="16"/>
      <c r="H647" s="9"/>
      <c r="I647" s="9"/>
      <c r="J647" s="9"/>
      <c r="K647" s="72"/>
      <c r="L647" s="9"/>
      <c r="M647" s="9"/>
      <c r="N647" s="9"/>
      <c r="O647" s="9"/>
      <c r="P647" s="9"/>
      <c r="Q647" s="9"/>
      <c r="R647" s="9"/>
      <c r="S647" s="9"/>
      <c r="T647" s="9"/>
      <c r="U647" s="9"/>
      <c r="V647" s="9"/>
      <c r="W647" s="9"/>
      <c r="X647" s="9"/>
      <c r="Y647" s="9"/>
    </row>
    <row r="648" spans="2:25" x14ac:dyDescent="0.2">
      <c r="B648" s="7"/>
      <c r="C648" s="9"/>
      <c r="D648" s="9"/>
      <c r="E648" s="9"/>
      <c r="F648" s="9"/>
      <c r="G648" s="16"/>
      <c r="H648" s="9"/>
      <c r="I648" s="9"/>
      <c r="J648" s="9"/>
      <c r="K648" s="72"/>
      <c r="L648" s="9"/>
      <c r="M648" s="9"/>
      <c r="N648" s="9"/>
      <c r="O648" s="9"/>
      <c r="P648" s="9"/>
      <c r="Q648" s="9"/>
      <c r="R648" s="9"/>
      <c r="S648" s="9"/>
      <c r="T648" s="9"/>
      <c r="U648" s="9"/>
      <c r="V648" s="9"/>
      <c r="W648" s="9"/>
      <c r="X648" s="9"/>
      <c r="Y648" s="9"/>
    </row>
    <row r="649" spans="2:25" x14ac:dyDescent="0.2">
      <c r="B649" s="7"/>
      <c r="C649" s="9"/>
      <c r="D649" s="9"/>
      <c r="E649" s="9"/>
      <c r="F649" s="9"/>
      <c r="G649" s="16"/>
      <c r="H649" s="9"/>
      <c r="I649" s="9"/>
      <c r="J649" s="9"/>
      <c r="K649" s="72"/>
      <c r="L649" s="9"/>
      <c r="M649" s="9"/>
      <c r="N649" s="9"/>
      <c r="O649" s="9"/>
      <c r="P649" s="9"/>
      <c r="Q649" s="9"/>
      <c r="R649" s="9"/>
      <c r="S649" s="9"/>
      <c r="T649" s="9"/>
      <c r="U649" s="9"/>
      <c r="V649" s="9"/>
      <c r="W649" s="9"/>
      <c r="X649" s="9"/>
      <c r="Y649" s="9"/>
    </row>
    <row r="650" spans="2:25" x14ac:dyDescent="0.2">
      <c r="B650" s="7"/>
      <c r="C650" s="9"/>
      <c r="D650" s="9"/>
      <c r="E650" s="9"/>
      <c r="F650" s="9"/>
      <c r="G650" s="16"/>
      <c r="H650" s="9"/>
      <c r="I650" s="9"/>
      <c r="J650" s="9"/>
      <c r="K650" s="72"/>
      <c r="L650" s="9"/>
      <c r="M650" s="9"/>
      <c r="N650" s="9"/>
      <c r="O650" s="9"/>
      <c r="P650" s="9"/>
      <c r="Q650" s="9"/>
      <c r="R650" s="9"/>
      <c r="S650" s="9"/>
      <c r="T650" s="9"/>
      <c r="U650" s="9"/>
      <c r="V650" s="9"/>
      <c r="W650" s="9"/>
      <c r="X650" s="9"/>
      <c r="Y650" s="9"/>
    </row>
    <row r="651" spans="2:25" x14ac:dyDescent="0.2">
      <c r="B651" s="7"/>
      <c r="C651" s="9"/>
      <c r="D651" s="9"/>
      <c r="E651" s="9"/>
      <c r="F651" s="9"/>
      <c r="G651" s="16"/>
      <c r="H651" s="9"/>
      <c r="I651" s="9"/>
      <c r="J651" s="9"/>
      <c r="K651" s="72"/>
      <c r="L651" s="9"/>
      <c r="M651" s="9"/>
      <c r="N651" s="9"/>
      <c r="O651" s="9"/>
      <c r="P651" s="9"/>
      <c r="Q651" s="9"/>
      <c r="R651" s="9"/>
      <c r="S651" s="9"/>
      <c r="T651" s="9"/>
      <c r="U651" s="9"/>
      <c r="V651" s="9"/>
      <c r="W651" s="9"/>
      <c r="X651" s="9"/>
      <c r="Y651" s="9"/>
    </row>
    <row r="652" spans="2:25" x14ac:dyDescent="0.2">
      <c r="B652" s="7"/>
      <c r="C652" s="9"/>
      <c r="D652" s="9"/>
      <c r="E652" s="9"/>
      <c r="F652" s="9"/>
      <c r="G652" s="16"/>
      <c r="H652" s="9"/>
      <c r="I652" s="9"/>
      <c r="J652" s="9"/>
      <c r="K652" s="72"/>
      <c r="L652" s="9"/>
      <c r="M652" s="9"/>
      <c r="N652" s="9"/>
      <c r="O652" s="9"/>
      <c r="P652" s="9"/>
      <c r="Q652" s="9"/>
      <c r="R652" s="9"/>
      <c r="S652" s="9"/>
      <c r="T652" s="9"/>
      <c r="U652" s="9"/>
      <c r="V652" s="9"/>
      <c r="W652" s="9"/>
      <c r="X652" s="9"/>
      <c r="Y652" s="9"/>
    </row>
    <row r="653" spans="2:25" x14ac:dyDescent="0.2">
      <c r="B653" s="7"/>
      <c r="C653" s="9"/>
      <c r="D653" s="9"/>
      <c r="E653" s="9"/>
      <c r="F653" s="9"/>
      <c r="G653" s="16"/>
      <c r="H653" s="9"/>
      <c r="I653" s="9"/>
      <c r="J653" s="9"/>
      <c r="K653" s="72"/>
      <c r="L653" s="9"/>
      <c r="M653" s="9"/>
      <c r="N653" s="9"/>
      <c r="O653" s="9"/>
      <c r="P653" s="9"/>
      <c r="Q653" s="9"/>
      <c r="R653" s="9"/>
      <c r="S653" s="9"/>
      <c r="T653" s="9"/>
      <c r="U653" s="9"/>
      <c r="V653" s="9"/>
      <c r="W653" s="9"/>
      <c r="X653" s="9"/>
      <c r="Y653" s="9"/>
    </row>
    <row r="654" spans="2:25" x14ac:dyDescent="0.2">
      <c r="B654" s="7"/>
      <c r="C654" s="9"/>
      <c r="D654" s="9"/>
      <c r="E654" s="9"/>
      <c r="F654" s="9"/>
      <c r="G654" s="16"/>
      <c r="H654" s="9"/>
      <c r="I654" s="9"/>
      <c r="J654" s="9"/>
      <c r="K654" s="72"/>
      <c r="L654" s="9"/>
      <c r="M654" s="9"/>
      <c r="N654" s="9"/>
      <c r="O654" s="9"/>
      <c r="P654" s="9"/>
      <c r="Q654" s="9"/>
      <c r="R654" s="9"/>
      <c r="S654" s="9"/>
      <c r="T654" s="9"/>
      <c r="U654" s="9"/>
      <c r="V654" s="9"/>
      <c r="W654" s="9"/>
      <c r="X654" s="9"/>
      <c r="Y654" s="9"/>
    </row>
    <row r="655" spans="2:25" x14ac:dyDescent="0.2">
      <c r="B655" s="7"/>
      <c r="C655" s="9"/>
      <c r="D655" s="9"/>
      <c r="E655" s="9"/>
      <c r="F655" s="9"/>
      <c r="G655" s="16"/>
      <c r="H655" s="9"/>
      <c r="I655" s="9"/>
      <c r="J655" s="9"/>
      <c r="K655" s="72"/>
      <c r="L655" s="9"/>
      <c r="M655" s="9"/>
      <c r="N655" s="9"/>
      <c r="O655" s="9"/>
      <c r="P655" s="9"/>
      <c r="Q655" s="9"/>
      <c r="R655" s="9"/>
      <c r="S655" s="9"/>
      <c r="T655" s="9"/>
      <c r="U655" s="9"/>
      <c r="V655" s="9"/>
      <c r="W655" s="9"/>
      <c r="X655" s="9"/>
      <c r="Y655" s="9"/>
    </row>
    <row r="656" spans="2:25" x14ac:dyDescent="0.2">
      <c r="B656" s="7"/>
      <c r="C656" s="9"/>
      <c r="D656" s="9"/>
      <c r="E656" s="9"/>
      <c r="F656" s="9"/>
      <c r="G656" s="16"/>
      <c r="H656" s="9"/>
      <c r="I656" s="9"/>
      <c r="J656" s="9"/>
      <c r="K656" s="72"/>
      <c r="L656" s="9"/>
      <c r="M656" s="9"/>
      <c r="N656" s="9"/>
      <c r="O656" s="9"/>
      <c r="P656" s="9"/>
      <c r="Q656" s="9"/>
      <c r="R656" s="9"/>
      <c r="S656" s="9"/>
      <c r="T656" s="9"/>
      <c r="U656" s="9"/>
      <c r="V656" s="9"/>
      <c r="W656" s="9"/>
      <c r="X656" s="9"/>
      <c r="Y656" s="9"/>
    </row>
    <row r="657" spans="2:25" x14ac:dyDescent="0.2">
      <c r="B657" s="7"/>
      <c r="C657" s="9"/>
      <c r="D657" s="9"/>
      <c r="E657" s="9"/>
      <c r="F657" s="9"/>
      <c r="G657" s="16"/>
      <c r="H657" s="9"/>
      <c r="I657" s="9"/>
      <c r="J657" s="9"/>
      <c r="K657" s="72"/>
      <c r="L657" s="9"/>
      <c r="M657" s="9"/>
      <c r="N657" s="9"/>
      <c r="O657" s="9"/>
      <c r="P657" s="9"/>
      <c r="Q657" s="9"/>
      <c r="R657" s="9"/>
      <c r="S657" s="9"/>
      <c r="T657" s="9"/>
      <c r="U657" s="9"/>
      <c r="V657" s="9"/>
      <c r="W657" s="9"/>
      <c r="X657" s="9"/>
      <c r="Y657" s="9"/>
    </row>
    <row r="658" spans="2:25" x14ac:dyDescent="0.2">
      <c r="B658" s="7"/>
      <c r="C658" s="9"/>
      <c r="D658" s="9"/>
      <c r="E658" s="9"/>
      <c r="F658" s="9"/>
      <c r="G658" s="16"/>
      <c r="H658" s="9"/>
      <c r="I658" s="9"/>
      <c r="J658" s="9"/>
      <c r="K658" s="72"/>
      <c r="L658" s="9"/>
      <c r="M658" s="9"/>
      <c r="N658" s="9"/>
      <c r="O658" s="9"/>
      <c r="P658" s="9"/>
      <c r="Q658" s="9"/>
      <c r="R658" s="9"/>
      <c r="S658" s="9"/>
      <c r="T658" s="9"/>
      <c r="U658" s="9"/>
      <c r="V658" s="9"/>
      <c r="W658" s="9"/>
      <c r="X658" s="9"/>
      <c r="Y658" s="9"/>
    </row>
    <row r="659" spans="2:25" x14ac:dyDescent="0.2">
      <c r="B659" s="7"/>
      <c r="C659" s="9"/>
      <c r="D659" s="9"/>
      <c r="E659" s="9"/>
      <c r="F659" s="9"/>
      <c r="G659" s="16"/>
      <c r="H659" s="9"/>
      <c r="I659" s="9"/>
      <c r="J659" s="9"/>
      <c r="K659" s="72"/>
      <c r="L659" s="9"/>
      <c r="M659" s="9"/>
      <c r="N659" s="9"/>
      <c r="O659" s="9"/>
      <c r="P659" s="9"/>
      <c r="Q659" s="9"/>
      <c r="R659" s="9"/>
      <c r="S659" s="9"/>
      <c r="T659" s="9"/>
      <c r="U659" s="9"/>
      <c r="V659" s="9"/>
      <c r="W659" s="9"/>
      <c r="X659" s="9"/>
      <c r="Y659" s="9"/>
    </row>
    <row r="660" spans="2:25" x14ac:dyDescent="0.2">
      <c r="B660" s="7"/>
      <c r="C660" s="9"/>
      <c r="D660" s="9"/>
      <c r="E660" s="9"/>
      <c r="F660" s="9"/>
      <c r="G660" s="16"/>
      <c r="H660" s="9"/>
      <c r="I660" s="9"/>
      <c r="J660" s="9"/>
      <c r="K660" s="72"/>
      <c r="L660" s="9"/>
      <c r="M660" s="9"/>
      <c r="N660" s="9"/>
      <c r="O660" s="9"/>
      <c r="P660" s="9"/>
      <c r="Q660" s="9"/>
      <c r="R660" s="9"/>
      <c r="S660" s="9"/>
      <c r="T660" s="9"/>
      <c r="U660" s="9"/>
      <c r="V660" s="9"/>
      <c r="W660" s="9"/>
      <c r="X660" s="9"/>
      <c r="Y660" s="9"/>
    </row>
    <row r="661" spans="2:25" x14ac:dyDescent="0.2">
      <c r="B661" s="7"/>
      <c r="C661" s="9"/>
      <c r="D661" s="9"/>
      <c r="E661" s="9"/>
      <c r="F661" s="9"/>
      <c r="G661" s="16"/>
      <c r="H661" s="9"/>
      <c r="I661" s="9"/>
      <c r="J661" s="9"/>
      <c r="K661" s="72"/>
      <c r="L661" s="9"/>
      <c r="M661" s="9"/>
      <c r="N661" s="9"/>
      <c r="O661" s="9"/>
      <c r="P661" s="9"/>
      <c r="Q661" s="9"/>
      <c r="R661" s="9"/>
      <c r="S661" s="9"/>
      <c r="T661" s="9"/>
      <c r="U661" s="9"/>
      <c r="V661" s="9"/>
      <c r="W661" s="9"/>
      <c r="X661" s="9"/>
      <c r="Y661" s="9"/>
    </row>
    <row r="662" spans="2:25" x14ac:dyDescent="0.2">
      <c r="B662" s="7"/>
      <c r="C662" s="9"/>
      <c r="D662" s="9"/>
      <c r="E662" s="9"/>
      <c r="F662" s="9"/>
      <c r="G662" s="16"/>
      <c r="H662" s="9"/>
      <c r="I662" s="9"/>
      <c r="J662" s="9"/>
      <c r="K662" s="72"/>
      <c r="L662" s="9"/>
      <c r="M662" s="9"/>
      <c r="N662" s="9"/>
      <c r="O662" s="9"/>
      <c r="P662" s="9"/>
      <c r="Q662" s="9"/>
      <c r="R662" s="9"/>
      <c r="S662" s="9"/>
      <c r="T662" s="9"/>
      <c r="U662" s="9"/>
      <c r="V662" s="9"/>
      <c r="W662" s="9"/>
      <c r="X662" s="9"/>
      <c r="Y662" s="9"/>
    </row>
    <row r="663" spans="2:25" x14ac:dyDescent="0.2">
      <c r="B663" s="7"/>
      <c r="C663" s="9"/>
      <c r="D663" s="9"/>
      <c r="E663" s="9"/>
      <c r="F663" s="9"/>
      <c r="G663" s="16"/>
      <c r="H663" s="9"/>
      <c r="I663" s="9"/>
      <c r="J663" s="9"/>
      <c r="K663" s="72"/>
      <c r="L663" s="9"/>
      <c r="M663" s="9"/>
      <c r="N663" s="9"/>
      <c r="O663" s="9"/>
      <c r="P663" s="9"/>
      <c r="Q663" s="9"/>
      <c r="R663" s="9"/>
      <c r="S663" s="9"/>
      <c r="T663" s="9"/>
      <c r="U663" s="9"/>
      <c r="V663" s="9"/>
      <c r="W663" s="9"/>
      <c r="X663" s="9"/>
      <c r="Y663" s="9"/>
    </row>
    <row r="664" spans="2:25" x14ac:dyDescent="0.2">
      <c r="B664" s="7"/>
      <c r="C664" s="9"/>
      <c r="D664" s="9"/>
      <c r="E664" s="9"/>
      <c r="F664" s="9"/>
      <c r="G664" s="16"/>
      <c r="H664" s="9"/>
      <c r="I664" s="9"/>
      <c r="J664" s="9"/>
      <c r="K664" s="72"/>
      <c r="L664" s="9"/>
      <c r="M664" s="9"/>
      <c r="N664" s="9"/>
      <c r="O664" s="9"/>
      <c r="P664" s="9"/>
      <c r="Q664" s="9"/>
      <c r="R664" s="9"/>
      <c r="S664" s="9"/>
      <c r="T664" s="9"/>
      <c r="U664" s="9"/>
      <c r="V664" s="9"/>
      <c r="W664" s="9"/>
      <c r="X664" s="9"/>
      <c r="Y664" s="9"/>
    </row>
    <row r="665" spans="2:25" x14ac:dyDescent="0.2">
      <c r="B665" s="7"/>
      <c r="C665" s="9"/>
      <c r="D665" s="9"/>
      <c r="E665" s="9"/>
      <c r="F665" s="9"/>
      <c r="G665" s="16"/>
      <c r="H665" s="9"/>
      <c r="I665" s="9"/>
      <c r="J665" s="9"/>
      <c r="K665" s="72"/>
      <c r="L665" s="9"/>
      <c r="M665" s="9"/>
      <c r="N665" s="9"/>
      <c r="O665" s="9"/>
      <c r="P665" s="9"/>
      <c r="Q665" s="9"/>
      <c r="R665" s="9"/>
      <c r="S665" s="9"/>
      <c r="T665" s="9"/>
      <c r="U665" s="9"/>
      <c r="V665" s="9"/>
      <c r="W665" s="9"/>
      <c r="X665" s="9"/>
      <c r="Y665" s="9"/>
    </row>
    <row r="666" spans="2:25" x14ac:dyDescent="0.2">
      <c r="B666" s="7"/>
      <c r="C666" s="9"/>
      <c r="D666" s="9"/>
      <c r="E666" s="9"/>
      <c r="F666" s="9"/>
      <c r="G666" s="16"/>
      <c r="H666" s="9"/>
      <c r="I666" s="9"/>
      <c r="J666" s="9"/>
      <c r="K666" s="72"/>
      <c r="L666" s="9"/>
      <c r="M666" s="9"/>
      <c r="N666" s="9"/>
      <c r="O666" s="9"/>
      <c r="P666" s="9"/>
      <c r="Q666" s="9"/>
      <c r="R666" s="9"/>
      <c r="S666" s="9"/>
      <c r="T666" s="9"/>
      <c r="U666" s="9"/>
      <c r="V666" s="9"/>
      <c r="W666" s="9"/>
      <c r="X666" s="9"/>
      <c r="Y666" s="9"/>
    </row>
    <row r="667" spans="2:25" x14ac:dyDescent="0.2">
      <c r="B667" s="7"/>
      <c r="C667" s="9"/>
      <c r="D667" s="9"/>
      <c r="E667" s="9"/>
      <c r="F667" s="9"/>
      <c r="G667" s="16"/>
      <c r="H667" s="9"/>
      <c r="I667" s="9"/>
      <c r="J667" s="9"/>
      <c r="K667" s="72"/>
      <c r="L667" s="9"/>
      <c r="M667" s="9"/>
      <c r="N667" s="9"/>
      <c r="O667" s="9"/>
      <c r="P667" s="9"/>
      <c r="Q667" s="9"/>
      <c r="R667" s="9"/>
      <c r="S667" s="9"/>
      <c r="T667" s="9"/>
      <c r="U667" s="9"/>
      <c r="V667" s="9"/>
      <c r="W667" s="9"/>
      <c r="X667" s="9"/>
      <c r="Y667" s="9"/>
    </row>
    <row r="668" spans="2:25" x14ac:dyDescent="0.2">
      <c r="B668" s="7"/>
      <c r="C668" s="9"/>
      <c r="D668" s="9"/>
      <c r="E668" s="9"/>
      <c r="F668" s="9"/>
      <c r="G668" s="16"/>
      <c r="H668" s="9"/>
      <c r="I668" s="9"/>
      <c r="J668" s="9"/>
      <c r="K668" s="72"/>
      <c r="L668" s="9"/>
      <c r="M668" s="9"/>
      <c r="N668" s="9"/>
      <c r="O668" s="9"/>
      <c r="P668" s="9"/>
      <c r="Q668" s="9"/>
      <c r="R668" s="9"/>
      <c r="S668" s="9"/>
      <c r="T668" s="9"/>
      <c r="U668" s="9"/>
      <c r="V668" s="9"/>
      <c r="W668" s="9"/>
      <c r="X668" s="9"/>
      <c r="Y668" s="9"/>
    </row>
    <row r="669" spans="2:25" x14ac:dyDescent="0.2">
      <c r="B669" s="7"/>
      <c r="C669" s="9"/>
      <c r="D669" s="9"/>
      <c r="E669" s="9"/>
      <c r="F669" s="9"/>
      <c r="G669" s="16"/>
      <c r="H669" s="9"/>
      <c r="I669" s="9"/>
      <c r="J669" s="9"/>
      <c r="K669" s="72"/>
      <c r="L669" s="9"/>
      <c r="M669" s="9"/>
      <c r="N669" s="9"/>
      <c r="O669" s="9"/>
      <c r="P669" s="9"/>
      <c r="Q669" s="9"/>
      <c r="R669" s="9"/>
      <c r="S669" s="9"/>
      <c r="T669" s="9"/>
      <c r="U669" s="9"/>
      <c r="V669" s="9"/>
      <c r="W669" s="9"/>
      <c r="X669" s="9"/>
      <c r="Y669" s="9"/>
    </row>
    <row r="670" spans="2:25" x14ac:dyDescent="0.2">
      <c r="B670" s="7"/>
      <c r="C670" s="9"/>
      <c r="D670" s="9"/>
      <c r="E670" s="9"/>
      <c r="F670" s="9"/>
      <c r="G670" s="16"/>
      <c r="H670" s="9"/>
      <c r="I670" s="9"/>
      <c r="J670" s="9"/>
      <c r="K670" s="72"/>
      <c r="L670" s="9"/>
      <c r="M670" s="9"/>
      <c r="N670" s="9"/>
      <c r="O670" s="9"/>
      <c r="P670" s="9"/>
      <c r="Q670" s="9"/>
      <c r="R670" s="9"/>
      <c r="S670" s="9"/>
      <c r="T670" s="9"/>
      <c r="U670" s="9"/>
      <c r="V670" s="9"/>
      <c r="W670" s="9"/>
      <c r="X670" s="9"/>
      <c r="Y670" s="9"/>
    </row>
    <row r="671" spans="2:25" x14ac:dyDescent="0.2">
      <c r="B671" s="7"/>
      <c r="C671" s="9"/>
      <c r="D671" s="9"/>
      <c r="E671" s="9"/>
      <c r="F671" s="9"/>
      <c r="G671" s="16"/>
      <c r="H671" s="9"/>
      <c r="I671" s="9"/>
      <c r="J671" s="9"/>
      <c r="K671" s="72"/>
      <c r="L671" s="9"/>
      <c r="M671" s="9"/>
      <c r="N671" s="9"/>
      <c r="O671" s="9"/>
      <c r="P671" s="9"/>
      <c r="Q671" s="9"/>
      <c r="R671" s="9"/>
      <c r="S671" s="9"/>
      <c r="T671" s="9"/>
      <c r="U671" s="9"/>
      <c r="V671" s="9"/>
      <c r="W671" s="9"/>
      <c r="X671" s="9"/>
      <c r="Y671" s="9"/>
    </row>
    <row r="672" spans="2:25" x14ac:dyDescent="0.2">
      <c r="B672" s="7"/>
      <c r="C672" s="9"/>
      <c r="D672" s="9"/>
      <c r="E672" s="9"/>
      <c r="F672" s="9"/>
      <c r="G672" s="16"/>
      <c r="H672" s="9"/>
      <c r="I672" s="9"/>
      <c r="J672" s="9"/>
      <c r="K672" s="72"/>
      <c r="L672" s="9"/>
      <c r="M672" s="9"/>
      <c r="N672" s="9"/>
      <c r="O672" s="9"/>
      <c r="P672" s="9"/>
      <c r="Q672" s="9"/>
      <c r="R672" s="9"/>
      <c r="S672" s="9"/>
      <c r="T672" s="9"/>
      <c r="U672" s="9"/>
      <c r="V672" s="9"/>
      <c r="W672" s="9"/>
      <c r="X672" s="9"/>
      <c r="Y672" s="9"/>
    </row>
    <row r="673" spans="2:25" x14ac:dyDescent="0.2">
      <c r="B673" s="7"/>
      <c r="C673" s="9"/>
      <c r="D673" s="9"/>
      <c r="E673" s="9"/>
      <c r="F673" s="9"/>
      <c r="G673" s="16"/>
      <c r="H673" s="9"/>
      <c r="I673" s="9"/>
      <c r="J673" s="9"/>
      <c r="K673" s="72"/>
      <c r="L673" s="9"/>
      <c r="M673" s="9"/>
      <c r="N673" s="9"/>
      <c r="O673" s="9"/>
      <c r="P673" s="9"/>
      <c r="Q673" s="9"/>
      <c r="R673" s="9"/>
      <c r="S673" s="9"/>
      <c r="T673" s="9"/>
      <c r="U673" s="9"/>
      <c r="V673" s="9"/>
      <c r="W673" s="9"/>
      <c r="X673" s="9"/>
      <c r="Y673" s="9"/>
    </row>
    <row r="674" spans="2:25" x14ac:dyDescent="0.2">
      <c r="B674" s="7"/>
      <c r="C674" s="9"/>
      <c r="D674" s="9"/>
      <c r="E674" s="9"/>
      <c r="F674" s="9"/>
      <c r="G674" s="16"/>
      <c r="H674" s="9"/>
      <c r="I674" s="9"/>
      <c r="J674" s="9"/>
      <c r="K674" s="72"/>
      <c r="L674" s="9"/>
      <c r="M674" s="9"/>
      <c r="N674" s="9"/>
      <c r="O674" s="9"/>
      <c r="P674" s="9"/>
      <c r="Q674" s="9"/>
      <c r="R674" s="9"/>
      <c r="S674" s="9"/>
      <c r="T674" s="9"/>
      <c r="U674" s="9"/>
      <c r="V674" s="9"/>
      <c r="W674" s="9"/>
      <c r="X674" s="9"/>
      <c r="Y674" s="9"/>
    </row>
    <row r="675" spans="2:25" x14ac:dyDescent="0.2">
      <c r="B675" s="7"/>
      <c r="C675" s="9"/>
      <c r="D675" s="9"/>
      <c r="E675" s="9"/>
      <c r="F675" s="9"/>
      <c r="G675" s="16"/>
      <c r="H675" s="9"/>
      <c r="I675" s="9"/>
      <c r="J675" s="9"/>
      <c r="K675" s="72"/>
      <c r="L675" s="9"/>
      <c r="M675" s="9"/>
      <c r="N675" s="9"/>
      <c r="O675" s="9"/>
      <c r="P675" s="9"/>
      <c r="Q675" s="9"/>
      <c r="R675" s="9"/>
      <c r="S675" s="9"/>
      <c r="T675" s="9"/>
      <c r="U675" s="9"/>
      <c r="V675" s="9"/>
      <c r="W675" s="9"/>
      <c r="X675" s="9"/>
      <c r="Y675" s="9"/>
    </row>
    <row r="676" spans="2:25" x14ac:dyDescent="0.2">
      <c r="B676" s="7"/>
      <c r="C676" s="9"/>
      <c r="D676" s="9"/>
      <c r="E676" s="9"/>
      <c r="F676" s="9"/>
      <c r="G676" s="16"/>
      <c r="H676" s="9"/>
      <c r="I676" s="9"/>
      <c r="J676" s="9"/>
      <c r="K676" s="72"/>
      <c r="L676" s="9"/>
      <c r="M676" s="9"/>
      <c r="N676" s="9"/>
      <c r="O676" s="9"/>
      <c r="P676" s="9"/>
      <c r="Q676" s="9"/>
      <c r="R676" s="9"/>
      <c r="S676" s="9"/>
      <c r="T676" s="9"/>
      <c r="U676" s="9"/>
      <c r="V676" s="9"/>
      <c r="W676" s="9"/>
      <c r="X676" s="9"/>
      <c r="Y676" s="9"/>
    </row>
    <row r="677" spans="2:25" x14ac:dyDescent="0.2">
      <c r="B677" s="7"/>
      <c r="C677" s="9"/>
      <c r="D677" s="9"/>
      <c r="E677" s="9"/>
      <c r="F677" s="9"/>
      <c r="G677" s="16"/>
      <c r="H677" s="9"/>
      <c r="I677" s="9"/>
      <c r="J677" s="9"/>
      <c r="K677" s="72"/>
      <c r="L677" s="9"/>
      <c r="M677" s="9"/>
      <c r="N677" s="9"/>
      <c r="O677" s="9"/>
      <c r="P677" s="9"/>
      <c r="Q677" s="9"/>
      <c r="R677" s="9"/>
      <c r="S677" s="9"/>
      <c r="T677" s="9"/>
      <c r="U677" s="9"/>
      <c r="V677" s="9"/>
      <c r="W677" s="9"/>
      <c r="X677" s="9"/>
      <c r="Y677" s="9"/>
    </row>
    <row r="678" spans="2:25" x14ac:dyDescent="0.2">
      <c r="B678" s="7"/>
      <c r="C678" s="9"/>
      <c r="D678" s="9"/>
      <c r="E678" s="9"/>
      <c r="F678" s="9"/>
      <c r="G678" s="16"/>
      <c r="H678" s="9"/>
      <c r="I678" s="9"/>
      <c r="J678" s="9"/>
      <c r="K678" s="72"/>
      <c r="L678" s="9"/>
      <c r="M678" s="9"/>
      <c r="N678" s="9"/>
      <c r="O678" s="9"/>
      <c r="P678" s="9"/>
      <c r="Q678" s="9"/>
      <c r="R678" s="9"/>
      <c r="S678" s="9"/>
      <c r="T678" s="9"/>
      <c r="U678" s="9"/>
      <c r="V678" s="9"/>
      <c r="W678" s="9"/>
      <c r="X678" s="9"/>
      <c r="Y678" s="9"/>
    </row>
    <row r="679" spans="2:25" x14ac:dyDescent="0.2">
      <c r="B679" s="7"/>
      <c r="C679" s="9"/>
      <c r="D679" s="9"/>
      <c r="E679" s="9"/>
      <c r="F679" s="9"/>
      <c r="G679" s="16"/>
      <c r="H679" s="9"/>
      <c r="I679" s="9"/>
      <c r="J679" s="9"/>
      <c r="K679" s="72"/>
      <c r="L679" s="9"/>
      <c r="M679" s="9"/>
      <c r="N679" s="9"/>
      <c r="O679" s="9"/>
      <c r="P679" s="9"/>
      <c r="Q679" s="9"/>
      <c r="R679" s="9"/>
      <c r="S679" s="9"/>
      <c r="T679" s="9"/>
      <c r="U679" s="9"/>
      <c r="V679" s="9"/>
      <c r="W679" s="9"/>
      <c r="X679" s="9"/>
      <c r="Y679" s="9"/>
    </row>
    <row r="680" spans="2:25" x14ac:dyDescent="0.2">
      <c r="B680" s="7"/>
      <c r="C680" s="9"/>
      <c r="D680" s="9"/>
      <c r="E680" s="9"/>
      <c r="F680" s="9"/>
      <c r="G680" s="16"/>
      <c r="H680" s="9"/>
      <c r="I680" s="9"/>
      <c r="J680" s="9"/>
      <c r="K680" s="72"/>
      <c r="L680" s="9"/>
      <c r="M680" s="9"/>
      <c r="N680" s="9"/>
      <c r="O680" s="9"/>
      <c r="P680" s="9"/>
      <c r="Q680" s="9"/>
      <c r="R680" s="9"/>
      <c r="S680" s="9"/>
      <c r="T680" s="9"/>
      <c r="U680" s="9"/>
      <c r="V680" s="9"/>
      <c r="W680" s="9"/>
      <c r="X680" s="9"/>
      <c r="Y680" s="9"/>
    </row>
    <row r="681" spans="2:25" x14ac:dyDescent="0.2">
      <c r="B681" s="7"/>
      <c r="C681" s="9"/>
      <c r="D681" s="9"/>
      <c r="E681" s="9"/>
      <c r="F681" s="9"/>
      <c r="G681" s="16"/>
      <c r="H681" s="9"/>
      <c r="I681" s="9"/>
      <c r="J681" s="9"/>
      <c r="K681" s="72"/>
      <c r="L681" s="9"/>
      <c r="M681" s="9"/>
      <c r="N681" s="9"/>
      <c r="O681" s="9"/>
      <c r="P681" s="9"/>
      <c r="Q681" s="9"/>
      <c r="R681" s="9"/>
      <c r="S681" s="9"/>
      <c r="T681" s="9"/>
      <c r="U681" s="9"/>
      <c r="V681" s="9"/>
      <c r="W681" s="9"/>
      <c r="X681" s="9"/>
      <c r="Y681" s="9"/>
    </row>
    <row r="682" spans="2:25" x14ac:dyDescent="0.2">
      <c r="B682" s="7"/>
      <c r="C682" s="9"/>
      <c r="D682" s="9"/>
      <c r="E682" s="9"/>
      <c r="F682" s="9"/>
      <c r="G682" s="16"/>
      <c r="H682" s="9"/>
      <c r="I682" s="9"/>
      <c r="J682" s="9"/>
      <c r="K682" s="72"/>
      <c r="L682" s="9"/>
      <c r="M682" s="9"/>
      <c r="N682" s="9"/>
      <c r="O682" s="9"/>
      <c r="P682" s="9"/>
      <c r="Q682" s="9"/>
      <c r="R682" s="9"/>
      <c r="S682" s="9"/>
      <c r="T682" s="9"/>
      <c r="U682" s="9"/>
      <c r="V682" s="9"/>
      <c r="W682" s="9"/>
      <c r="X682" s="9"/>
      <c r="Y682" s="9"/>
    </row>
    <row r="683" spans="2:25" x14ac:dyDescent="0.2">
      <c r="B683" s="7"/>
      <c r="C683" s="9"/>
      <c r="D683" s="9"/>
      <c r="E683" s="9"/>
      <c r="F683" s="9"/>
      <c r="G683" s="16"/>
      <c r="H683" s="9"/>
      <c r="I683" s="9"/>
      <c r="J683" s="9"/>
      <c r="K683" s="72"/>
      <c r="L683" s="9"/>
      <c r="M683" s="9"/>
      <c r="N683" s="9"/>
      <c r="O683" s="9"/>
      <c r="P683" s="9"/>
      <c r="Q683" s="9"/>
      <c r="R683" s="9"/>
      <c r="S683" s="9"/>
      <c r="T683" s="9"/>
      <c r="U683" s="9"/>
      <c r="V683" s="9"/>
      <c r="W683" s="9"/>
      <c r="X683" s="9"/>
      <c r="Y683" s="9"/>
    </row>
    <row r="684" spans="2:25" x14ac:dyDescent="0.2">
      <c r="B684" s="7"/>
      <c r="C684" s="9"/>
      <c r="D684" s="9"/>
      <c r="E684" s="9"/>
      <c r="F684" s="9"/>
      <c r="G684" s="16"/>
      <c r="H684" s="9"/>
      <c r="I684" s="9"/>
      <c r="J684" s="9"/>
      <c r="K684" s="72"/>
      <c r="L684" s="9"/>
      <c r="M684" s="9"/>
      <c r="N684" s="9"/>
      <c r="O684" s="9"/>
      <c r="P684" s="9"/>
      <c r="Q684" s="9"/>
      <c r="R684" s="9"/>
      <c r="S684" s="9"/>
      <c r="T684" s="9"/>
      <c r="U684" s="9"/>
      <c r="V684" s="9"/>
      <c r="W684" s="9"/>
      <c r="X684" s="9"/>
      <c r="Y684" s="9"/>
    </row>
    <row r="685" spans="2:25" x14ac:dyDescent="0.2">
      <c r="B685" s="7"/>
      <c r="C685" s="9"/>
      <c r="D685" s="9"/>
      <c r="E685" s="9"/>
      <c r="F685" s="9"/>
      <c r="G685" s="16"/>
      <c r="H685" s="9"/>
      <c r="I685" s="9"/>
      <c r="J685" s="9"/>
      <c r="K685" s="72"/>
      <c r="L685" s="9"/>
      <c r="M685" s="9"/>
      <c r="N685" s="9"/>
      <c r="O685" s="9"/>
      <c r="P685" s="9"/>
      <c r="Q685" s="9"/>
      <c r="R685" s="9"/>
      <c r="S685" s="9"/>
      <c r="T685" s="9"/>
      <c r="U685" s="9"/>
      <c r="V685" s="9"/>
      <c r="W685" s="9"/>
      <c r="X685" s="9"/>
      <c r="Y685" s="9"/>
    </row>
    <row r="686" spans="2:25" x14ac:dyDescent="0.2">
      <c r="B686" s="7"/>
      <c r="C686" s="9"/>
      <c r="D686" s="9"/>
      <c r="E686" s="9"/>
      <c r="F686" s="9"/>
      <c r="G686" s="16"/>
      <c r="H686" s="9"/>
      <c r="I686" s="9"/>
      <c r="J686" s="9"/>
      <c r="K686" s="72"/>
      <c r="L686" s="9"/>
      <c r="M686" s="9"/>
      <c r="N686" s="9"/>
      <c r="O686" s="9"/>
      <c r="P686" s="9"/>
      <c r="Q686" s="9"/>
      <c r="R686" s="9"/>
      <c r="S686" s="9"/>
      <c r="T686" s="9"/>
      <c r="U686" s="9"/>
      <c r="V686" s="9"/>
      <c r="W686" s="9"/>
      <c r="X686" s="9"/>
      <c r="Y686" s="9"/>
    </row>
    <row r="687" spans="2:25" x14ac:dyDescent="0.2">
      <c r="B687" s="7"/>
      <c r="C687" s="9"/>
      <c r="D687" s="9"/>
      <c r="E687" s="9"/>
      <c r="F687" s="9"/>
      <c r="G687" s="16"/>
      <c r="H687" s="9"/>
      <c r="I687" s="9"/>
      <c r="J687" s="9"/>
      <c r="K687" s="72"/>
      <c r="L687" s="9"/>
      <c r="M687" s="9"/>
      <c r="N687" s="9"/>
      <c r="O687" s="9"/>
      <c r="P687" s="9"/>
      <c r="Q687" s="9"/>
      <c r="R687" s="9"/>
      <c r="S687" s="9"/>
      <c r="T687" s="9"/>
      <c r="U687" s="9"/>
      <c r="V687" s="9"/>
      <c r="W687" s="9"/>
      <c r="X687" s="9"/>
      <c r="Y687" s="9"/>
    </row>
    <row r="688" spans="2:25" x14ac:dyDescent="0.2">
      <c r="B688" s="7"/>
      <c r="C688" s="9"/>
      <c r="D688" s="9"/>
      <c r="E688" s="9"/>
      <c r="F688" s="9"/>
      <c r="G688" s="16"/>
      <c r="H688" s="9"/>
      <c r="I688" s="9"/>
      <c r="J688" s="9"/>
      <c r="K688" s="72"/>
      <c r="L688" s="9"/>
      <c r="M688" s="9"/>
      <c r="N688" s="9"/>
      <c r="O688" s="9"/>
      <c r="P688" s="9"/>
      <c r="Q688" s="9"/>
      <c r="R688" s="9"/>
      <c r="S688" s="9"/>
      <c r="T688" s="9"/>
      <c r="U688" s="9"/>
      <c r="V688" s="9"/>
      <c r="W688" s="9"/>
      <c r="X688" s="9"/>
      <c r="Y688" s="9"/>
    </row>
    <row r="689" spans="2:25" x14ac:dyDescent="0.2">
      <c r="B689" s="7"/>
      <c r="C689" s="9"/>
      <c r="D689" s="9"/>
      <c r="E689" s="9"/>
      <c r="F689" s="9"/>
      <c r="G689" s="16"/>
      <c r="H689" s="9"/>
      <c r="I689" s="9"/>
      <c r="J689" s="9"/>
      <c r="K689" s="72"/>
      <c r="L689" s="9"/>
      <c r="M689" s="9"/>
      <c r="N689" s="9"/>
      <c r="O689" s="9"/>
      <c r="P689" s="9"/>
      <c r="Q689" s="9"/>
      <c r="R689" s="9"/>
      <c r="S689" s="9"/>
      <c r="T689" s="9"/>
      <c r="U689" s="9"/>
      <c r="V689" s="9"/>
      <c r="W689" s="9"/>
      <c r="X689" s="9"/>
      <c r="Y689" s="9"/>
    </row>
    <row r="690" spans="2:25" x14ac:dyDescent="0.2">
      <c r="B690" s="7"/>
      <c r="C690" s="9"/>
      <c r="D690" s="9"/>
      <c r="E690" s="9"/>
      <c r="F690" s="9"/>
      <c r="G690" s="16"/>
      <c r="H690" s="9"/>
      <c r="I690" s="9"/>
      <c r="J690" s="9"/>
      <c r="K690" s="72"/>
      <c r="L690" s="9"/>
      <c r="M690" s="9"/>
      <c r="N690" s="9"/>
      <c r="O690" s="9"/>
      <c r="P690" s="9"/>
      <c r="Q690" s="9"/>
      <c r="R690" s="9"/>
      <c r="S690" s="9"/>
      <c r="T690" s="9"/>
      <c r="U690" s="9"/>
      <c r="V690" s="9"/>
      <c r="W690" s="9"/>
      <c r="X690" s="9"/>
      <c r="Y690" s="9"/>
    </row>
    <row r="691" spans="2:25" x14ac:dyDescent="0.2">
      <c r="B691" s="7"/>
      <c r="C691" s="9"/>
      <c r="D691" s="9"/>
      <c r="E691" s="9"/>
      <c r="F691" s="9"/>
      <c r="G691" s="16"/>
      <c r="H691" s="9"/>
      <c r="I691" s="9"/>
      <c r="J691" s="9"/>
      <c r="K691" s="72"/>
      <c r="L691" s="9"/>
      <c r="M691" s="9"/>
      <c r="N691" s="9"/>
      <c r="O691" s="9"/>
      <c r="P691" s="9"/>
      <c r="Q691" s="9"/>
      <c r="R691" s="9"/>
      <c r="S691" s="9"/>
      <c r="T691" s="9"/>
      <c r="U691" s="9"/>
      <c r="V691" s="9"/>
      <c r="W691" s="9"/>
      <c r="X691" s="9"/>
      <c r="Y691" s="9"/>
    </row>
    <row r="692" spans="2:25" x14ac:dyDescent="0.2">
      <c r="B692" s="7"/>
      <c r="C692" s="9"/>
      <c r="D692" s="9"/>
      <c r="E692" s="9"/>
      <c r="F692" s="9"/>
      <c r="G692" s="16"/>
      <c r="H692" s="9"/>
      <c r="I692" s="9"/>
      <c r="J692" s="9"/>
      <c r="K692" s="72"/>
      <c r="L692" s="9"/>
      <c r="M692" s="9"/>
      <c r="N692" s="9"/>
      <c r="O692" s="9"/>
      <c r="P692" s="9"/>
      <c r="Q692" s="9"/>
      <c r="R692" s="9"/>
      <c r="S692" s="9"/>
      <c r="T692" s="9"/>
      <c r="U692" s="9"/>
      <c r="V692" s="9"/>
      <c r="W692" s="9"/>
      <c r="X692" s="9"/>
      <c r="Y692" s="9"/>
    </row>
    <row r="693" spans="2:25" x14ac:dyDescent="0.2">
      <c r="B693" s="7"/>
      <c r="C693" s="9"/>
      <c r="D693" s="9"/>
      <c r="E693" s="9"/>
      <c r="F693" s="9"/>
      <c r="G693" s="16"/>
      <c r="H693" s="9"/>
      <c r="I693" s="9"/>
      <c r="J693" s="9"/>
      <c r="K693" s="72"/>
      <c r="L693" s="9"/>
      <c r="M693" s="9"/>
      <c r="N693" s="9"/>
      <c r="O693" s="9"/>
      <c r="P693" s="9"/>
      <c r="Q693" s="9"/>
      <c r="R693" s="9"/>
      <c r="S693" s="9"/>
      <c r="T693" s="9"/>
      <c r="U693" s="9"/>
      <c r="V693" s="9"/>
      <c r="W693" s="9"/>
      <c r="X693" s="9"/>
      <c r="Y693" s="9"/>
    </row>
    <row r="694" spans="2:25" x14ac:dyDescent="0.2">
      <c r="B694" s="7"/>
      <c r="C694" s="9"/>
      <c r="D694" s="9"/>
      <c r="E694" s="9"/>
      <c r="F694" s="9"/>
      <c r="G694" s="16"/>
      <c r="H694" s="9"/>
      <c r="I694" s="9"/>
      <c r="J694" s="9"/>
      <c r="K694" s="72"/>
      <c r="L694" s="9"/>
      <c r="M694" s="9"/>
      <c r="N694" s="9"/>
      <c r="O694" s="9"/>
      <c r="P694" s="9"/>
      <c r="Q694" s="9"/>
      <c r="R694" s="9"/>
      <c r="S694" s="9"/>
      <c r="T694" s="9"/>
      <c r="U694" s="9"/>
      <c r="V694" s="9"/>
      <c r="W694" s="9"/>
      <c r="X694" s="9"/>
      <c r="Y694" s="9"/>
    </row>
    <row r="695" spans="2:25" x14ac:dyDescent="0.2">
      <c r="B695" s="7"/>
      <c r="C695" s="9"/>
      <c r="D695" s="9"/>
      <c r="E695" s="9"/>
      <c r="F695" s="9"/>
      <c r="G695" s="16"/>
      <c r="H695" s="9"/>
      <c r="I695" s="9"/>
      <c r="J695" s="9"/>
      <c r="K695" s="72"/>
      <c r="L695" s="9"/>
      <c r="M695" s="9"/>
      <c r="N695" s="9"/>
      <c r="O695" s="9"/>
      <c r="P695" s="9"/>
      <c r="Q695" s="9"/>
      <c r="R695" s="9"/>
      <c r="S695" s="9"/>
      <c r="T695" s="9"/>
      <c r="U695" s="9"/>
      <c r="V695" s="9"/>
      <c r="W695" s="9"/>
      <c r="X695" s="9"/>
      <c r="Y695" s="9"/>
    </row>
    <row r="696" spans="2:25" x14ac:dyDescent="0.2">
      <c r="B696" s="7"/>
      <c r="C696" s="9"/>
      <c r="D696" s="9"/>
      <c r="E696" s="9"/>
      <c r="F696" s="9"/>
      <c r="G696" s="16"/>
      <c r="H696" s="9"/>
      <c r="I696" s="9"/>
      <c r="J696" s="9"/>
      <c r="K696" s="72"/>
      <c r="L696" s="9"/>
      <c r="M696" s="9"/>
      <c r="N696" s="9"/>
      <c r="O696" s="9"/>
      <c r="P696" s="9"/>
      <c r="Q696" s="9"/>
      <c r="R696" s="9"/>
      <c r="S696" s="9"/>
      <c r="T696" s="9"/>
      <c r="U696" s="9"/>
      <c r="V696" s="9"/>
      <c r="W696" s="9"/>
      <c r="X696" s="9"/>
      <c r="Y696" s="9"/>
    </row>
    <row r="697" spans="2:25" x14ac:dyDescent="0.2">
      <c r="B697" s="7"/>
      <c r="C697" s="9"/>
      <c r="D697" s="9"/>
      <c r="E697" s="9"/>
      <c r="F697" s="9"/>
      <c r="G697" s="16"/>
      <c r="H697" s="9"/>
      <c r="I697" s="9"/>
      <c r="J697" s="9"/>
      <c r="K697" s="72"/>
      <c r="L697" s="9"/>
      <c r="M697" s="9"/>
      <c r="N697" s="9"/>
      <c r="O697" s="9"/>
      <c r="P697" s="9"/>
      <c r="Q697" s="9"/>
      <c r="R697" s="9"/>
      <c r="S697" s="9"/>
      <c r="T697" s="9"/>
      <c r="U697" s="9"/>
      <c r="V697" s="9"/>
      <c r="W697" s="9"/>
      <c r="X697" s="9"/>
      <c r="Y697" s="9"/>
    </row>
    <row r="698" spans="2:25" x14ac:dyDescent="0.2">
      <c r="B698" s="7"/>
      <c r="C698" s="9"/>
      <c r="D698" s="9"/>
      <c r="E698" s="9"/>
      <c r="F698" s="9"/>
      <c r="G698" s="16"/>
      <c r="H698" s="9"/>
      <c r="I698" s="9"/>
      <c r="J698" s="9"/>
      <c r="K698" s="72"/>
      <c r="L698" s="9"/>
      <c r="M698" s="9"/>
      <c r="N698" s="9"/>
      <c r="O698" s="9"/>
      <c r="P698" s="9"/>
      <c r="Q698" s="9"/>
      <c r="R698" s="9"/>
      <c r="S698" s="9"/>
      <c r="T698" s="9"/>
      <c r="U698" s="9"/>
      <c r="V698" s="9"/>
      <c r="W698" s="9"/>
      <c r="X698" s="9"/>
      <c r="Y698" s="9"/>
    </row>
    <row r="699" spans="2:25" x14ac:dyDescent="0.2">
      <c r="B699" s="7"/>
      <c r="C699" s="9"/>
      <c r="D699" s="9"/>
      <c r="E699" s="9"/>
      <c r="F699" s="9"/>
      <c r="G699" s="16"/>
      <c r="H699" s="9"/>
      <c r="I699" s="9"/>
      <c r="J699" s="9"/>
      <c r="K699" s="72"/>
      <c r="L699" s="9"/>
      <c r="M699" s="9"/>
      <c r="N699" s="9"/>
      <c r="O699" s="9"/>
      <c r="P699" s="9"/>
      <c r="Q699" s="9"/>
      <c r="R699" s="9"/>
      <c r="S699" s="9"/>
      <c r="T699" s="9"/>
      <c r="U699" s="9"/>
      <c r="V699" s="9"/>
      <c r="W699" s="9"/>
      <c r="X699" s="9"/>
      <c r="Y699" s="9"/>
    </row>
    <row r="700" spans="2:25" x14ac:dyDescent="0.2">
      <c r="B700" s="7"/>
      <c r="C700" s="9"/>
      <c r="D700" s="9"/>
      <c r="E700" s="9"/>
      <c r="F700" s="9"/>
      <c r="G700" s="16"/>
      <c r="H700" s="9"/>
      <c r="I700" s="9"/>
      <c r="J700" s="9"/>
      <c r="K700" s="72"/>
      <c r="L700" s="9"/>
      <c r="M700" s="9"/>
      <c r="N700" s="9"/>
      <c r="O700" s="9"/>
      <c r="P700" s="9"/>
      <c r="Q700" s="9"/>
      <c r="R700" s="9"/>
      <c r="S700" s="9"/>
      <c r="T700" s="9"/>
      <c r="U700" s="9"/>
      <c r="V700" s="9"/>
      <c r="W700" s="9"/>
      <c r="X700" s="9"/>
      <c r="Y700" s="9"/>
    </row>
    <row r="701" spans="2:25" x14ac:dyDescent="0.2">
      <c r="B701" s="7"/>
      <c r="C701" s="9"/>
      <c r="D701" s="9"/>
      <c r="E701" s="9"/>
      <c r="F701" s="9"/>
      <c r="G701" s="16"/>
      <c r="H701" s="9"/>
      <c r="I701" s="9"/>
      <c r="J701" s="9"/>
      <c r="K701" s="72"/>
      <c r="L701" s="9"/>
      <c r="M701" s="9"/>
      <c r="N701" s="9"/>
      <c r="O701" s="9"/>
      <c r="P701" s="9"/>
      <c r="Q701" s="9"/>
      <c r="R701" s="9"/>
      <c r="S701" s="9"/>
      <c r="T701" s="9"/>
      <c r="U701" s="9"/>
      <c r="V701" s="9"/>
      <c r="W701" s="9"/>
      <c r="X701" s="9"/>
      <c r="Y701" s="9"/>
    </row>
    <row r="702" spans="2:25" x14ac:dyDescent="0.2">
      <c r="B702" s="7"/>
      <c r="C702" s="9"/>
      <c r="D702" s="9"/>
      <c r="E702" s="9"/>
      <c r="F702" s="9"/>
      <c r="G702" s="16"/>
      <c r="H702" s="9"/>
      <c r="I702" s="9"/>
      <c r="J702" s="9"/>
      <c r="K702" s="72"/>
      <c r="L702" s="9"/>
      <c r="M702" s="9"/>
      <c r="N702" s="9"/>
      <c r="O702" s="9"/>
      <c r="P702" s="9"/>
      <c r="Q702" s="9"/>
      <c r="R702" s="9"/>
      <c r="S702" s="9"/>
      <c r="T702" s="9"/>
      <c r="U702" s="9"/>
      <c r="V702" s="9"/>
      <c r="W702" s="9"/>
      <c r="X702" s="9"/>
      <c r="Y702" s="9"/>
    </row>
    <row r="703" spans="2:25" x14ac:dyDescent="0.2">
      <c r="B703" s="7"/>
      <c r="C703" s="9"/>
      <c r="D703" s="9"/>
      <c r="E703" s="9"/>
      <c r="F703" s="9"/>
      <c r="G703" s="16"/>
      <c r="H703" s="9"/>
      <c r="I703" s="9"/>
      <c r="J703" s="9"/>
      <c r="K703" s="72"/>
      <c r="L703" s="9"/>
      <c r="M703" s="9"/>
      <c r="N703" s="9"/>
      <c r="O703" s="9"/>
      <c r="P703" s="9"/>
      <c r="Q703" s="9"/>
      <c r="R703" s="9"/>
      <c r="S703" s="9"/>
      <c r="T703" s="9"/>
      <c r="U703" s="9"/>
      <c r="V703" s="9"/>
      <c r="W703" s="9"/>
      <c r="X703" s="9"/>
      <c r="Y703" s="9"/>
    </row>
    <row r="704" spans="2:25" x14ac:dyDescent="0.2">
      <c r="B704" s="7"/>
      <c r="C704" s="9"/>
      <c r="D704" s="9"/>
      <c r="E704" s="9"/>
      <c r="F704" s="9"/>
      <c r="G704" s="16"/>
      <c r="H704" s="9"/>
      <c r="I704" s="9"/>
      <c r="J704" s="9"/>
      <c r="K704" s="72"/>
      <c r="L704" s="9"/>
      <c r="M704" s="9"/>
      <c r="N704" s="9"/>
      <c r="O704" s="9"/>
      <c r="P704" s="9"/>
      <c r="Q704" s="9"/>
      <c r="R704" s="9"/>
      <c r="S704" s="9"/>
      <c r="T704" s="9"/>
      <c r="U704" s="9"/>
      <c r="V704" s="9"/>
      <c r="W704" s="9"/>
      <c r="X704" s="9"/>
      <c r="Y704" s="9"/>
    </row>
    <row r="705" spans="2:25" x14ac:dyDescent="0.2">
      <c r="B705" s="7"/>
      <c r="C705" s="9"/>
      <c r="D705" s="9"/>
      <c r="E705" s="9"/>
      <c r="F705" s="9"/>
      <c r="G705" s="16"/>
      <c r="H705" s="9"/>
      <c r="I705" s="9"/>
      <c r="J705" s="9"/>
      <c r="K705" s="72"/>
      <c r="L705" s="9"/>
      <c r="M705" s="9"/>
      <c r="N705" s="9"/>
      <c r="O705" s="9"/>
      <c r="P705" s="9"/>
      <c r="Q705" s="9"/>
      <c r="R705" s="9"/>
      <c r="S705" s="9"/>
      <c r="T705" s="9"/>
      <c r="U705" s="9"/>
      <c r="V705" s="9"/>
      <c r="W705" s="9"/>
      <c r="X705" s="9"/>
      <c r="Y705" s="9"/>
    </row>
    <row r="706" spans="2:25" x14ac:dyDescent="0.2">
      <c r="B706" s="7"/>
      <c r="C706" s="9"/>
      <c r="D706" s="9"/>
      <c r="E706" s="9"/>
      <c r="F706" s="9"/>
      <c r="G706" s="16"/>
      <c r="H706" s="9"/>
      <c r="I706" s="9"/>
      <c r="J706" s="9"/>
      <c r="K706" s="72"/>
      <c r="L706" s="9"/>
      <c r="M706" s="9"/>
      <c r="N706" s="9"/>
      <c r="O706" s="9"/>
      <c r="P706" s="9"/>
      <c r="Q706" s="9"/>
      <c r="R706" s="9"/>
      <c r="S706" s="9"/>
      <c r="T706" s="9"/>
      <c r="U706" s="9"/>
      <c r="V706" s="9"/>
      <c r="W706" s="9"/>
      <c r="X706" s="9"/>
      <c r="Y706" s="9"/>
    </row>
    <row r="707" spans="2:25" x14ac:dyDescent="0.2">
      <c r="B707" s="7"/>
      <c r="C707" s="9"/>
      <c r="D707" s="9"/>
      <c r="E707" s="9"/>
      <c r="F707" s="9"/>
      <c r="G707" s="16"/>
      <c r="H707" s="9"/>
      <c r="I707" s="9"/>
      <c r="J707" s="9"/>
      <c r="K707" s="72"/>
      <c r="L707" s="9"/>
      <c r="M707" s="9"/>
      <c r="N707" s="9"/>
      <c r="O707" s="9"/>
      <c r="P707" s="9"/>
      <c r="Q707" s="9"/>
      <c r="R707" s="9"/>
      <c r="S707" s="9"/>
      <c r="T707" s="9"/>
      <c r="U707" s="9"/>
      <c r="V707" s="9"/>
      <c r="W707" s="9"/>
      <c r="X707" s="9"/>
      <c r="Y707" s="9"/>
    </row>
    <row r="708" spans="2:25" x14ac:dyDescent="0.2">
      <c r="B708" s="7"/>
      <c r="C708" s="9"/>
      <c r="D708" s="9"/>
      <c r="E708" s="9"/>
      <c r="F708" s="9"/>
      <c r="G708" s="16"/>
      <c r="H708" s="9"/>
      <c r="I708" s="9"/>
      <c r="J708" s="9"/>
      <c r="K708" s="72"/>
      <c r="L708" s="9"/>
      <c r="M708" s="9"/>
      <c r="N708" s="9"/>
      <c r="O708" s="9"/>
      <c r="P708" s="9"/>
      <c r="Q708" s="9"/>
      <c r="R708" s="9"/>
      <c r="S708" s="9"/>
      <c r="T708" s="9"/>
      <c r="U708" s="9"/>
      <c r="V708" s="9"/>
      <c r="W708" s="9"/>
      <c r="X708" s="9"/>
      <c r="Y708" s="9"/>
    </row>
    <row r="709" spans="2:25" x14ac:dyDescent="0.2">
      <c r="B709" s="7"/>
      <c r="C709" s="9"/>
      <c r="D709" s="9"/>
      <c r="E709" s="9"/>
      <c r="F709" s="9"/>
      <c r="G709" s="16"/>
      <c r="H709" s="9"/>
      <c r="I709" s="9"/>
      <c r="J709" s="9"/>
      <c r="K709" s="72"/>
      <c r="L709" s="9"/>
      <c r="M709" s="9"/>
      <c r="N709" s="9"/>
      <c r="O709" s="9"/>
      <c r="P709" s="9"/>
      <c r="Q709" s="9"/>
      <c r="R709" s="9"/>
      <c r="S709" s="9"/>
      <c r="T709" s="9"/>
      <c r="U709" s="9"/>
      <c r="V709" s="9"/>
      <c r="W709" s="9"/>
      <c r="X709" s="9"/>
      <c r="Y709" s="9"/>
    </row>
    <row r="710" spans="2:25" x14ac:dyDescent="0.2">
      <c r="B710" s="7"/>
      <c r="C710" s="9"/>
      <c r="D710" s="9"/>
      <c r="E710" s="9"/>
      <c r="F710" s="9"/>
      <c r="G710" s="16"/>
      <c r="H710" s="9"/>
      <c r="I710" s="9"/>
      <c r="J710" s="9"/>
      <c r="K710" s="72"/>
      <c r="L710" s="9"/>
      <c r="M710" s="9"/>
      <c r="N710" s="9"/>
      <c r="O710" s="9"/>
      <c r="P710" s="9"/>
      <c r="Q710" s="9"/>
      <c r="R710" s="9"/>
      <c r="S710" s="9"/>
      <c r="T710" s="9"/>
      <c r="U710" s="9"/>
      <c r="V710" s="9"/>
      <c r="W710" s="9"/>
      <c r="X710" s="9"/>
      <c r="Y710" s="9"/>
    </row>
    <row r="711" spans="2:25" x14ac:dyDescent="0.2">
      <c r="B711" s="7"/>
      <c r="C711" s="9"/>
      <c r="D711" s="9"/>
      <c r="E711" s="9"/>
      <c r="F711" s="9"/>
      <c r="G711" s="16"/>
      <c r="H711" s="9"/>
      <c r="I711" s="9"/>
      <c r="J711" s="9"/>
      <c r="K711" s="72"/>
      <c r="L711" s="9"/>
      <c r="M711" s="9"/>
      <c r="N711" s="9"/>
      <c r="O711" s="9"/>
      <c r="P711" s="9"/>
      <c r="Q711" s="9"/>
      <c r="R711" s="9"/>
      <c r="S711" s="9"/>
      <c r="T711" s="9"/>
      <c r="U711" s="9"/>
      <c r="V711" s="9"/>
      <c r="W711" s="9"/>
      <c r="X711" s="9"/>
      <c r="Y711" s="9"/>
    </row>
    <row r="712" spans="2:25" x14ac:dyDescent="0.2">
      <c r="B712" s="7"/>
      <c r="C712" s="9"/>
      <c r="D712" s="9"/>
      <c r="E712" s="9"/>
      <c r="F712" s="9"/>
      <c r="G712" s="16"/>
      <c r="H712" s="9"/>
      <c r="I712" s="9"/>
      <c r="J712" s="9"/>
      <c r="K712" s="72"/>
      <c r="L712" s="9"/>
      <c r="M712" s="9"/>
      <c r="N712" s="9"/>
      <c r="O712" s="9"/>
      <c r="P712" s="9"/>
      <c r="Q712" s="9"/>
      <c r="R712" s="9"/>
      <c r="S712" s="9"/>
      <c r="T712" s="9"/>
      <c r="U712" s="9"/>
      <c r="V712" s="9"/>
      <c r="W712" s="9"/>
      <c r="X712" s="9"/>
      <c r="Y712" s="9"/>
    </row>
    <row r="713" spans="2:25" x14ac:dyDescent="0.2">
      <c r="B713" s="7"/>
      <c r="C713" s="9"/>
      <c r="D713" s="9"/>
      <c r="E713" s="9"/>
      <c r="F713" s="9"/>
      <c r="G713" s="16"/>
      <c r="H713" s="9"/>
      <c r="I713" s="9"/>
      <c r="J713" s="9"/>
      <c r="K713" s="72"/>
      <c r="L713" s="9"/>
      <c r="M713" s="9"/>
      <c r="N713" s="9"/>
      <c r="O713" s="9"/>
      <c r="P713" s="9"/>
      <c r="Q713" s="9"/>
      <c r="R713" s="9"/>
      <c r="S713" s="9"/>
      <c r="T713" s="9"/>
      <c r="U713" s="9"/>
      <c r="V713" s="9"/>
      <c r="W713" s="9"/>
      <c r="X713" s="9"/>
      <c r="Y713" s="9"/>
    </row>
    <row r="714" spans="2:25" x14ac:dyDescent="0.2">
      <c r="B714" s="7"/>
      <c r="C714" s="9"/>
      <c r="D714" s="9"/>
      <c r="E714" s="9"/>
      <c r="F714" s="9"/>
      <c r="G714" s="16"/>
      <c r="H714" s="9"/>
      <c r="I714" s="9"/>
      <c r="J714" s="9"/>
      <c r="K714" s="72"/>
      <c r="L714" s="9"/>
      <c r="M714" s="9"/>
      <c r="N714" s="9"/>
      <c r="O714" s="9"/>
      <c r="P714" s="9"/>
      <c r="Q714" s="9"/>
      <c r="R714" s="9"/>
      <c r="S714" s="9"/>
      <c r="T714" s="9"/>
      <c r="U714" s="9"/>
      <c r="V714" s="9"/>
      <c r="W714" s="9"/>
      <c r="X714" s="9"/>
      <c r="Y714" s="9"/>
    </row>
    <row r="715" spans="2:25" x14ac:dyDescent="0.2">
      <c r="B715" s="7"/>
      <c r="C715" s="9"/>
      <c r="D715" s="9"/>
      <c r="E715" s="9"/>
      <c r="F715" s="9"/>
      <c r="G715" s="16"/>
      <c r="H715" s="9"/>
      <c r="I715" s="9"/>
      <c r="J715" s="9"/>
      <c r="K715" s="72"/>
      <c r="L715" s="9"/>
      <c r="M715" s="9"/>
      <c r="N715" s="9"/>
      <c r="O715" s="9"/>
      <c r="P715" s="9"/>
      <c r="Q715" s="9"/>
      <c r="R715" s="9"/>
      <c r="S715" s="9"/>
      <c r="T715" s="9"/>
      <c r="U715" s="9"/>
      <c r="V715" s="9"/>
      <c r="W715" s="9"/>
      <c r="X715" s="9"/>
      <c r="Y715" s="9"/>
    </row>
    <row r="716" spans="2:25" x14ac:dyDescent="0.2">
      <c r="B716" s="7"/>
      <c r="C716" s="9"/>
      <c r="D716" s="9"/>
      <c r="E716" s="9"/>
      <c r="F716" s="9"/>
      <c r="G716" s="16"/>
      <c r="H716" s="9"/>
      <c r="I716" s="9"/>
      <c r="J716" s="9"/>
      <c r="K716" s="72"/>
      <c r="L716" s="9"/>
      <c r="M716" s="9"/>
      <c r="N716" s="9"/>
      <c r="O716" s="9"/>
      <c r="P716" s="9"/>
      <c r="Q716" s="9"/>
      <c r="R716" s="9"/>
      <c r="S716" s="9"/>
      <c r="T716" s="9"/>
      <c r="U716" s="9"/>
      <c r="V716" s="9"/>
      <c r="W716" s="9"/>
      <c r="X716" s="9"/>
      <c r="Y716" s="9"/>
    </row>
    <row r="717" spans="2:25" x14ac:dyDescent="0.2">
      <c r="B717" s="7"/>
      <c r="C717" s="9"/>
      <c r="D717" s="9"/>
      <c r="E717" s="9"/>
      <c r="F717" s="9"/>
      <c r="G717" s="16"/>
      <c r="H717" s="9"/>
      <c r="I717" s="9"/>
      <c r="J717" s="9"/>
      <c r="K717" s="72"/>
      <c r="L717" s="9"/>
      <c r="M717" s="9"/>
      <c r="N717" s="9"/>
      <c r="O717" s="9"/>
      <c r="P717" s="9"/>
      <c r="Q717" s="9"/>
      <c r="R717" s="9"/>
      <c r="S717" s="9"/>
      <c r="T717" s="9"/>
      <c r="U717" s="9"/>
      <c r="V717" s="9"/>
      <c r="W717" s="9"/>
      <c r="X717" s="9"/>
      <c r="Y717" s="9"/>
    </row>
    <row r="718" spans="2:25" x14ac:dyDescent="0.2">
      <c r="B718" s="7"/>
      <c r="C718" s="9"/>
      <c r="D718" s="9"/>
      <c r="E718" s="9"/>
      <c r="F718" s="9"/>
      <c r="G718" s="16"/>
      <c r="H718" s="9"/>
      <c r="I718" s="9"/>
      <c r="J718" s="9"/>
      <c r="K718" s="72"/>
      <c r="L718" s="9"/>
      <c r="M718" s="9"/>
      <c r="N718" s="9"/>
      <c r="O718" s="9"/>
      <c r="P718" s="9"/>
      <c r="Q718" s="9"/>
      <c r="R718" s="9"/>
      <c r="S718" s="9"/>
      <c r="T718" s="9"/>
      <c r="U718" s="9"/>
      <c r="V718" s="9"/>
      <c r="W718" s="9"/>
      <c r="X718" s="9"/>
      <c r="Y718" s="9"/>
    </row>
    <row r="719" spans="2:25" x14ac:dyDescent="0.2">
      <c r="B719" s="7"/>
      <c r="C719" s="9"/>
      <c r="D719" s="9"/>
      <c r="E719" s="9"/>
      <c r="F719" s="9"/>
      <c r="G719" s="16"/>
      <c r="H719" s="9"/>
      <c r="I719" s="9"/>
      <c r="J719" s="9"/>
      <c r="K719" s="72"/>
      <c r="L719" s="9"/>
      <c r="M719" s="9"/>
      <c r="N719" s="9"/>
      <c r="O719" s="9"/>
      <c r="P719" s="9"/>
      <c r="Q719" s="9"/>
      <c r="R719" s="9"/>
      <c r="S719" s="9"/>
      <c r="T719" s="9"/>
      <c r="U719" s="9"/>
      <c r="V719" s="9"/>
      <c r="W719" s="9"/>
      <c r="X719" s="9"/>
      <c r="Y719" s="9"/>
    </row>
    <row r="720" spans="2:25" x14ac:dyDescent="0.2">
      <c r="B720" s="7"/>
      <c r="C720" s="9"/>
      <c r="D720" s="9"/>
      <c r="E720" s="9"/>
      <c r="F720" s="9"/>
      <c r="G720" s="16"/>
      <c r="H720" s="9"/>
      <c r="I720" s="9"/>
      <c r="J720" s="9"/>
      <c r="K720" s="72"/>
      <c r="L720" s="9"/>
      <c r="M720" s="9"/>
      <c r="N720" s="9"/>
      <c r="O720" s="9"/>
      <c r="P720" s="9"/>
      <c r="Q720" s="9"/>
      <c r="R720" s="9"/>
      <c r="S720" s="9"/>
      <c r="T720" s="9"/>
      <c r="U720" s="9"/>
      <c r="V720" s="9"/>
      <c r="W720" s="9"/>
      <c r="X720" s="9"/>
      <c r="Y720" s="9"/>
    </row>
    <row r="721" spans="2:25" x14ac:dyDescent="0.2">
      <c r="B721" s="7"/>
      <c r="C721" s="9"/>
      <c r="D721" s="9"/>
      <c r="E721" s="9"/>
      <c r="F721" s="9"/>
      <c r="G721" s="16"/>
      <c r="H721" s="9"/>
      <c r="I721" s="9"/>
      <c r="J721" s="9"/>
      <c r="K721" s="72"/>
      <c r="L721" s="9"/>
      <c r="M721" s="9"/>
      <c r="N721" s="9"/>
      <c r="O721" s="9"/>
      <c r="P721" s="9"/>
      <c r="Q721" s="9"/>
      <c r="R721" s="9"/>
      <c r="S721" s="9"/>
      <c r="T721" s="9"/>
      <c r="U721" s="9"/>
      <c r="V721" s="9"/>
      <c r="W721" s="9"/>
      <c r="X721" s="9"/>
      <c r="Y721" s="9"/>
    </row>
    <row r="722" spans="2:25" x14ac:dyDescent="0.2">
      <c r="B722" s="7"/>
      <c r="C722" s="9"/>
      <c r="D722" s="9"/>
      <c r="E722" s="9"/>
      <c r="F722" s="9"/>
      <c r="G722" s="16"/>
      <c r="H722" s="9"/>
      <c r="I722" s="9"/>
      <c r="J722" s="9"/>
      <c r="K722" s="72"/>
      <c r="L722" s="9"/>
      <c r="M722" s="9"/>
      <c r="N722" s="9"/>
      <c r="O722" s="9"/>
      <c r="P722" s="9"/>
      <c r="Q722" s="9"/>
      <c r="R722" s="9"/>
      <c r="S722" s="9"/>
      <c r="T722" s="9"/>
      <c r="U722" s="9"/>
      <c r="V722" s="9"/>
      <c r="W722" s="9"/>
      <c r="X722" s="9"/>
      <c r="Y722" s="9"/>
    </row>
    <row r="723" spans="2:25" x14ac:dyDescent="0.2">
      <c r="B723" s="7"/>
      <c r="C723" s="9"/>
      <c r="D723" s="9"/>
      <c r="E723" s="9"/>
      <c r="F723" s="9"/>
      <c r="G723" s="16"/>
      <c r="H723" s="9"/>
      <c r="I723" s="9"/>
      <c r="J723" s="9"/>
      <c r="K723" s="72"/>
      <c r="L723" s="9"/>
      <c r="M723" s="9"/>
      <c r="N723" s="9"/>
      <c r="O723" s="9"/>
      <c r="P723" s="9"/>
      <c r="Q723" s="9"/>
      <c r="R723" s="9"/>
      <c r="S723" s="9"/>
      <c r="T723" s="9"/>
      <c r="U723" s="9"/>
      <c r="V723" s="9"/>
      <c r="W723" s="9"/>
      <c r="X723" s="9"/>
      <c r="Y723" s="9"/>
    </row>
    <row r="724" spans="2:25" x14ac:dyDescent="0.2">
      <c r="B724" s="7"/>
      <c r="C724" s="9"/>
      <c r="D724" s="9"/>
      <c r="E724" s="9"/>
      <c r="F724" s="9"/>
      <c r="G724" s="16"/>
      <c r="H724" s="9"/>
      <c r="I724" s="9"/>
      <c r="J724" s="9"/>
      <c r="K724" s="72"/>
      <c r="L724" s="9"/>
      <c r="M724" s="9"/>
      <c r="N724" s="9"/>
      <c r="O724" s="9"/>
      <c r="P724" s="9"/>
      <c r="Q724" s="9"/>
      <c r="R724" s="9"/>
      <c r="S724" s="9"/>
      <c r="T724" s="9"/>
      <c r="U724" s="9"/>
      <c r="V724" s="9"/>
      <c r="W724" s="9"/>
      <c r="X724" s="9"/>
      <c r="Y724" s="9"/>
    </row>
    <row r="725" spans="2:25" x14ac:dyDescent="0.2">
      <c r="B725" s="7"/>
      <c r="C725" s="9"/>
      <c r="D725" s="9"/>
      <c r="E725" s="9"/>
      <c r="F725" s="9"/>
      <c r="G725" s="16"/>
      <c r="H725" s="9"/>
      <c r="I725" s="9"/>
      <c r="J725" s="9"/>
      <c r="K725" s="72"/>
      <c r="L725" s="9"/>
      <c r="M725" s="9"/>
      <c r="N725" s="9"/>
      <c r="O725" s="9"/>
      <c r="P725" s="9"/>
      <c r="Q725" s="9"/>
      <c r="R725" s="9"/>
      <c r="S725" s="9"/>
      <c r="T725" s="9"/>
      <c r="U725" s="9"/>
      <c r="V725" s="9"/>
      <c r="W725" s="9"/>
      <c r="X725" s="9"/>
      <c r="Y725" s="9"/>
    </row>
    <row r="726" spans="2:25" x14ac:dyDescent="0.2">
      <c r="B726" s="7"/>
      <c r="C726" s="9"/>
      <c r="D726" s="9"/>
      <c r="E726" s="9"/>
      <c r="F726" s="9"/>
      <c r="G726" s="16"/>
      <c r="H726" s="9"/>
      <c r="I726" s="9"/>
      <c r="J726" s="9"/>
      <c r="K726" s="72"/>
      <c r="L726" s="9"/>
      <c r="M726" s="9"/>
      <c r="N726" s="9"/>
      <c r="O726" s="9"/>
      <c r="P726" s="9"/>
      <c r="Q726" s="9"/>
      <c r="R726" s="9"/>
      <c r="S726" s="9"/>
      <c r="T726" s="9"/>
      <c r="U726" s="9"/>
      <c r="V726" s="9"/>
      <c r="W726" s="9"/>
      <c r="X726" s="9"/>
      <c r="Y726" s="9"/>
    </row>
    <row r="727" spans="2:25" x14ac:dyDescent="0.2">
      <c r="B727" s="7"/>
      <c r="C727" s="9"/>
      <c r="D727" s="9"/>
      <c r="E727" s="9"/>
      <c r="F727" s="9"/>
      <c r="G727" s="16"/>
      <c r="H727" s="9"/>
      <c r="I727" s="9"/>
      <c r="J727" s="9"/>
      <c r="K727" s="72"/>
      <c r="L727" s="9"/>
      <c r="M727" s="9"/>
      <c r="N727" s="9"/>
      <c r="O727" s="9"/>
      <c r="P727" s="9"/>
      <c r="Q727" s="9"/>
      <c r="R727" s="9"/>
      <c r="S727" s="9"/>
      <c r="T727" s="9"/>
      <c r="U727" s="9"/>
      <c r="V727" s="9"/>
      <c r="W727" s="9"/>
      <c r="X727" s="9"/>
      <c r="Y727" s="9"/>
    </row>
    <row r="728" spans="2:25" x14ac:dyDescent="0.2">
      <c r="B728" s="7"/>
      <c r="C728" s="9"/>
      <c r="D728" s="9"/>
      <c r="E728" s="9"/>
      <c r="F728" s="9"/>
      <c r="G728" s="16"/>
      <c r="H728" s="9"/>
      <c r="I728" s="9"/>
      <c r="J728" s="9"/>
      <c r="K728" s="72"/>
      <c r="L728" s="9"/>
      <c r="M728" s="9"/>
      <c r="N728" s="9"/>
      <c r="O728" s="9"/>
      <c r="P728" s="9"/>
      <c r="Q728" s="9"/>
      <c r="R728" s="9"/>
      <c r="S728" s="9"/>
      <c r="T728" s="9"/>
      <c r="U728" s="9"/>
      <c r="V728" s="9"/>
      <c r="W728" s="9"/>
      <c r="X728" s="9"/>
      <c r="Y728" s="9"/>
    </row>
    <row r="729" spans="2:25" x14ac:dyDescent="0.2">
      <c r="B729" s="7"/>
      <c r="C729" s="9"/>
      <c r="D729" s="9"/>
      <c r="E729" s="9"/>
      <c r="F729" s="9"/>
      <c r="G729" s="16"/>
      <c r="H729" s="9"/>
      <c r="I729" s="9"/>
      <c r="J729" s="9"/>
      <c r="K729" s="72"/>
      <c r="L729" s="9"/>
      <c r="M729" s="9"/>
      <c r="N729" s="9"/>
      <c r="O729" s="9"/>
      <c r="P729" s="9"/>
      <c r="Q729" s="9"/>
      <c r="R729" s="9"/>
      <c r="S729" s="9"/>
      <c r="T729" s="9"/>
      <c r="U729" s="9"/>
      <c r="V729" s="9"/>
      <c r="W729" s="9"/>
      <c r="X729" s="9"/>
      <c r="Y729" s="9"/>
    </row>
    <row r="730" spans="2:25" x14ac:dyDescent="0.2">
      <c r="B730" s="7"/>
      <c r="C730" s="9"/>
      <c r="D730" s="9"/>
      <c r="E730" s="9"/>
      <c r="F730" s="9"/>
      <c r="G730" s="16"/>
      <c r="H730" s="9"/>
      <c r="I730" s="9"/>
      <c r="J730" s="9"/>
      <c r="K730" s="72"/>
      <c r="L730" s="9"/>
      <c r="M730" s="9"/>
      <c r="N730" s="9"/>
      <c r="O730" s="9"/>
      <c r="P730" s="9"/>
      <c r="Q730" s="9"/>
      <c r="R730" s="9"/>
      <c r="S730" s="9"/>
      <c r="T730" s="9"/>
      <c r="U730" s="9"/>
      <c r="V730" s="9"/>
      <c r="W730" s="9"/>
      <c r="X730" s="9"/>
      <c r="Y730" s="9"/>
    </row>
    <row r="731" spans="2:25" x14ac:dyDescent="0.2">
      <c r="B731" s="7"/>
      <c r="C731" s="9"/>
      <c r="D731" s="9"/>
      <c r="E731" s="9"/>
      <c r="F731" s="9"/>
      <c r="G731" s="16"/>
      <c r="H731" s="9"/>
      <c r="I731" s="9"/>
      <c r="J731" s="9"/>
      <c r="K731" s="72"/>
      <c r="L731" s="9"/>
      <c r="M731" s="9"/>
      <c r="N731" s="9"/>
      <c r="O731" s="9"/>
      <c r="P731" s="9"/>
      <c r="Q731" s="9"/>
      <c r="R731" s="9"/>
      <c r="S731" s="9"/>
      <c r="T731" s="9"/>
      <c r="U731" s="9"/>
      <c r="V731" s="9"/>
      <c r="W731" s="9"/>
      <c r="X731" s="9"/>
      <c r="Y731" s="9"/>
    </row>
    <row r="732" spans="2:25" x14ac:dyDescent="0.2">
      <c r="B732" s="7"/>
      <c r="C732" s="9"/>
      <c r="D732" s="9"/>
      <c r="E732" s="9"/>
      <c r="F732" s="9"/>
      <c r="G732" s="16"/>
      <c r="H732" s="9"/>
      <c r="I732" s="9"/>
      <c r="J732" s="9"/>
      <c r="K732" s="72"/>
      <c r="L732" s="9"/>
      <c r="M732" s="9"/>
      <c r="N732" s="9"/>
      <c r="O732" s="9"/>
      <c r="P732" s="9"/>
      <c r="Q732" s="9"/>
      <c r="R732" s="9"/>
      <c r="S732" s="9"/>
      <c r="T732" s="9"/>
      <c r="U732" s="9"/>
      <c r="V732" s="9"/>
      <c r="W732" s="9"/>
      <c r="X732" s="9"/>
      <c r="Y732" s="9"/>
    </row>
    <row r="733" spans="2:25" x14ac:dyDescent="0.2">
      <c r="B733" s="7"/>
      <c r="C733" s="9"/>
      <c r="D733" s="9"/>
      <c r="E733" s="9"/>
      <c r="F733" s="9"/>
      <c r="G733" s="16"/>
      <c r="H733" s="9"/>
      <c r="I733" s="9"/>
      <c r="J733" s="9"/>
      <c r="K733" s="72"/>
      <c r="L733" s="9"/>
      <c r="M733" s="9"/>
      <c r="N733" s="9"/>
      <c r="O733" s="9"/>
      <c r="P733" s="9"/>
      <c r="Q733" s="9"/>
      <c r="R733" s="9"/>
      <c r="S733" s="9"/>
      <c r="T733" s="9"/>
      <c r="U733" s="9"/>
      <c r="V733" s="9"/>
      <c r="W733" s="9"/>
      <c r="X733" s="9"/>
      <c r="Y733" s="9"/>
    </row>
    <row r="734" spans="2:25" x14ac:dyDescent="0.2">
      <c r="B734" s="7"/>
      <c r="C734" s="9"/>
      <c r="D734" s="9"/>
      <c r="E734" s="9"/>
      <c r="F734" s="9"/>
      <c r="G734" s="16"/>
      <c r="H734" s="9"/>
      <c r="I734" s="9"/>
      <c r="J734" s="9"/>
      <c r="K734" s="72"/>
      <c r="L734" s="9"/>
      <c r="M734" s="9"/>
      <c r="N734" s="9"/>
      <c r="O734" s="9"/>
      <c r="P734" s="9"/>
      <c r="Q734" s="9"/>
      <c r="R734" s="9"/>
      <c r="S734" s="9"/>
      <c r="T734" s="9"/>
      <c r="U734" s="9"/>
      <c r="V734" s="9"/>
      <c r="W734" s="9"/>
      <c r="X734" s="9"/>
      <c r="Y734" s="9"/>
    </row>
    <row r="735" spans="2:25" x14ac:dyDescent="0.2">
      <c r="B735" s="7"/>
      <c r="C735" s="9"/>
      <c r="D735" s="9"/>
      <c r="E735" s="9"/>
      <c r="F735" s="9"/>
      <c r="G735" s="16"/>
      <c r="H735" s="9"/>
      <c r="I735" s="9"/>
      <c r="J735" s="9"/>
      <c r="K735" s="72"/>
      <c r="L735" s="9"/>
      <c r="M735" s="9"/>
      <c r="N735" s="9"/>
      <c r="O735" s="9"/>
      <c r="P735" s="9"/>
      <c r="Q735" s="9"/>
      <c r="R735" s="9"/>
      <c r="S735" s="9"/>
      <c r="T735" s="9"/>
      <c r="U735" s="9"/>
      <c r="V735" s="9"/>
      <c r="W735" s="9"/>
      <c r="X735" s="9"/>
      <c r="Y735" s="9"/>
    </row>
    <row r="736" spans="2:25" x14ac:dyDescent="0.2">
      <c r="B736" s="7"/>
      <c r="C736" s="9"/>
      <c r="D736" s="9"/>
      <c r="E736" s="9"/>
      <c r="F736" s="9"/>
      <c r="G736" s="16"/>
      <c r="H736" s="9"/>
      <c r="I736" s="9"/>
      <c r="J736" s="9"/>
      <c r="K736" s="72"/>
      <c r="L736" s="9"/>
      <c r="M736" s="9"/>
      <c r="N736" s="9"/>
      <c r="O736" s="9"/>
      <c r="P736" s="9"/>
      <c r="Q736" s="9"/>
      <c r="R736" s="9"/>
      <c r="S736" s="9"/>
      <c r="T736" s="9"/>
      <c r="U736" s="9"/>
      <c r="V736" s="9"/>
      <c r="W736" s="9"/>
      <c r="X736" s="9"/>
      <c r="Y736" s="9"/>
    </row>
    <row r="737" spans="2:25" x14ac:dyDescent="0.2">
      <c r="B737" s="7"/>
      <c r="C737" s="9"/>
      <c r="D737" s="9"/>
      <c r="E737" s="9"/>
      <c r="F737" s="9"/>
      <c r="G737" s="16"/>
      <c r="H737" s="9"/>
      <c r="I737" s="9"/>
      <c r="J737" s="9"/>
      <c r="K737" s="72"/>
      <c r="L737" s="9"/>
      <c r="M737" s="9"/>
      <c r="N737" s="9"/>
      <c r="O737" s="9"/>
      <c r="P737" s="9"/>
      <c r="Q737" s="9"/>
      <c r="R737" s="9"/>
      <c r="S737" s="9"/>
      <c r="T737" s="9"/>
      <c r="U737" s="9"/>
      <c r="V737" s="9"/>
      <c r="W737" s="9"/>
      <c r="X737" s="9"/>
      <c r="Y737" s="9"/>
    </row>
    <row r="738" spans="2:25" x14ac:dyDescent="0.2">
      <c r="B738" s="7"/>
      <c r="C738" s="9"/>
      <c r="D738" s="9"/>
      <c r="E738" s="9"/>
      <c r="F738" s="9"/>
      <c r="G738" s="16"/>
      <c r="H738" s="9"/>
      <c r="I738" s="9"/>
      <c r="J738" s="9"/>
      <c r="K738" s="72"/>
      <c r="L738" s="9"/>
      <c r="M738" s="9"/>
      <c r="N738" s="9"/>
      <c r="O738" s="9"/>
      <c r="P738" s="9"/>
      <c r="Q738" s="9"/>
      <c r="R738" s="9"/>
      <c r="S738" s="9"/>
      <c r="T738" s="9"/>
      <c r="U738" s="9"/>
      <c r="V738" s="9"/>
      <c r="W738" s="9"/>
      <c r="X738" s="9"/>
      <c r="Y738" s="9"/>
    </row>
    <row r="739" spans="2:25" x14ac:dyDescent="0.2">
      <c r="B739" s="7"/>
      <c r="C739" s="9"/>
      <c r="D739" s="9"/>
      <c r="E739" s="9"/>
      <c r="F739" s="9"/>
      <c r="G739" s="16"/>
      <c r="H739" s="9"/>
      <c r="I739" s="9"/>
      <c r="J739" s="9"/>
      <c r="K739" s="72"/>
      <c r="L739" s="9"/>
      <c r="M739" s="9"/>
      <c r="N739" s="9"/>
      <c r="O739" s="9"/>
      <c r="P739" s="9"/>
      <c r="Q739" s="9"/>
      <c r="R739" s="9"/>
      <c r="S739" s="9"/>
      <c r="T739" s="9"/>
      <c r="U739" s="9"/>
      <c r="V739" s="9"/>
      <c r="W739" s="9"/>
      <c r="X739" s="9"/>
      <c r="Y739" s="9"/>
    </row>
    <row r="740" spans="2:25" x14ac:dyDescent="0.2">
      <c r="B740" s="7"/>
      <c r="C740" s="9"/>
      <c r="D740" s="9"/>
      <c r="E740" s="9"/>
      <c r="F740" s="9"/>
      <c r="G740" s="16"/>
      <c r="H740" s="9"/>
      <c r="I740" s="9"/>
      <c r="J740" s="9"/>
      <c r="K740" s="72"/>
      <c r="L740" s="9"/>
      <c r="M740" s="9"/>
      <c r="N740" s="9"/>
      <c r="O740" s="9"/>
      <c r="P740" s="9"/>
      <c r="Q740" s="9"/>
      <c r="R740" s="9"/>
      <c r="S740" s="9"/>
      <c r="T740" s="9"/>
      <c r="U740" s="9"/>
      <c r="V740" s="9"/>
      <c r="W740" s="9"/>
      <c r="X740" s="9"/>
      <c r="Y740" s="9"/>
    </row>
    <row r="741" spans="2:25" x14ac:dyDescent="0.2">
      <c r="B741" s="7"/>
      <c r="C741" s="9"/>
      <c r="D741" s="9"/>
      <c r="E741" s="9"/>
      <c r="F741" s="9"/>
      <c r="G741" s="16"/>
      <c r="H741" s="9"/>
      <c r="I741" s="9"/>
      <c r="J741" s="9"/>
      <c r="K741" s="72"/>
      <c r="L741" s="9"/>
      <c r="M741" s="9"/>
      <c r="N741" s="9"/>
      <c r="O741" s="9"/>
      <c r="P741" s="9"/>
      <c r="Q741" s="9"/>
      <c r="R741" s="9"/>
      <c r="S741" s="9"/>
      <c r="T741" s="9"/>
      <c r="U741" s="9"/>
      <c r="V741" s="9"/>
      <c r="W741" s="9"/>
      <c r="X741" s="9"/>
      <c r="Y741" s="9"/>
    </row>
    <row r="742" spans="2:25" x14ac:dyDescent="0.2">
      <c r="B742" s="7"/>
      <c r="C742" s="9"/>
      <c r="D742" s="9"/>
      <c r="E742" s="9"/>
      <c r="F742" s="9"/>
      <c r="G742" s="16"/>
      <c r="H742" s="9"/>
      <c r="I742" s="9"/>
      <c r="J742" s="9"/>
      <c r="K742" s="72"/>
      <c r="L742" s="9"/>
      <c r="M742" s="9"/>
      <c r="N742" s="9"/>
      <c r="O742" s="9"/>
      <c r="P742" s="9"/>
      <c r="Q742" s="9"/>
      <c r="R742" s="9"/>
      <c r="S742" s="9"/>
      <c r="T742" s="9"/>
      <c r="U742" s="9"/>
      <c r="V742" s="9"/>
      <c r="W742" s="9"/>
      <c r="X742" s="9"/>
      <c r="Y742" s="9"/>
    </row>
    <row r="743" spans="2:25" x14ac:dyDescent="0.2">
      <c r="B743" s="7"/>
      <c r="C743" s="9"/>
      <c r="D743" s="9"/>
      <c r="E743" s="9"/>
      <c r="F743" s="9"/>
      <c r="G743" s="16"/>
      <c r="H743" s="9"/>
      <c r="I743" s="9"/>
      <c r="J743" s="9"/>
      <c r="K743" s="72"/>
      <c r="L743" s="9"/>
      <c r="M743" s="9"/>
      <c r="N743" s="9"/>
      <c r="O743" s="9"/>
      <c r="P743" s="9"/>
      <c r="Q743" s="9"/>
      <c r="R743" s="9"/>
      <c r="S743" s="9"/>
      <c r="T743" s="9"/>
      <c r="U743" s="9"/>
      <c r="V743" s="9"/>
      <c r="W743" s="9"/>
      <c r="X743" s="9"/>
      <c r="Y743" s="9"/>
    </row>
    <row r="744" spans="2:25" x14ac:dyDescent="0.2">
      <c r="B744" s="7"/>
      <c r="C744" s="9"/>
      <c r="D744" s="9"/>
      <c r="E744" s="9"/>
      <c r="F744" s="9"/>
      <c r="G744" s="16"/>
      <c r="H744" s="9"/>
      <c r="I744" s="9"/>
      <c r="J744" s="9"/>
      <c r="K744" s="72"/>
      <c r="L744" s="9"/>
      <c r="M744" s="9"/>
      <c r="N744" s="9"/>
      <c r="O744" s="9"/>
      <c r="P744" s="9"/>
      <c r="Q744" s="9"/>
      <c r="R744" s="9"/>
      <c r="S744" s="9"/>
      <c r="T744" s="9"/>
      <c r="U744" s="9"/>
      <c r="V744" s="9"/>
      <c r="W744" s="9"/>
      <c r="X744" s="9"/>
      <c r="Y744" s="9"/>
    </row>
    <row r="745" spans="2:25" x14ac:dyDescent="0.2">
      <c r="B745" s="7"/>
      <c r="C745" s="9"/>
      <c r="D745" s="9"/>
      <c r="E745" s="9"/>
      <c r="F745" s="9"/>
      <c r="G745" s="16"/>
      <c r="H745" s="9"/>
      <c r="I745" s="9"/>
      <c r="J745" s="9"/>
      <c r="K745" s="72"/>
      <c r="L745" s="9"/>
      <c r="M745" s="9"/>
      <c r="N745" s="9"/>
      <c r="O745" s="9"/>
      <c r="P745" s="9"/>
      <c r="Q745" s="9"/>
      <c r="R745" s="9"/>
      <c r="S745" s="9"/>
      <c r="T745" s="9"/>
      <c r="U745" s="9"/>
      <c r="V745" s="9"/>
      <c r="W745" s="9"/>
      <c r="X745" s="9"/>
      <c r="Y745" s="9"/>
    </row>
    <row r="746" spans="2:25" x14ac:dyDescent="0.2">
      <c r="B746" s="7"/>
      <c r="C746" s="9"/>
      <c r="D746" s="9"/>
      <c r="E746" s="9"/>
      <c r="F746" s="9"/>
      <c r="G746" s="16"/>
      <c r="H746" s="9"/>
      <c r="I746" s="9"/>
      <c r="J746" s="9"/>
      <c r="K746" s="72"/>
      <c r="L746" s="9"/>
      <c r="M746" s="9"/>
      <c r="N746" s="9"/>
      <c r="O746" s="9"/>
      <c r="P746" s="9"/>
      <c r="Q746" s="9"/>
      <c r="R746" s="9"/>
      <c r="S746" s="9"/>
      <c r="T746" s="9"/>
      <c r="U746" s="9"/>
      <c r="V746" s="9"/>
      <c r="W746" s="9"/>
      <c r="X746" s="9"/>
      <c r="Y746" s="9"/>
    </row>
    <row r="747" spans="2:25" x14ac:dyDescent="0.2">
      <c r="B747" s="7"/>
      <c r="C747" s="9"/>
      <c r="D747" s="9"/>
      <c r="E747" s="9"/>
      <c r="F747" s="9"/>
      <c r="G747" s="16"/>
      <c r="H747" s="9"/>
      <c r="I747" s="9"/>
      <c r="J747" s="9"/>
      <c r="K747" s="72"/>
      <c r="L747" s="9"/>
      <c r="M747" s="9"/>
      <c r="N747" s="9"/>
      <c r="O747" s="9"/>
      <c r="P747" s="9"/>
      <c r="Q747" s="9"/>
      <c r="R747" s="9"/>
      <c r="S747" s="9"/>
      <c r="T747" s="9"/>
      <c r="U747" s="9"/>
      <c r="V747" s="9"/>
      <c r="W747" s="9"/>
      <c r="X747" s="9"/>
      <c r="Y747" s="9"/>
    </row>
    <row r="748" spans="2:25" x14ac:dyDescent="0.2">
      <c r="B748" s="7"/>
      <c r="C748" s="9"/>
      <c r="D748" s="9"/>
      <c r="E748" s="9"/>
      <c r="F748" s="9"/>
      <c r="G748" s="16"/>
      <c r="H748" s="9"/>
      <c r="I748" s="9"/>
      <c r="J748" s="9"/>
      <c r="K748" s="72"/>
      <c r="L748" s="9"/>
      <c r="M748" s="9"/>
      <c r="N748" s="9"/>
      <c r="O748" s="9"/>
      <c r="P748" s="9"/>
      <c r="Q748" s="9"/>
      <c r="R748" s="9"/>
      <c r="S748" s="9"/>
      <c r="T748" s="9"/>
      <c r="U748" s="9"/>
      <c r="V748" s="9"/>
      <c r="W748" s="9"/>
      <c r="X748" s="9"/>
      <c r="Y748" s="9"/>
    </row>
    <row r="749" spans="2:25" x14ac:dyDescent="0.2">
      <c r="B749" s="7"/>
      <c r="C749" s="9"/>
      <c r="D749" s="9"/>
      <c r="E749" s="9"/>
      <c r="F749" s="9"/>
      <c r="G749" s="16"/>
      <c r="H749" s="9"/>
      <c r="I749" s="9"/>
      <c r="J749" s="9"/>
      <c r="K749" s="72"/>
      <c r="L749" s="9"/>
      <c r="M749" s="9"/>
      <c r="N749" s="9"/>
      <c r="O749" s="9"/>
      <c r="P749" s="9"/>
      <c r="Q749" s="9"/>
      <c r="R749" s="9"/>
      <c r="S749" s="9"/>
      <c r="T749" s="9"/>
      <c r="U749" s="9"/>
      <c r="V749" s="9"/>
      <c r="W749" s="9"/>
      <c r="X749" s="9"/>
      <c r="Y749" s="9"/>
    </row>
    <row r="750" spans="2:25" x14ac:dyDescent="0.2">
      <c r="B750" s="7"/>
      <c r="C750" s="9"/>
      <c r="D750" s="9"/>
      <c r="E750" s="9"/>
      <c r="F750" s="9"/>
      <c r="G750" s="16"/>
      <c r="H750" s="9"/>
      <c r="I750" s="9"/>
      <c r="J750" s="9"/>
      <c r="K750" s="72"/>
      <c r="L750" s="9"/>
      <c r="M750" s="9"/>
      <c r="N750" s="9"/>
      <c r="O750" s="9"/>
      <c r="P750" s="9"/>
      <c r="Q750" s="9"/>
      <c r="R750" s="9"/>
      <c r="S750" s="9"/>
      <c r="T750" s="9"/>
      <c r="U750" s="9"/>
      <c r="V750" s="9"/>
      <c r="W750" s="9"/>
      <c r="X750" s="9"/>
      <c r="Y750" s="9"/>
    </row>
    <row r="751" spans="2:25" x14ac:dyDescent="0.2">
      <c r="B751" s="7"/>
      <c r="C751" s="9"/>
      <c r="D751" s="9"/>
      <c r="E751" s="9"/>
      <c r="F751" s="9"/>
      <c r="G751" s="16"/>
      <c r="H751" s="9"/>
      <c r="I751" s="9"/>
      <c r="J751" s="9"/>
      <c r="K751" s="72"/>
      <c r="L751" s="9"/>
      <c r="M751" s="9"/>
      <c r="N751" s="9"/>
      <c r="O751" s="9"/>
      <c r="P751" s="9"/>
      <c r="Q751" s="9"/>
      <c r="R751" s="9"/>
      <c r="S751" s="9"/>
      <c r="T751" s="9"/>
      <c r="U751" s="9"/>
      <c r="V751" s="9"/>
      <c r="W751" s="9"/>
      <c r="X751" s="9"/>
      <c r="Y751" s="9"/>
    </row>
    <row r="752" spans="2:25" x14ac:dyDescent="0.2">
      <c r="B752" s="7"/>
      <c r="C752" s="9"/>
      <c r="D752" s="9"/>
      <c r="E752" s="9"/>
      <c r="F752" s="9"/>
      <c r="G752" s="16"/>
      <c r="H752" s="9"/>
      <c r="I752" s="9"/>
      <c r="J752" s="9"/>
      <c r="K752" s="72"/>
      <c r="L752" s="9"/>
      <c r="M752" s="9"/>
      <c r="N752" s="9"/>
      <c r="O752" s="9"/>
      <c r="P752" s="9"/>
      <c r="Q752" s="9"/>
      <c r="R752" s="9"/>
      <c r="S752" s="9"/>
      <c r="T752" s="9"/>
      <c r="U752" s="9"/>
      <c r="V752" s="9"/>
      <c r="W752" s="9"/>
      <c r="X752" s="9"/>
      <c r="Y752" s="9"/>
    </row>
    <row r="753" spans="2:25" x14ac:dyDescent="0.2">
      <c r="B753" s="7"/>
      <c r="C753" s="9"/>
      <c r="D753" s="9"/>
      <c r="E753" s="9"/>
      <c r="F753" s="9"/>
      <c r="G753" s="16"/>
      <c r="H753" s="9"/>
      <c r="I753" s="9"/>
      <c r="J753" s="9"/>
      <c r="K753" s="72"/>
      <c r="L753" s="9"/>
      <c r="M753" s="9"/>
      <c r="N753" s="9"/>
      <c r="O753" s="9"/>
      <c r="P753" s="9"/>
      <c r="Q753" s="9"/>
      <c r="R753" s="9"/>
      <c r="S753" s="9"/>
      <c r="T753" s="9"/>
      <c r="U753" s="9"/>
      <c r="V753" s="9"/>
      <c r="W753" s="9"/>
      <c r="X753" s="9"/>
      <c r="Y753" s="9"/>
    </row>
    <row r="754" spans="2:25" x14ac:dyDescent="0.2">
      <c r="B754" s="7"/>
      <c r="C754" s="9"/>
      <c r="D754" s="9"/>
      <c r="E754" s="9"/>
      <c r="F754" s="9"/>
      <c r="G754" s="16"/>
      <c r="H754" s="9"/>
      <c r="I754" s="9"/>
      <c r="J754" s="9"/>
      <c r="K754" s="72"/>
      <c r="L754" s="9"/>
      <c r="M754" s="9"/>
      <c r="N754" s="9"/>
      <c r="O754" s="9"/>
      <c r="P754" s="9"/>
      <c r="Q754" s="9"/>
      <c r="R754" s="9"/>
      <c r="S754" s="9"/>
      <c r="T754" s="9"/>
      <c r="U754" s="9"/>
      <c r="V754" s="9"/>
      <c r="W754" s="9"/>
      <c r="X754" s="9"/>
      <c r="Y754" s="9"/>
    </row>
    <row r="755" spans="2:25" x14ac:dyDescent="0.2">
      <c r="B755" s="7"/>
      <c r="C755" s="9"/>
      <c r="D755" s="9"/>
      <c r="E755" s="9"/>
      <c r="F755" s="9"/>
      <c r="G755" s="16"/>
      <c r="H755" s="9"/>
      <c r="I755" s="9"/>
      <c r="J755" s="9"/>
      <c r="K755" s="72"/>
      <c r="L755" s="9"/>
      <c r="M755" s="9"/>
      <c r="N755" s="9"/>
      <c r="O755" s="9"/>
      <c r="P755" s="9"/>
      <c r="Q755" s="9"/>
      <c r="R755" s="9"/>
      <c r="S755" s="9"/>
      <c r="T755" s="9"/>
      <c r="U755" s="9"/>
      <c r="V755" s="9"/>
      <c r="W755" s="9"/>
      <c r="X755" s="9"/>
      <c r="Y755" s="9"/>
    </row>
    <row r="756" spans="2:25" x14ac:dyDescent="0.2">
      <c r="B756" s="7"/>
      <c r="C756" s="9"/>
      <c r="D756" s="9"/>
      <c r="E756" s="9"/>
      <c r="F756" s="9"/>
      <c r="G756" s="16"/>
      <c r="H756" s="9"/>
      <c r="I756" s="9"/>
      <c r="J756" s="9"/>
      <c r="K756" s="72"/>
      <c r="L756" s="9"/>
      <c r="M756" s="9"/>
      <c r="N756" s="9"/>
      <c r="O756" s="9"/>
      <c r="P756" s="9"/>
      <c r="Q756" s="9"/>
      <c r="R756" s="9"/>
      <c r="S756" s="9"/>
      <c r="T756" s="9"/>
      <c r="U756" s="9"/>
      <c r="V756" s="9"/>
      <c r="W756" s="9"/>
      <c r="X756" s="9"/>
      <c r="Y756" s="9"/>
    </row>
    <row r="757" spans="2:25" x14ac:dyDescent="0.2">
      <c r="B757" s="7"/>
      <c r="C757" s="9"/>
      <c r="D757" s="9"/>
      <c r="E757" s="9"/>
      <c r="F757" s="9"/>
      <c r="G757" s="16"/>
      <c r="H757" s="9"/>
      <c r="I757" s="9"/>
      <c r="J757" s="9"/>
      <c r="K757" s="72"/>
      <c r="L757" s="9"/>
      <c r="M757" s="9"/>
      <c r="N757" s="9"/>
      <c r="O757" s="9"/>
      <c r="P757" s="9"/>
      <c r="Q757" s="9"/>
      <c r="R757" s="9"/>
      <c r="S757" s="9"/>
      <c r="T757" s="9"/>
      <c r="U757" s="9"/>
      <c r="V757" s="9"/>
      <c r="W757" s="9"/>
      <c r="X757" s="9"/>
      <c r="Y757" s="9"/>
    </row>
    <row r="758" spans="2:25" x14ac:dyDescent="0.2">
      <c r="B758" s="7"/>
      <c r="C758" s="9"/>
      <c r="D758" s="9"/>
      <c r="E758" s="9"/>
      <c r="F758" s="9"/>
      <c r="G758" s="16"/>
      <c r="H758" s="9"/>
      <c r="I758" s="9"/>
      <c r="J758" s="9"/>
      <c r="K758" s="72"/>
      <c r="L758" s="9"/>
      <c r="M758" s="9"/>
      <c r="N758" s="9"/>
      <c r="O758" s="9"/>
      <c r="P758" s="9"/>
      <c r="Q758" s="9"/>
      <c r="R758" s="9"/>
      <c r="S758" s="9"/>
      <c r="T758" s="9"/>
      <c r="U758" s="9"/>
      <c r="V758" s="9"/>
      <c r="W758" s="9"/>
      <c r="X758" s="9"/>
      <c r="Y758" s="9"/>
    </row>
    <row r="759" spans="2:25" x14ac:dyDescent="0.2">
      <c r="B759" s="7"/>
      <c r="C759" s="9"/>
      <c r="D759" s="9"/>
      <c r="E759" s="9"/>
      <c r="F759" s="9"/>
      <c r="G759" s="16"/>
      <c r="H759" s="9"/>
      <c r="I759" s="9"/>
      <c r="J759" s="9"/>
      <c r="K759" s="72"/>
      <c r="L759" s="9"/>
      <c r="M759" s="9"/>
      <c r="N759" s="9"/>
      <c r="O759" s="9"/>
      <c r="P759" s="9"/>
      <c r="Q759" s="9"/>
      <c r="R759" s="9"/>
      <c r="S759" s="9"/>
      <c r="T759" s="9"/>
      <c r="U759" s="9"/>
      <c r="V759" s="9"/>
      <c r="W759" s="9"/>
      <c r="X759" s="9"/>
      <c r="Y759" s="9"/>
    </row>
    <row r="760" spans="2:25" x14ac:dyDescent="0.2">
      <c r="B760" s="7"/>
      <c r="C760" s="9"/>
      <c r="D760" s="9"/>
      <c r="E760" s="9"/>
      <c r="F760" s="9"/>
      <c r="G760" s="16"/>
      <c r="H760" s="9"/>
      <c r="I760" s="9"/>
      <c r="J760" s="9"/>
      <c r="K760" s="72"/>
      <c r="L760" s="9"/>
      <c r="M760" s="9"/>
      <c r="N760" s="9"/>
      <c r="O760" s="9"/>
      <c r="P760" s="9"/>
      <c r="Q760" s="9"/>
      <c r="R760" s="9"/>
      <c r="S760" s="9"/>
      <c r="T760" s="9"/>
      <c r="U760" s="9"/>
      <c r="V760" s="9"/>
      <c r="W760" s="9"/>
      <c r="X760" s="9"/>
      <c r="Y760" s="9"/>
    </row>
    <row r="761" spans="2:25" x14ac:dyDescent="0.2">
      <c r="B761" s="7"/>
      <c r="C761" s="9"/>
      <c r="D761" s="9"/>
      <c r="E761" s="9"/>
      <c r="F761" s="9"/>
      <c r="G761" s="16"/>
      <c r="H761" s="9"/>
      <c r="I761" s="9"/>
      <c r="J761" s="9"/>
      <c r="K761" s="72"/>
      <c r="L761" s="9"/>
      <c r="M761" s="9"/>
      <c r="N761" s="9"/>
      <c r="O761" s="9"/>
      <c r="P761" s="9"/>
      <c r="Q761" s="9"/>
      <c r="R761" s="9"/>
      <c r="S761" s="9"/>
      <c r="T761" s="9"/>
      <c r="U761" s="9"/>
      <c r="V761" s="9"/>
      <c r="W761" s="9"/>
      <c r="X761" s="9"/>
      <c r="Y761" s="9"/>
    </row>
    <row r="762" spans="2:25" x14ac:dyDescent="0.2">
      <c r="B762" s="7"/>
      <c r="C762" s="9"/>
      <c r="D762" s="9"/>
      <c r="E762" s="9"/>
      <c r="F762" s="9"/>
      <c r="G762" s="16"/>
      <c r="H762" s="9"/>
      <c r="I762" s="9"/>
      <c r="J762" s="9"/>
      <c r="K762" s="72"/>
      <c r="L762" s="9"/>
      <c r="M762" s="9"/>
      <c r="N762" s="9"/>
      <c r="O762" s="9"/>
      <c r="P762" s="9"/>
      <c r="Q762" s="9"/>
      <c r="R762" s="9"/>
      <c r="S762" s="9"/>
      <c r="T762" s="9"/>
      <c r="U762" s="9"/>
      <c r="V762" s="9"/>
      <c r="W762" s="9"/>
      <c r="X762" s="9"/>
      <c r="Y762" s="9"/>
    </row>
    <row r="763" spans="2:25" x14ac:dyDescent="0.2">
      <c r="B763" s="7"/>
      <c r="C763" s="9"/>
      <c r="D763" s="9"/>
      <c r="E763" s="9"/>
      <c r="F763" s="9"/>
      <c r="G763" s="16"/>
      <c r="H763" s="9"/>
      <c r="I763" s="9"/>
      <c r="J763" s="9"/>
      <c r="K763" s="72"/>
      <c r="L763" s="9"/>
      <c r="M763" s="9"/>
      <c r="N763" s="9"/>
      <c r="O763" s="9"/>
      <c r="P763" s="9"/>
      <c r="Q763" s="9"/>
      <c r="R763" s="9"/>
      <c r="S763" s="9"/>
      <c r="T763" s="9"/>
      <c r="U763" s="9"/>
      <c r="V763" s="9"/>
      <c r="W763" s="9"/>
      <c r="X763" s="9"/>
      <c r="Y763" s="9"/>
    </row>
    <row r="764" spans="2:25" x14ac:dyDescent="0.2">
      <c r="B764" s="7"/>
      <c r="C764" s="9"/>
      <c r="D764" s="9"/>
      <c r="E764" s="9"/>
      <c r="F764" s="9"/>
      <c r="G764" s="16"/>
      <c r="H764" s="9"/>
      <c r="I764" s="9"/>
      <c r="J764" s="9"/>
      <c r="K764" s="72"/>
      <c r="L764" s="9"/>
      <c r="M764" s="9"/>
      <c r="N764" s="9"/>
      <c r="O764" s="9"/>
      <c r="P764" s="9"/>
      <c r="Q764" s="9"/>
      <c r="R764" s="9"/>
      <c r="S764" s="9"/>
      <c r="T764" s="9"/>
      <c r="U764" s="9"/>
      <c r="V764" s="9"/>
      <c r="W764" s="9"/>
      <c r="X764" s="9"/>
      <c r="Y764" s="9"/>
    </row>
    <row r="765" spans="2:25" x14ac:dyDescent="0.2">
      <c r="B765" s="7"/>
      <c r="C765" s="9"/>
      <c r="D765" s="9"/>
      <c r="E765" s="9"/>
      <c r="F765" s="9"/>
      <c r="G765" s="16"/>
      <c r="H765" s="9"/>
      <c r="I765" s="9"/>
      <c r="J765" s="9"/>
      <c r="K765" s="72"/>
      <c r="L765" s="9"/>
      <c r="M765" s="9"/>
      <c r="N765" s="9"/>
      <c r="O765" s="9"/>
      <c r="P765" s="9"/>
      <c r="Q765" s="9"/>
      <c r="R765" s="9"/>
      <c r="S765" s="9"/>
      <c r="T765" s="9"/>
      <c r="U765" s="9"/>
      <c r="V765" s="9"/>
      <c r="W765" s="9"/>
      <c r="X765" s="9"/>
      <c r="Y765" s="9"/>
    </row>
    <row r="766" spans="2:25" x14ac:dyDescent="0.2">
      <c r="B766" s="7"/>
      <c r="C766" s="9"/>
      <c r="D766" s="9"/>
      <c r="E766" s="9"/>
      <c r="F766" s="9"/>
      <c r="G766" s="16"/>
      <c r="H766" s="9"/>
      <c r="I766" s="9"/>
      <c r="J766" s="9"/>
      <c r="K766" s="72"/>
      <c r="L766" s="9"/>
      <c r="M766" s="9"/>
      <c r="N766" s="9"/>
      <c r="O766" s="9"/>
      <c r="P766" s="9"/>
      <c r="Q766" s="9"/>
      <c r="R766" s="9"/>
      <c r="S766" s="9"/>
      <c r="T766" s="9"/>
      <c r="U766" s="9"/>
      <c r="V766" s="9"/>
      <c r="W766" s="9"/>
      <c r="X766" s="9"/>
      <c r="Y766" s="9"/>
    </row>
    <row r="767" spans="2:25" x14ac:dyDescent="0.2">
      <c r="B767" s="7"/>
      <c r="C767" s="9"/>
      <c r="D767" s="9"/>
      <c r="E767" s="9"/>
      <c r="F767" s="9"/>
      <c r="G767" s="16"/>
      <c r="H767" s="9"/>
      <c r="I767" s="9"/>
      <c r="J767" s="9"/>
      <c r="K767" s="72"/>
      <c r="L767" s="9"/>
      <c r="M767" s="9"/>
      <c r="N767" s="9"/>
      <c r="O767" s="9"/>
      <c r="P767" s="9"/>
      <c r="Q767" s="9"/>
      <c r="R767" s="9"/>
      <c r="S767" s="9"/>
      <c r="T767" s="9"/>
      <c r="U767" s="9"/>
      <c r="V767" s="9"/>
      <c r="W767" s="9"/>
      <c r="X767" s="9"/>
      <c r="Y767" s="9"/>
    </row>
    <row r="768" spans="2:25" x14ac:dyDescent="0.2">
      <c r="B768" s="7"/>
      <c r="C768" s="9"/>
      <c r="D768" s="9"/>
      <c r="E768" s="9"/>
      <c r="F768" s="9"/>
      <c r="G768" s="16"/>
      <c r="H768" s="9"/>
      <c r="I768" s="9"/>
      <c r="J768" s="9"/>
      <c r="K768" s="72"/>
      <c r="L768" s="9"/>
      <c r="M768" s="9"/>
      <c r="N768" s="9"/>
      <c r="O768" s="9"/>
      <c r="P768" s="9"/>
      <c r="Q768" s="9"/>
      <c r="R768" s="9"/>
      <c r="S768" s="9"/>
      <c r="T768" s="9"/>
      <c r="U768" s="9"/>
      <c r="V768" s="9"/>
      <c r="W768" s="9"/>
      <c r="X768" s="9"/>
      <c r="Y768" s="9"/>
    </row>
    <row r="769" spans="2:25" x14ac:dyDescent="0.2">
      <c r="B769" s="7"/>
      <c r="C769" s="9"/>
      <c r="D769" s="9"/>
      <c r="E769" s="9"/>
      <c r="F769" s="9"/>
      <c r="G769" s="16"/>
      <c r="H769" s="9"/>
      <c r="I769" s="9"/>
      <c r="J769" s="9"/>
      <c r="K769" s="72"/>
      <c r="L769" s="9"/>
      <c r="M769" s="9"/>
      <c r="N769" s="9"/>
      <c r="O769" s="9"/>
      <c r="P769" s="9"/>
      <c r="Q769" s="9"/>
      <c r="R769" s="9"/>
      <c r="S769" s="9"/>
      <c r="T769" s="9"/>
      <c r="U769" s="9"/>
      <c r="V769" s="9"/>
      <c r="W769" s="9"/>
      <c r="X769" s="9"/>
      <c r="Y769" s="9"/>
    </row>
    <row r="770" spans="2:25" x14ac:dyDescent="0.2">
      <c r="B770" s="7"/>
      <c r="C770" s="9"/>
      <c r="D770" s="9"/>
      <c r="E770" s="9"/>
      <c r="F770" s="9"/>
      <c r="G770" s="16"/>
      <c r="H770" s="9"/>
      <c r="I770" s="9"/>
      <c r="J770" s="9"/>
      <c r="K770" s="72"/>
      <c r="L770" s="9"/>
      <c r="M770" s="9"/>
      <c r="N770" s="9"/>
      <c r="O770" s="9"/>
      <c r="P770" s="9"/>
      <c r="Q770" s="9"/>
      <c r="R770" s="9"/>
      <c r="S770" s="9"/>
      <c r="T770" s="9"/>
      <c r="U770" s="9"/>
      <c r="V770" s="9"/>
      <c r="W770" s="9"/>
      <c r="X770" s="9"/>
      <c r="Y770" s="9"/>
    </row>
    <row r="771" spans="2:25" x14ac:dyDescent="0.2">
      <c r="B771" s="7"/>
      <c r="C771" s="9"/>
      <c r="D771" s="9"/>
      <c r="E771" s="9"/>
      <c r="F771" s="9"/>
      <c r="G771" s="16"/>
      <c r="H771" s="9"/>
      <c r="I771" s="9"/>
      <c r="J771" s="9"/>
      <c r="K771" s="72"/>
      <c r="L771" s="9"/>
      <c r="M771" s="9"/>
      <c r="N771" s="9"/>
      <c r="O771" s="9"/>
      <c r="P771" s="9"/>
      <c r="Q771" s="9"/>
      <c r="R771" s="9"/>
      <c r="S771" s="9"/>
      <c r="T771" s="9"/>
      <c r="U771" s="9"/>
      <c r="V771" s="9"/>
      <c r="W771" s="9"/>
      <c r="X771" s="9"/>
      <c r="Y771" s="9"/>
    </row>
    <row r="772" spans="2:25" x14ac:dyDescent="0.2">
      <c r="B772" s="7"/>
      <c r="C772" s="9"/>
      <c r="D772" s="9"/>
      <c r="E772" s="9"/>
      <c r="F772" s="9"/>
      <c r="G772" s="16"/>
      <c r="H772" s="9"/>
      <c r="I772" s="9"/>
      <c r="J772" s="9"/>
      <c r="K772" s="72"/>
      <c r="L772" s="9"/>
      <c r="M772" s="9"/>
      <c r="N772" s="9"/>
      <c r="O772" s="9"/>
      <c r="P772" s="9"/>
      <c r="Q772" s="9"/>
      <c r="R772" s="9"/>
      <c r="S772" s="9"/>
      <c r="T772" s="9"/>
      <c r="U772" s="9"/>
      <c r="V772" s="9"/>
      <c r="W772" s="9"/>
      <c r="X772" s="9"/>
      <c r="Y772" s="9"/>
    </row>
    <row r="773" spans="2:25" x14ac:dyDescent="0.2">
      <c r="B773" s="7"/>
      <c r="C773" s="9"/>
      <c r="D773" s="9"/>
      <c r="E773" s="9"/>
      <c r="F773" s="9"/>
      <c r="G773" s="16"/>
      <c r="H773" s="9"/>
      <c r="I773" s="9"/>
      <c r="J773" s="9"/>
      <c r="K773" s="72"/>
      <c r="L773" s="9"/>
      <c r="M773" s="9"/>
      <c r="N773" s="9"/>
      <c r="O773" s="9"/>
      <c r="P773" s="9"/>
      <c r="Q773" s="9"/>
      <c r="R773" s="9"/>
      <c r="S773" s="9"/>
      <c r="T773" s="9"/>
      <c r="U773" s="9"/>
      <c r="V773" s="9"/>
      <c r="W773" s="9"/>
      <c r="X773" s="9"/>
      <c r="Y773" s="9"/>
    </row>
    <row r="774" spans="2:25" x14ac:dyDescent="0.2">
      <c r="B774" s="7"/>
      <c r="C774" s="9"/>
      <c r="D774" s="9"/>
      <c r="E774" s="9"/>
      <c r="F774" s="9"/>
      <c r="G774" s="16"/>
      <c r="H774" s="9"/>
      <c r="I774" s="9"/>
      <c r="J774" s="9"/>
      <c r="K774" s="72"/>
      <c r="L774" s="9"/>
      <c r="M774" s="9"/>
      <c r="N774" s="9"/>
      <c r="O774" s="9"/>
      <c r="P774" s="9"/>
      <c r="Q774" s="9"/>
      <c r="R774" s="9"/>
      <c r="S774" s="9"/>
      <c r="T774" s="9"/>
      <c r="U774" s="9"/>
      <c r="V774" s="9"/>
      <c r="W774" s="9"/>
      <c r="X774" s="9"/>
      <c r="Y774" s="9"/>
    </row>
    <row r="775" spans="2:25" x14ac:dyDescent="0.2">
      <c r="B775" s="7"/>
      <c r="C775" s="9"/>
      <c r="D775" s="9"/>
      <c r="E775" s="9"/>
      <c r="F775" s="9"/>
      <c r="G775" s="16"/>
      <c r="H775" s="9"/>
      <c r="I775" s="9"/>
      <c r="J775" s="9"/>
      <c r="K775" s="72"/>
      <c r="L775" s="9"/>
      <c r="M775" s="9"/>
      <c r="N775" s="9"/>
      <c r="O775" s="9"/>
      <c r="P775" s="9"/>
      <c r="Q775" s="9"/>
      <c r="R775" s="9"/>
      <c r="S775" s="9"/>
      <c r="T775" s="9"/>
      <c r="U775" s="9"/>
      <c r="V775" s="9"/>
      <c r="W775" s="9"/>
      <c r="X775" s="9"/>
      <c r="Y775" s="9"/>
    </row>
    <row r="776" spans="2:25" x14ac:dyDescent="0.2">
      <c r="B776" s="7"/>
      <c r="C776" s="9"/>
      <c r="D776" s="9"/>
      <c r="E776" s="9"/>
      <c r="F776" s="9"/>
      <c r="G776" s="16"/>
      <c r="H776" s="9"/>
      <c r="I776" s="9"/>
      <c r="J776" s="9"/>
      <c r="K776" s="72"/>
      <c r="L776" s="9"/>
      <c r="M776" s="9"/>
      <c r="N776" s="9"/>
      <c r="O776" s="9"/>
      <c r="P776" s="9"/>
      <c r="Q776" s="9"/>
      <c r="R776" s="9"/>
      <c r="S776" s="9"/>
      <c r="T776" s="9"/>
      <c r="U776" s="9"/>
      <c r="V776" s="9"/>
      <c r="W776" s="9"/>
      <c r="X776" s="9"/>
      <c r="Y776" s="9"/>
    </row>
    <row r="777" spans="2:25" x14ac:dyDescent="0.2">
      <c r="B777" s="7"/>
      <c r="C777" s="9"/>
      <c r="D777" s="9"/>
      <c r="E777" s="9"/>
      <c r="F777" s="9"/>
      <c r="G777" s="16"/>
      <c r="H777" s="9"/>
      <c r="I777" s="9"/>
      <c r="J777" s="9"/>
      <c r="K777" s="72"/>
      <c r="L777" s="9"/>
      <c r="M777" s="9"/>
      <c r="N777" s="9"/>
      <c r="O777" s="9"/>
      <c r="P777" s="9"/>
      <c r="Q777" s="9"/>
      <c r="R777" s="9"/>
      <c r="S777" s="9"/>
      <c r="T777" s="9"/>
      <c r="U777" s="9"/>
      <c r="V777" s="9"/>
      <c r="W777" s="9"/>
      <c r="X777" s="9"/>
      <c r="Y777" s="9"/>
    </row>
    <row r="778" spans="2:25" x14ac:dyDescent="0.2">
      <c r="B778" s="7"/>
      <c r="C778" s="9"/>
      <c r="D778" s="9"/>
      <c r="E778" s="9"/>
      <c r="F778" s="9"/>
      <c r="G778" s="16"/>
      <c r="H778" s="9"/>
      <c r="I778" s="9"/>
      <c r="J778" s="9"/>
      <c r="K778" s="72"/>
      <c r="L778" s="9"/>
      <c r="M778" s="9"/>
      <c r="N778" s="9"/>
      <c r="O778" s="9"/>
      <c r="P778" s="9"/>
      <c r="Q778" s="9"/>
      <c r="R778" s="9"/>
      <c r="S778" s="9"/>
      <c r="T778" s="9"/>
      <c r="U778" s="9"/>
      <c r="V778" s="9"/>
      <c r="W778" s="9"/>
      <c r="X778" s="9"/>
      <c r="Y778" s="9"/>
    </row>
    <row r="779" spans="2:25" x14ac:dyDescent="0.2">
      <c r="B779" s="7"/>
      <c r="C779" s="9"/>
      <c r="D779" s="9"/>
      <c r="E779" s="9"/>
      <c r="F779" s="9"/>
      <c r="G779" s="16"/>
      <c r="H779" s="9"/>
      <c r="I779" s="9"/>
      <c r="J779" s="9"/>
      <c r="K779" s="72"/>
      <c r="L779" s="9"/>
      <c r="M779" s="9"/>
      <c r="N779" s="9"/>
      <c r="O779" s="9"/>
      <c r="P779" s="9"/>
      <c r="Q779" s="9"/>
      <c r="R779" s="9"/>
      <c r="S779" s="9"/>
      <c r="T779" s="9"/>
      <c r="U779" s="9"/>
      <c r="V779" s="9"/>
      <c r="W779" s="9"/>
      <c r="X779" s="9"/>
      <c r="Y779" s="9"/>
    </row>
    <row r="780" spans="2:25" x14ac:dyDescent="0.2">
      <c r="B780" s="7"/>
      <c r="C780" s="9"/>
      <c r="D780" s="9"/>
      <c r="E780" s="9"/>
      <c r="F780" s="9"/>
      <c r="G780" s="16"/>
      <c r="H780" s="9"/>
      <c r="I780" s="9"/>
      <c r="J780" s="9"/>
      <c r="K780" s="72"/>
      <c r="L780" s="9"/>
      <c r="M780" s="9"/>
      <c r="N780" s="9"/>
      <c r="O780" s="9"/>
      <c r="P780" s="9"/>
      <c r="Q780" s="9"/>
      <c r="R780" s="9"/>
      <c r="S780" s="9"/>
      <c r="T780" s="9"/>
      <c r="U780" s="9"/>
      <c r="V780" s="9"/>
      <c r="W780" s="9"/>
      <c r="X780" s="9"/>
      <c r="Y780" s="9"/>
    </row>
    <row r="781" spans="2:25" x14ac:dyDescent="0.2">
      <c r="B781" s="7"/>
      <c r="C781" s="9"/>
      <c r="D781" s="9"/>
      <c r="E781" s="9"/>
      <c r="F781" s="9"/>
      <c r="G781" s="16"/>
      <c r="H781" s="9"/>
      <c r="I781" s="9"/>
      <c r="J781" s="9"/>
      <c r="K781" s="72"/>
      <c r="L781" s="9"/>
      <c r="M781" s="9"/>
      <c r="N781" s="9"/>
      <c r="O781" s="9"/>
      <c r="P781" s="9"/>
      <c r="Q781" s="9"/>
      <c r="R781" s="9"/>
      <c r="S781" s="9"/>
      <c r="T781" s="9"/>
      <c r="U781" s="9"/>
      <c r="V781" s="9"/>
      <c r="W781" s="9"/>
      <c r="X781" s="9"/>
      <c r="Y781" s="9"/>
    </row>
    <row r="782" spans="2:25" x14ac:dyDescent="0.2">
      <c r="B782" s="7"/>
      <c r="C782" s="9"/>
      <c r="D782" s="9"/>
      <c r="E782" s="9"/>
      <c r="F782" s="9"/>
      <c r="G782" s="16"/>
      <c r="H782" s="9"/>
      <c r="I782" s="9"/>
      <c r="J782" s="9"/>
      <c r="K782" s="72"/>
      <c r="L782" s="9"/>
      <c r="M782" s="9"/>
      <c r="N782" s="9"/>
      <c r="O782" s="9"/>
      <c r="P782" s="9"/>
      <c r="Q782" s="9"/>
      <c r="R782" s="9"/>
      <c r="S782" s="9"/>
      <c r="T782" s="9"/>
      <c r="U782" s="9"/>
      <c r="V782" s="9"/>
      <c r="W782" s="9"/>
      <c r="X782" s="9"/>
      <c r="Y782" s="9"/>
    </row>
    <row r="783" spans="2:25" x14ac:dyDescent="0.2">
      <c r="B783" s="7"/>
      <c r="C783" s="9"/>
      <c r="D783" s="9"/>
      <c r="E783" s="9"/>
      <c r="F783" s="9"/>
      <c r="G783" s="16"/>
      <c r="H783" s="9"/>
      <c r="I783" s="9"/>
      <c r="J783" s="9"/>
      <c r="K783" s="72"/>
      <c r="L783" s="9"/>
      <c r="M783" s="9"/>
      <c r="N783" s="9"/>
      <c r="O783" s="9"/>
      <c r="P783" s="9"/>
      <c r="Q783" s="9"/>
      <c r="R783" s="9"/>
      <c r="S783" s="9"/>
      <c r="T783" s="9"/>
      <c r="U783" s="9"/>
      <c r="V783" s="9"/>
      <c r="W783" s="9"/>
      <c r="X783" s="9"/>
      <c r="Y783" s="9"/>
    </row>
    <row r="784" spans="2:25" x14ac:dyDescent="0.2">
      <c r="B784" s="7"/>
      <c r="C784" s="9"/>
      <c r="D784" s="9"/>
      <c r="E784" s="9"/>
      <c r="F784" s="9"/>
      <c r="G784" s="16"/>
      <c r="H784" s="9"/>
      <c r="I784" s="9"/>
      <c r="J784" s="9"/>
      <c r="K784" s="72"/>
      <c r="L784" s="9"/>
      <c r="M784" s="9"/>
      <c r="N784" s="9"/>
      <c r="O784" s="9"/>
      <c r="P784" s="9"/>
      <c r="Q784" s="9"/>
      <c r="R784" s="9"/>
      <c r="S784" s="9"/>
      <c r="T784" s="9"/>
      <c r="U784" s="9"/>
      <c r="V784" s="9"/>
      <c r="W784" s="9"/>
      <c r="X784" s="9"/>
      <c r="Y784" s="9"/>
    </row>
    <row r="785" spans="2:25" x14ac:dyDescent="0.2">
      <c r="B785" s="7"/>
      <c r="C785" s="9"/>
      <c r="D785" s="9"/>
      <c r="E785" s="9"/>
      <c r="F785" s="9"/>
      <c r="G785" s="16"/>
      <c r="H785" s="9"/>
      <c r="I785" s="9"/>
      <c r="J785" s="9"/>
      <c r="K785" s="72"/>
      <c r="L785" s="9"/>
      <c r="M785" s="9"/>
      <c r="N785" s="9"/>
      <c r="O785" s="9"/>
      <c r="P785" s="9"/>
      <c r="Q785" s="9"/>
      <c r="R785" s="9"/>
      <c r="S785" s="9"/>
      <c r="T785" s="9"/>
      <c r="U785" s="9"/>
      <c r="V785" s="9"/>
      <c r="W785" s="9"/>
      <c r="X785" s="9"/>
      <c r="Y785" s="9"/>
    </row>
    <row r="786" spans="2:25" x14ac:dyDescent="0.2">
      <c r="B786" s="7"/>
      <c r="C786" s="9"/>
      <c r="D786" s="9"/>
      <c r="E786" s="9"/>
      <c r="F786" s="9"/>
      <c r="G786" s="16"/>
      <c r="H786" s="9"/>
      <c r="I786" s="9"/>
      <c r="J786" s="9"/>
      <c r="K786" s="72"/>
      <c r="L786" s="9"/>
      <c r="M786" s="9"/>
      <c r="N786" s="9"/>
      <c r="O786" s="9"/>
      <c r="P786" s="9"/>
      <c r="Q786" s="9"/>
      <c r="R786" s="9"/>
      <c r="S786" s="9"/>
      <c r="T786" s="9"/>
      <c r="U786" s="9"/>
      <c r="V786" s="9"/>
      <c r="W786" s="9"/>
      <c r="X786" s="9"/>
      <c r="Y786" s="9"/>
    </row>
    <row r="787" spans="2:25" x14ac:dyDescent="0.2">
      <c r="B787" s="7"/>
      <c r="C787" s="9"/>
      <c r="D787" s="9"/>
      <c r="E787" s="9"/>
      <c r="F787" s="9"/>
      <c r="G787" s="16"/>
      <c r="H787" s="9"/>
      <c r="I787" s="9"/>
      <c r="J787" s="9"/>
      <c r="K787" s="72"/>
      <c r="L787" s="9"/>
      <c r="M787" s="9"/>
      <c r="N787" s="9"/>
      <c r="O787" s="9"/>
      <c r="P787" s="9"/>
      <c r="Q787" s="9"/>
      <c r="R787" s="9"/>
      <c r="S787" s="9"/>
      <c r="T787" s="9"/>
      <c r="U787" s="9"/>
      <c r="V787" s="9"/>
      <c r="W787" s="9"/>
      <c r="X787" s="9"/>
      <c r="Y787" s="9"/>
    </row>
    <row r="788" spans="2:25" x14ac:dyDescent="0.2">
      <c r="B788" s="7"/>
      <c r="C788" s="9"/>
      <c r="D788" s="9"/>
      <c r="E788" s="9"/>
      <c r="F788" s="9"/>
      <c r="G788" s="16"/>
      <c r="H788" s="9"/>
      <c r="I788" s="9"/>
      <c r="J788" s="9"/>
      <c r="K788" s="72"/>
      <c r="L788" s="9"/>
      <c r="M788" s="9"/>
      <c r="N788" s="9"/>
      <c r="O788" s="9"/>
      <c r="P788" s="9"/>
      <c r="Q788" s="9"/>
      <c r="R788" s="9"/>
      <c r="S788" s="9"/>
      <c r="T788" s="9"/>
      <c r="U788" s="9"/>
      <c r="V788" s="9"/>
      <c r="W788" s="9"/>
      <c r="X788" s="9"/>
      <c r="Y788" s="9"/>
    </row>
    <row r="789" spans="2:25" x14ac:dyDescent="0.2">
      <c r="B789" s="7"/>
      <c r="C789" s="9"/>
      <c r="D789" s="9"/>
      <c r="E789" s="9"/>
      <c r="F789" s="9"/>
      <c r="G789" s="16"/>
      <c r="H789" s="9"/>
      <c r="I789" s="9"/>
      <c r="J789" s="9"/>
      <c r="K789" s="72"/>
      <c r="L789" s="9"/>
      <c r="M789" s="9"/>
      <c r="N789" s="9"/>
      <c r="O789" s="9"/>
      <c r="P789" s="9"/>
      <c r="Q789" s="9"/>
      <c r="R789" s="9"/>
      <c r="S789" s="9"/>
      <c r="T789" s="9"/>
      <c r="U789" s="9"/>
      <c r="V789" s="9"/>
      <c r="W789" s="9"/>
      <c r="X789" s="9"/>
      <c r="Y789" s="9"/>
    </row>
    <row r="790" spans="2:25" x14ac:dyDescent="0.2">
      <c r="B790" s="7"/>
      <c r="C790" s="9"/>
      <c r="D790" s="9"/>
      <c r="E790" s="9"/>
      <c r="F790" s="9"/>
      <c r="G790" s="16"/>
      <c r="H790" s="9"/>
      <c r="I790" s="9"/>
      <c r="J790" s="9"/>
      <c r="K790" s="72"/>
      <c r="L790" s="9"/>
      <c r="M790" s="9"/>
      <c r="N790" s="9"/>
      <c r="O790" s="9"/>
      <c r="P790" s="9"/>
      <c r="Q790" s="9"/>
      <c r="R790" s="9"/>
      <c r="S790" s="9"/>
      <c r="T790" s="9"/>
      <c r="U790" s="9"/>
      <c r="V790" s="9"/>
      <c r="W790" s="9"/>
      <c r="X790" s="9"/>
      <c r="Y790" s="9"/>
    </row>
    <row r="791" spans="2:25" x14ac:dyDescent="0.2">
      <c r="B791" s="7"/>
      <c r="C791" s="9"/>
      <c r="D791" s="9"/>
      <c r="E791" s="9"/>
      <c r="F791" s="9"/>
      <c r="G791" s="16"/>
      <c r="H791" s="9"/>
      <c r="I791" s="9"/>
      <c r="J791" s="9"/>
      <c r="K791" s="72"/>
      <c r="L791" s="9"/>
      <c r="M791" s="9"/>
      <c r="N791" s="9"/>
      <c r="O791" s="9"/>
      <c r="P791" s="9"/>
      <c r="Q791" s="9"/>
      <c r="R791" s="9"/>
      <c r="S791" s="9"/>
      <c r="T791" s="9"/>
      <c r="U791" s="9"/>
      <c r="V791" s="9"/>
      <c r="W791" s="9"/>
      <c r="X791" s="9"/>
      <c r="Y791" s="9"/>
    </row>
    <row r="792" spans="2:25" x14ac:dyDescent="0.2">
      <c r="B792" s="7"/>
      <c r="C792" s="9"/>
      <c r="D792" s="9"/>
      <c r="E792" s="9"/>
      <c r="F792" s="9"/>
      <c r="G792" s="16"/>
      <c r="H792" s="9"/>
      <c r="I792" s="9"/>
      <c r="J792" s="9"/>
      <c r="K792" s="72"/>
      <c r="L792" s="9"/>
      <c r="M792" s="9"/>
      <c r="N792" s="9"/>
      <c r="O792" s="9"/>
      <c r="P792" s="9"/>
      <c r="Q792" s="9"/>
      <c r="R792" s="9"/>
      <c r="S792" s="9"/>
      <c r="T792" s="9"/>
      <c r="U792" s="9"/>
      <c r="V792" s="9"/>
      <c r="W792" s="9"/>
      <c r="X792" s="9"/>
      <c r="Y792" s="9"/>
    </row>
    <row r="793" spans="2:25" x14ac:dyDescent="0.2">
      <c r="B793" s="7"/>
      <c r="C793" s="9"/>
      <c r="D793" s="9"/>
      <c r="E793" s="9"/>
      <c r="F793" s="9"/>
      <c r="G793" s="16"/>
      <c r="H793" s="9"/>
      <c r="I793" s="9"/>
      <c r="J793" s="9"/>
      <c r="K793" s="72"/>
      <c r="L793" s="9"/>
      <c r="M793" s="9"/>
      <c r="N793" s="9"/>
      <c r="O793" s="9"/>
      <c r="P793" s="9"/>
      <c r="Q793" s="9"/>
      <c r="R793" s="9"/>
      <c r="S793" s="9"/>
      <c r="T793" s="9"/>
      <c r="U793" s="9"/>
      <c r="V793" s="9"/>
      <c r="W793" s="9"/>
      <c r="X793" s="9"/>
      <c r="Y793" s="9"/>
    </row>
    <row r="794" spans="2:25" x14ac:dyDescent="0.2">
      <c r="B794" s="7"/>
      <c r="C794" s="9"/>
      <c r="D794" s="9"/>
      <c r="E794" s="9"/>
      <c r="F794" s="9"/>
      <c r="G794" s="16"/>
      <c r="H794" s="9"/>
      <c r="I794" s="9"/>
      <c r="J794" s="9"/>
      <c r="K794" s="72"/>
      <c r="L794" s="9"/>
      <c r="M794" s="9"/>
      <c r="N794" s="9"/>
      <c r="O794" s="9"/>
      <c r="P794" s="9"/>
      <c r="Q794" s="9"/>
      <c r="R794" s="9"/>
      <c r="S794" s="9"/>
      <c r="T794" s="9"/>
      <c r="U794" s="9"/>
      <c r="V794" s="9"/>
      <c r="W794" s="9"/>
      <c r="X794" s="9"/>
      <c r="Y794" s="9"/>
    </row>
    <row r="795" spans="2:25" x14ac:dyDescent="0.2">
      <c r="B795" s="7"/>
      <c r="C795" s="9"/>
      <c r="D795" s="9"/>
      <c r="E795" s="9"/>
      <c r="F795" s="9"/>
      <c r="G795" s="16"/>
      <c r="H795" s="9"/>
      <c r="I795" s="9"/>
      <c r="J795" s="9"/>
      <c r="K795" s="72"/>
      <c r="L795" s="9"/>
      <c r="M795" s="9"/>
      <c r="N795" s="9"/>
      <c r="O795" s="9"/>
      <c r="P795" s="9"/>
      <c r="Q795" s="9"/>
      <c r="R795" s="9"/>
      <c r="S795" s="9"/>
      <c r="T795" s="9"/>
      <c r="U795" s="9"/>
      <c r="V795" s="9"/>
      <c r="W795" s="9"/>
      <c r="X795" s="9"/>
      <c r="Y795" s="9"/>
    </row>
    <row r="796" spans="2:25" x14ac:dyDescent="0.2">
      <c r="B796" s="7"/>
      <c r="C796" s="9"/>
      <c r="D796" s="9"/>
      <c r="E796" s="9"/>
      <c r="F796" s="9"/>
      <c r="G796" s="16"/>
      <c r="H796" s="9"/>
      <c r="I796" s="9"/>
      <c r="J796" s="9"/>
      <c r="K796" s="72"/>
      <c r="L796" s="9"/>
      <c r="M796" s="9"/>
      <c r="N796" s="9"/>
      <c r="O796" s="9"/>
      <c r="P796" s="9"/>
      <c r="Q796" s="9"/>
      <c r="R796" s="9"/>
      <c r="S796" s="9"/>
      <c r="T796" s="9"/>
      <c r="U796" s="9"/>
      <c r="V796" s="9"/>
      <c r="W796" s="9"/>
      <c r="X796" s="9"/>
      <c r="Y796" s="9"/>
    </row>
    <row r="797" spans="2:25" x14ac:dyDescent="0.2">
      <c r="B797" s="7"/>
      <c r="C797" s="9"/>
      <c r="D797" s="9"/>
      <c r="E797" s="9"/>
      <c r="F797" s="9"/>
      <c r="G797" s="16"/>
      <c r="H797" s="9"/>
      <c r="I797" s="9"/>
      <c r="J797" s="9"/>
      <c r="K797" s="72"/>
      <c r="L797" s="9"/>
      <c r="M797" s="9"/>
      <c r="N797" s="9"/>
      <c r="O797" s="9"/>
      <c r="P797" s="9"/>
      <c r="Q797" s="9"/>
      <c r="R797" s="9"/>
      <c r="S797" s="9"/>
      <c r="T797" s="9"/>
      <c r="U797" s="9"/>
      <c r="V797" s="9"/>
      <c r="W797" s="9"/>
      <c r="X797" s="9"/>
      <c r="Y797" s="9"/>
    </row>
    <row r="798" spans="2:25" x14ac:dyDescent="0.2">
      <c r="B798" s="7"/>
      <c r="C798" s="9"/>
      <c r="D798" s="9"/>
      <c r="E798" s="9"/>
      <c r="F798" s="9"/>
      <c r="G798" s="16"/>
      <c r="H798" s="9"/>
      <c r="I798" s="9"/>
      <c r="J798" s="9"/>
      <c r="K798" s="72"/>
      <c r="L798" s="9"/>
      <c r="M798" s="9"/>
      <c r="N798" s="9"/>
      <c r="O798" s="9"/>
      <c r="P798" s="9"/>
      <c r="Q798" s="9"/>
      <c r="R798" s="9"/>
      <c r="S798" s="9"/>
      <c r="T798" s="9"/>
      <c r="U798" s="9"/>
      <c r="V798" s="9"/>
      <c r="W798" s="9"/>
      <c r="X798" s="9"/>
      <c r="Y798" s="9"/>
    </row>
    <row r="799" spans="2:25" x14ac:dyDescent="0.2">
      <c r="B799" s="7"/>
      <c r="C799" s="9"/>
      <c r="D799" s="9"/>
      <c r="E799" s="9"/>
      <c r="F799" s="9"/>
      <c r="G799" s="16"/>
      <c r="H799" s="9"/>
      <c r="I799" s="9"/>
      <c r="J799" s="9"/>
      <c r="K799" s="72"/>
      <c r="L799" s="9"/>
      <c r="M799" s="9"/>
      <c r="N799" s="9"/>
      <c r="O799" s="9"/>
      <c r="P799" s="9"/>
      <c r="Q799" s="9"/>
      <c r="R799" s="9"/>
      <c r="S799" s="9"/>
      <c r="T799" s="9"/>
      <c r="U799" s="9"/>
      <c r="V799" s="9"/>
      <c r="W799" s="9"/>
      <c r="X799" s="9"/>
      <c r="Y799" s="9"/>
    </row>
    <row r="800" spans="2:25" x14ac:dyDescent="0.2">
      <c r="B800" s="7"/>
      <c r="C800" s="9"/>
      <c r="D800" s="9"/>
      <c r="E800" s="9"/>
      <c r="F800" s="9"/>
      <c r="G800" s="16"/>
      <c r="H800" s="9"/>
      <c r="I800" s="9"/>
      <c r="J800" s="9"/>
      <c r="K800" s="72"/>
      <c r="L800" s="9"/>
      <c r="M800" s="9"/>
      <c r="N800" s="9"/>
      <c r="O800" s="9"/>
      <c r="P800" s="9"/>
      <c r="Q800" s="9"/>
      <c r="R800" s="9"/>
      <c r="S800" s="9"/>
      <c r="T800" s="9"/>
      <c r="U800" s="9"/>
      <c r="V800" s="9"/>
      <c r="W800" s="9"/>
      <c r="X800" s="9"/>
      <c r="Y800" s="9"/>
    </row>
    <row r="801" spans="2:25" x14ac:dyDescent="0.2">
      <c r="B801" s="7"/>
      <c r="C801" s="9"/>
      <c r="D801" s="9"/>
      <c r="E801" s="9"/>
      <c r="F801" s="9"/>
      <c r="G801" s="16"/>
      <c r="H801" s="9"/>
      <c r="I801" s="9"/>
      <c r="J801" s="9"/>
      <c r="K801" s="72"/>
      <c r="L801" s="9"/>
      <c r="M801" s="9"/>
      <c r="N801" s="9"/>
      <c r="O801" s="9"/>
      <c r="P801" s="9"/>
      <c r="Q801" s="9"/>
      <c r="R801" s="9"/>
      <c r="S801" s="9"/>
      <c r="T801" s="9"/>
      <c r="U801" s="9"/>
      <c r="V801" s="9"/>
      <c r="W801" s="9"/>
      <c r="X801" s="9"/>
      <c r="Y801" s="9"/>
    </row>
    <row r="802" spans="2:25" x14ac:dyDescent="0.2">
      <c r="B802" s="7"/>
      <c r="C802" s="9"/>
      <c r="D802" s="9"/>
      <c r="E802" s="9"/>
      <c r="F802" s="9"/>
      <c r="G802" s="16"/>
      <c r="H802" s="9"/>
      <c r="I802" s="9"/>
      <c r="J802" s="9"/>
      <c r="K802" s="72"/>
      <c r="L802" s="9"/>
      <c r="M802" s="9"/>
      <c r="N802" s="9"/>
      <c r="O802" s="9"/>
      <c r="P802" s="9"/>
      <c r="Q802" s="9"/>
      <c r="R802" s="9"/>
      <c r="S802" s="9"/>
      <c r="T802" s="9"/>
      <c r="U802" s="9"/>
      <c r="V802" s="9"/>
      <c r="W802" s="9"/>
      <c r="X802" s="9"/>
      <c r="Y802" s="9"/>
    </row>
    <row r="803" spans="2:25" x14ac:dyDescent="0.2">
      <c r="B803" s="7"/>
      <c r="C803" s="9"/>
      <c r="D803" s="9"/>
      <c r="E803" s="9"/>
      <c r="F803" s="9"/>
      <c r="G803" s="16"/>
      <c r="H803" s="9"/>
      <c r="I803" s="9"/>
      <c r="J803" s="9"/>
      <c r="K803" s="72"/>
      <c r="L803" s="9"/>
      <c r="M803" s="9"/>
      <c r="N803" s="9"/>
      <c r="O803" s="9"/>
      <c r="P803" s="9"/>
      <c r="Q803" s="9"/>
      <c r="R803" s="9"/>
      <c r="S803" s="9"/>
      <c r="T803" s="9"/>
      <c r="U803" s="9"/>
      <c r="V803" s="9"/>
      <c r="W803" s="9"/>
      <c r="X803" s="9"/>
      <c r="Y803" s="9"/>
    </row>
    <row r="804" spans="2:25" x14ac:dyDescent="0.2">
      <c r="B804" s="7"/>
      <c r="C804" s="9"/>
      <c r="D804" s="9"/>
      <c r="E804" s="9"/>
      <c r="F804" s="9"/>
      <c r="G804" s="16"/>
      <c r="H804" s="9"/>
      <c r="I804" s="9"/>
      <c r="J804" s="9"/>
      <c r="K804" s="72"/>
      <c r="L804" s="9"/>
      <c r="M804" s="9"/>
      <c r="N804" s="9"/>
      <c r="O804" s="9"/>
      <c r="P804" s="9"/>
      <c r="Q804" s="9"/>
      <c r="R804" s="9"/>
      <c r="S804" s="9"/>
      <c r="T804" s="9"/>
      <c r="U804" s="9"/>
      <c r="V804" s="9"/>
      <c r="W804" s="9"/>
      <c r="X804" s="9"/>
      <c r="Y804" s="9"/>
    </row>
    <row r="805" spans="2:25" x14ac:dyDescent="0.2">
      <c r="B805" s="7"/>
      <c r="C805" s="9"/>
      <c r="D805" s="9"/>
      <c r="E805" s="9"/>
      <c r="F805" s="9"/>
      <c r="G805" s="16"/>
      <c r="H805" s="9"/>
      <c r="I805" s="9"/>
      <c r="J805" s="9"/>
      <c r="K805" s="72"/>
      <c r="L805" s="9"/>
      <c r="M805" s="9"/>
      <c r="N805" s="9"/>
      <c r="O805" s="9"/>
      <c r="P805" s="9"/>
      <c r="Q805" s="9"/>
      <c r="R805" s="9"/>
      <c r="S805" s="9"/>
      <c r="T805" s="9"/>
      <c r="U805" s="9"/>
      <c r="V805" s="9"/>
      <c r="W805" s="9"/>
      <c r="X805" s="9"/>
      <c r="Y805" s="9"/>
    </row>
    <row r="806" spans="2:25" x14ac:dyDescent="0.2">
      <c r="B806" s="7"/>
      <c r="C806" s="9"/>
      <c r="D806" s="9"/>
      <c r="E806" s="9"/>
      <c r="F806" s="9"/>
      <c r="G806" s="16"/>
      <c r="H806" s="9"/>
      <c r="I806" s="9"/>
      <c r="J806" s="9"/>
      <c r="K806" s="72"/>
      <c r="L806" s="9"/>
      <c r="M806" s="9"/>
      <c r="N806" s="9"/>
      <c r="O806" s="9"/>
      <c r="P806" s="9"/>
      <c r="Q806" s="9"/>
      <c r="R806" s="9"/>
      <c r="S806" s="9"/>
      <c r="T806" s="9"/>
      <c r="U806" s="9"/>
      <c r="V806" s="9"/>
      <c r="W806" s="9"/>
      <c r="X806" s="9"/>
      <c r="Y806" s="9"/>
    </row>
    <row r="807" spans="2:25" x14ac:dyDescent="0.2">
      <c r="B807" s="7"/>
      <c r="C807" s="9"/>
      <c r="D807" s="9"/>
      <c r="E807" s="9"/>
      <c r="F807" s="9"/>
      <c r="G807" s="16"/>
      <c r="H807" s="9"/>
      <c r="I807" s="9"/>
      <c r="J807" s="9"/>
      <c r="K807" s="72"/>
      <c r="L807" s="9"/>
      <c r="M807" s="9"/>
      <c r="N807" s="9"/>
      <c r="O807" s="9"/>
      <c r="P807" s="9"/>
      <c r="Q807" s="9"/>
      <c r="R807" s="9"/>
      <c r="S807" s="9"/>
      <c r="T807" s="9"/>
      <c r="U807" s="9"/>
      <c r="V807" s="9"/>
      <c r="W807" s="9"/>
      <c r="X807" s="9"/>
      <c r="Y807" s="9"/>
    </row>
    <row r="808" spans="2:25" x14ac:dyDescent="0.2">
      <c r="B808" s="7"/>
      <c r="C808" s="9"/>
      <c r="D808" s="9"/>
      <c r="E808" s="9"/>
      <c r="F808" s="9"/>
      <c r="G808" s="16"/>
      <c r="H808" s="9"/>
      <c r="I808" s="9"/>
      <c r="J808" s="9"/>
      <c r="K808" s="72"/>
      <c r="L808" s="9"/>
      <c r="M808" s="9"/>
      <c r="N808" s="9"/>
      <c r="O808" s="9"/>
      <c r="P808" s="9"/>
      <c r="Q808" s="9"/>
      <c r="R808" s="9"/>
      <c r="S808" s="9"/>
      <c r="T808" s="9"/>
      <c r="U808" s="9"/>
      <c r="V808" s="9"/>
      <c r="W808" s="9"/>
      <c r="X808" s="9"/>
      <c r="Y808" s="9"/>
    </row>
    <row r="809" spans="2:25" x14ac:dyDescent="0.2">
      <c r="B809" s="7"/>
      <c r="C809" s="9"/>
      <c r="D809" s="9"/>
      <c r="E809" s="9"/>
      <c r="F809" s="9"/>
      <c r="G809" s="16"/>
      <c r="H809" s="9"/>
      <c r="I809" s="9"/>
      <c r="J809" s="9"/>
      <c r="K809" s="72"/>
      <c r="L809" s="9"/>
      <c r="M809" s="9"/>
      <c r="N809" s="9"/>
      <c r="O809" s="9"/>
      <c r="P809" s="9"/>
      <c r="Q809" s="9"/>
      <c r="R809" s="9"/>
      <c r="S809" s="9"/>
      <c r="T809" s="9"/>
      <c r="U809" s="9"/>
      <c r="V809" s="9"/>
      <c r="W809" s="9"/>
      <c r="X809" s="9"/>
      <c r="Y809" s="9"/>
    </row>
    <row r="810" spans="2:25" x14ac:dyDescent="0.2">
      <c r="B810" s="7"/>
      <c r="C810" s="9"/>
      <c r="D810" s="9"/>
      <c r="E810" s="9"/>
      <c r="F810" s="9"/>
      <c r="G810" s="16"/>
      <c r="H810" s="9"/>
      <c r="I810" s="9"/>
      <c r="J810" s="9"/>
      <c r="K810" s="72"/>
      <c r="L810" s="9"/>
      <c r="M810" s="9"/>
      <c r="N810" s="9"/>
      <c r="O810" s="9"/>
      <c r="P810" s="9"/>
      <c r="Q810" s="9"/>
      <c r="R810" s="9"/>
      <c r="S810" s="9"/>
      <c r="T810" s="9"/>
      <c r="U810" s="9"/>
      <c r="V810" s="9"/>
      <c r="W810" s="9"/>
      <c r="X810" s="9"/>
      <c r="Y810" s="9"/>
    </row>
    <row r="811" spans="2:25" x14ac:dyDescent="0.2">
      <c r="B811" s="7"/>
      <c r="C811" s="9"/>
      <c r="D811" s="9"/>
      <c r="E811" s="9"/>
      <c r="F811" s="9"/>
      <c r="G811" s="16"/>
      <c r="H811" s="9"/>
      <c r="I811" s="9"/>
      <c r="J811" s="9"/>
      <c r="K811" s="72"/>
      <c r="L811" s="9"/>
      <c r="M811" s="9"/>
      <c r="N811" s="9"/>
      <c r="O811" s="9"/>
      <c r="P811" s="9"/>
      <c r="Q811" s="9"/>
      <c r="R811" s="9"/>
      <c r="S811" s="9"/>
      <c r="T811" s="9"/>
      <c r="U811" s="9"/>
      <c r="V811" s="9"/>
      <c r="W811" s="9"/>
      <c r="X811" s="9"/>
      <c r="Y811" s="9"/>
    </row>
    <row r="812" spans="2:25" x14ac:dyDescent="0.2">
      <c r="B812" s="7"/>
      <c r="C812" s="9"/>
      <c r="D812" s="9"/>
      <c r="E812" s="9"/>
      <c r="F812" s="9"/>
      <c r="G812" s="16"/>
      <c r="H812" s="9"/>
      <c r="I812" s="9"/>
      <c r="J812" s="9"/>
      <c r="K812" s="72"/>
      <c r="L812" s="9"/>
      <c r="M812" s="9"/>
      <c r="N812" s="9"/>
      <c r="O812" s="9"/>
      <c r="P812" s="9"/>
      <c r="Q812" s="9"/>
      <c r="R812" s="9"/>
      <c r="S812" s="9"/>
      <c r="T812" s="9"/>
      <c r="U812" s="9"/>
      <c r="V812" s="9"/>
      <c r="W812" s="9"/>
      <c r="X812" s="9"/>
      <c r="Y812" s="9"/>
    </row>
    <row r="813" spans="2:25" x14ac:dyDescent="0.2">
      <c r="B813" s="7"/>
      <c r="C813" s="9"/>
      <c r="D813" s="9"/>
      <c r="E813" s="9"/>
      <c r="F813" s="9"/>
      <c r="G813" s="16"/>
      <c r="H813" s="9"/>
      <c r="I813" s="9"/>
      <c r="J813" s="9"/>
      <c r="K813" s="72"/>
      <c r="L813" s="9"/>
      <c r="M813" s="9"/>
      <c r="N813" s="9"/>
      <c r="O813" s="9"/>
      <c r="P813" s="9"/>
      <c r="Q813" s="9"/>
      <c r="R813" s="9"/>
      <c r="S813" s="9"/>
      <c r="T813" s="9"/>
      <c r="U813" s="9"/>
      <c r="V813" s="9"/>
      <c r="W813" s="9"/>
      <c r="X813" s="9"/>
      <c r="Y813" s="9"/>
    </row>
    <row r="814" spans="2:25" x14ac:dyDescent="0.2">
      <c r="B814" s="7"/>
      <c r="C814" s="9"/>
      <c r="D814" s="9"/>
      <c r="E814" s="9"/>
      <c r="F814" s="9"/>
      <c r="G814" s="16"/>
      <c r="H814" s="9"/>
      <c r="I814" s="9"/>
      <c r="J814" s="9"/>
      <c r="K814" s="72"/>
      <c r="L814" s="9"/>
      <c r="M814" s="9"/>
      <c r="N814" s="9"/>
      <c r="O814" s="9"/>
      <c r="P814" s="9"/>
      <c r="Q814" s="9"/>
      <c r="R814" s="9"/>
      <c r="S814" s="9"/>
      <c r="T814" s="9"/>
      <c r="U814" s="9"/>
      <c r="V814" s="9"/>
      <c r="W814" s="9"/>
      <c r="X814" s="9"/>
      <c r="Y814" s="9"/>
    </row>
    <row r="815" spans="2:25" x14ac:dyDescent="0.2">
      <c r="B815" s="7"/>
      <c r="C815" s="9"/>
      <c r="D815" s="9"/>
      <c r="E815" s="9"/>
      <c r="F815" s="9"/>
      <c r="G815" s="16"/>
      <c r="H815" s="9"/>
      <c r="I815" s="9"/>
      <c r="J815" s="9"/>
      <c r="K815" s="72"/>
      <c r="L815" s="9"/>
      <c r="M815" s="9"/>
      <c r="N815" s="9"/>
      <c r="O815" s="9"/>
      <c r="P815" s="9"/>
      <c r="Q815" s="9"/>
      <c r="R815" s="9"/>
      <c r="S815" s="9"/>
      <c r="T815" s="9"/>
      <c r="U815" s="9"/>
      <c r="V815" s="9"/>
      <c r="W815" s="9"/>
      <c r="X815" s="9"/>
      <c r="Y815" s="9"/>
    </row>
    <row r="816" spans="2:25" x14ac:dyDescent="0.2">
      <c r="B816" s="7"/>
      <c r="C816" s="9"/>
      <c r="D816" s="9"/>
      <c r="E816" s="9"/>
      <c r="F816" s="9"/>
      <c r="G816" s="16"/>
      <c r="H816" s="9"/>
      <c r="I816" s="9"/>
      <c r="J816" s="9"/>
      <c r="K816" s="72"/>
      <c r="L816" s="9"/>
      <c r="M816" s="9"/>
      <c r="N816" s="9"/>
      <c r="O816" s="9"/>
      <c r="P816" s="9"/>
      <c r="Q816" s="9"/>
      <c r="R816" s="9"/>
      <c r="S816" s="9"/>
      <c r="T816" s="9"/>
      <c r="U816" s="9"/>
      <c r="V816" s="9"/>
      <c r="W816" s="9"/>
      <c r="X816" s="9"/>
      <c r="Y816" s="9"/>
    </row>
    <row r="817" spans="2:25" x14ac:dyDescent="0.2">
      <c r="B817" s="7"/>
      <c r="C817" s="9"/>
      <c r="D817" s="9"/>
      <c r="E817" s="9"/>
      <c r="F817" s="9"/>
      <c r="G817" s="16"/>
      <c r="H817" s="9"/>
      <c r="I817" s="9"/>
      <c r="J817" s="9"/>
      <c r="K817" s="72"/>
      <c r="L817" s="9"/>
      <c r="M817" s="9"/>
      <c r="N817" s="9"/>
      <c r="O817" s="9"/>
      <c r="P817" s="9"/>
      <c r="Q817" s="9"/>
      <c r="R817" s="9"/>
      <c r="S817" s="9"/>
      <c r="T817" s="9"/>
      <c r="U817" s="9"/>
      <c r="V817" s="9"/>
      <c r="W817" s="9"/>
      <c r="X817" s="9"/>
      <c r="Y817" s="9"/>
    </row>
    <row r="818" spans="2:25" x14ac:dyDescent="0.2">
      <c r="B818" s="7"/>
      <c r="C818" s="9"/>
      <c r="D818" s="9"/>
      <c r="E818" s="9"/>
      <c r="F818" s="9"/>
      <c r="G818" s="16"/>
      <c r="H818" s="9"/>
      <c r="I818" s="9"/>
      <c r="J818" s="9"/>
      <c r="K818" s="72"/>
      <c r="L818" s="9"/>
      <c r="M818" s="9"/>
      <c r="N818" s="9"/>
      <c r="O818" s="9"/>
      <c r="P818" s="9"/>
      <c r="Q818" s="9"/>
      <c r="R818" s="9"/>
      <c r="S818" s="9"/>
      <c r="T818" s="9"/>
      <c r="U818" s="9"/>
      <c r="V818" s="9"/>
      <c r="W818" s="9"/>
      <c r="X818" s="9"/>
      <c r="Y818" s="9"/>
    </row>
    <row r="819" spans="2:25" x14ac:dyDescent="0.2">
      <c r="B819" s="7"/>
      <c r="C819" s="9"/>
      <c r="D819" s="9"/>
      <c r="E819" s="9"/>
      <c r="F819" s="9"/>
      <c r="G819" s="16"/>
      <c r="H819" s="9"/>
      <c r="I819" s="9"/>
      <c r="J819" s="9"/>
      <c r="K819" s="72"/>
      <c r="L819" s="9"/>
      <c r="M819" s="9"/>
      <c r="N819" s="9"/>
      <c r="O819" s="9"/>
      <c r="P819" s="9"/>
      <c r="Q819" s="9"/>
      <c r="R819" s="9"/>
      <c r="S819" s="9"/>
      <c r="T819" s="9"/>
      <c r="U819" s="9"/>
      <c r="V819" s="9"/>
      <c r="W819" s="9"/>
      <c r="X819" s="9"/>
      <c r="Y819" s="9"/>
    </row>
    <row r="820" spans="2:25" x14ac:dyDescent="0.2">
      <c r="B820" s="7"/>
      <c r="C820" s="9"/>
      <c r="D820" s="9"/>
      <c r="E820" s="9"/>
      <c r="F820" s="9"/>
      <c r="G820" s="16"/>
      <c r="H820" s="9"/>
      <c r="I820" s="9"/>
      <c r="J820" s="9"/>
      <c r="K820" s="72"/>
      <c r="L820" s="9"/>
      <c r="M820" s="9"/>
      <c r="N820" s="9"/>
      <c r="O820" s="9"/>
      <c r="P820" s="9"/>
      <c r="Q820" s="9"/>
      <c r="R820" s="9"/>
      <c r="S820" s="9"/>
      <c r="T820" s="9"/>
      <c r="U820" s="9"/>
      <c r="V820" s="9"/>
      <c r="W820" s="9"/>
      <c r="X820" s="9"/>
      <c r="Y820" s="9"/>
    </row>
    <row r="821" spans="2:25" x14ac:dyDescent="0.2">
      <c r="B821" s="7"/>
      <c r="C821" s="9"/>
      <c r="D821" s="9"/>
      <c r="E821" s="9"/>
      <c r="F821" s="9"/>
      <c r="G821" s="16"/>
      <c r="H821" s="9"/>
      <c r="I821" s="9"/>
      <c r="J821" s="9"/>
      <c r="K821" s="72"/>
      <c r="L821" s="9"/>
      <c r="M821" s="9"/>
      <c r="N821" s="9"/>
      <c r="O821" s="9"/>
      <c r="P821" s="9"/>
      <c r="Q821" s="9"/>
      <c r="R821" s="9"/>
      <c r="S821" s="9"/>
      <c r="T821" s="9"/>
      <c r="U821" s="9"/>
      <c r="V821" s="9"/>
      <c r="W821" s="9"/>
      <c r="X821" s="9"/>
      <c r="Y821" s="9"/>
    </row>
    <row r="822" spans="2:25" x14ac:dyDescent="0.2">
      <c r="B822" s="7"/>
      <c r="C822" s="9"/>
      <c r="D822" s="9"/>
      <c r="E822" s="9"/>
      <c r="F822" s="9"/>
      <c r="G822" s="16"/>
      <c r="H822" s="9"/>
      <c r="I822" s="9"/>
      <c r="J822" s="9"/>
      <c r="K822" s="72"/>
      <c r="L822" s="9"/>
      <c r="M822" s="9"/>
      <c r="N822" s="9"/>
      <c r="O822" s="9"/>
      <c r="P822" s="9"/>
      <c r="Q822" s="9"/>
      <c r="R822" s="9"/>
      <c r="S822" s="9"/>
      <c r="T822" s="9"/>
      <c r="U822" s="9"/>
      <c r="V822" s="9"/>
      <c r="W822" s="9"/>
      <c r="X822" s="9"/>
      <c r="Y822" s="9"/>
    </row>
    <row r="823" spans="2:25" x14ac:dyDescent="0.2">
      <c r="B823" s="7"/>
      <c r="C823" s="9"/>
      <c r="D823" s="9"/>
      <c r="E823" s="9"/>
      <c r="F823" s="9"/>
      <c r="G823" s="16"/>
      <c r="H823" s="9"/>
      <c r="I823" s="9"/>
      <c r="J823" s="9"/>
      <c r="K823" s="72"/>
      <c r="L823" s="9"/>
      <c r="M823" s="9"/>
      <c r="N823" s="9"/>
      <c r="O823" s="9"/>
      <c r="P823" s="9"/>
      <c r="Q823" s="9"/>
      <c r="R823" s="9"/>
      <c r="S823" s="9"/>
      <c r="T823" s="9"/>
      <c r="U823" s="9"/>
      <c r="V823" s="9"/>
      <c r="W823" s="9"/>
      <c r="X823" s="9"/>
      <c r="Y823" s="9"/>
    </row>
    <row r="824" spans="2:25" x14ac:dyDescent="0.2">
      <c r="B824" s="7"/>
      <c r="C824" s="9"/>
      <c r="D824" s="9"/>
      <c r="E824" s="9"/>
      <c r="F824" s="9"/>
      <c r="G824" s="16"/>
      <c r="H824" s="9"/>
      <c r="I824" s="9"/>
      <c r="J824" s="9"/>
      <c r="K824" s="72"/>
      <c r="L824" s="9"/>
      <c r="M824" s="9"/>
      <c r="N824" s="9"/>
      <c r="O824" s="9"/>
      <c r="P824" s="9"/>
      <c r="Q824" s="9"/>
      <c r="R824" s="9"/>
      <c r="S824" s="9"/>
      <c r="T824" s="9"/>
      <c r="U824" s="9"/>
      <c r="V824" s="9"/>
      <c r="W824" s="9"/>
      <c r="X824" s="9"/>
      <c r="Y824" s="9"/>
    </row>
    <row r="825" spans="2:25" x14ac:dyDescent="0.2">
      <c r="B825" s="7"/>
      <c r="C825" s="9"/>
      <c r="D825" s="9"/>
      <c r="E825" s="9"/>
      <c r="F825" s="9"/>
      <c r="G825" s="16"/>
      <c r="H825" s="9"/>
      <c r="I825" s="9"/>
      <c r="J825" s="9"/>
      <c r="K825" s="72"/>
      <c r="L825" s="9"/>
      <c r="M825" s="9"/>
      <c r="N825" s="9"/>
      <c r="O825" s="9"/>
      <c r="P825" s="9"/>
      <c r="Q825" s="9"/>
      <c r="R825" s="9"/>
      <c r="S825" s="9"/>
      <c r="T825" s="9"/>
      <c r="U825" s="9"/>
      <c r="V825" s="9"/>
      <c r="W825" s="9"/>
      <c r="X825" s="9"/>
      <c r="Y825" s="9"/>
    </row>
    <row r="826" spans="2:25" x14ac:dyDescent="0.2">
      <c r="B826" s="7"/>
      <c r="C826" s="9"/>
      <c r="D826" s="9"/>
      <c r="E826" s="9"/>
      <c r="F826" s="9"/>
      <c r="G826" s="16"/>
      <c r="H826" s="9"/>
      <c r="I826" s="9"/>
      <c r="J826" s="9"/>
      <c r="K826" s="72"/>
      <c r="L826" s="9"/>
      <c r="M826" s="9"/>
      <c r="N826" s="9"/>
      <c r="O826" s="9"/>
      <c r="P826" s="9"/>
      <c r="Q826" s="9"/>
      <c r="R826" s="9"/>
      <c r="S826" s="9"/>
      <c r="T826" s="9"/>
      <c r="U826" s="9"/>
      <c r="V826" s="9"/>
      <c r="W826" s="9"/>
      <c r="X826" s="9"/>
      <c r="Y826" s="9"/>
    </row>
    <row r="827" spans="2:25" x14ac:dyDescent="0.2">
      <c r="B827" s="7"/>
      <c r="C827" s="9"/>
      <c r="D827" s="9"/>
      <c r="E827" s="9"/>
      <c r="F827" s="9"/>
      <c r="G827" s="16"/>
      <c r="H827" s="9"/>
      <c r="I827" s="9"/>
      <c r="J827" s="9"/>
      <c r="K827" s="72"/>
      <c r="L827" s="9"/>
      <c r="M827" s="9"/>
      <c r="N827" s="9"/>
      <c r="O827" s="9"/>
      <c r="P827" s="9"/>
      <c r="Q827" s="9"/>
      <c r="R827" s="9"/>
      <c r="S827" s="9"/>
      <c r="T827" s="9"/>
      <c r="U827" s="9"/>
      <c r="V827" s="9"/>
      <c r="W827" s="9"/>
      <c r="X827" s="9"/>
      <c r="Y827" s="9"/>
    </row>
    <row r="828" spans="2:25" x14ac:dyDescent="0.2">
      <c r="B828" s="7"/>
      <c r="C828" s="9"/>
      <c r="D828" s="9"/>
      <c r="E828" s="9"/>
      <c r="F828" s="9"/>
      <c r="G828" s="16"/>
      <c r="H828" s="9"/>
      <c r="I828" s="9"/>
      <c r="J828" s="9"/>
      <c r="K828" s="72"/>
      <c r="L828" s="9"/>
      <c r="M828" s="9"/>
      <c r="N828" s="9"/>
      <c r="O828" s="9"/>
      <c r="P828" s="9"/>
      <c r="Q828" s="9"/>
      <c r="R828" s="9"/>
      <c r="S828" s="9"/>
      <c r="T828" s="9"/>
      <c r="U828" s="9"/>
      <c r="V828" s="9"/>
      <c r="W828" s="9"/>
      <c r="X828" s="9"/>
      <c r="Y828" s="9"/>
    </row>
    <row r="829" spans="2:25" x14ac:dyDescent="0.2">
      <c r="B829" s="7"/>
      <c r="C829" s="9"/>
      <c r="D829" s="9"/>
      <c r="E829" s="9"/>
      <c r="F829" s="9"/>
      <c r="G829" s="16"/>
      <c r="H829" s="9"/>
      <c r="I829" s="9"/>
      <c r="J829" s="9"/>
      <c r="K829" s="72"/>
      <c r="L829" s="9"/>
      <c r="M829" s="9"/>
      <c r="N829" s="9"/>
      <c r="O829" s="9"/>
      <c r="P829" s="9"/>
      <c r="Q829" s="9"/>
      <c r="R829" s="9"/>
      <c r="S829" s="9"/>
      <c r="T829" s="9"/>
      <c r="U829" s="9"/>
      <c r="V829" s="9"/>
      <c r="W829" s="9"/>
      <c r="X829" s="9"/>
      <c r="Y829" s="9"/>
    </row>
    <row r="830" spans="2:25" x14ac:dyDescent="0.2">
      <c r="B830" s="7"/>
      <c r="C830" s="9"/>
      <c r="D830" s="9"/>
      <c r="E830" s="9"/>
      <c r="F830" s="9"/>
      <c r="G830" s="16"/>
      <c r="H830" s="9"/>
      <c r="I830" s="9"/>
      <c r="J830" s="9"/>
      <c r="K830" s="72"/>
      <c r="L830" s="9"/>
      <c r="M830" s="9"/>
      <c r="N830" s="9"/>
      <c r="O830" s="9"/>
      <c r="P830" s="9"/>
      <c r="Q830" s="9"/>
      <c r="R830" s="9"/>
      <c r="S830" s="9"/>
      <c r="T830" s="9"/>
      <c r="U830" s="9"/>
      <c r="V830" s="9"/>
      <c r="W830" s="9"/>
      <c r="X830" s="9"/>
      <c r="Y830" s="9"/>
    </row>
    <row r="831" spans="2:25" x14ac:dyDescent="0.2">
      <c r="B831" s="7"/>
      <c r="C831" s="9"/>
      <c r="D831" s="9"/>
      <c r="E831" s="9"/>
      <c r="F831" s="9"/>
      <c r="G831" s="16"/>
      <c r="H831" s="9"/>
      <c r="I831" s="9"/>
      <c r="J831" s="9"/>
      <c r="K831" s="72"/>
      <c r="L831" s="9"/>
      <c r="M831" s="9"/>
      <c r="N831" s="9"/>
      <c r="O831" s="9"/>
      <c r="P831" s="9"/>
      <c r="Q831" s="9"/>
      <c r="R831" s="9"/>
      <c r="S831" s="9"/>
      <c r="T831" s="9"/>
      <c r="U831" s="9"/>
      <c r="V831" s="9"/>
      <c r="W831" s="9"/>
      <c r="X831" s="9"/>
      <c r="Y831" s="9"/>
    </row>
    <row r="832" spans="2:25" x14ac:dyDescent="0.2">
      <c r="B832" s="7"/>
      <c r="C832" s="9"/>
      <c r="D832" s="9"/>
      <c r="E832" s="9"/>
      <c r="F832" s="9"/>
      <c r="G832" s="16"/>
      <c r="H832" s="9"/>
      <c r="I832" s="9"/>
      <c r="J832" s="9"/>
      <c r="K832" s="72"/>
      <c r="L832" s="9"/>
      <c r="M832" s="9"/>
      <c r="N832" s="9"/>
      <c r="O832" s="9"/>
      <c r="P832" s="9"/>
      <c r="Q832" s="9"/>
      <c r="R832" s="9"/>
      <c r="S832" s="9"/>
      <c r="T832" s="9"/>
      <c r="U832" s="9"/>
      <c r="V832" s="9"/>
      <c r="W832" s="9"/>
      <c r="X832" s="9"/>
      <c r="Y832" s="9"/>
    </row>
    <row r="833" spans="2:25" x14ac:dyDescent="0.2">
      <c r="B833" s="7"/>
      <c r="C833" s="9"/>
      <c r="D833" s="9"/>
      <c r="E833" s="9"/>
      <c r="F833" s="9"/>
      <c r="G833" s="16"/>
      <c r="H833" s="9"/>
      <c r="I833" s="9"/>
      <c r="J833" s="9"/>
      <c r="K833" s="72"/>
      <c r="L833" s="9"/>
      <c r="M833" s="9"/>
      <c r="N833" s="9"/>
      <c r="O833" s="9"/>
      <c r="P833" s="9"/>
      <c r="Q833" s="9"/>
      <c r="R833" s="9"/>
      <c r="S833" s="9"/>
      <c r="T833" s="9"/>
      <c r="U833" s="9"/>
      <c r="V833" s="9"/>
      <c r="W833" s="9"/>
      <c r="X833" s="9"/>
      <c r="Y833" s="9"/>
    </row>
    <row r="834" spans="2:25" x14ac:dyDescent="0.2">
      <c r="B834" s="7"/>
      <c r="C834" s="9"/>
      <c r="D834" s="9"/>
      <c r="E834" s="9"/>
      <c r="F834" s="9"/>
      <c r="G834" s="16"/>
      <c r="H834" s="9"/>
      <c r="I834" s="9"/>
      <c r="J834" s="9"/>
      <c r="K834" s="72"/>
      <c r="L834" s="9"/>
      <c r="M834" s="9"/>
      <c r="N834" s="9"/>
      <c r="O834" s="9"/>
      <c r="P834" s="9"/>
      <c r="Q834" s="9"/>
      <c r="R834" s="9"/>
      <c r="S834" s="9"/>
      <c r="T834" s="9"/>
      <c r="U834" s="9"/>
      <c r="V834" s="9"/>
      <c r="W834" s="9"/>
      <c r="X834" s="9"/>
      <c r="Y834" s="9"/>
    </row>
    <row r="835" spans="2:25" x14ac:dyDescent="0.2">
      <c r="B835" s="7"/>
      <c r="C835" s="9"/>
      <c r="D835" s="9"/>
      <c r="E835" s="9"/>
      <c r="F835" s="9"/>
      <c r="G835" s="16"/>
      <c r="H835" s="9"/>
      <c r="I835" s="9"/>
      <c r="J835" s="9"/>
      <c r="K835" s="72"/>
      <c r="L835" s="9"/>
      <c r="M835" s="9"/>
      <c r="N835" s="9"/>
      <c r="O835" s="9"/>
      <c r="P835" s="9"/>
      <c r="Q835" s="9"/>
      <c r="R835" s="9"/>
      <c r="S835" s="9"/>
      <c r="T835" s="9"/>
      <c r="U835" s="9"/>
      <c r="V835" s="9"/>
      <c r="W835" s="9"/>
      <c r="X835" s="9"/>
      <c r="Y835" s="9"/>
    </row>
    <row r="836" spans="2:25" x14ac:dyDescent="0.2">
      <c r="B836" s="7"/>
      <c r="C836" s="9"/>
      <c r="D836" s="9"/>
      <c r="E836" s="9"/>
      <c r="F836" s="9"/>
      <c r="G836" s="16"/>
      <c r="H836" s="9"/>
      <c r="I836" s="9"/>
      <c r="J836" s="9"/>
      <c r="K836" s="72"/>
      <c r="L836" s="9"/>
      <c r="M836" s="9"/>
      <c r="N836" s="9"/>
      <c r="O836" s="9"/>
      <c r="P836" s="9"/>
      <c r="Q836" s="9"/>
      <c r="R836" s="9"/>
      <c r="S836" s="9"/>
      <c r="T836" s="9"/>
      <c r="U836" s="9"/>
      <c r="V836" s="9"/>
      <c r="W836" s="9"/>
      <c r="X836" s="9"/>
      <c r="Y836" s="9"/>
    </row>
    <row r="837" spans="2:25" x14ac:dyDescent="0.2">
      <c r="B837" s="7"/>
      <c r="C837" s="9"/>
      <c r="D837" s="9"/>
      <c r="E837" s="9"/>
      <c r="F837" s="9"/>
      <c r="G837" s="16"/>
      <c r="H837" s="9"/>
      <c r="I837" s="9"/>
      <c r="J837" s="9"/>
      <c r="K837" s="72"/>
      <c r="L837" s="9"/>
      <c r="M837" s="9"/>
      <c r="N837" s="9"/>
      <c r="O837" s="9"/>
      <c r="P837" s="9"/>
      <c r="Q837" s="9"/>
      <c r="R837" s="9"/>
      <c r="S837" s="9"/>
      <c r="T837" s="9"/>
      <c r="U837" s="9"/>
      <c r="V837" s="9"/>
      <c r="W837" s="9"/>
      <c r="X837" s="9"/>
      <c r="Y837" s="9"/>
    </row>
    <row r="838" spans="2:25" x14ac:dyDescent="0.2">
      <c r="B838" s="7"/>
      <c r="C838" s="9"/>
      <c r="D838" s="9"/>
      <c r="E838" s="9"/>
      <c r="F838" s="9"/>
      <c r="G838" s="16"/>
      <c r="H838" s="9"/>
      <c r="I838" s="9"/>
      <c r="J838" s="9"/>
      <c r="K838" s="72"/>
      <c r="L838" s="9"/>
      <c r="M838" s="9"/>
      <c r="N838" s="9"/>
      <c r="O838" s="9"/>
      <c r="P838" s="9"/>
      <c r="Q838" s="9"/>
      <c r="R838" s="9"/>
      <c r="S838" s="9"/>
      <c r="T838" s="9"/>
      <c r="U838" s="9"/>
      <c r="V838" s="9"/>
      <c r="W838" s="9"/>
      <c r="X838" s="9"/>
      <c r="Y838" s="9"/>
    </row>
    <row r="839" spans="2:25" x14ac:dyDescent="0.2">
      <c r="B839" s="7"/>
      <c r="C839" s="9"/>
      <c r="D839" s="9"/>
      <c r="E839" s="9"/>
      <c r="F839" s="9"/>
      <c r="G839" s="16"/>
      <c r="H839" s="9"/>
      <c r="I839" s="9"/>
      <c r="J839" s="9"/>
      <c r="K839" s="72"/>
      <c r="L839" s="9"/>
      <c r="M839" s="9"/>
      <c r="N839" s="9"/>
      <c r="O839" s="9"/>
      <c r="P839" s="9"/>
      <c r="Q839" s="9"/>
      <c r="R839" s="9"/>
      <c r="S839" s="9"/>
      <c r="T839" s="9"/>
      <c r="U839" s="9"/>
      <c r="V839" s="9"/>
      <c r="W839" s="9"/>
      <c r="X839" s="9"/>
      <c r="Y839" s="9"/>
    </row>
    <row r="840" spans="2:25" x14ac:dyDescent="0.2">
      <c r="B840" s="7"/>
      <c r="C840" s="9"/>
      <c r="D840" s="9"/>
      <c r="E840" s="9"/>
      <c r="F840" s="9"/>
      <c r="G840" s="16"/>
      <c r="H840" s="9"/>
      <c r="I840" s="9"/>
      <c r="J840" s="9"/>
      <c r="K840" s="72"/>
      <c r="L840" s="9"/>
      <c r="M840" s="9"/>
      <c r="N840" s="9"/>
      <c r="O840" s="9"/>
      <c r="P840" s="9"/>
      <c r="Q840" s="9"/>
      <c r="R840" s="9"/>
      <c r="S840" s="9"/>
      <c r="T840" s="9"/>
      <c r="U840" s="9"/>
      <c r="V840" s="9"/>
      <c r="W840" s="9"/>
      <c r="X840" s="9"/>
      <c r="Y840" s="9"/>
    </row>
    <row r="841" spans="2:25" x14ac:dyDescent="0.2">
      <c r="B841" s="7"/>
      <c r="C841" s="9"/>
      <c r="D841" s="9"/>
      <c r="E841" s="9"/>
      <c r="F841" s="9"/>
      <c r="G841" s="16"/>
      <c r="H841" s="9"/>
      <c r="I841" s="9"/>
      <c r="J841" s="9"/>
      <c r="K841" s="72"/>
      <c r="L841" s="9"/>
      <c r="M841" s="9"/>
      <c r="N841" s="9"/>
      <c r="O841" s="9"/>
      <c r="P841" s="9"/>
      <c r="Q841" s="9"/>
      <c r="R841" s="9"/>
      <c r="S841" s="9"/>
      <c r="T841" s="9"/>
      <c r="U841" s="9"/>
      <c r="V841" s="9"/>
      <c r="W841" s="9"/>
      <c r="X841" s="9"/>
      <c r="Y841" s="9"/>
    </row>
    <row r="842" spans="2:25" x14ac:dyDescent="0.2">
      <c r="B842" s="7"/>
      <c r="C842" s="9"/>
      <c r="D842" s="9"/>
      <c r="E842" s="9"/>
      <c r="F842" s="9"/>
      <c r="G842" s="16"/>
      <c r="H842" s="9"/>
      <c r="I842" s="9"/>
      <c r="J842" s="9"/>
      <c r="K842" s="72"/>
      <c r="L842" s="9"/>
      <c r="M842" s="9"/>
      <c r="N842" s="9"/>
      <c r="O842" s="9"/>
      <c r="P842" s="9"/>
      <c r="Q842" s="9"/>
      <c r="R842" s="9"/>
      <c r="S842" s="9"/>
      <c r="T842" s="9"/>
      <c r="U842" s="9"/>
      <c r="V842" s="9"/>
      <c r="W842" s="9"/>
      <c r="X842" s="9"/>
      <c r="Y842" s="9"/>
    </row>
    <row r="843" spans="2:25" x14ac:dyDescent="0.2">
      <c r="B843" s="7"/>
      <c r="C843" s="9"/>
      <c r="D843" s="9"/>
      <c r="E843" s="9"/>
      <c r="F843" s="9"/>
      <c r="G843" s="16"/>
      <c r="H843" s="9"/>
      <c r="I843" s="9"/>
      <c r="J843" s="9"/>
      <c r="K843" s="72"/>
      <c r="L843" s="9"/>
      <c r="M843" s="9"/>
      <c r="N843" s="9"/>
      <c r="O843" s="9"/>
      <c r="P843" s="9"/>
      <c r="Q843" s="9"/>
      <c r="R843" s="9"/>
      <c r="S843" s="9"/>
      <c r="T843" s="9"/>
      <c r="U843" s="9"/>
      <c r="V843" s="9"/>
      <c r="W843" s="9"/>
      <c r="X843" s="9"/>
      <c r="Y843" s="9"/>
    </row>
    <row r="844" spans="2:25" x14ac:dyDescent="0.2">
      <c r="B844" s="7"/>
      <c r="C844" s="9"/>
      <c r="D844" s="9"/>
      <c r="E844" s="9"/>
      <c r="F844" s="9"/>
      <c r="G844" s="16"/>
      <c r="H844" s="9"/>
      <c r="I844" s="9"/>
      <c r="J844" s="9"/>
      <c r="K844" s="72"/>
      <c r="L844" s="9"/>
      <c r="M844" s="9"/>
      <c r="N844" s="9"/>
      <c r="O844" s="9"/>
      <c r="P844" s="9"/>
      <c r="Q844" s="9"/>
      <c r="R844" s="9"/>
      <c r="S844" s="9"/>
      <c r="T844" s="9"/>
      <c r="U844" s="9"/>
      <c r="V844" s="9"/>
      <c r="W844" s="9"/>
      <c r="X844" s="9"/>
      <c r="Y844" s="9"/>
    </row>
    <row r="845" spans="2:25" x14ac:dyDescent="0.2">
      <c r="B845" s="7"/>
      <c r="C845" s="9"/>
      <c r="D845" s="9"/>
      <c r="E845" s="9"/>
      <c r="F845" s="9"/>
      <c r="G845" s="16"/>
      <c r="H845" s="9"/>
      <c r="I845" s="9"/>
      <c r="J845" s="9"/>
      <c r="K845" s="72"/>
      <c r="L845" s="9"/>
      <c r="M845" s="9"/>
      <c r="N845" s="9"/>
      <c r="O845" s="9"/>
      <c r="P845" s="9"/>
      <c r="Q845" s="9"/>
      <c r="R845" s="9"/>
      <c r="S845" s="9"/>
      <c r="T845" s="9"/>
      <c r="U845" s="9"/>
      <c r="V845" s="9"/>
      <c r="W845" s="9"/>
      <c r="X845" s="9"/>
      <c r="Y845" s="9"/>
    </row>
    <row r="846" spans="2:25" x14ac:dyDescent="0.2">
      <c r="B846" s="7"/>
      <c r="C846" s="9"/>
      <c r="D846" s="9"/>
      <c r="E846" s="9"/>
      <c r="F846" s="9"/>
      <c r="G846" s="16"/>
      <c r="H846" s="9"/>
      <c r="I846" s="9"/>
      <c r="J846" s="9"/>
      <c r="K846" s="72"/>
      <c r="L846" s="9"/>
      <c r="M846" s="9"/>
      <c r="N846" s="9"/>
      <c r="O846" s="9"/>
      <c r="P846" s="9"/>
      <c r="Q846" s="9"/>
      <c r="R846" s="9"/>
      <c r="S846" s="9"/>
      <c r="T846" s="9"/>
      <c r="U846" s="9"/>
      <c r="V846" s="9"/>
      <c r="W846" s="9"/>
      <c r="X846" s="9"/>
      <c r="Y846" s="9"/>
    </row>
    <row r="847" spans="2:25" x14ac:dyDescent="0.2">
      <c r="B847" s="7"/>
      <c r="C847" s="9"/>
      <c r="D847" s="9"/>
      <c r="E847" s="9"/>
      <c r="F847" s="9"/>
      <c r="G847" s="16"/>
      <c r="H847" s="9"/>
      <c r="I847" s="9"/>
      <c r="J847" s="9"/>
      <c r="K847" s="72"/>
      <c r="L847" s="9"/>
      <c r="M847" s="9"/>
      <c r="N847" s="9"/>
      <c r="O847" s="9"/>
      <c r="P847" s="9"/>
      <c r="Q847" s="9"/>
      <c r="R847" s="9"/>
      <c r="S847" s="9"/>
      <c r="T847" s="9"/>
      <c r="U847" s="9"/>
      <c r="V847" s="9"/>
      <c r="W847" s="9"/>
      <c r="X847" s="9"/>
      <c r="Y847" s="9"/>
    </row>
    <row r="848" spans="2:25" x14ac:dyDescent="0.2">
      <c r="B848" s="7"/>
      <c r="C848" s="9"/>
      <c r="D848" s="9"/>
      <c r="E848" s="9"/>
      <c r="F848" s="9"/>
      <c r="G848" s="16"/>
      <c r="H848" s="9"/>
      <c r="I848" s="9"/>
      <c r="J848" s="9"/>
      <c r="K848" s="72"/>
      <c r="L848" s="9"/>
      <c r="M848" s="9"/>
      <c r="N848" s="9"/>
      <c r="O848" s="9"/>
      <c r="P848" s="9"/>
      <c r="Q848" s="9"/>
      <c r="R848" s="9"/>
      <c r="S848" s="9"/>
      <c r="T848" s="9"/>
      <c r="U848" s="9"/>
      <c r="V848" s="9"/>
      <c r="W848" s="9"/>
      <c r="X848" s="9"/>
      <c r="Y848" s="9"/>
    </row>
    <row r="849" spans="2:25" x14ac:dyDescent="0.2">
      <c r="B849" s="7"/>
      <c r="C849" s="9"/>
      <c r="D849" s="9"/>
      <c r="E849" s="9"/>
      <c r="F849" s="9"/>
      <c r="G849" s="16"/>
      <c r="H849" s="9"/>
      <c r="I849" s="9"/>
      <c r="J849" s="9"/>
      <c r="K849" s="72"/>
      <c r="L849" s="9"/>
      <c r="M849" s="9"/>
      <c r="N849" s="9"/>
      <c r="O849" s="9"/>
      <c r="P849" s="9"/>
      <c r="Q849" s="9"/>
      <c r="R849" s="9"/>
      <c r="S849" s="9"/>
      <c r="T849" s="9"/>
      <c r="U849" s="9"/>
      <c r="V849" s="9"/>
      <c r="W849" s="9"/>
      <c r="X849" s="9"/>
      <c r="Y849" s="9"/>
    </row>
    <row r="850" spans="2:25" x14ac:dyDescent="0.2">
      <c r="B850" s="7"/>
      <c r="C850" s="9"/>
      <c r="D850" s="9"/>
      <c r="E850" s="9"/>
      <c r="F850" s="9"/>
      <c r="G850" s="16"/>
      <c r="H850" s="9"/>
      <c r="I850" s="9"/>
      <c r="J850" s="9"/>
      <c r="K850" s="72"/>
      <c r="L850" s="9"/>
      <c r="M850" s="9"/>
      <c r="N850" s="9"/>
      <c r="O850" s="9"/>
      <c r="P850" s="9"/>
      <c r="Q850" s="9"/>
      <c r="R850" s="9"/>
      <c r="S850" s="9"/>
      <c r="T850" s="9"/>
      <c r="U850" s="9"/>
      <c r="V850" s="9"/>
      <c r="W850" s="9"/>
      <c r="X850" s="9"/>
      <c r="Y850" s="9"/>
    </row>
    <row r="851" spans="2:25" x14ac:dyDescent="0.2">
      <c r="B851" s="7"/>
      <c r="C851" s="9"/>
      <c r="D851" s="9"/>
      <c r="E851" s="9"/>
      <c r="F851" s="9"/>
      <c r="G851" s="16"/>
      <c r="H851" s="9"/>
      <c r="I851" s="9"/>
      <c r="J851" s="9"/>
      <c r="K851" s="72"/>
      <c r="L851" s="9"/>
      <c r="M851" s="9"/>
      <c r="N851" s="9"/>
      <c r="O851" s="9"/>
      <c r="P851" s="9"/>
      <c r="Q851" s="9"/>
      <c r="R851" s="9"/>
      <c r="S851" s="9"/>
      <c r="T851" s="9"/>
      <c r="U851" s="9"/>
      <c r="V851" s="9"/>
      <c r="W851" s="9"/>
      <c r="X851" s="9"/>
      <c r="Y851" s="9"/>
    </row>
    <row r="852" spans="2:25" x14ac:dyDescent="0.2">
      <c r="B852" s="7"/>
      <c r="C852" s="9"/>
      <c r="D852" s="9"/>
      <c r="E852" s="9"/>
      <c r="F852" s="9"/>
      <c r="G852" s="16"/>
      <c r="H852" s="9"/>
      <c r="I852" s="9"/>
      <c r="J852" s="9"/>
      <c r="K852" s="72"/>
      <c r="L852" s="9"/>
      <c r="M852" s="9"/>
      <c r="N852" s="9"/>
      <c r="O852" s="9"/>
      <c r="P852" s="9"/>
      <c r="Q852" s="9"/>
      <c r="R852" s="9"/>
      <c r="S852" s="9"/>
      <c r="T852" s="9"/>
      <c r="U852" s="9"/>
      <c r="V852" s="9"/>
      <c r="W852" s="9"/>
      <c r="X852" s="9"/>
      <c r="Y852" s="9"/>
    </row>
    <row r="853" spans="2:25" x14ac:dyDescent="0.2">
      <c r="B853" s="7"/>
      <c r="C853" s="9"/>
      <c r="D853" s="9"/>
      <c r="E853" s="9"/>
      <c r="F853" s="9"/>
      <c r="G853" s="16"/>
      <c r="H853" s="9"/>
      <c r="I853" s="9"/>
      <c r="J853" s="9"/>
      <c r="K853" s="72"/>
      <c r="L853" s="9"/>
      <c r="M853" s="9"/>
      <c r="N853" s="9"/>
      <c r="O853" s="9"/>
      <c r="P853" s="9"/>
      <c r="Q853" s="9"/>
      <c r="R853" s="9"/>
      <c r="S853" s="9"/>
      <c r="T853" s="9"/>
      <c r="U853" s="9"/>
      <c r="V853" s="9"/>
      <c r="W853" s="9"/>
      <c r="X853" s="9"/>
      <c r="Y853" s="9"/>
    </row>
    <row r="854" spans="2:25" x14ac:dyDescent="0.2">
      <c r="B854" s="7"/>
      <c r="C854" s="9"/>
      <c r="D854" s="9"/>
      <c r="E854" s="9"/>
      <c r="F854" s="9"/>
      <c r="G854" s="16"/>
      <c r="H854" s="9"/>
      <c r="I854" s="9"/>
      <c r="J854" s="9"/>
      <c r="K854" s="72"/>
      <c r="L854" s="9"/>
      <c r="M854" s="9"/>
      <c r="N854" s="9"/>
      <c r="O854" s="9"/>
      <c r="P854" s="9"/>
      <c r="Q854" s="9"/>
      <c r="R854" s="9"/>
      <c r="S854" s="9"/>
      <c r="T854" s="9"/>
      <c r="U854" s="9"/>
      <c r="V854" s="9"/>
      <c r="W854" s="9"/>
      <c r="X854" s="9"/>
      <c r="Y854" s="9"/>
    </row>
    <row r="855" spans="2:25" x14ac:dyDescent="0.2">
      <c r="B855" s="7"/>
      <c r="C855" s="9"/>
      <c r="D855" s="9"/>
      <c r="E855" s="9"/>
      <c r="F855" s="9"/>
      <c r="G855" s="16"/>
      <c r="H855" s="9"/>
      <c r="I855" s="9"/>
      <c r="J855" s="9"/>
      <c r="K855" s="72"/>
      <c r="L855" s="9"/>
      <c r="M855" s="9"/>
      <c r="N855" s="9"/>
      <c r="O855" s="9"/>
      <c r="P855" s="9"/>
      <c r="Q855" s="9"/>
      <c r="R855" s="9"/>
      <c r="S855" s="9"/>
      <c r="T855" s="9"/>
      <c r="U855" s="9"/>
      <c r="V855" s="9"/>
      <c r="W855" s="9"/>
      <c r="X855" s="9"/>
      <c r="Y855" s="9"/>
    </row>
    <row r="856" spans="2:25" x14ac:dyDescent="0.2">
      <c r="B856" s="7"/>
      <c r="C856" s="9"/>
      <c r="D856" s="9"/>
      <c r="E856" s="9"/>
      <c r="F856" s="9"/>
      <c r="G856" s="16"/>
      <c r="H856" s="9"/>
      <c r="I856" s="9"/>
      <c r="J856" s="9"/>
      <c r="K856" s="72"/>
      <c r="L856" s="9"/>
      <c r="M856" s="9"/>
      <c r="N856" s="9"/>
      <c r="O856" s="9"/>
      <c r="P856" s="9"/>
      <c r="Q856" s="9"/>
      <c r="R856" s="9"/>
      <c r="S856" s="9"/>
      <c r="T856" s="9"/>
      <c r="U856" s="9"/>
      <c r="V856" s="9"/>
      <c r="W856" s="9"/>
      <c r="X856" s="9"/>
      <c r="Y856" s="9"/>
    </row>
    <row r="857" spans="2:25" x14ac:dyDescent="0.2">
      <c r="B857" s="7"/>
      <c r="C857" s="9"/>
      <c r="D857" s="9"/>
      <c r="E857" s="9"/>
      <c r="F857" s="9"/>
      <c r="G857" s="16"/>
      <c r="H857" s="9"/>
      <c r="I857" s="9"/>
      <c r="J857" s="9"/>
      <c r="K857" s="72"/>
      <c r="L857" s="9"/>
      <c r="M857" s="9"/>
      <c r="N857" s="9"/>
      <c r="O857" s="9"/>
      <c r="P857" s="9"/>
      <c r="Q857" s="9"/>
      <c r="R857" s="9"/>
      <c r="S857" s="9"/>
      <c r="T857" s="9"/>
      <c r="U857" s="9"/>
      <c r="V857" s="9"/>
      <c r="W857" s="9"/>
      <c r="X857" s="9"/>
      <c r="Y857" s="9"/>
    </row>
    <row r="858" spans="2:25" x14ac:dyDescent="0.2">
      <c r="B858" s="7"/>
      <c r="C858" s="9"/>
      <c r="D858" s="9"/>
      <c r="E858" s="9"/>
      <c r="F858" s="9"/>
      <c r="G858" s="16"/>
      <c r="H858" s="9"/>
      <c r="I858" s="9"/>
      <c r="J858" s="9"/>
      <c r="K858" s="72"/>
      <c r="L858" s="9"/>
      <c r="M858" s="9"/>
      <c r="N858" s="9"/>
      <c r="O858" s="9"/>
      <c r="P858" s="9"/>
      <c r="Q858" s="9"/>
      <c r="R858" s="9"/>
      <c r="S858" s="9"/>
      <c r="T858" s="9"/>
      <c r="U858" s="9"/>
      <c r="V858" s="9"/>
      <c r="W858" s="9"/>
      <c r="X858" s="9"/>
      <c r="Y858" s="9"/>
    </row>
    <row r="859" spans="2:25" x14ac:dyDescent="0.2">
      <c r="B859" s="7"/>
      <c r="C859" s="9"/>
      <c r="D859" s="9"/>
      <c r="E859" s="9"/>
      <c r="F859" s="9"/>
      <c r="G859" s="16"/>
      <c r="H859" s="9"/>
      <c r="I859" s="9"/>
      <c r="J859" s="9"/>
      <c r="K859" s="72"/>
      <c r="L859" s="9"/>
      <c r="M859" s="9"/>
      <c r="N859" s="9"/>
      <c r="O859" s="9"/>
      <c r="P859" s="9"/>
      <c r="Q859" s="9"/>
      <c r="R859" s="9"/>
      <c r="S859" s="9"/>
      <c r="T859" s="9"/>
      <c r="U859" s="9"/>
      <c r="V859" s="9"/>
      <c r="W859" s="9"/>
      <c r="X859" s="9"/>
      <c r="Y859" s="9"/>
    </row>
    <row r="860" spans="2:25" x14ac:dyDescent="0.2">
      <c r="B860" s="7"/>
      <c r="C860" s="9"/>
      <c r="D860" s="9"/>
      <c r="E860" s="9"/>
      <c r="F860" s="9"/>
      <c r="G860" s="16"/>
      <c r="H860" s="9"/>
      <c r="I860" s="9"/>
      <c r="J860" s="9"/>
      <c r="K860" s="72"/>
      <c r="L860" s="9"/>
      <c r="M860" s="9"/>
      <c r="N860" s="9"/>
      <c r="O860" s="9"/>
      <c r="P860" s="9"/>
      <c r="Q860" s="9"/>
      <c r="R860" s="9"/>
      <c r="S860" s="9"/>
      <c r="T860" s="9"/>
      <c r="U860" s="9"/>
      <c r="V860" s="9"/>
      <c r="W860" s="9"/>
      <c r="X860" s="9"/>
      <c r="Y860" s="9"/>
    </row>
    <row r="861" spans="2:25" x14ac:dyDescent="0.2">
      <c r="B861" s="7"/>
      <c r="C861" s="9"/>
      <c r="D861" s="9"/>
      <c r="E861" s="9"/>
      <c r="F861" s="9"/>
      <c r="G861" s="16"/>
      <c r="H861" s="9"/>
      <c r="I861" s="9"/>
      <c r="J861" s="9"/>
      <c r="K861" s="72"/>
      <c r="L861" s="9"/>
      <c r="M861" s="9"/>
      <c r="N861" s="9"/>
      <c r="O861" s="9"/>
      <c r="P861" s="9"/>
      <c r="Q861" s="9"/>
      <c r="R861" s="9"/>
      <c r="S861" s="9"/>
      <c r="T861" s="9"/>
      <c r="U861" s="9"/>
      <c r="V861" s="9"/>
      <c r="W861" s="9"/>
      <c r="X861" s="9"/>
      <c r="Y861" s="9"/>
    </row>
    <row r="862" spans="2:25" x14ac:dyDescent="0.2">
      <c r="B862" s="7"/>
      <c r="C862" s="9"/>
      <c r="D862" s="9"/>
      <c r="E862" s="9"/>
      <c r="F862" s="9"/>
      <c r="G862" s="16"/>
      <c r="H862" s="9"/>
      <c r="I862" s="9"/>
      <c r="J862" s="9"/>
      <c r="K862" s="72"/>
      <c r="L862" s="9"/>
      <c r="M862" s="9"/>
      <c r="N862" s="9"/>
      <c r="O862" s="9"/>
      <c r="P862" s="9"/>
      <c r="Q862" s="9"/>
      <c r="R862" s="9"/>
      <c r="S862" s="9"/>
      <c r="T862" s="9"/>
      <c r="U862" s="9"/>
      <c r="V862" s="9"/>
      <c r="W862" s="9"/>
      <c r="X862" s="9"/>
      <c r="Y862" s="9"/>
    </row>
    <row r="863" spans="2:25" x14ac:dyDescent="0.2">
      <c r="B863" s="7"/>
      <c r="C863" s="9"/>
      <c r="D863" s="9"/>
      <c r="E863" s="9"/>
      <c r="F863" s="9"/>
      <c r="G863" s="16"/>
      <c r="H863" s="9"/>
      <c r="I863" s="9"/>
      <c r="J863" s="9"/>
      <c r="K863" s="72"/>
      <c r="L863" s="9"/>
      <c r="M863" s="9"/>
      <c r="N863" s="9"/>
      <c r="O863" s="9"/>
      <c r="P863" s="9"/>
      <c r="Q863" s="9"/>
      <c r="R863" s="9"/>
      <c r="S863" s="9"/>
      <c r="T863" s="9"/>
      <c r="U863" s="9"/>
      <c r="V863" s="9"/>
      <c r="W863" s="9"/>
      <c r="X863" s="9"/>
      <c r="Y863" s="9"/>
    </row>
    <row r="864" spans="2:25" x14ac:dyDescent="0.2">
      <c r="B864" s="7"/>
      <c r="C864" s="9"/>
      <c r="D864" s="9"/>
      <c r="E864" s="9"/>
      <c r="F864" s="9"/>
      <c r="G864" s="16"/>
      <c r="H864" s="9"/>
      <c r="I864" s="9"/>
      <c r="J864" s="9"/>
      <c r="K864" s="72"/>
      <c r="L864" s="9"/>
      <c r="M864" s="9"/>
      <c r="N864" s="9"/>
      <c r="O864" s="9"/>
      <c r="P864" s="9"/>
      <c r="Q864" s="9"/>
      <c r="R864" s="9"/>
      <c r="S864" s="9"/>
      <c r="T864" s="9"/>
      <c r="U864" s="9"/>
      <c r="V864" s="9"/>
      <c r="W864" s="9"/>
      <c r="X864" s="9"/>
      <c r="Y864" s="9"/>
    </row>
    <row r="865" spans="2:25" x14ac:dyDescent="0.2">
      <c r="B865" s="7"/>
      <c r="C865" s="9"/>
      <c r="D865" s="9"/>
      <c r="E865" s="9"/>
      <c r="F865" s="9"/>
      <c r="G865" s="16"/>
      <c r="H865" s="9"/>
      <c r="I865" s="9"/>
      <c r="J865" s="9"/>
      <c r="K865" s="72"/>
      <c r="L865" s="9"/>
      <c r="M865" s="9"/>
      <c r="N865" s="9"/>
      <c r="O865" s="9"/>
      <c r="P865" s="9"/>
      <c r="Q865" s="9"/>
      <c r="R865" s="9"/>
      <c r="S865" s="9"/>
      <c r="T865" s="9"/>
      <c r="U865" s="9"/>
      <c r="V865" s="9"/>
      <c r="W865" s="9"/>
      <c r="X865" s="9"/>
      <c r="Y865" s="9"/>
    </row>
    <row r="866" spans="2:25" x14ac:dyDescent="0.2">
      <c r="B866" s="7"/>
      <c r="C866" s="9"/>
      <c r="D866" s="9"/>
      <c r="E866" s="9"/>
      <c r="F866" s="9"/>
      <c r="G866" s="16"/>
      <c r="H866" s="9"/>
      <c r="I866" s="9"/>
      <c r="J866" s="9"/>
      <c r="K866" s="72"/>
      <c r="L866" s="9"/>
      <c r="M866" s="9"/>
      <c r="N866" s="9"/>
      <c r="O866" s="9"/>
      <c r="P866" s="9"/>
      <c r="Q866" s="9"/>
      <c r="R866" s="9"/>
      <c r="S866" s="9"/>
      <c r="T866" s="9"/>
      <c r="U866" s="9"/>
      <c r="V866" s="9"/>
      <c r="W866" s="9"/>
      <c r="X866" s="9"/>
      <c r="Y866" s="9"/>
    </row>
    <row r="867" spans="2:25" x14ac:dyDescent="0.2">
      <c r="B867" s="7"/>
      <c r="C867" s="9"/>
      <c r="D867" s="9"/>
      <c r="E867" s="9"/>
      <c r="F867" s="9"/>
      <c r="G867" s="16"/>
      <c r="H867" s="9"/>
      <c r="I867" s="9"/>
      <c r="J867" s="9"/>
      <c r="K867" s="72"/>
      <c r="L867" s="9"/>
      <c r="M867" s="9"/>
      <c r="N867" s="9"/>
      <c r="O867" s="9"/>
      <c r="P867" s="9"/>
      <c r="Q867" s="9"/>
      <c r="R867" s="9"/>
      <c r="S867" s="9"/>
      <c r="T867" s="9"/>
      <c r="U867" s="9"/>
      <c r="V867" s="9"/>
      <c r="W867" s="9"/>
      <c r="X867" s="9"/>
      <c r="Y867" s="9"/>
    </row>
    <row r="868" spans="2:25" x14ac:dyDescent="0.2">
      <c r="B868" s="7"/>
      <c r="C868" s="9"/>
      <c r="D868" s="9"/>
      <c r="E868" s="9"/>
      <c r="F868" s="9"/>
      <c r="G868" s="16"/>
      <c r="H868" s="9"/>
      <c r="I868" s="9"/>
      <c r="J868" s="9"/>
      <c r="K868" s="72"/>
      <c r="L868" s="9"/>
      <c r="M868" s="9"/>
      <c r="N868" s="9"/>
      <c r="O868" s="9"/>
      <c r="P868" s="9"/>
      <c r="Q868" s="9"/>
      <c r="R868" s="9"/>
      <c r="S868" s="9"/>
      <c r="T868" s="9"/>
      <c r="U868" s="9"/>
      <c r="V868" s="9"/>
      <c r="W868" s="9"/>
      <c r="X868" s="9"/>
      <c r="Y868" s="9"/>
    </row>
    <row r="869" spans="2:25" x14ac:dyDescent="0.2">
      <c r="B869" s="7"/>
      <c r="C869" s="9"/>
      <c r="D869" s="9"/>
      <c r="E869" s="9"/>
      <c r="F869" s="9"/>
      <c r="G869" s="16"/>
      <c r="H869" s="9"/>
      <c r="I869" s="9"/>
      <c r="J869" s="9"/>
      <c r="K869" s="72"/>
      <c r="L869" s="9"/>
      <c r="M869" s="9"/>
      <c r="N869" s="9"/>
      <c r="O869" s="9"/>
      <c r="P869" s="9"/>
      <c r="Q869" s="9"/>
      <c r="R869" s="9"/>
      <c r="S869" s="9"/>
      <c r="T869" s="9"/>
      <c r="U869" s="9"/>
      <c r="V869" s="9"/>
      <c r="W869" s="9"/>
      <c r="X869" s="9"/>
      <c r="Y869" s="9"/>
    </row>
    <row r="870" spans="2:25" x14ac:dyDescent="0.2">
      <c r="B870" s="7"/>
      <c r="C870" s="9"/>
      <c r="D870" s="9"/>
      <c r="E870" s="9"/>
      <c r="F870" s="9"/>
      <c r="G870" s="16"/>
      <c r="H870" s="9"/>
      <c r="I870" s="9"/>
      <c r="J870" s="9"/>
      <c r="K870" s="72"/>
      <c r="L870" s="9"/>
      <c r="M870" s="9"/>
      <c r="N870" s="9"/>
      <c r="O870" s="9"/>
      <c r="P870" s="9"/>
      <c r="Q870" s="9"/>
      <c r="R870" s="9"/>
      <c r="S870" s="9"/>
      <c r="T870" s="9"/>
      <c r="U870" s="9"/>
      <c r="V870" s="9"/>
      <c r="W870" s="9"/>
      <c r="X870" s="9"/>
      <c r="Y870" s="9"/>
    </row>
    <row r="871" spans="2:25" x14ac:dyDescent="0.2">
      <c r="B871" s="7"/>
      <c r="C871" s="9"/>
      <c r="D871" s="9"/>
      <c r="E871" s="9"/>
      <c r="F871" s="9"/>
      <c r="G871" s="16"/>
      <c r="H871" s="9"/>
      <c r="I871" s="9"/>
      <c r="J871" s="9"/>
      <c r="K871" s="72"/>
      <c r="L871" s="9"/>
      <c r="M871" s="9"/>
      <c r="N871" s="9"/>
      <c r="O871" s="9"/>
      <c r="P871" s="9"/>
      <c r="Q871" s="9"/>
      <c r="R871" s="9"/>
      <c r="S871" s="9"/>
      <c r="T871" s="9"/>
      <c r="U871" s="9"/>
      <c r="V871" s="9"/>
      <c r="W871" s="9"/>
      <c r="X871" s="9"/>
      <c r="Y871" s="9"/>
    </row>
    <row r="872" spans="2:25" x14ac:dyDescent="0.2">
      <c r="B872" s="7"/>
      <c r="C872" s="9"/>
      <c r="D872" s="9"/>
      <c r="E872" s="9"/>
      <c r="F872" s="9"/>
      <c r="G872" s="16"/>
      <c r="H872" s="9"/>
      <c r="I872" s="9"/>
      <c r="J872" s="9"/>
      <c r="K872" s="72"/>
      <c r="L872" s="9"/>
      <c r="M872" s="9"/>
      <c r="N872" s="9"/>
      <c r="O872" s="9"/>
      <c r="P872" s="9"/>
      <c r="Q872" s="9"/>
      <c r="R872" s="9"/>
      <c r="S872" s="9"/>
      <c r="T872" s="9"/>
      <c r="U872" s="9"/>
      <c r="V872" s="9"/>
      <c r="W872" s="9"/>
      <c r="X872" s="9"/>
      <c r="Y872" s="9"/>
    </row>
    <row r="873" spans="2:25" x14ac:dyDescent="0.2">
      <c r="B873" s="7"/>
      <c r="C873" s="9"/>
      <c r="D873" s="9"/>
      <c r="E873" s="9"/>
      <c r="F873" s="9"/>
      <c r="G873" s="16"/>
      <c r="H873" s="9"/>
      <c r="I873" s="9"/>
      <c r="J873" s="9"/>
      <c r="K873" s="72"/>
      <c r="L873" s="9"/>
      <c r="M873" s="9"/>
      <c r="N873" s="9"/>
      <c r="O873" s="9"/>
      <c r="P873" s="9"/>
      <c r="Q873" s="9"/>
      <c r="R873" s="9"/>
      <c r="S873" s="9"/>
      <c r="T873" s="9"/>
      <c r="U873" s="9"/>
      <c r="V873" s="9"/>
      <c r="W873" s="9"/>
      <c r="X873" s="9"/>
      <c r="Y873" s="9"/>
    </row>
    <row r="874" spans="2:25" x14ac:dyDescent="0.2">
      <c r="B874" s="7"/>
      <c r="C874" s="9"/>
      <c r="D874" s="9"/>
      <c r="E874" s="9"/>
      <c r="F874" s="9"/>
      <c r="G874" s="16"/>
      <c r="H874" s="9"/>
      <c r="I874" s="9"/>
      <c r="J874" s="9"/>
      <c r="K874" s="72"/>
      <c r="L874" s="9"/>
      <c r="M874" s="9"/>
      <c r="N874" s="9"/>
      <c r="O874" s="9"/>
      <c r="P874" s="9"/>
      <c r="Q874" s="9"/>
      <c r="R874" s="9"/>
      <c r="S874" s="9"/>
      <c r="T874" s="9"/>
      <c r="U874" s="9"/>
      <c r="V874" s="9"/>
      <c r="W874" s="9"/>
      <c r="X874" s="9"/>
      <c r="Y874" s="9"/>
    </row>
    <row r="875" spans="2:25" x14ac:dyDescent="0.2">
      <c r="B875" s="7"/>
      <c r="C875" s="9"/>
      <c r="D875" s="9"/>
      <c r="E875" s="9"/>
      <c r="F875" s="9"/>
      <c r="G875" s="16"/>
      <c r="H875" s="9"/>
      <c r="I875" s="9"/>
      <c r="J875" s="9"/>
      <c r="K875" s="72"/>
      <c r="L875" s="9"/>
      <c r="M875" s="9"/>
      <c r="N875" s="9"/>
      <c r="O875" s="9"/>
      <c r="P875" s="9"/>
      <c r="Q875" s="9"/>
      <c r="R875" s="9"/>
      <c r="S875" s="9"/>
      <c r="T875" s="9"/>
      <c r="U875" s="9"/>
      <c r="V875" s="9"/>
      <c r="W875" s="9"/>
      <c r="X875" s="9"/>
      <c r="Y875" s="9"/>
    </row>
    <row r="876" spans="2:25" x14ac:dyDescent="0.2">
      <c r="B876" s="7"/>
      <c r="C876" s="9"/>
      <c r="D876" s="9"/>
      <c r="E876" s="9"/>
      <c r="F876" s="9"/>
      <c r="G876" s="16"/>
      <c r="H876" s="9"/>
      <c r="I876" s="9"/>
      <c r="J876" s="9"/>
      <c r="K876" s="72"/>
      <c r="L876" s="9"/>
      <c r="M876" s="9"/>
      <c r="N876" s="9"/>
      <c r="O876" s="9"/>
      <c r="P876" s="9"/>
      <c r="Q876" s="9"/>
      <c r="R876" s="9"/>
      <c r="S876" s="9"/>
      <c r="T876" s="9"/>
      <c r="U876" s="9"/>
      <c r="V876" s="9"/>
      <c r="W876" s="9"/>
      <c r="X876" s="9"/>
      <c r="Y876" s="9"/>
    </row>
    <row r="877" spans="2:25" x14ac:dyDescent="0.2">
      <c r="B877" s="7"/>
      <c r="C877" s="9"/>
      <c r="D877" s="9"/>
      <c r="E877" s="9"/>
      <c r="F877" s="9"/>
      <c r="G877" s="16"/>
      <c r="H877" s="9"/>
      <c r="I877" s="9"/>
      <c r="J877" s="9"/>
      <c r="K877" s="72"/>
      <c r="L877" s="9"/>
      <c r="M877" s="9"/>
      <c r="N877" s="9"/>
      <c r="O877" s="9"/>
      <c r="P877" s="9"/>
      <c r="Q877" s="9"/>
      <c r="R877" s="9"/>
      <c r="S877" s="9"/>
      <c r="T877" s="9"/>
      <c r="U877" s="9"/>
      <c r="V877" s="9"/>
      <c r="W877" s="9"/>
      <c r="X877" s="9"/>
      <c r="Y877" s="9"/>
    </row>
    <row r="878" spans="2:25" x14ac:dyDescent="0.2">
      <c r="B878" s="7"/>
      <c r="C878" s="9"/>
      <c r="D878" s="9"/>
      <c r="E878" s="9"/>
      <c r="F878" s="9"/>
      <c r="G878" s="16"/>
      <c r="H878" s="9"/>
      <c r="I878" s="9"/>
      <c r="J878" s="9"/>
      <c r="K878" s="72"/>
      <c r="L878" s="9"/>
      <c r="M878" s="9"/>
      <c r="N878" s="9"/>
      <c r="O878" s="9"/>
      <c r="P878" s="9"/>
      <c r="Q878" s="9"/>
      <c r="R878" s="9"/>
      <c r="S878" s="9"/>
      <c r="T878" s="9"/>
      <c r="U878" s="9"/>
      <c r="V878" s="9"/>
      <c r="W878" s="9"/>
      <c r="X878" s="9"/>
      <c r="Y878" s="9"/>
    </row>
    <row r="879" spans="2:25" x14ac:dyDescent="0.2">
      <c r="B879" s="7"/>
      <c r="C879" s="9"/>
      <c r="D879" s="9"/>
      <c r="E879" s="9"/>
      <c r="F879" s="9"/>
      <c r="G879" s="16"/>
      <c r="H879" s="9"/>
      <c r="I879" s="9"/>
      <c r="J879" s="9"/>
      <c r="K879" s="72"/>
      <c r="L879" s="9"/>
      <c r="M879" s="9"/>
      <c r="N879" s="9"/>
      <c r="O879" s="9"/>
      <c r="P879" s="9"/>
      <c r="Q879" s="9"/>
      <c r="R879" s="9"/>
      <c r="S879" s="9"/>
      <c r="T879" s="9"/>
      <c r="U879" s="9"/>
      <c r="V879" s="9"/>
      <c r="W879" s="9"/>
      <c r="X879" s="9"/>
      <c r="Y879" s="9"/>
    </row>
    <row r="880" spans="2:25" x14ac:dyDescent="0.2">
      <c r="B880" s="7"/>
      <c r="C880" s="9"/>
      <c r="D880" s="9"/>
      <c r="E880" s="9"/>
      <c r="F880" s="9"/>
      <c r="G880" s="16"/>
      <c r="H880" s="9"/>
      <c r="I880" s="9"/>
      <c r="J880" s="9"/>
      <c r="K880" s="72"/>
      <c r="L880" s="9"/>
      <c r="M880" s="9"/>
      <c r="N880" s="9"/>
      <c r="O880" s="9"/>
      <c r="P880" s="9"/>
      <c r="Q880" s="9"/>
      <c r="R880" s="9"/>
      <c r="S880" s="9"/>
      <c r="T880" s="9"/>
      <c r="U880" s="9"/>
      <c r="V880" s="9"/>
      <c r="W880" s="9"/>
      <c r="X880" s="9"/>
      <c r="Y880" s="9"/>
    </row>
    <row r="881" spans="2:25" x14ac:dyDescent="0.2">
      <c r="B881" s="7"/>
      <c r="C881" s="9"/>
      <c r="D881" s="9"/>
      <c r="E881" s="9"/>
      <c r="F881" s="9"/>
      <c r="G881" s="16"/>
      <c r="H881" s="9"/>
      <c r="I881" s="9"/>
      <c r="J881" s="9"/>
      <c r="K881" s="72"/>
      <c r="L881" s="9"/>
      <c r="M881" s="9"/>
      <c r="N881" s="9"/>
      <c r="O881" s="9"/>
      <c r="P881" s="9"/>
      <c r="Q881" s="9"/>
      <c r="R881" s="9"/>
      <c r="S881" s="9"/>
      <c r="T881" s="9"/>
      <c r="U881" s="9"/>
      <c r="V881" s="9"/>
      <c r="W881" s="9"/>
      <c r="X881" s="9"/>
      <c r="Y881" s="9"/>
    </row>
    <row r="882" spans="2:25" x14ac:dyDescent="0.2">
      <c r="B882" s="7"/>
      <c r="C882" s="9"/>
      <c r="D882" s="9"/>
      <c r="E882" s="9"/>
      <c r="F882" s="9"/>
      <c r="G882" s="16"/>
      <c r="H882" s="9"/>
      <c r="I882" s="9"/>
      <c r="J882" s="9"/>
      <c r="K882" s="72"/>
      <c r="L882" s="9"/>
      <c r="M882" s="9"/>
      <c r="N882" s="9"/>
      <c r="O882" s="9"/>
      <c r="P882" s="9"/>
      <c r="Q882" s="9"/>
      <c r="R882" s="9"/>
      <c r="S882" s="9"/>
      <c r="T882" s="9"/>
      <c r="U882" s="9"/>
      <c r="V882" s="9"/>
      <c r="W882" s="9"/>
      <c r="X882" s="9"/>
      <c r="Y882" s="9"/>
    </row>
    <row r="883" spans="2:25" x14ac:dyDescent="0.2">
      <c r="B883" s="7"/>
      <c r="C883" s="9"/>
      <c r="D883" s="9"/>
      <c r="E883" s="9"/>
      <c r="F883" s="9"/>
      <c r="G883" s="16"/>
      <c r="H883" s="9"/>
      <c r="I883" s="9"/>
      <c r="J883" s="9"/>
      <c r="K883" s="72"/>
      <c r="L883" s="9"/>
      <c r="M883" s="9"/>
      <c r="N883" s="9"/>
      <c r="O883" s="9"/>
      <c r="P883" s="9"/>
      <c r="Q883" s="9"/>
      <c r="R883" s="9"/>
      <c r="S883" s="9"/>
      <c r="T883" s="9"/>
      <c r="U883" s="9"/>
      <c r="V883" s="9"/>
      <c r="W883" s="9"/>
      <c r="X883" s="9"/>
      <c r="Y883" s="9"/>
    </row>
    <row r="884" spans="2:25" x14ac:dyDescent="0.2">
      <c r="B884" s="7"/>
      <c r="C884" s="9"/>
      <c r="D884" s="9"/>
      <c r="E884" s="9"/>
      <c r="F884" s="9"/>
      <c r="G884" s="16"/>
      <c r="H884" s="9"/>
      <c r="I884" s="9"/>
      <c r="J884" s="9"/>
      <c r="K884" s="72"/>
      <c r="L884" s="9"/>
      <c r="M884" s="9"/>
      <c r="N884" s="9"/>
      <c r="O884" s="9"/>
      <c r="P884" s="9"/>
      <c r="Q884" s="9"/>
      <c r="R884" s="9"/>
      <c r="S884" s="9"/>
      <c r="T884" s="9"/>
      <c r="U884" s="9"/>
      <c r="V884" s="9"/>
      <c r="W884" s="9"/>
      <c r="X884" s="9"/>
      <c r="Y884" s="9"/>
    </row>
    <row r="885" spans="2:25" x14ac:dyDescent="0.2">
      <c r="B885" s="7"/>
      <c r="C885" s="9"/>
      <c r="D885" s="9"/>
      <c r="E885" s="9"/>
      <c r="F885" s="9"/>
      <c r="G885" s="16"/>
      <c r="H885" s="9"/>
      <c r="I885" s="9"/>
      <c r="J885" s="9"/>
      <c r="K885" s="72"/>
      <c r="L885" s="9"/>
      <c r="M885" s="9"/>
      <c r="N885" s="9"/>
      <c r="O885" s="9"/>
      <c r="P885" s="9"/>
      <c r="Q885" s="9"/>
      <c r="R885" s="9"/>
      <c r="S885" s="9"/>
      <c r="T885" s="9"/>
      <c r="U885" s="9"/>
      <c r="V885" s="9"/>
      <c r="W885" s="9"/>
      <c r="X885" s="9"/>
      <c r="Y885" s="9"/>
    </row>
    <row r="886" spans="2:25" x14ac:dyDescent="0.2">
      <c r="B886" s="7"/>
      <c r="C886" s="9"/>
      <c r="D886" s="9"/>
      <c r="E886" s="9"/>
      <c r="F886" s="9"/>
      <c r="G886" s="16"/>
      <c r="H886" s="9"/>
      <c r="I886" s="9"/>
      <c r="J886" s="9"/>
      <c r="K886" s="72"/>
      <c r="L886" s="9"/>
      <c r="M886" s="9"/>
      <c r="N886" s="9"/>
      <c r="O886" s="9"/>
      <c r="P886" s="9"/>
      <c r="Q886" s="9"/>
      <c r="R886" s="9"/>
      <c r="S886" s="9"/>
      <c r="T886" s="9"/>
      <c r="U886" s="9"/>
      <c r="V886" s="9"/>
      <c r="W886" s="9"/>
      <c r="X886" s="9"/>
      <c r="Y886" s="9"/>
    </row>
    <row r="887" spans="2:25" x14ac:dyDescent="0.2">
      <c r="B887" s="7"/>
      <c r="C887" s="9"/>
      <c r="D887" s="9"/>
      <c r="E887" s="9"/>
      <c r="F887" s="9"/>
      <c r="G887" s="16"/>
      <c r="H887" s="9"/>
      <c r="I887" s="9"/>
      <c r="J887" s="9"/>
      <c r="K887" s="72"/>
      <c r="L887" s="9"/>
      <c r="M887" s="9"/>
      <c r="N887" s="9"/>
      <c r="O887" s="9"/>
      <c r="P887" s="9"/>
      <c r="Q887" s="9"/>
      <c r="R887" s="9"/>
      <c r="S887" s="9"/>
      <c r="T887" s="9"/>
      <c r="U887" s="9"/>
      <c r="V887" s="9"/>
      <c r="W887" s="9"/>
      <c r="X887" s="9"/>
      <c r="Y887" s="9"/>
    </row>
    <row r="888" spans="2:25" x14ac:dyDescent="0.2">
      <c r="B888" s="7"/>
      <c r="C888" s="9"/>
      <c r="D888" s="9"/>
      <c r="E888" s="9"/>
      <c r="F888" s="9"/>
      <c r="G888" s="16"/>
      <c r="H888" s="9"/>
      <c r="I888" s="9"/>
      <c r="J888" s="9"/>
      <c r="K888" s="72"/>
      <c r="L888" s="9"/>
      <c r="M888" s="9"/>
      <c r="N888" s="9"/>
      <c r="O888" s="9"/>
      <c r="P888" s="9"/>
      <c r="Q888" s="9"/>
      <c r="R888" s="9"/>
      <c r="S888" s="9"/>
      <c r="T888" s="9"/>
      <c r="U888" s="9"/>
      <c r="V888" s="9"/>
      <c r="W888" s="9"/>
      <c r="X888" s="9"/>
      <c r="Y888" s="9"/>
    </row>
    <row r="889" spans="2:25" x14ac:dyDescent="0.2">
      <c r="B889" s="7"/>
      <c r="C889" s="9"/>
      <c r="D889" s="9"/>
      <c r="E889" s="9"/>
      <c r="F889" s="9"/>
      <c r="G889" s="16"/>
      <c r="H889" s="9"/>
      <c r="I889" s="9"/>
      <c r="J889" s="9"/>
      <c r="K889" s="72"/>
      <c r="L889" s="9"/>
      <c r="M889" s="9"/>
      <c r="N889" s="9"/>
      <c r="O889" s="9"/>
      <c r="P889" s="9"/>
      <c r="Q889" s="9"/>
      <c r="R889" s="9"/>
      <c r="S889" s="9"/>
      <c r="T889" s="9"/>
      <c r="U889" s="9"/>
      <c r="V889" s="9"/>
      <c r="W889" s="9"/>
      <c r="X889" s="9"/>
      <c r="Y889" s="9"/>
    </row>
    <row r="890" spans="2:25" x14ac:dyDescent="0.2">
      <c r="B890" s="7"/>
      <c r="C890" s="9"/>
      <c r="D890" s="9"/>
      <c r="E890" s="9"/>
      <c r="F890" s="9"/>
      <c r="G890" s="16"/>
      <c r="H890" s="9"/>
      <c r="I890" s="9"/>
      <c r="J890" s="9"/>
      <c r="K890" s="72"/>
      <c r="L890" s="9"/>
      <c r="M890" s="9"/>
      <c r="N890" s="9"/>
      <c r="O890" s="9"/>
      <c r="P890" s="9"/>
      <c r="Q890" s="9"/>
      <c r="R890" s="9"/>
      <c r="S890" s="9"/>
      <c r="T890" s="9"/>
      <c r="U890" s="9"/>
      <c r="V890" s="9"/>
      <c r="W890" s="9"/>
      <c r="X890" s="9"/>
      <c r="Y890" s="9"/>
    </row>
    <row r="891" spans="2:25" x14ac:dyDescent="0.2">
      <c r="B891" s="7"/>
      <c r="C891" s="9"/>
      <c r="D891" s="9"/>
      <c r="E891" s="9"/>
      <c r="F891" s="9"/>
      <c r="G891" s="16"/>
      <c r="H891" s="9"/>
      <c r="I891" s="9"/>
      <c r="J891" s="9"/>
      <c r="K891" s="72"/>
      <c r="L891" s="9"/>
      <c r="M891" s="9"/>
      <c r="N891" s="9"/>
      <c r="O891" s="9"/>
      <c r="P891" s="9"/>
      <c r="Q891" s="9"/>
      <c r="R891" s="9"/>
      <c r="S891" s="9"/>
      <c r="T891" s="9"/>
      <c r="U891" s="9"/>
      <c r="V891" s="9"/>
      <c r="W891" s="9"/>
      <c r="X891" s="9"/>
      <c r="Y891" s="9"/>
    </row>
    <row r="892" spans="2:25" x14ac:dyDescent="0.2">
      <c r="B892" s="7"/>
      <c r="C892" s="9"/>
      <c r="D892" s="9"/>
      <c r="E892" s="9"/>
      <c r="F892" s="9"/>
      <c r="G892" s="16"/>
      <c r="H892" s="9"/>
      <c r="I892" s="9"/>
      <c r="J892" s="9"/>
      <c r="K892" s="72"/>
      <c r="L892" s="9"/>
      <c r="M892" s="9"/>
      <c r="N892" s="9"/>
      <c r="O892" s="9"/>
      <c r="P892" s="9"/>
      <c r="Q892" s="9"/>
      <c r="R892" s="9"/>
      <c r="S892" s="9"/>
      <c r="T892" s="9"/>
      <c r="U892" s="9"/>
      <c r="V892" s="9"/>
      <c r="W892" s="9"/>
      <c r="X892" s="9"/>
      <c r="Y892" s="9"/>
    </row>
    <row r="893" spans="2:25" x14ac:dyDescent="0.2">
      <c r="B893" s="7"/>
      <c r="C893" s="9"/>
      <c r="D893" s="9"/>
      <c r="E893" s="9"/>
      <c r="F893" s="9"/>
      <c r="G893" s="16"/>
      <c r="H893" s="9"/>
      <c r="I893" s="9"/>
      <c r="J893" s="9"/>
      <c r="K893" s="72"/>
      <c r="L893" s="9"/>
      <c r="M893" s="9"/>
      <c r="N893" s="9"/>
      <c r="O893" s="9"/>
      <c r="P893" s="9"/>
      <c r="Q893" s="9"/>
      <c r="R893" s="9"/>
      <c r="S893" s="9"/>
      <c r="T893" s="9"/>
      <c r="U893" s="9"/>
      <c r="V893" s="9"/>
      <c r="W893" s="9"/>
      <c r="X893" s="9"/>
      <c r="Y893" s="9"/>
    </row>
    <row r="894" spans="2:25" x14ac:dyDescent="0.2">
      <c r="B894" s="7"/>
      <c r="C894" s="9"/>
      <c r="D894" s="9"/>
      <c r="E894" s="9"/>
      <c r="F894" s="9"/>
      <c r="G894" s="16"/>
      <c r="H894" s="9"/>
      <c r="I894" s="9"/>
      <c r="J894" s="9"/>
      <c r="K894" s="72"/>
      <c r="L894" s="9"/>
      <c r="M894" s="9"/>
      <c r="N894" s="9"/>
      <c r="O894" s="9"/>
      <c r="P894" s="9"/>
      <c r="Q894" s="9"/>
      <c r="R894" s="9"/>
      <c r="S894" s="9"/>
      <c r="T894" s="9"/>
      <c r="U894" s="9"/>
      <c r="V894" s="9"/>
      <c r="W894" s="9"/>
      <c r="X894" s="9"/>
      <c r="Y894" s="9"/>
    </row>
    <row r="895" spans="2:25" x14ac:dyDescent="0.2">
      <c r="B895" s="7"/>
      <c r="C895" s="9"/>
      <c r="D895" s="9"/>
      <c r="E895" s="9"/>
      <c r="F895" s="9"/>
      <c r="G895" s="16"/>
      <c r="H895" s="9"/>
      <c r="I895" s="9"/>
      <c r="J895" s="9"/>
      <c r="K895" s="72"/>
      <c r="L895" s="9"/>
      <c r="M895" s="9"/>
      <c r="N895" s="9"/>
      <c r="O895" s="9"/>
      <c r="P895" s="9"/>
      <c r="Q895" s="9"/>
      <c r="R895" s="9"/>
      <c r="S895" s="9"/>
      <c r="T895" s="9"/>
      <c r="U895" s="9"/>
      <c r="V895" s="9"/>
      <c r="W895" s="9"/>
      <c r="X895" s="9"/>
      <c r="Y895" s="9"/>
    </row>
    <row r="896" spans="2:25" x14ac:dyDescent="0.2">
      <c r="B896" s="7"/>
      <c r="C896" s="9"/>
      <c r="D896" s="9"/>
      <c r="E896" s="9"/>
      <c r="F896" s="9"/>
      <c r="G896" s="16"/>
      <c r="H896" s="9"/>
      <c r="I896" s="9"/>
      <c r="J896" s="9"/>
      <c r="K896" s="72"/>
      <c r="L896" s="9"/>
      <c r="M896" s="9"/>
      <c r="N896" s="9"/>
      <c r="O896" s="9"/>
      <c r="P896" s="9"/>
      <c r="Q896" s="9"/>
      <c r="R896" s="9"/>
      <c r="S896" s="9"/>
      <c r="T896" s="9"/>
      <c r="U896" s="9"/>
      <c r="V896" s="9"/>
      <c r="W896" s="9"/>
      <c r="X896" s="9"/>
      <c r="Y896" s="9"/>
    </row>
    <row r="897" spans="2:25" x14ac:dyDescent="0.2">
      <c r="B897" s="7"/>
      <c r="C897" s="9"/>
      <c r="D897" s="9"/>
      <c r="E897" s="9"/>
      <c r="F897" s="9"/>
      <c r="G897" s="16"/>
      <c r="H897" s="9"/>
      <c r="I897" s="9"/>
      <c r="J897" s="9"/>
      <c r="K897" s="72"/>
      <c r="L897" s="9"/>
      <c r="M897" s="9"/>
      <c r="N897" s="9"/>
      <c r="O897" s="9"/>
      <c r="P897" s="9"/>
      <c r="Q897" s="9"/>
      <c r="R897" s="9"/>
      <c r="S897" s="9"/>
      <c r="T897" s="9"/>
      <c r="U897" s="9"/>
      <c r="V897" s="9"/>
      <c r="W897" s="9"/>
      <c r="X897" s="9"/>
      <c r="Y897" s="9"/>
    </row>
    <row r="898" spans="2:25" x14ac:dyDescent="0.2">
      <c r="B898" s="7"/>
      <c r="C898" s="9"/>
      <c r="D898" s="9"/>
      <c r="E898" s="9"/>
      <c r="F898" s="9"/>
      <c r="G898" s="16"/>
      <c r="H898" s="9"/>
      <c r="I898" s="9"/>
      <c r="J898" s="9"/>
      <c r="K898" s="72"/>
      <c r="L898" s="9"/>
      <c r="M898" s="9"/>
      <c r="N898" s="9"/>
      <c r="O898" s="9"/>
      <c r="P898" s="9"/>
      <c r="Q898" s="9"/>
      <c r="R898" s="9"/>
      <c r="S898" s="9"/>
      <c r="T898" s="9"/>
      <c r="U898" s="9"/>
      <c r="V898" s="9"/>
      <c r="W898" s="9"/>
      <c r="X898" s="9"/>
      <c r="Y898" s="9"/>
    </row>
    <row r="899" spans="2:25" x14ac:dyDescent="0.2">
      <c r="B899" s="7"/>
      <c r="C899" s="9"/>
      <c r="D899" s="9"/>
      <c r="E899" s="9"/>
      <c r="F899" s="9"/>
      <c r="G899" s="16"/>
      <c r="H899" s="9"/>
      <c r="I899" s="9"/>
      <c r="J899" s="9"/>
      <c r="K899" s="72"/>
      <c r="L899" s="9"/>
      <c r="M899" s="9"/>
      <c r="N899" s="9"/>
      <c r="O899" s="9"/>
      <c r="P899" s="9"/>
      <c r="Q899" s="9"/>
      <c r="R899" s="9"/>
      <c r="S899" s="9"/>
      <c r="T899" s="9"/>
      <c r="U899" s="9"/>
      <c r="V899" s="9"/>
      <c r="W899" s="9"/>
      <c r="X899" s="9"/>
      <c r="Y899" s="9"/>
    </row>
    <row r="900" spans="2:25" x14ac:dyDescent="0.2">
      <c r="B900" s="7"/>
      <c r="C900" s="9"/>
      <c r="D900" s="9"/>
      <c r="E900" s="9"/>
      <c r="F900" s="9"/>
      <c r="G900" s="16"/>
      <c r="H900" s="9"/>
      <c r="I900" s="9"/>
      <c r="J900" s="9"/>
      <c r="K900" s="72"/>
      <c r="L900" s="9"/>
      <c r="M900" s="9"/>
      <c r="N900" s="9"/>
      <c r="O900" s="9"/>
      <c r="P900" s="9"/>
      <c r="Q900" s="9"/>
      <c r="R900" s="9"/>
      <c r="S900" s="9"/>
      <c r="T900" s="9"/>
      <c r="U900" s="9"/>
      <c r="V900" s="9"/>
      <c r="W900" s="9"/>
      <c r="X900" s="9"/>
      <c r="Y900" s="9"/>
    </row>
    <row r="901" spans="2:25" x14ac:dyDescent="0.2">
      <c r="B901" s="7"/>
      <c r="C901" s="9"/>
      <c r="D901" s="9"/>
      <c r="E901" s="9"/>
      <c r="F901" s="9"/>
      <c r="G901" s="16"/>
      <c r="H901" s="9"/>
      <c r="I901" s="9"/>
      <c r="J901" s="9"/>
      <c r="K901" s="72"/>
      <c r="L901" s="9"/>
      <c r="M901" s="9"/>
      <c r="N901" s="9"/>
      <c r="O901" s="9"/>
      <c r="P901" s="9"/>
      <c r="Q901" s="9"/>
      <c r="R901" s="9"/>
      <c r="S901" s="9"/>
      <c r="T901" s="9"/>
      <c r="U901" s="9"/>
      <c r="V901" s="9"/>
      <c r="W901" s="9"/>
      <c r="X901" s="9"/>
      <c r="Y901" s="9"/>
    </row>
    <row r="902" spans="2:25" x14ac:dyDescent="0.2">
      <c r="B902" s="7"/>
      <c r="C902" s="9"/>
      <c r="D902" s="9"/>
      <c r="E902" s="9"/>
      <c r="F902" s="9"/>
      <c r="G902" s="16"/>
      <c r="H902" s="9"/>
      <c r="I902" s="9"/>
      <c r="J902" s="9"/>
      <c r="K902" s="72"/>
      <c r="L902" s="9"/>
      <c r="M902" s="9"/>
      <c r="N902" s="9"/>
      <c r="O902" s="9"/>
      <c r="P902" s="9"/>
      <c r="Q902" s="9"/>
      <c r="R902" s="9"/>
      <c r="S902" s="9"/>
      <c r="T902" s="9"/>
      <c r="U902" s="9"/>
      <c r="V902" s="9"/>
      <c r="W902" s="9"/>
      <c r="X902" s="9"/>
      <c r="Y902" s="9"/>
    </row>
    <row r="903" spans="2:25" x14ac:dyDescent="0.2">
      <c r="B903" s="7"/>
      <c r="C903" s="9"/>
      <c r="D903" s="9"/>
      <c r="E903" s="9"/>
      <c r="F903" s="9"/>
      <c r="G903" s="16"/>
      <c r="H903" s="9"/>
      <c r="I903" s="9"/>
      <c r="J903" s="9"/>
      <c r="K903" s="72"/>
      <c r="L903" s="9"/>
      <c r="M903" s="9"/>
      <c r="N903" s="9"/>
      <c r="O903" s="9"/>
      <c r="P903" s="9"/>
      <c r="Q903" s="9"/>
      <c r="R903" s="9"/>
      <c r="S903" s="9"/>
      <c r="T903" s="9"/>
      <c r="U903" s="9"/>
      <c r="V903" s="9"/>
      <c r="W903" s="9"/>
      <c r="X903" s="9"/>
      <c r="Y903" s="9"/>
    </row>
    <row r="904" spans="2:25" x14ac:dyDescent="0.2">
      <c r="B904" s="7"/>
      <c r="C904" s="9"/>
      <c r="D904" s="9"/>
      <c r="E904" s="9"/>
      <c r="F904" s="9"/>
      <c r="G904" s="16"/>
      <c r="H904" s="9"/>
      <c r="I904" s="9"/>
      <c r="J904" s="9"/>
      <c r="K904" s="72"/>
      <c r="L904" s="9"/>
      <c r="M904" s="9"/>
      <c r="N904" s="9"/>
      <c r="O904" s="9"/>
      <c r="P904" s="9"/>
      <c r="Q904" s="9"/>
      <c r="R904" s="9"/>
      <c r="S904" s="9"/>
      <c r="T904" s="9"/>
      <c r="U904" s="9"/>
      <c r="V904" s="9"/>
      <c r="W904" s="9"/>
      <c r="X904" s="9"/>
      <c r="Y904" s="9"/>
    </row>
    <row r="905" spans="2:25" x14ac:dyDescent="0.2">
      <c r="B905" s="7"/>
      <c r="C905" s="9"/>
      <c r="D905" s="9"/>
      <c r="E905" s="9"/>
      <c r="F905" s="9"/>
      <c r="G905" s="16"/>
      <c r="H905" s="9"/>
      <c r="I905" s="9"/>
      <c r="J905" s="9"/>
      <c r="K905" s="72"/>
      <c r="L905" s="9"/>
      <c r="M905" s="9"/>
      <c r="N905" s="9"/>
      <c r="O905" s="9"/>
      <c r="P905" s="9"/>
      <c r="Q905" s="9"/>
      <c r="R905" s="9"/>
      <c r="S905" s="9"/>
      <c r="T905" s="9"/>
      <c r="U905" s="9"/>
      <c r="V905" s="9"/>
      <c r="W905" s="9"/>
      <c r="X905" s="9"/>
      <c r="Y905" s="9"/>
    </row>
    <row r="906" spans="2:25" x14ac:dyDescent="0.2">
      <c r="B906" s="7"/>
      <c r="C906" s="9"/>
      <c r="D906" s="9"/>
      <c r="E906" s="9"/>
      <c r="F906" s="9"/>
      <c r="G906" s="16"/>
      <c r="H906" s="9"/>
      <c r="I906" s="9"/>
      <c r="J906" s="9"/>
      <c r="K906" s="72"/>
      <c r="L906" s="9"/>
      <c r="M906" s="9"/>
      <c r="N906" s="9"/>
      <c r="O906" s="9"/>
      <c r="P906" s="9"/>
      <c r="Q906" s="9"/>
      <c r="R906" s="9"/>
      <c r="S906" s="9"/>
      <c r="T906" s="9"/>
      <c r="U906" s="9"/>
      <c r="V906" s="9"/>
      <c r="W906" s="9"/>
      <c r="X906" s="9"/>
      <c r="Y906" s="9"/>
    </row>
    <row r="907" spans="2:25" x14ac:dyDescent="0.2">
      <c r="B907" s="7"/>
      <c r="C907" s="9"/>
      <c r="D907" s="9"/>
      <c r="E907" s="9"/>
      <c r="F907" s="9"/>
      <c r="G907" s="16"/>
      <c r="H907" s="9"/>
      <c r="I907" s="9"/>
      <c r="J907" s="9"/>
      <c r="K907" s="72"/>
      <c r="L907" s="9"/>
      <c r="M907" s="9"/>
      <c r="N907" s="9"/>
      <c r="O907" s="9"/>
      <c r="P907" s="9"/>
      <c r="Q907" s="9"/>
      <c r="R907" s="9"/>
      <c r="S907" s="9"/>
      <c r="T907" s="9"/>
      <c r="U907" s="9"/>
      <c r="V907" s="9"/>
      <c r="W907" s="9"/>
      <c r="X907" s="9"/>
      <c r="Y907" s="9"/>
    </row>
    <row r="908" spans="2:25" x14ac:dyDescent="0.2">
      <c r="B908" s="7"/>
      <c r="C908" s="9"/>
      <c r="D908" s="9"/>
      <c r="E908" s="9"/>
      <c r="F908" s="9"/>
      <c r="G908" s="16"/>
      <c r="H908" s="9"/>
      <c r="I908" s="9"/>
      <c r="J908" s="9"/>
      <c r="K908" s="72"/>
      <c r="L908" s="9"/>
      <c r="M908" s="9"/>
      <c r="N908" s="9"/>
      <c r="O908" s="9"/>
      <c r="P908" s="9"/>
      <c r="Q908" s="9"/>
      <c r="R908" s="9"/>
      <c r="S908" s="9"/>
      <c r="T908" s="9"/>
      <c r="U908" s="9"/>
      <c r="V908" s="9"/>
      <c r="W908" s="9"/>
      <c r="X908" s="9"/>
      <c r="Y908" s="9"/>
    </row>
    <row r="909" spans="2:25" x14ac:dyDescent="0.2">
      <c r="B909" s="7"/>
      <c r="C909" s="9"/>
      <c r="D909" s="9"/>
      <c r="E909" s="9"/>
      <c r="F909" s="9"/>
      <c r="G909" s="16"/>
      <c r="H909" s="9"/>
      <c r="I909" s="9"/>
      <c r="J909" s="9"/>
      <c r="K909" s="72"/>
      <c r="L909" s="9"/>
      <c r="M909" s="9"/>
      <c r="N909" s="9"/>
      <c r="O909" s="9"/>
      <c r="P909" s="9"/>
      <c r="Q909" s="9"/>
      <c r="R909" s="9"/>
      <c r="S909" s="9"/>
      <c r="T909" s="9"/>
      <c r="U909" s="9"/>
      <c r="V909" s="9"/>
      <c r="W909" s="9"/>
      <c r="X909" s="9"/>
      <c r="Y909" s="9"/>
    </row>
    <row r="910" spans="2:25" x14ac:dyDescent="0.2">
      <c r="B910" s="7"/>
      <c r="C910" s="9"/>
      <c r="D910" s="9"/>
      <c r="E910" s="9"/>
      <c r="F910" s="9"/>
      <c r="G910" s="16"/>
      <c r="H910" s="9"/>
      <c r="I910" s="9"/>
      <c r="J910" s="9"/>
      <c r="K910" s="72"/>
      <c r="L910" s="9"/>
      <c r="M910" s="9"/>
      <c r="N910" s="9"/>
      <c r="O910" s="9"/>
      <c r="P910" s="9"/>
      <c r="Q910" s="9"/>
      <c r="R910" s="9"/>
      <c r="S910" s="9"/>
      <c r="T910" s="9"/>
      <c r="U910" s="9"/>
      <c r="V910" s="9"/>
      <c r="W910" s="9"/>
      <c r="X910" s="9"/>
      <c r="Y910" s="9"/>
    </row>
    <row r="911" spans="2:25" x14ac:dyDescent="0.2">
      <c r="B911" s="7"/>
      <c r="C911" s="9"/>
      <c r="D911" s="9"/>
      <c r="E911" s="9"/>
      <c r="F911" s="9"/>
      <c r="G911" s="16"/>
      <c r="H911" s="9"/>
      <c r="I911" s="9"/>
      <c r="J911" s="9"/>
      <c r="K911" s="72"/>
      <c r="L911" s="9"/>
      <c r="M911" s="9"/>
      <c r="N911" s="9"/>
      <c r="O911" s="9"/>
      <c r="P911" s="9"/>
      <c r="Q911" s="9"/>
      <c r="R911" s="9"/>
      <c r="S911" s="9"/>
      <c r="T911" s="9"/>
      <c r="U911" s="9"/>
      <c r="V911" s="9"/>
      <c r="W911" s="9"/>
      <c r="X911" s="9"/>
      <c r="Y911" s="9"/>
    </row>
    <row r="912" spans="2:25" x14ac:dyDescent="0.2">
      <c r="B912" s="7"/>
      <c r="C912" s="9"/>
      <c r="D912" s="9"/>
      <c r="E912" s="9"/>
      <c r="F912" s="9"/>
      <c r="G912" s="16"/>
      <c r="H912" s="9"/>
      <c r="I912" s="9"/>
      <c r="J912" s="9"/>
      <c r="K912" s="72"/>
      <c r="L912" s="9"/>
      <c r="M912" s="9"/>
      <c r="N912" s="9"/>
      <c r="O912" s="9"/>
      <c r="P912" s="9"/>
      <c r="Q912" s="9"/>
      <c r="R912" s="9"/>
      <c r="S912" s="9"/>
      <c r="T912" s="9"/>
      <c r="U912" s="9"/>
      <c r="V912" s="9"/>
      <c r="W912" s="9"/>
      <c r="X912" s="9"/>
      <c r="Y912" s="9"/>
    </row>
    <row r="913" spans="2:25" x14ac:dyDescent="0.2">
      <c r="B913" s="7"/>
      <c r="C913" s="9"/>
      <c r="D913" s="9"/>
      <c r="E913" s="9"/>
      <c r="F913" s="9"/>
      <c r="G913" s="16"/>
      <c r="H913" s="9"/>
      <c r="I913" s="9"/>
      <c r="J913" s="9"/>
      <c r="K913" s="72"/>
      <c r="L913" s="9"/>
      <c r="M913" s="9"/>
      <c r="N913" s="9"/>
      <c r="O913" s="9"/>
      <c r="P913" s="9"/>
      <c r="Q913" s="9"/>
      <c r="R913" s="9"/>
      <c r="S913" s="9"/>
      <c r="T913" s="9"/>
      <c r="U913" s="9"/>
      <c r="V913" s="9"/>
      <c r="W913" s="9"/>
      <c r="X913" s="9"/>
      <c r="Y913" s="9"/>
    </row>
    <row r="914" spans="2:25" x14ac:dyDescent="0.2">
      <c r="B914" s="7"/>
      <c r="C914" s="9"/>
      <c r="D914" s="9"/>
      <c r="E914" s="9"/>
      <c r="F914" s="9"/>
      <c r="G914" s="16"/>
      <c r="H914" s="9"/>
      <c r="I914" s="9"/>
      <c r="J914" s="9"/>
      <c r="K914" s="72"/>
      <c r="L914" s="9"/>
      <c r="M914" s="9"/>
      <c r="N914" s="9"/>
      <c r="O914" s="9"/>
      <c r="P914" s="9"/>
      <c r="Q914" s="9"/>
      <c r="R914" s="9"/>
      <c r="S914" s="9"/>
      <c r="T914" s="9"/>
      <c r="U914" s="9"/>
      <c r="V914" s="9"/>
      <c r="W914" s="9"/>
      <c r="X914" s="9"/>
      <c r="Y914" s="9"/>
    </row>
    <row r="915" spans="2:25" x14ac:dyDescent="0.2">
      <c r="B915" s="7"/>
      <c r="C915" s="9"/>
      <c r="D915" s="9"/>
      <c r="E915" s="9"/>
      <c r="F915" s="9"/>
      <c r="G915" s="16"/>
      <c r="H915" s="9"/>
      <c r="I915" s="9"/>
      <c r="J915" s="9"/>
      <c r="K915" s="72"/>
      <c r="L915" s="9"/>
      <c r="M915" s="9"/>
      <c r="N915" s="9"/>
      <c r="O915" s="9"/>
      <c r="P915" s="9"/>
      <c r="Q915" s="9"/>
      <c r="R915" s="9"/>
      <c r="S915" s="9"/>
      <c r="T915" s="9"/>
      <c r="U915" s="9"/>
      <c r="V915" s="9"/>
      <c r="W915" s="9"/>
      <c r="X915" s="9"/>
      <c r="Y915" s="9"/>
    </row>
    <row r="916" spans="2:25" x14ac:dyDescent="0.2">
      <c r="B916" s="7"/>
      <c r="C916" s="9"/>
      <c r="D916" s="9"/>
      <c r="E916" s="9"/>
      <c r="F916" s="9"/>
      <c r="G916" s="16"/>
      <c r="H916" s="9"/>
      <c r="I916" s="9"/>
      <c r="J916" s="9"/>
      <c r="K916" s="72"/>
      <c r="L916" s="9"/>
      <c r="M916" s="9"/>
      <c r="N916" s="9"/>
      <c r="O916" s="9"/>
      <c r="P916" s="9"/>
      <c r="Q916" s="9"/>
      <c r="R916" s="9"/>
      <c r="S916" s="9"/>
      <c r="T916" s="9"/>
      <c r="U916" s="9"/>
      <c r="V916" s="9"/>
      <c r="W916" s="9"/>
      <c r="X916" s="9"/>
      <c r="Y916" s="9"/>
    </row>
    <row r="917" spans="2:25" x14ac:dyDescent="0.2">
      <c r="B917" s="7"/>
      <c r="C917" s="9"/>
      <c r="D917" s="9"/>
      <c r="E917" s="9"/>
      <c r="F917" s="9"/>
      <c r="G917" s="16"/>
      <c r="H917" s="9"/>
      <c r="I917" s="9"/>
      <c r="J917" s="9"/>
      <c r="K917" s="72"/>
      <c r="L917" s="9"/>
      <c r="M917" s="9"/>
      <c r="N917" s="9"/>
      <c r="O917" s="9"/>
      <c r="P917" s="9"/>
      <c r="Q917" s="9"/>
      <c r="R917" s="9"/>
      <c r="S917" s="9"/>
      <c r="T917" s="9"/>
      <c r="U917" s="9"/>
      <c r="V917" s="9"/>
      <c r="W917" s="9"/>
      <c r="X917" s="9"/>
      <c r="Y917" s="9"/>
    </row>
    <row r="918" spans="2:25" x14ac:dyDescent="0.2">
      <c r="B918" s="7"/>
      <c r="C918" s="9"/>
      <c r="D918" s="9"/>
      <c r="E918" s="9"/>
      <c r="F918" s="9"/>
      <c r="G918" s="16"/>
      <c r="H918" s="9"/>
      <c r="I918" s="9"/>
      <c r="J918" s="9"/>
      <c r="K918" s="72"/>
      <c r="L918" s="9"/>
      <c r="M918" s="9"/>
      <c r="N918" s="9"/>
      <c r="O918" s="9"/>
      <c r="P918" s="9"/>
      <c r="Q918" s="9"/>
      <c r="R918" s="9"/>
      <c r="S918" s="9"/>
      <c r="T918" s="9"/>
      <c r="U918" s="9"/>
      <c r="V918" s="9"/>
      <c r="W918" s="9"/>
      <c r="X918" s="9"/>
      <c r="Y918" s="9"/>
    </row>
    <row r="919" spans="2:25" x14ac:dyDescent="0.2">
      <c r="B919" s="7"/>
      <c r="C919" s="9"/>
      <c r="D919" s="9"/>
      <c r="E919" s="9"/>
      <c r="F919" s="9"/>
      <c r="G919" s="16"/>
      <c r="H919" s="9"/>
      <c r="I919" s="9"/>
      <c r="J919" s="9"/>
      <c r="K919" s="72"/>
      <c r="L919" s="9"/>
      <c r="M919" s="9"/>
      <c r="N919" s="9"/>
      <c r="O919" s="9"/>
      <c r="P919" s="9"/>
      <c r="Q919" s="9"/>
      <c r="R919" s="9"/>
      <c r="S919" s="9"/>
      <c r="T919" s="9"/>
      <c r="U919" s="9"/>
      <c r="V919" s="9"/>
      <c r="W919" s="9"/>
      <c r="X919" s="9"/>
      <c r="Y919" s="9"/>
    </row>
    <row r="920" spans="2:25" x14ac:dyDescent="0.2">
      <c r="B920" s="7"/>
      <c r="C920" s="9"/>
      <c r="D920" s="9"/>
      <c r="E920" s="9"/>
      <c r="F920" s="9"/>
      <c r="G920" s="16"/>
      <c r="H920" s="9"/>
      <c r="I920" s="9"/>
      <c r="J920" s="9"/>
      <c r="K920" s="72"/>
      <c r="L920" s="9"/>
      <c r="M920" s="9"/>
      <c r="N920" s="9"/>
      <c r="O920" s="9"/>
      <c r="P920" s="9"/>
      <c r="Q920" s="9"/>
      <c r="R920" s="9"/>
      <c r="S920" s="9"/>
      <c r="T920" s="9"/>
      <c r="U920" s="9"/>
      <c r="V920" s="9"/>
      <c r="W920" s="9"/>
      <c r="X920" s="9"/>
      <c r="Y920" s="9"/>
    </row>
    <row r="921" spans="2:25" x14ac:dyDescent="0.2">
      <c r="B921" s="7"/>
      <c r="C921" s="9"/>
      <c r="D921" s="9"/>
      <c r="E921" s="9"/>
      <c r="F921" s="9"/>
      <c r="G921" s="16"/>
      <c r="H921" s="9"/>
      <c r="I921" s="9"/>
      <c r="J921" s="9"/>
      <c r="K921" s="72"/>
      <c r="L921" s="9"/>
      <c r="M921" s="9"/>
      <c r="N921" s="9"/>
      <c r="O921" s="9"/>
      <c r="P921" s="9"/>
      <c r="Q921" s="9"/>
      <c r="R921" s="9"/>
      <c r="S921" s="9"/>
      <c r="T921" s="9"/>
      <c r="U921" s="9"/>
      <c r="V921" s="9"/>
      <c r="W921" s="9"/>
      <c r="X921" s="9"/>
      <c r="Y921" s="9"/>
    </row>
    <row r="922" spans="2:25" x14ac:dyDescent="0.2">
      <c r="B922" s="7"/>
      <c r="C922" s="9"/>
      <c r="D922" s="9"/>
      <c r="E922" s="9"/>
      <c r="F922" s="9"/>
      <c r="G922" s="16"/>
      <c r="H922" s="9"/>
      <c r="I922" s="9"/>
      <c r="J922" s="9"/>
      <c r="K922" s="72"/>
      <c r="L922" s="9"/>
      <c r="M922" s="9"/>
      <c r="N922" s="9"/>
      <c r="O922" s="9"/>
      <c r="P922" s="9"/>
      <c r="Q922" s="9"/>
      <c r="R922" s="9"/>
      <c r="S922" s="9"/>
      <c r="T922" s="9"/>
      <c r="U922" s="9"/>
      <c r="V922" s="9"/>
      <c r="W922" s="9"/>
      <c r="X922" s="9"/>
      <c r="Y922" s="9"/>
    </row>
    <row r="923" spans="2:25" x14ac:dyDescent="0.2">
      <c r="B923" s="7"/>
      <c r="C923" s="9"/>
      <c r="D923" s="9"/>
      <c r="E923" s="9"/>
      <c r="F923" s="9"/>
      <c r="G923" s="16"/>
      <c r="H923" s="9"/>
      <c r="I923" s="9"/>
      <c r="J923" s="9"/>
      <c r="K923" s="72"/>
      <c r="L923" s="9"/>
      <c r="M923" s="9"/>
      <c r="N923" s="9"/>
      <c r="O923" s="9"/>
      <c r="P923" s="9"/>
      <c r="Q923" s="9"/>
      <c r="R923" s="9"/>
      <c r="S923" s="9"/>
      <c r="T923" s="9"/>
      <c r="U923" s="9"/>
      <c r="V923" s="9"/>
      <c r="W923" s="9"/>
      <c r="X923" s="9"/>
      <c r="Y923" s="9"/>
    </row>
    <row r="924" spans="2:25" x14ac:dyDescent="0.2">
      <c r="B924" s="7"/>
      <c r="C924" s="9"/>
      <c r="D924" s="9"/>
      <c r="E924" s="9"/>
      <c r="F924" s="9"/>
      <c r="G924" s="16"/>
      <c r="H924" s="9"/>
      <c r="I924" s="9"/>
      <c r="J924" s="9"/>
      <c r="K924" s="72"/>
      <c r="L924" s="9"/>
      <c r="M924" s="9"/>
      <c r="N924" s="9"/>
      <c r="O924" s="9"/>
      <c r="P924" s="9"/>
      <c r="Q924" s="9"/>
      <c r="R924" s="9"/>
      <c r="S924" s="9"/>
      <c r="T924" s="9"/>
      <c r="U924" s="9"/>
      <c r="V924" s="9"/>
      <c r="W924" s="9"/>
      <c r="X924" s="9"/>
      <c r="Y924" s="9"/>
    </row>
    <row r="925" spans="2:25" x14ac:dyDescent="0.2">
      <c r="B925" s="7"/>
      <c r="C925" s="9"/>
      <c r="D925" s="9"/>
      <c r="E925" s="9"/>
      <c r="F925" s="9"/>
      <c r="G925" s="16"/>
      <c r="H925" s="9"/>
      <c r="I925" s="9"/>
      <c r="J925" s="9"/>
      <c r="K925" s="72"/>
      <c r="L925" s="9"/>
      <c r="M925" s="9"/>
      <c r="N925" s="9"/>
      <c r="O925" s="9"/>
      <c r="P925" s="9"/>
      <c r="Q925" s="9"/>
      <c r="R925" s="9"/>
      <c r="S925" s="9"/>
      <c r="T925" s="9"/>
      <c r="U925" s="9"/>
      <c r="V925" s="9"/>
      <c r="W925" s="9"/>
      <c r="X925" s="9"/>
      <c r="Y925" s="9"/>
    </row>
    <row r="926" spans="2:25" x14ac:dyDescent="0.2">
      <c r="B926" s="7"/>
      <c r="C926" s="9"/>
      <c r="D926" s="9"/>
      <c r="E926" s="9"/>
      <c r="F926" s="9"/>
      <c r="G926" s="16"/>
      <c r="H926" s="9"/>
      <c r="I926" s="9"/>
      <c r="J926" s="9"/>
      <c r="K926" s="72"/>
      <c r="L926" s="9"/>
      <c r="M926" s="9"/>
      <c r="N926" s="9"/>
      <c r="O926" s="9"/>
      <c r="P926" s="9"/>
      <c r="Q926" s="9"/>
      <c r="R926" s="9"/>
      <c r="S926" s="9"/>
      <c r="T926" s="9"/>
      <c r="U926" s="9"/>
      <c r="V926" s="9"/>
      <c r="W926" s="9"/>
      <c r="X926" s="9"/>
      <c r="Y926" s="9"/>
    </row>
    <row r="927" spans="2:25" x14ac:dyDescent="0.2">
      <c r="B927" s="7"/>
      <c r="C927" s="9"/>
      <c r="D927" s="9"/>
      <c r="E927" s="9"/>
      <c r="F927" s="9"/>
      <c r="G927" s="16"/>
      <c r="H927" s="9"/>
      <c r="I927" s="9"/>
      <c r="J927" s="9"/>
      <c r="K927" s="72"/>
      <c r="L927" s="9"/>
      <c r="M927" s="9"/>
      <c r="N927" s="9"/>
      <c r="O927" s="9"/>
      <c r="P927" s="9"/>
      <c r="Q927" s="9"/>
      <c r="R927" s="9"/>
      <c r="S927" s="9"/>
      <c r="T927" s="9"/>
      <c r="U927" s="9"/>
      <c r="V927" s="9"/>
      <c r="W927" s="9"/>
      <c r="X927" s="9"/>
      <c r="Y927" s="9"/>
    </row>
    <row r="928" spans="2:25" x14ac:dyDescent="0.2">
      <c r="B928" s="7"/>
      <c r="C928" s="9"/>
      <c r="D928" s="9"/>
      <c r="E928" s="9"/>
      <c r="F928" s="9"/>
      <c r="G928" s="16"/>
      <c r="H928" s="9"/>
      <c r="I928" s="9"/>
      <c r="J928" s="9"/>
      <c r="K928" s="72"/>
      <c r="L928" s="9"/>
      <c r="M928" s="9"/>
      <c r="N928" s="9"/>
      <c r="O928" s="9"/>
      <c r="P928" s="9"/>
      <c r="Q928" s="9"/>
      <c r="R928" s="9"/>
      <c r="S928" s="9"/>
      <c r="T928" s="9"/>
      <c r="U928" s="9"/>
      <c r="V928" s="9"/>
      <c r="W928" s="9"/>
      <c r="X928" s="9"/>
      <c r="Y928" s="9"/>
    </row>
    <row r="929" spans="2:25" x14ac:dyDescent="0.2">
      <c r="B929" s="7"/>
      <c r="C929" s="9"/>
      <c r="D929" s="9"/>
      <c r="E929" s="9"/>
      <c r="F929" s="9"/>
      <c r="G929" s="16"/>
      <c r="H929" s="9"/>
      <c r="I929" s="9"/>
      <c r="J929" s="9"/>
      <c r="K929" s="72"/>
      <c r="L929" s="9"/>
      <c r="M929" s="9"/>
      <c r="N929" s="9"/>
      <c r="O929" s="9"/>
      <c r="P929" s="9"/>
      <c r="Q929" s="9"/>
      <c r="R929" s="9"/>
      <c r="S929" s="9"/>
      <c r="T929" s="9"/>
      <c r="U929" s="9"/>
      <c r="V929" s="9"/>
      <c r="W929" s="9"/>
      <c r="X929" s="9"/>
      <c r="Y929" s="9"/>
    </row>
    <row r="930" spans="2:25" x14ac:dyDescent="0.2">
      <c r="B930" s="7"/>
      <c r="C930" s="9"/>
      <c r="D930" s="9"/>
      <c r="E930" s="9"/>
      <c r="F930" s="9"/>
      <c r="G930" s="16"/>
      <c r="H930" s="9"/>
      <c r="I930" s="9"/>
      <c r="J930" s="9"/>
      <c r="K930" s="72"/>
      <c r="L930" s="9"/>
      <c r="M930" s="9"/>
      <c r="N930" s="9"/>
      <c r="O930" s="9"/>
      <c r="P930" s="9"/>
      <c r="Q930" s="9"/>
      <c r="R930" s="9"/>
      <c r="S930" s="9"/>
      <c r="T930" s="9"/>
      <c r="U930" s="9"/>
      <c r="V930" s="9"/>
      <c r="W930" s="9"/>
      <c r="X930" s="9"/>
      <c r="Y930" s="9"/>
    </row>
    <row r="931" spans="2:25" x14ac:dyDescent="0.2">
      <c r="B931" s="7"/>
      <c r="C931" s="9"/>
      <c r="D931" s="9"/>
      <c r="E931" s="9"/>
      <c r="F931" s="9"/>
      <c r="G931" s="16"/>
      <c r="H931" s="9"/>
      <c r="I931" s="9"/>
      <c r="J931" s="9"/>
      <c r="K931" s="72"/>
      <c r="L931" s="9"/>
      <c r="M931" s="9"/>
      <c r="N931" s="9"/>
      <c r="O931" s="9"/>
      <c r="P931" s="9"/>
      <c r="Q931" s="9"/>
      <c r="R931" s="9"/>
      <c r="S931" s="9"/>
      <c r="T931" s="9"/>
      <c r="U931" s="9"/>
      <c r="V931" s="9"/>
      <c r="W931" s="9"/>
      <c r="X931" s="9"/>
      <c r="Y931" s="9"/>
    </row>
    <row r="932" spans="2:25" x14ac:dyDescent="0.2">
      <c r="B932" s="7"/>
      <c r="C932" s="9"/>
      <c r="D932" s="9"/>
      <c r="E932" s="9"/>
      <c r="F932" s="9"/>
      <c r="G932" s="16"/>
      <c r="H932" s="9"/>
      <c r="I932" s="9"/>
      <c r="J932" s="9"/>
      <c r="K932" s="72"/>
      <c r="L932" s="9"/>
      <c r="M932" s="9"/>
      <c r="N932" s="9"/>
      <c r="O932" s="9"/>
      <c r="P932" s="9"/>
      <c r="Q932" s="9"/>
      <c r="R932" s="9"/>
      <c r="S932" s="9"/>
      <c r="T932" s="9"/>
      <c r="U932" s="9"/>
      <c r="V932" s="9"/>
      <c r="W932" s="9"/>
      <c r="X932" s="9"/>
      <c r="Y932" s="9"/>
    </row>
    <row r="933" spans="2:25" x14ac:dyDescent="0.2">
      <c r="B933" s="7"/>
      <c r="C933" s="9"/>
      <c r="D933" s="9"/>
      <c r="E933" s="9"/>
      <c r="F933" s="9"/>
      <c r="G933" s="16"/>
      <c r="H933" s="9"/>
      <c r="I933" s="9"/>
      <c r="J933" s="9"/>
      <c r="K933" s="72"/>
      <c r="L933" s="9"/>
      <c r="M933" s="9"/>
      <c r="N933" s="9"/>
      <c r="O933" s="9"/>
      <c r="P933" s="9"/>
      <c r="Q933" s="9"/>
      <c r="R933" s="9"/>
      <c r="S933" s="9"/>
      <c r="T933" s="9"/>
      <c r="U933" s="9"/>
      <c r="V933" s="9"/>
      <c r="W933" s="9"/>
      <c r="X933" s="9"/>
      <c r="Y933" s="9"/>
    </row>
    <row r="934" spans="2:25" x14ac:dyDescent="0.2">
      <c r="B934" s="7"/>
      <c r="C934" s="9"/>
      <c r="D934" s="9"/>
      <c r="E934" s="9"/>
      <c r="F934" s="9"/>
      <c r="G934" s="16"/>
      <c r="H934" s="9"/>
      <c r="I934" s="9"/>
      <c r="J934" s="9"/>
      <c r="K934" s="72"/>
      <c r="L934" s="9"/>
      <c r="M934" s="9"/>
      <c r="N934" s="9"/>
      <c r="O934" s="9"/>
      <c r="P934" s="9"/>
      <c r="Q934" s="9"/>
      <c r="R934" s="9"/>
      <c r="S934" s="9"/>
      <c r="T934" s="9"/>
      <c r="U934" s="9"/>
      <c r="V934" s="9"/>
      <c r="W934" s="9"/>
      <c r="X934" s="9"/>
      <c r="Y934" s="9"/>
    </row>
    <row r="935" spans="2:25" x14ac:dyDescent="0.2">
      <c r="B935" s="7"/>
      <c r="C935" s="9"/>
      <c r="D935" s="9"/>
      <c r="E935" s="9"/>
      <c r="F935" s="9"/>
      <c r="G935" s="16"/>
      <c r="H935" s="9"/>
      <c r="I935" s="9"/>
      <c r="J935" s="9"/>
      <c r="K935" s="72"/>
      <c r="L935" s="9"/>
      <c r="M935" s="9"/>
      <c r="N935" s="9"/>
      <c r="O935" s="9"/>
      <c r="P935" s="9"/>
      <c r="Q935" s="9"/>
      <c r="R935" s="9"/>
      <c r="S935" s="9"/>
      <c r="T935" s="9"/>
      <c r="U935" s="9"/>
      <c r="V935" s="9"/>
      <c r="W935" s="9"/>
      <c r="X935" s="9"/>
      <c r="Y935" s="9"/>
    </row>
    <row r="936" spans="2:25" x14ac:dyDescent="0.2">
      <c r="B936" s="7"/>
      <c r="C936" s="9"/>
      <c r="D936" s="9"/>
      <c r="E936" s="9"/>
      <c r="F936" s="9"/>
      <c r="G936" s="16"/>
      <c r="H936" s="9"/>
      <c r="I936" s="9"/>
      <c r="J936" s="9"/>
      <c r="K936" s="72"/>
      <c r="L936" s="9"/>
      <c r="M936" s="9"/>
      <c r="N936" s="9"/>
      <c r="O936" s="9"/>
      <c r="P936" s="9"/>
      <c r="Q936" s="9"/>
      <c r="R936" s="9"/>
      <c r="S936" s="9"/>
      <c r="T936" s="9"/>
      <c r="U936" s="9"/>
      <c r="V936" s="9"/>
      <c r="W936" s="9"/>
      <c r="X936" s="9"/>
      <c r="Y936" s="9"/>
    </row>
    <row r="937" spans="2:25" x14ac:dyDescent="0.2">
      <c r="B937" s="7"/>
      <c r="C937" s="9"/>
      <c r="D937" s="9"/>
      <c r="E937" s="9"/>
      <c r="F937" s="9"/>
      <c r="G937" s="16"/>
      <c r="H937" s="9"/>
      <c r="I937" s="9"/>
      <c r="J937" s="9"/>
      <c r="K937" s="72"/>
      <c r="L937" s="9"/>
      <c r="M937" s="9"/>
      <c r="N937" s="9"/>
      <c r="O937" s="9"/>
      <c r="P937" s="9"/>
      <c r="Q937" s="9"/>
      <c r="R937" s="9"/>
      <c r="S937" s="9"/>
      <c r="T937" s="9"/>
      <c r="U937" s="9"/>
      <c r="V937" s="9"/>
      <c r="W937" s="9"/>
      <c r="X937" s="9"/>
      <c r="Y937" s="9"/>
    </row>
    <row r="938" spans="2:25" x14ac:dyDescent="0.2">
      <c r="B938" s="7"/>
      <c r="C938" s="9"/>
      <c r="D938" s="9"/>
      <c r="E938" s="9"/>
      <c r="F938" s="9"/>
      <c r="G938" s="16"/>
      <c r="H938" s="9"/>
      <c r="I938" s="9"/>
      <c r="J938" s="9"/>
      <c r="K938" s="72"/>
      <c r="L938" s="9"/>
      <c r="M938" s="9"/>
      <c r="N938" s="9"/>
      <c r="O938" s="9"/>
      <c r="P938" s="9"/>
      <c r="Q938" s="9"/>
      <c r="R938" s="9"/>
      <c r="S938" s="9"/>
      <c r="T938" s="9"/>
      <c r="U938" s="9"/>
      <c r="V938" s="9"/>
      <c r="W938" s="9"/>
      <c r="X938" s="9"/>
      <c r="Y938" s="9"/>
    </row>
    <row r="939" spans="2:25" x14ac:dyDescent="0.2">
      <c r="B939" s="7"/>
      <c r="C939" s="9"/>
      <c r="D939" s="9"/>
      <c r="E939" s="9"/>
      <c r="F939" s="9"/>
      <c r="G939" s="16"/>
      <c r="H939" s="9"/>
      <c r="I939" s="9"/>
      <c r="J939" s="9"/>
      <c r="K939" s="72"/>
      <c r="L939" s="9"/>
      <c r="M939" s="9"/>
      <c r="N939" s="9"/>
      <c r="O939" s="9"/>
      <c r="P939" s="9"/>
      <c r="Q939" s="9"/>
      <c r="R939" s="9"/>
      <c r="S939" s="9"/>
      <c r="T939" s="9"/>
      <c r="U939" s="9"/>
      <c r="V939" s="9"/>
      <c r="W939" s="9"/>
      <c r="X939" s="9"/>
      <c r="Y939" s="9"/>
    </row>
    <row r="940" spans="2:25" x14ac:dyDescent="0.2">
      <c r="B940" s="7"/>
      <c r="C940" s="9"/>
      <c r="D940" s="9"/>
      <c r="E940" s="9"/>
      <c r="F940" s="9"/>
      <c r="G940" s="16"/>
      <c r="H940" s="9"/>
      <c r="I940" s="9"/>
      <c r="J940" s="9"/>
      <c r="K940" s="72"/>
      <c r="L940" s="9"/>
      <c r="M940" s="9"/>
      <c r="N940" s="9"/>
      <c r="O940" s="9"/>
      <c r="P940" s="9"/>
      <c r="Q940" s="9"/>
      <c r="R940" s="9"/>
      <c r="S940" s="9"/>
      <c r="T940" s="9"/>
      <c r="U940" s="9"/>
      <c r="V940" s="9"/>
      <c r="W940" s="9"/>
      <c r="X940" s="9"/>
      <c r="Y940" s="9"/>
    </row>
    <row r="941" spans="2:25" x14ac:dyDescent="0.2">
      <c r="B941" s="7"/>
      <c r="C941" s="9"/>
      <c r="D941" s="9"/>
      <c r="E941" s="9"/>
      <c r="F941" s="9"/>
      <c r="G941" s="16"/>
      <c r="H941" s="9"/>
      <c r="I941" s="9"/>
      <c r="J941" s="9"/>
      <c r="K941" s="72"/>
      <c r="L941" s="9"/>
      <c r="M941" s="9"/>
      <c r="N941" s="9"/>
      <c r="O941" s="9"/>
      <c r="P941" s="9"/>
      <c r="Q941" s="9"/>
      <c r="R941" s="9"/>
      <c r="S941" s="9"/>
      <c r="T941" s="9"/>
      <c r="U941" s="9"/>
      <c r="V941" s="9"/>
      <c r="W941" s="9"/>
      <c r="X941" s="9"/>
      <c r="Y941" s="9"/>
    </row>
    <row r="942" spans="2:25" x14ac:dyDescent="0.2">
      <c r="B942" s="7"/>
      <c r="C942" s="9"/>
      <c r="D942" s="9"/>
      <c r="E942" s="9"/>
      <c r="F942" s="9"/>
      <c r="G942" s="16"/>
      <c r="H942" s="9"/>
      <c r="I942" s="9"/>
      <c r="J942" s="9"/>
      <c r="K942" s="72"/>
      <c r="L942" s="9"/>
      <c r="M942" s="9"/>
      <c r="N942" s="9"/>
      <c r="O942" s="9"/>
      <c r="P942" s="9"/>
      <c r="Q942" s="9"/>
      <c r="R942" s="9"/>
      <c r="S942" s="9"/>
      <c r="T942" s="9"/>
      <c r="U942" s="9"/>
      <c r="V942" s="9"/>
      <c r="W942" s="9"/>
      <c r="X942" s="9"/>
      <c r="Y942" s="9"/>
    </row>
    <row r="943" spans="2:25" x14ac:dyDescent="0.2">
      <c r="B943" s="7"/>
      <c r="C943" s="9"/>
      <c r="D943" s="9"/>
      <c r="E943" s="9"/>
      <c r="F943" s="9"/>
      <c r="G943" s="16"/>
      <c r="H943" s="9"/>
      <c r="I943" s="9"/>
      <c r="J943" s="9"/>
      <c r="K943" s="72"/>
      <c r="L943" s="9"/>
      <c r="M943" s="9"/>
      <c r="N943" s="9"/>
      <c r="O943" s="9"/>
      <c r="P943" s="9"/>
      <c r="Q943" s="9"/>
      <c r="R943" s="9"/>
      <c r="S943" s="9"/>
      <c r="T943" s="9"/>
      <c r="U943" s="9"/>
      <c r="V943" s="9"/>
      <c r="W943" s="9"/>
      <c r="X943" s="9"/>
      <c r="Y943" s="9"/>
    </row>
    <row r="944" spans="2:25" x14ac:dyDescent="0.2">
      <c r="B944" s="7"/>
      <c r="C944" s="9"/>
      <c r="D944" s="9"/>
      <c r="E944" s="9"/>
      <c r="F944" s="9"/>
      <c r="G944" s="16"/>
      <c r="H944" s="9"/>
      <c r="I944" s="9"/>
      <c r="J944" s="9"/>
      <c r="K944" s="72"/>
      <c r="L944" s="9"/>
      <c r="M944" s="9"/>
      <c r="N944" s="9"/>
      <c r="O944" s="9"/>
      <c r="P944" s="9"/>
      <c r="Q944" s="9"/>
      <c r="R944" s="9"/>
      <c r="S944" s="9"/>
      <c r="T944" s="9"/>
      <c r="U944" s="9"/>
      <c r="V944" s="9"/>
      <c r="W944" s="9"/>
      <c r="X944" s="9"/>
      <c r="Y944" s="9"/>
    </row>
    <row r="945" spans="2:25" x14ac:dyDescent="0.2">
      <c r="B945" s="7"/>
      <c r="C945" s="9"/>
      <c r="D945" s="9"/>
      <c r="E945" s="9"/>
      <c r="F945" s="9"/>
      <c r="G945" s="16"/>
      <c r="H945" s="9"/>
      <c r="I945" s="9"/>
      <c r="J945" s="9"/>
      <c r="K945" s="72"/>
      <c r="L945" s="9"/>
      <c r="M945" s="9"/>
      <c r="N945" s="9"/>
      <c r="O945" s="9"/>
      <c r="P945" s="9"/>
      <c r="Q945" s="9"/>
      <c r="R945" s="9"/>
      <c r="S945" s="9"/>
      <c r="T945" s="9"/>
      <c r="U945" s="9"/>
      <c r="V945" s="9"/>
      <c r="W945" s="9"/>
      <c r="X945" s="9"/>
      <c r="Y945" s="9"/>
    </row>
    <row r="946" spans="2:25" x14ac:dyDescent="0.2">
      <c r="B946" s="7"/>
      <c r="C946" s="9"/>
      <c r="D946" s="9"/>
      <c r="E946" s="9"/>
      <c r="F946" s="9"/>
      <c r="G946" s="16"/>
      <c r="H946" s="9"/>
      <c r="I946" s="9"/>
      <c r="J946" s="9"/>
      <c r="K946" s="72"/>
      <c r="L946" s="9"/>
      <c r="M946" s="9"/>
      <c r="N946" s="9"/>
      <c r="O946" s="9"/>
      <c r="P946" s="9"/>
      <c r="Q946" s="9"/>
      <c r="R946" s="9"/>
      <c r="S946" s="9"/>
      <c r="T946" s="9"/>
      <c r="U946" s="9"/>
      <c r="V946" s="9"/>
      <c r="W946" s="9"/>
      <c r="X946" s="9"/>
      <c r="Y946" s="9"/>
    </row>
    <row r="947" spans="2:25" x14ac:dyDescent="0.2">
      <c r="B947" s="7"/>
      <c r="C947" s="9"/>
      <c r="D947" s="9"/>
      <c r="E947" s="9"/>
      <c r="F947" s="9"/>
      <c r="G947" s="16"/>
      <c r="H947" s="9"/>
      <c r="I947" s="9"/>
      <c r="J947" s="9"/>
      <c r="K947" s="72"/>
      <c r="L947" s="9"/>
      <c r="M947" s="9"/>
      <c r="N947" s="9"/>
      <c r="O947" s="9"/>
      <c r="P947" s="9"/>
      <c r="Q947" s="9"/>
      <c r="R947" s="9"/>
      <c r="S947" s="9"/>
      <c r="T947" s="9"/>
      <c r="U947" s="9"/>
      <c r="V947" s="9"/>
      <c r="W947" s="9"/>
      <c r="X947" s="9"/>
      <c r="Y947" s="9"/>
    </row>
    <row r="948" spans="2:25" x14ac:dyDescent="0.2">
      <c r="B948" s="7"/>
      <c r="C948" s="9"/>
      <c r="D948" s="9"/>
      <c r="E948" s="9"/>
      <c r="F948" s="9"/>
      <c r="G948" s="16"/>
      <c r="H948" s="9"/>
      <c r="I948" s="9"/>
      <c r="J948" s="9"/>
      <c r="K948" s="72"/>
      <c r="L948" s="9"/>
      <c r="M948" s="9"/>
      <c r="N948" s="9"/>
      <c r="O948" s="9"/>
      <c r="P948" s="9"/>
      <c r="Q948" s="9"/>
      <c r="R948" s="9"/>
      <c r="S948" s="9"/>
      <c r="T948" s="9"/>
      <c r="U948" s="9"/>
      <c r="V948" s="9"/>
      <c r="W948" s="9"/>
      <c r="X948" s="9"/>
      <c r="Y948" s="9"/>
    </row>
    <row r="949" spans="2:25" x14ac:dyDescent="0.2">
      <c r="B949" s="7"/>
      <c r="C949" s="9"/>
      <c r="D949" s="9"/>
      <c r="E949" s="9"/>
      <c r="F949" s="9"/>
      <c r="G949" s="16"/>
      <c r="H949" s="9"/>
      <c r="I949" s="9"/>
      <c r="J949" s="9"/>
      <c r="K949" s="72"/>
      <c r="L949" s="9"/>
      <c r="M949" s="9"/>
      <c r="N949" s="9"/>
      <c r="O949" s="9"/>
      <c r="P949" s="9"/>
      <c r="Q949" s="9"/>
      <c r="R949" s="9"/>
      <c r="S949" s="9"/>
      <c r="T949" s="9"/>
      <c r="U949" s="9"/>
      <c r="V949" s="9"/>
      <c r="W949" s="9"/>
      <c r="X949" s="9"/>
      <c r="Y949" s="9"/>
    </row>
    <row r="950" spans="2:25" x14ac:dyDescent="0.2">
      <c r="B950" s="7"/>
      <c r="C950" s="9"/>
      <c r="D950" s="9"/>
      <c r="E950" s="9"/>
      <c r="F950" s="9"/>
      <c r="G950" s="16"/>
      <c r="H950" s="9"/>
      <c r="I950" s="9"/>
      <c r="J950" s="9"/>
      <c r="K950" s="72"/>
      <c r="L950" s="9"/>
      <c r="M950" s="9"/>
      <c r="N950" s="9"/>
      <c r="O950" s="9"/>
      <c r="P950" s="9"/>
      <c r="Q950" s="9"/>
      <c r="R950" s="9"/>
      <c r="S950" s="9"/>
      <c r="T950" s="9"/>
      <c r="U950" s="9"/>
      <c r="V950" s="9"/>
      <c r="W950" s="9"/>
      <c r="X950" s="9"/>
      <c r="Y950" s="9"/>
    </row>
    <row r="951" spans="2:25" x14ac:dyDescent="0.2">
      <c r="B951" s="7"/>
      <c r="C951" s="9"/>
      <c r="D951" s="9"/>
      <c r="E951" s="9"/>
      <c r="F951" s="9"/>
      <c r="G951" s="16"/>
      <c r="H951" s="9"/>
      <c r="I951" s="9"/>
      <c r="J951" s="9"/>
      <c r="K951" s="72"/>
      <c r="L951" s="9"/>
      <c r="M951" s="9"/>
      <c r="N951" s="9"/>
      <c r="O951" s="9"/>
      <c r="P951" s="9"/>
      <c r="Q951" s="9"/>
      <c r="R951" s="9"/>
      <c r="S951" s="9"/>
      <c r="T951" s="9"/>
      <c r="U951" s="9"/>
      <c r="V951" s="9"/>
      <c r="W951" s="9"/>
      <c r="X951" s="9"/>
      <c r="Y951" s="9"/>
    </row>
    <row r="952" spans="2:25" x14ac:dyDescent="0.2">
      <c r="B952" s="7"/>
      <c r="C952" s="9"/>
      <c r="D952" s="9"/>
      <c r="E952" s="9"/>
      <c r="F952" s="9"/>
      <c r="G952" s="16"/>
      <c r="H952" s="9"/>
      <c r="I952" s="9"/>
      <c r="J952" s="9"/>
      <c r="K952" s="72"/>
      <c r="L952" s="9"/>
      <c r="M952" s="9"/>
      <c r="N952" s="9"/>
      <c r="O952" s="9"/>
      <c r="P952" s="9"/>
      <c r="Q952" s="9"/>
      <c r="R952" s="9"/>
      <c r="S952" s="9"/>
      <c r="T952" s="9"/>
      <c r="U952" s="9"/>
      <c r="V952" s="9"/>
      <c r="W952" s="9"/>
      <c r="X952" s="9"/>
      <c r="Y952" s="9"/>
    </row>
    <row r="953" spans="2:25" x14ac:dyDescent="0.2">
      <c r="B953" s="7"/>
      <c r="C953" s="9"/>
      <c r="D953" s="9"/>
      <c r="E953" s="9"/>
      <c r="F953" s="9"/>
      <c r="G953" s="16"/>
      <c r="H953" s="9"/>
      <c r="I953" s="9"/>
      <c r="J953" s="9"/>
      <c r="K953" s="72"/>
      <c r="L953" s="9"/>
      <c r="M953" s="9"/>
      <c r="N953" s="9"/>
      <c r="O953" s="9"/>
      <c r="P953" s="9"/>
      <c r="Q953" s="9"/>
      <c r="R953" s="9"/>
      <c r="S953" s="9"/>
      <c r="T953" s="9"/>
      <c r="U953" s="9"/>
      <c r="V953" s="9"/>
      <c r="W953" s="9"/>
      <c r="X953" s="9"/>
      <c r="Y953" s="9"/>
    </row>
    <row r="954" spans="2:25" x14ac:dyDescent="0.2">
      <c r="B954" s="7"/>
      <c r="C954" s="9"/>
      <c r="D954" s="9"/>
      <c r="E954" s="9"/>
      <c r="F954" s="9"/>
      <c r="G954" s="16"/>
      <c r="H954" s="9"/>
      <c r="I954" s="9"/>
      <c r="J954" s="9"/>
      <c r="K954" s="72"/>
      <c r="L954" s="9"/>
      <c r="M954" s="9"/>
      <c r="N954" s="9"/>
      <c r="O954" s="9"/>
      <c r="P954" s="9"/>
      <c r="Q954" s="9"/>
      <c r="R954" s="9"/>
      <c r="S954" s="9"/>
      <c r="T954" s="9"/>
      <c r="U954" s="9"/>
      <c r="V954" s="9"/>
      <c r="W954" s="9"/>
      <c r="X954" s="9"/>
      <c r="Y954" s="9"/>
    </row>
    <row r="955" spans="2:25" x14ac:dyDescent="0.2">
      <c r="B955" s="7"/>
      <c r="C955" s="9"/>
      <c r="D955" s="9"/>
      <c r="E955" s="9"/>
      <c r="F955" s="9"/>
      <c r="G955" s="16"/>
      <c r="H955" s="9"/>
      <c r="I955" s="9"/>
      <c r="J955" s="9"/>
      <c r="K955" s="72"/>
      <c r="L955" s="9"/>
      <c r="M955" s="9"/>
      <c r="N955" s="9"/>
      <c r="O955" s="9"/>
      <c r="P955" s="9"/>
      <c r="Q955" s="9"/>
      <c r="R955" s="9"/>
      <c r="S955" s="9"/>
      <c r="T955" s="9"/>
      <c r="U955" s="9"/>
      <c r="V955" s="9"/>
      <c r="W955" s="9"/>
      <c r="X955" s="9"/>
      <c r="Y955" s="9"/>
    </row>
    <row r="956" spans="2:25" x14ac:dyDescent="0.2">
      <c r="B956" s="7"/>
      <c r="C956" s="9"/>
      <c r="D956" s="9"/>
      <c r="E956" s="9"/>
      <c r="F956" s="9"/>
      <c r="G956" s="16"/>
      <c r="H956" s="9"/>
      <c r="I956" s="9"/>
      <c r="J956" s="9"/>
      <c r="K956" s="72"/>
      <c r="L956" s="9"/>
      <c r="M956" s="9"/>
      <c r="N956" s="9"/>
      <c r="O956" s="9"/>
      <c r="P956" s="9"/>
      <c r="Q956" s="9"/>
      <c r="R956" s="9"/>
      <c r="S956" s="9"/>
      <c r="T956" s="9"/>
      <c r="U956" s="9"/>
      <c r="V956" s="9"/>
      <c r="W956" s="9"/>
      <c r="X956" s="9"/>
      <c r="Y956" s="9"/>
    </row>
    <row r="957" spans="2:25" x14ac:dyDescent="0.2">
      <c r="B957" s="7"/>
      <c r="C957" s="9"/>
      <c r="D957" s="9"/>
      <c r="E957" s="9"/>
      <c r="F957" s="9"/>
      <c r="G957" s="16"/>
      <c r="H957" s="9"/>
      <c r="I957" s="9"/>
      <c r="J957" s="9"/>
      <c r="K957" s="72"/>
      <c r="L957" s="9"/>
      <c r="M957" s="9"/>
      <c r="N957" s="9"/>
      <c r="O957" s="9"/>
      <c r="P957" s="9"/>
      <c r="Q957" s="9"/>
      <c r="R957" s="9"/>
      <c r="S957" s="9"/>
      <c r="T957" s="9"/>
      <c r="U957" s="9"/>
      <c r="V957" s="9"/>
      <c r="W957" s="9"/>
      <c r="X957" s="9"/>
      <c r="Y957" s="9"/>
    </row>
    <row r="958" spans="2:25" x14ac:dyDescent="0.2">
      <c r="B958" s="7"/>
      <c r="C958" s="9"/>
      <c r="D958" s="9"/>
      <c r="E958" s="9"/>
      <c r="F958" s="9"/>
      <c r="G958" s="16"/>
      <c r="H958" s="9"/>
      <c r="I958" s="9"/>
      <c r="J958" s="9"/>
      <c r="K958" s="72"/>
      <c r="L958" s="9"/>
      <c r="M958" s="9"/>
      <c r="N958" s="9"/>
      <c r="O958" s="9"/>
      <c r="P958" s="9"/>
      <c r="Q958" s="9"/>
      <c r="R958" s="9"/>
      <c r="S958" s="9"/>
      <c r="T958" s="9"/>
      <c r="U958" s="9"/>
      <c r="V958" s="9"/>
      <c r="W958" s="9"/>
      <c r="X958" s="9"/>
      <c r="Y958" s="9"/>
    </row>
    <row r="959" spans="2:25" x14ac:dyDescent="0.2">
      <c r="B959" s="7"/>
      <c r="C959" s="9"/>
      <c r="D959" s="9"/>
      <c r="E959" s="9"/>
      <c r="F959" s="9"/>
      <c r="G959" s="16"/>
      <c r="H959" s="9"/>
      <c r="I959" s="9"/>
      <c r="J959" s="9"/>
      <c r="K959" s="72"/>
      <c r="L959" s="9"/>
      <c r="M959" s="9"/>
      <c r="N959" s="9"/>
      <c r="O959" s="9"/>
      <c r="P959" s="9"/>
      <c r="Q959" s="9"/>
      <c r="R959" s="9"/>
      <c r="S959" s="9"/>
      <c r="T959" s="9"/>
      <c r="U959" s="9"/>
      <c r="V959" s="9"/>
      <c r="W959" s="9"/>
      <c r="X959" s="9"/>
      <c r="Y959" s="9"/>
    </row>
    <row r="960" spans="2:25" x14ac:dyDescent="0.2">
      <c r="B960" s="7"/>
      <c r="C960" s="9"/>
      <c r="D960" s="9"/>
      <c r="E960" s="9"/>
      <c r="F960" s="9"/>
      <c r="G960" s="16"/>
      <c r="H960" s="9"/>
      <c r="I960" s="9"/>
      <c r="J960" s="9"/>
      <c r="K960" s="72"/>
      <c r="L960" s="9"/>
      <c r="M960" s="9"/>
      <c r="N960" s="9"/>
      <c r="O960" s="9"/>
      <c r="P960" s="9"/>
      <c r="Q960" s="9"/>
      <c r="R960" s="9"/>
      <c r="S960" s="9"/>
      <c r="T960" s="9"/>
      <c r="U960" s="9"/>
      <c r="V960" s="9"/>
      <c r="W960" s="9"/>
      <c r="X960" s="9"/>
      <c r="Y960" s="9"/>
    </row>
    <row r="961" spans="2:25" x14ac:dyDescent="0.2">
      <c r="B961" s="7"/>
      <c r="C961" s="9"/>
      <c r="D961" s="9"/>
      <c r="E961" s="9"/>
      <c r="F961" s="9"/>
      <c r="G961" s="16"/>
      <c r="H961" s="9"/>
      <c r="I961" s="9"/>
      <c r="J961" s="9"/>
      <c r="K961" s="72"/>
      <c r="L961" s="9"/>
      <c r="M961" s="9"/>
      <c r="N961" s="9"/>
      <c r="O961" s="9"/>
      <c r="P961" s="9"/>
      <c r="Q961" s="9"/>
      <c r="R961" s="9"/>
      <c r="S961" s="9"/>
      <c r="T961" s="9"/>
      <c r="U961" s="9"/>
      <c r="V961" s="9"/>
      <c r="W961" s="9"/>
      <c r="X961" s="9"/>
      <c r="Y961" s="9"/>
    </row>
    <row r="962" spans="2:25" x14ac:dyDescent="0.2">
      <c r="B962" s="7"/>
      <c r="C962" s="9"/>
      <c r="D962" s="9"/>
      <c r="E962" s="9"/>
      <c r="F962" s="9"/>
      <c r="G962" s="16"/>
      <c r="H962" s="9"/>
      <c r="I962" s="9"/>
      <c r="J962" s="9"/>
      <c r="K962" s="72"/>
      <c r="L962" s="9"/>
      <c r="M962" s="9"/>
      <c r="N962" s="9"/>
      <c r="O962" s="9"/>
      <c r="P962" s="9"/>
      <c r="Q962" s="9"/>
      <c r="R962" s="9"/>
      <c r="S962" s="9"/>
      <c r="T962" s="9"/>
      <c r="U962" s="9"/>
      <c r="V962" s="9"/>
      <c r="W962" s="9"/>
      <c r="X962" s="9"/>
      <c r="Y962" s="9"/>
    </row>
    <row r="963" spans="2:25" x14ac:dyDescent="0.2">
      <c r="B963" s="7"/>
      <c r="C963" s="9"/>
      <c r="D963" s="9"/>
      <c r="E963" s="9"/>
      <c r="F963" s="9"/>
      <c r="G963" s="16"/>
      <c r="H963" s="9"/>
      <c r="I963" s="9"/>
      <c r="J963" s="9"/>
      <c r="K963" s="72"/>
      <c r="L963" s="9"/>
      <c r="M963" s="9"/>
      <c r="N963" s="9"/>
      <c r="O963" s="9"/>
      <c r="P963" s="9"/>
      <c r="Q963" s="9"/>
      <c r="R963" s="9"/>
      <c r="S963" s="9"/>
      <c r="T963" s="9"/>
      <c r="U963" s="9"/>
      <c r="V963" s="9"/>
      <c r="W963" s="9"/>
      <c r="X963" s="9"/>
      <c r="Y963" s="9"/>
    </row>
    <row r="964" spans="2:25" x14ac:dyDescent="0.2">
      <c r="B964" s="7"/>
      <c r="C964" s="9"/>
      <c r="D964" s="9"/>
      <c r="E964" s="9"/>
      <c r="F964" s="9"/>
      <c r="G964" s="16"/>
      <c r="H964" s="9"/>
      <c r="I964" s="9"/>
      <c r="J964" s="9"/>
      <c r="K964" s="72"/>
      <c r="L964" s="9"/>
      <c r="M964" s="9"/>
      <c r="N964" s="9"/>
      <c r="O964" s="9"/>
      <c r="P964" s="9"/>
      <c r="Q964" s="9"/>
      <c r="R964" s="9"/>
      <c r="S964" s="9"/>
      <c r="T964" s="9"/>
      <c r="U964" s="9"/>
      <c r="V964" s="9"/>
      <c r="W964" s="9"/>
      <c r="X964" s="9"/>
      <c r="Y964" s="9"/>
    </row>
    <row r="965" spans="2:25" x14ac:dyDescent="0.2">
      <c r="B965" s="7"/>
      <c r="C965" s="9"/>
      <c r="D965" s="9"/>
      <c r="E965" s="9"/>
      <c r="F965" s="9"/>
      <c r="G965" s="16"/>
      <c r="H965" s="9"/>
      <c r="I965" s="9"/>
      <c r="J965" s="9"/>
      <c r="K965" s="72"/>
      <c r="L965" s="9"/>
      <c r="M965" s="9"/>
      <c r="N965" s="9"/>
      <c r="O965" s="9"/>
      <c r="P965" s="9"/>
      <c r="Q965" s="9"/>
      <c r="R965" s="9"/>
      <c r="S965" s="9"/>
      <c r="T965" s="9"/>
      <c r="U965" s="9"/>
      <c r="V965" s="9"/>
      <c r="W965" s="9"/>
      <c r="X965" s="9"/>
      <c r="Y965" s="9"/>
    </row>
    <row r="966" spans="2:25" x14ac:dyDescent="0.2">
      <c r="B966" s="7"/>
      <c r="C966" s="9"/>
      <c r="D966" s="9"/>
      <c r="E966" s="9"/>
      <c r="F966" s="9"/>
      <c r="G966" s="16"/>
      <c r="H966" s="9"/>
      <c r="I966" s="9"/>
      <c r="J966" s="9"/>
      <c r="K966" s="72"/>
      <c r="L966" s="9"/>
      <c r="M966" s="9"/>
      <c r="N966" s="9"/>
      <c r="O966" s="9"/>
      <c r="P966" s="9"/>
      <c r="Q966" s="9"/>
      <c r="R966" s="9"/>
      <c r="S966" s="9"/>
      <c r="T966" s="9"/>
      <c r="U966" s="9"/>
      <c r="V966" s="9"/>
      <c r="W966" s="9"/>
      <c r="X966" s="9"/>
      <c r="Y966" s="9"/>
    </row>
    <row r="967" spans="2:25" x14ac:dyDescent="0.2">
      <c r="B967" s="7"/>
      <c r="C967" s="9"/>
      <c r="D967" s="9"/>
      <c r="E967" s="9"/>
      <c r="F967" s="9"/>
      <c r="G967" s="16"/>
      <c r="H967" s="9"/>
      <c r="I967" s="9"/>
      <c r="J967" s="9"/>
      <c r="K967" s="72"/>
      <c r="L967" s="9"/>
      <c r="M967" s="9"/>
      <c r="N967" s="9"/>
      <c r="O967" s="9"/>
      <c r="P967" s="9"/>
      <c r="Q967" s="9"/>
      <c r="R967" s="9"/>
      <c r="S967" s="9"/>
      <c r="T967" s="9"/>
      <c r="U967" s="9"/>
      <c r="V967" s="9"/>
      <c r="W967" s="9"/>
      <c r="X967" s="9"/>
      <c r="Y967" s="9"/>
    </row>
    <row r="968" spans="2:25" x14ac:dyDescent="0.2">
      <c r="B968" s="7"/>
      <c r="C968" s="9"/>
      <c r="D968" s="9"/>
      <c r="E968" s="9"/>
      <c r="F968" s="9"/>
      <c r="G968" s="16"/>
      <c r="H968" s="9"/>
      <c r="I968" s="9"/>
      <c r="J968" s="9"/>
      <c r="K968" s="72"/>
      <c r="L968" s="9"/>
      <c r="M968" s="9"/>
      <c r="N968" s="9"/>
      <c r="O968" s="9"/>
      <c r="P968" s="9"/>
      <c r="Q968" s="9"/>
      <c r="R968" s="9"/>
      <c r="S968" s="9"/>
      <c r="T968" s="9"/>
      <c r="U968" s="9"/>
      <c r="V968" s="9"/>
      <c r="W968" s="9"/>
      <c r="X968" s="9"/>
      <c r="Y968" s="9"/>
    </row>
    <row r="969" spans="2:25" x14ac:dyDescent="0.2">
      <c r="B969" s="7"/>
      <c r="C969" s="9"/>
      <c r="D969" s="9"/>
      <c r="E969" s="9"/>
      <c r="F969" s="9"/>
      <c r="G969" s="16"/>
      <c r="H969" s="9"/>
      <c r="I969" s="9"/>
      <c r="J969" s="9"/>
      <c r="K969" s="72"/>
      <c r="L969" s="9"/>
      <c r="M969" s="9"/>
      <c r="N969" s="9"/>
      <c r="O969" s="9"/>
      <c r="P969" s="9"/>
      <c r="Q969" s="9"/>
      <c r="R969" s="9"/>
      <c r="S969" s="9"/>
      <c r="T969" s="9"/>
      <c r="U969" s="9"/>
      <c r="V969" s="9"/>
      <c r="W969" s="9"/>
      <c r="X969" s="9"/>
      <c r="Y969" s="9"/>
    </row>
    <row r="970" spans="2:25" x14ac:dyDescent="0.2">
      <c r="B970" s="7"/>
      <c r="C970" s="9"/>
      <c r="D970" s="9"/>
      <c r="E970" s="9"/>
      <c r="F970" s="9"/>
      <c r="G970" s="16"/>
      <c r="H970" s="9"/>
      <c r="I970" s="9"/>
      <c r="J970" s="9"/>
      <c r="K970" s="72"/>
      <c r="L970" s="9"/>
      <c r="M970" s="9"/>
      <c r="N970" s="9"/>
      <c r="O970" s="9"/>
      <c r="P970" s="9"/>
      <c r="Q970" s="9"/>
      <c r="R970" s="9"/>
      <c r="S970" s="9"/>
      <c r="T970" s="9"/>
      <c r="U970" s="9"/>
      <c r="V970" s="9"/>
      <c r="W970" s="9"/>
      <c r="X970" s="9"/>
      <c r="Y970" s="9"/>
    </row>
    <row r="971" spans="2:25" x14ac:dyDescent="0.2">
      <c r="B971" s="7"/>
      <c r="C971" s="9"/>
      <c r="D971" s="9"/>
      <c r="E971" s="9"/>
      <c r="F971" s="9"/>
      <c r="G971" s="16"/>
      <c r="H971" s="9"/>
      <c r="I971" s="9"/>
      <c r="J971" s="9"/>
      <c r="K971" s="72"/>
      <c r="L971" s="9"/>
      <c r="M971" s="9"/>
      <c r="N971" s="9"/>
      <c r="O971" s="9"/>
      <c r="P971" s="9"/>
      <c r="Q971" s="9"/>
      <c r="R971" s="9"/>
      <c r="S971" s="9"/>
      <c r="T971" s="9"/>
      <c r="U971" s="9"/>
      <c r="V971" s="9"/>
      <c r="W971" s="9"/>
      <c r="X971" s="9"/>
      <c r="Y971" s="9"/>
    </row>
    <row r="972" spans="2:25" x14ac:dyDescent="0.2">
      <c r="B972" s="7"/>
      <c r="C972" s="9"/>
      <c r="D972" s="9"/>
      <c r="E972" s="9"/>
      <c r="F972" s="9"/>
      <c r="G972" s="16"/>
      <c r="H972" s="9"/>
      <c r="I972" s="9"/>
      <c r="J972" s="9"/>
      <c r="K972" s="72"/>
      <c r="L972" s="9"/>
      <c r="M972" s="9"/>
      <c r="N972" s="9"/>
      <c r="O972" s="9"/>
      <c r="P972" s="9"/>
      <c r="Q972" s="9"/>
      <c r="R972" s="9"/>
      <c r="S972" s="9"/>
      <c r="T972" s="9"/>
      <c r="U972" s="9"/>
      <c r="V972" s="9"/>
      <c r="W972" s="9"/>
      <c r="X972" s="9"/>
      <c r="Y972" s="9"/>
    </row>
    <row r="973" spans="2:25" x14ac:dyDescent="0.2">
      <c r="B973" s="7"/>
      <c r="C973" s="9"/>
      <c r="D973" s="9"/>
      <c r="E973" s="9"/>
      <c r="F973" s="9"/>
      <c r="G973" s="16"/>
      <c r="H973" s="9"/>
      <c r="I973" s="9"/>
      <c r="J973" s="9"/>
      <c r="K973" s="72"/>
      <c r="L973" s="9"/>
      <c r="M973" s="9"/>
      <c r="N973" s="9"/>
      <c r="O973" s="9"/>
      <c r="P973" s="9"/>
      <c r="Q973" s="9"/>
      <c r="R973" s="9"/>
      <c r="S973" s="9"/>
      <c r="T973" s="9"/>
      <c r="U973" s="9"/>
      <c r="V973" s="9"/>
      <c r="W973" s="9"/>
      <c r="X973" s="9"/>
      <c r="Y973" s="9"/>
    </row>
    <row r="974" spans="2:25" x14ac:dyDescent="0.2">
      <c r="B974" s="7"/>
      <c r="C974" s="9"/>
      <c r="D974" s="9"/>
      <c r="E974" s="9"/>
      <c r="F974" s="9"/>
      <c r="G974" s="16"/>
      <c r="H974" s="9"/>
      <c r="I974" s="9"/>
      <c r="J974" s="9"/>
      <c r="K974" s="72"/>
      <c r="L974" s="9"/>
      <c r="M974" s="9"/>
      <c r="N974" s="9"/>
      <c r="O974" s="9"/>
      <c r="P974" s="9"/>
      <c r="Q974" s="9"/>
      <c r="R974" s="9"/>
      <c r="S974" s="9"/>
      <c r="T974" s="9"/>
      <c r="U974" s="9"/>
      <c r="V974" s="9"/>
      <c r="W974" s="9"/>
      <c r="X974" s="9"/>
      <c r="Y974" s="9"/>
    </row>
    <row r="975" spans="2:25" x14ac:dyDescent="0.2">
      <c r="B975" s="7"/>
      <c r="C975" s="9"/>
      <c r="D975" s="9"/>
      <c r="E975" s="9"/>
      <c r="F975" s="9"/>
      <c r="G975" s="16"/>
      <c r="H975" s="9"/>
      <c r="I975" s="9"/>
      <c r="J975" s="9"/>
      <c r="K975" s="72"/>
      <c r="L975" s="9"/>
      <c r="M975" s="9"/>
      <c r="N975" s="9"/>
      <c r="O975" s="9"/>
      <c r="P975" s="9"/>
      <c r="Q975" s="9"/>
      <c r="R975" s="9"/>
      <c r="S975" s="9"/>
      <c r="T975" s="9"/>
      <c r="U975" s="9"/>
      <c r="V975" s="9"/>
      <c r="W975" s="9"/>
      <c r="X975" s="9"/>
      <c r="Y975" s="9"/>
    </row>
    <row r="976" spans="2:25" x14ac:dyDescent="0.2">
      <c r="B976" s="7"/>
      <c r="C976" s="9"/>
      <c r="D976" s="9"/>
      <c r="E976" s="9"/>
      <c r="F976" s="9"/>
      <c r="G976" s="16"/>
      <c r="H976" s="9"/>
      <c r="I976" s="9"/>
      <c r="J976" s="9"/>
      <c r="K976" s="72"/>
      <c r="L976" s="9"/>
      <c r="M976" s="9"/>
      <c r="N976" s="9"/>
      <c r="O976" s="9"/>
      <c r="P976" s="9"/>
      <c r="Q976" s="9"/>
      <c r="R976" s="9"/>
      <c r="S976" s="9"/>
      <c r="T976" s="9"/>
      <c r="U976" s="9"/>
      <c r="V976" s="9"/>
      <c r="W976" s="9"/>
      <c r="X976" s="9"/>
      <c r="Y976" s="9"/>
    </row>
    <row r="977" spans="2:25" x14ac:dyDescent="0.2">
      <c r="B977" s="7"/>
      <c r="C977" s="9"/>
      <c r="D977" s="9"/>
      <c r="E977" s="9"/>
      <c r="F977" s="9"/>
      <c r="G977" s="16"/>
      <c r="H977" s="9"/>
      <c r="I977" s="9"/>
      <c r="J977" s="9"/>
      <c r="K977" s="72"/>
      <c r="L977" s="9"/>
      <c r="M977" s="9"/>
      <c r="N977" s="9"/>
      <c r="O977" s="9"/>
      <c r="P977" s="9"/>
      <c r="Q977" s="9"/>
      <c r="R977" s="9"/>
      <c r="S977" s="9"/>
      <c r="T977" s="9"/>
      <c r="U977" s="9"/>
      <c r="V977" s="9"/>
      <c r="W977" s="9"/>
      <c r="X977" s="9"/>
      <c r="Y977" s="9"/>
    </row>
    <row r="978" spans="2:25" x14ac:dyDescent="0.2">
      <c r="B978" s="7"/>
      <c r="C978" s="9"/>
      <c r="D978" s="9"/>
      <c r="E978" s="9"/>
      <c r="F978" s="9"/>
      <c r="G978" s="16"/>
      <c r="H978" s="9"/>
      <c r="I978" s="9"/>
      <c r="J978" s="9"/>
      <c r="K978" s="72"/>
      <c r="L978" s="9"/>
      <c r="M978" s="9"/>
      <c r="N978" s="9"/>
      <c r="O978" s="9"/>
      <c r="P978" s="9"/>
      <c r="Q978" s="9"/>
      <c r="R978" s="9"/>
      <c r="S978" s="9"/>
      <c r="T978" s="9"/>
      <c r="U978" s="9"/>
      <c r="V978" s="9"/>
      <c r="W978" s="9"/>
      <c r="X978" s="9"/>
      <c r="Y978" s="9"/>
    </row>
    <row r="979" spans="2:25" x14ac:dyDescent="0.2">
      <c r="B979" s="7"/>
      <c r="C979" s="9"/>
      <c r="D979" s="9"/>
      <c r="E979" s="9"/>
      <c r="F979" s="9"/>
      <c r="G979" s="16"/>
      <c r="H979" s="9"/>
      <c r="I979" s="9"/>
      <c r="J979" s="9"/>
      <c r="K979" s="72"/>
      <c r="L979" s="9"/>
      <c r="M979" s="9"/>
      <c r="N979" s="9"/>
      <c r="O979" s="9"/>
      <c r="P979" s="9"/>
      <c r="Q979" s="9"/>
      <c r="R979" s="9"/>
      <c r="S979" s="9"/>
      <c r="T979" s="9"/>
      <c r="U979" s="9"/>
      <c r="V979" s="9"/>
      <c r="W979" s="9"/>
      <c r="X979" s="9"/>
      <c r="Y979" s="9"/>
    </row>
    <row r="980" spans="2:25" x14ac:dyDescent="0.2">
      <c r="B980" s="7"/>
      <c r="C980" s="9"/>
      <c r="D980" s="9"/>
      <c r="E980" s="9"/>
      <c r="F980" s="9"/>
      <c r="G980" s="16"/>
      <c r="H980" s="9"/>
      <c r="I980" s="9"/>
      <c r="J980" s="9"/>
      <c r="K980" s="72"/>
      <c r="L980" s="9"/>
      <c r="M980" s="9"/>
      <c r="N980" s="9"/>
      <c r="O980" s="9"/>
      <c r="P980" s="9"/>
      <c r="Q980" s="9"/>
      <c r="R980" s="9"/>
      <c r="S980" s="9"/>
      <c r="T980" s="9"/>
      <c r="U980" s="9"/>
      <c r="V980" s="9"/>
      <c r="W980" s="9"/>
      <c r="X980" s="9"/>
      <c r="Y980" s="9"/>
    </row>
    <row r="981" spans="2:25" x14ac:dyDescent="0.2">
      <c r="B981" s="7"/>
      <c r="C981" s="9"/>
      <c r="D981" s="9"/>
      <c r="E981" s="9"/>
      <c r="F981" s="9"/>
      <c r="G981" s="16"/>
      <c r="H981" s="9"/>
      <c r="I981" s="9"/>
      <c r="J981" s="9"/>
      <c r="K981" s="72"/>
      <c r="L981" s="9"/>
      <c r="M981" s="9"/>
      <c r="N981" s="9"/>
      <c r="O981" s="9"/>
      <c r="P981" s="9"/>
      <c r="Q981" s="9"/>
      <c r="R981" s="9"/>
      <c r="S981" s="9"/>
      <c r="T981" s="9"/>
      <c r="U981" s="9"/>
      <c r="V981" s="9"/>
      <c r="W981" s="9"/>
      <c r="X981" s="9"/>
      <c r="Y981" s="9"/>
    </row>
    <row r="982" spans="2:25" x14ac:dyDescent="0.2">
      <c r="B982" s="7"/>
      <c r="C982" s="9"/>
      <c r="D982" s="9"/>
      <c r="E982" s="9"/>
      <c r="F982" s="9"/>
      <c r="G982" s="16"/>
      <c r="H982" s="9"/>
      <c r="I982" s="9"/>
      <c r="J982" s="9"/>
      <c r="K982" s="72"/>
      <c r="L982" s="9"/>
      <c r="M982" s="9"/>
      <c r="N982" s="9"/>
      <c r="O982" s="9"/>
      <c r="P982" s="9"/>
      <c r="Q982" s="9"/>
      <c r="R982" s="9"/>
      <c r="S982" s="9"/>
      <c r="T982" s="9"/>
      <c r="U982" s="9"/>
      <c r="V982" s="9"/>
      <c r="W982" s="9"/>
      <c r="X982" s="9"/>
      <c r="Y982" s="9"/>
    </row>
    <row r="983" spans="2:25" x14ac:dyDescent="0.2">
      <c r="B983" s="7"/>
      <c r="C983" s="9"/>
      <c r="D983" s="9"/>
      <c r="E983" s="9"/>
      <c r="F983" s="9"/>
      <c r="G983" s="16"/>
      <c r="H983" s="9"/>
      <c r="I983" s="9"/>
      <c r="J983" s="9"/>
      <c r="K983" s="72"/>
      <c r="L983" s="9"/>
      <c r="M983" s="9"/>
      <c r="N983" s="9"/>
      <c r="O983" s="9"/>
      <c r="P983" s="9"/>
      <c r="Q983" s="9"/>
      <c r="R983" s="9"/>
      <c r="S983" s="9"/>
      <c r="T983" s="9"/>
      <c r="U983" s="9"/>
      <c r="V983" s="9"/>
      <c r="W983" s="9"/>
      <c r="X983" s="9"/>
      <c r="Y983" s="9"/>
    </row>
    <row r="984" spans="2:25" x14ac:dyDescent="0.2">
      <c r="B984" s="7"/>
      <c r="C984" s="9"/>
      <c r="D984" s="9"/>
      <c r="E984" s="9"/>
      <c r="F984" s="9"/>
      <c r="G984" s="16"/>
      <c r="H984" s="9"/>
      <c r="I984" s="9"/>
      <c r="J984" s="9"/>
      <c r="K984" s="72"/>
      <c r="L984" s="9"/>
      <c r="M984" s="9"/>
      <c r="N984" s="9"/>
      <c r="O984" s="9"/>
      <c r="P984" s="9"/>
      <c r="Q984" s="9"/>
      <c r="R984" s="9"/>
      <c r="S984" s="9"/>
      <c r="T984" s="9"/>
      <c r="U984" s="9"/>
      <c r="V984" s="9"/>
      <c r="W984" s="9"/>
      <c r="X984" s="9"/>
      <c r="Y984" s="9"/>
    </row>
    <row r="985" spans="2:25" x14ac:dyDescent="0.2">
      <c r="B985" s="7"/>
      <c r="C985" s="9"/>
      <c r="D985" s="9"/>
      <c r="E985" s="9"/>
      <c r="F985" s="9"/>
      <c r="G985" s="16"/>
      <c r="H985" s="9"/>
      <c r="I985" s="9"/>
      <c r="J985" s="9"/>
      <c r="K985" s="72"/>
      <c r="L985" s="9"/>
      <c r="M985" s="9"/>
      <c r="N985" s="9"/>
      <c r="O985" s="9"/>
      <c r="P985" s="9"/>
      <c r="Q985" s="9"/>
      <c r="R985" s="9"/>
      <c r="S985" s="9"/>
      <c r="T985" s="9"/>
      <c r="U985" s="9"/>
      <c r="V985" s="9"/>
      <c r="W985" s="9"/>
      <c r="X985" s="9"/>
      <c r="Y985" s="9"/>
    </row>
    <row r="986" spans="2:25" x14ac:dyDescent="0.2">
      <c r="B986" s="7"/>
      <c r="C986" s="9"/>
      <c r="D986" s="9"/>
      <c r="E986" s="9"/>
      <c r="F986" s="9"/>
      <c r="G986" s="16"/>
      <c r="H986" s="9"/>
      <c r="I986" s="9"/>
      <c r="J986" s="9"/>
      <c r="K986" s="72"/>
      <c r="L986" s="9"/>
      <c r="M986" s="9"/>
      <c r="N986" s="9"/>
      <c r="O986" s="9"/>
      <c r="P986" s="9"/>
      <c r="Q986" s="9"/>
      <c r="R986" s="9"/>
      <c r="S986" s="9"/>
      <c r="T986" s="9"/>
      <c r="U986" s="9"/>
      <c r="V986" s="9"/>
      <c r="W986" s="9"/>
      <c r="X986" s="9"/>
      <c r="Y986" s="9"/>
    </row>
    <row r="987" spans="2:25" x14ac:dyDescent="0.2">
      <c r="B987" s="7"/>
      <c r="C987" s="9"/>
      <c r="D987" s="9"/>
      <c r="E987" s="9"/>
      <c r="F987" s="9"/>
      <c r="G987" s="16"/>
      <c r="H987" s="9"/>
      <c r="I987" s="9"/>
      <c r="J987" s="9"/>
      <c r="K987" s="72"/>
      <c r="L987" s="9"/>
      <c r="M987" s="9"/>
      <c r="N987" s="9"/>
      <c r="O987" s="9"/>
      <c r="P987" s="9"/>
      <c r="Q987" s="9"/>
      <c r="R987" s="9"/>
      <c r="S987" s="9"/>
      <c r="T987" s="9"/>
      <c r="U987" s="9"/>
      <c r="V987" s="9"/>
      <c r="W987" s="9"/>
      <c r="X987" s="9"/>
      <c r="Y987" s="9"/>
    </row>
    <row r="988" spans="2:25" x14ac:dyDescent="0.2">
      <c r="B988" s="7"/>
      <c r="C988" s="9"/>
      <c r="D988" s="9"/>
      <c r="E988" s="9"/>
      <c r="F988" s="9"/>
      <c r="G988" s="16"/>
      <c r="H988" s="9"/>
      <c r="I988" s="9"/>
      <c r="J988" s="9"/>
      <c r="K988" s="72"/>
      <c r="L988" s="9"/>
      <c r="M988" s="9"/>
      <c r="N988" s="9"/>
      <c r="O988" s="9"/>
      <c r="P988" s="9"/>
      <c r="Q988" s="9"/>
      <c r="R988" s="9"/>
      <c r="S988" s="9"/>
      <c r="T988" s="9"/>
      <c r="U988" s="9"/>
      <c r="V988" s="9"/>
      <c r="W988" s="9"/>
      <c r="X988" s="9"/>
      <c r="Y988" s="9"/>
    </row>
    <row r="989" spans="2:25" x14ac:dyDescent="0.2">
      <c r="B989" s="7"/>
      <c r="C989" s="9"/>
      <c r="D989" s="9"/>
      <c r="E989" s="9"/>
      <c r="F989" s="9"/>
      <c r="G989" s="16"/>
      <c r="H989" s="9"/>
      <c r="I989" s="9"/>
      <c r="J989" s="9"/>
      <c r="K989" s="72"/>
      <c r="L989" s="9"/>
      <c r="M989" s="9"/>
      <c r="N989" s="9"/>
      <c r="O989" s="9"/>
      <c r="P989" s="9"/>
      <c r="Q989" s="9"/>
      <c r="R989" s="9"/>
      <c r="S989" s="9"/>
      <c r="T989" s="9"/>
      <c r="U989" s="9"/>
      <c r="V989" s="9"/>
      <c r="W989" s="9"/>
      <c r="X989" s="9"/>
      <c r="Y989" s="9"/>
    </row>
    <row r="990" spans="2:25" x14ac:dyDescent="0.2">
      <c r="B990" s="7"/>
      <c r="C990" s="9"/>
      <c r="D990" s="9"/>
      <c r="E990" s="9"/>
      <c r="F990" s="9"/>
      <c r="G990" s="16"/>
      <c r="H990" s="9"/>
      <c r="I990" s="9"/>
      <c r="J990" s="9"/>
      <c r="K990" s="72"/>
      <c r="L990" s="9"/>
      <c r="M990" s="9"/>
      <c r="N990" s="9"/>
      <c r="O990" s="9"/>
      <c r="P990" s="9"/>
      <c r="Q990" s="9"/>
      <c r="R990" s="9"/>
      <c r="S990" s="9"/>
      <c r="T990" s="9"/>
      <c r="U990" s="9"/>
      <c r="V990" s="9"/>
      <c r="W990" s="9"/>
      <c r="X990" s="9"/>
      <c r="Y990" s="9"/>
    </row>
    <row r="991" spans="2:25" x14ac:dyDescent="0.2">
      <c r="B991" s="7"/>
      <c r="C991" s="9"/>
      <c r="D991" s="9"/>
      <c r="E991" s="9"/>
      <c r="F991" s="9"/>
      <c r="G991" s="16"/>
      <c r="H991" s="9"/>
      <c r="I991" s="9"/>
      <c r="J991" s="9"/>
      <c r="K991" s="72"/>
      <c r="L991" s="9"/>
      <c r="M991" s="9"/>
      <c r="N991" s="9"/>
      <c r="O991" s="9"/>
      <c r="P991" s="9"/>
      <c r="Q991" s="9"/>
      <c r="R991" s="9"/>
      <c r="S991" s="9"/>
      <c r="T991" s="9"/>
      <c r="U991" s="9"/>
      <c r="V991" s="9"/>
      <c r="W991" s="9"/>
      <c r="X991" s="9"/>
      <c r="Y991" s="9"/>
    </row>
    <row r="992" spans="2:25" x14ac:dyDescent="0.2">
      <c r="B992" s="7"/>
      <c r="C992" s="9"/>
      <c r="D992" s="9"/>
      <c r="E992" s="9"/>
      <c r="F992" s="9"/>
      <c r="G992" s="16"/>
      <c r="H992" s="9"/>
      <c r="I992" s="9"/>
      <c r="J992" s="9"/>
      <c r="K992" s="72"/>
      <c r="L992" s="9"/>
      <c r="M992" s="9"/>
      <c r="N992" s="9"/>
      <c r="O992" s="9"/>
      <c r="P992" s="9"/>
      <c r="Q992" s="9"/>
      <c r="R992" s="9"/>
      <c r="S992" s="9"/>
      <c r="T992" s="9"/>
      <c r="U992" s="9"/>
      <c r="V992" s="9"/>
      <c r="W992" s="9"/>
      <c r="X992" s="9"/>
      <c r="Y992" s="9"/>
    </row>
    <row r="993" spans="2:25" x14ac:dyDescent="0.2">
      <c r="B993" s="7"/>
      <c r="C993" s="9"/>
      <c r="D993" s="9"/>
      <c r="E993" s="9"/>
      <c r="F993" s="9"/>
      <c r="G993" s="16"/>
      <c r="H993" s="9"/>
      <c r="I993" s="9"/>
      <c r="J993" s="9"/>
      <c r="K993" s="72"/>
      <c r="L993" s="9"/>
      <c r="M993" s="9"/>
      <c r="N993" s="9"/>
      <c r="O993" s="9"/>
      <c r="P993" s="9"/>
      <c r="Q993" s="9"/>
      <c r="R993" s="9"/>
      <c r="S993" s="9"/>
      <c r="T993" s="9"/>
      <c r="U993" s="9"/>
      <c r="V993" s="9"/>
      <c r="W993" s="9"/>
      <c r="X993" s="9"/>
      <c r="Y993" s="9"/>
    </row>
    <row r="994" spans="2:25" x14ac:dyDescent="0.2">
      <c r="B994" s="7"/>
      <c r="C994" s="9"/>
      <c r="D994" s="9"/>
      <c r="E994" s="9"/>
      <c r="F994" s="9"/>
      <c r="G994" s="16"/>
      <c r="H994" s="9"/>
      <c r="I994" s="9"/>
      <c r="J994" s="9"/>
      <c r="K994" s="72"/>
      <c r="L994" s="9"/>
      <c r="M994" s="9"/>
      <c r="N994" s="9"/>
      <c r="O994" s="9"/>
      <c r="P994" s="9"/>
      <c r="Q994" s="9"/>
      <c r="R994" s="9"/>
      <c r="S994" s="9"/>
      <c r="T994" s="9"/>
      <c r="U994" s="9"/>
      <c r="V994" s="9"/>
      <c r="W994" s="9"/>
      <c r="X994" s="9"/>
      <c r="Y994" s="9"/>
    </row>
    <row r="995" spans="2:25" x14ac:dyDescent="0.2">
      <c r="B995" s="7"/>
      <c r="C995" s="9"/>
      <c r="D995" s="9"/>
      <c r="E995" s="9"/>
      <c r="F995" s="9"/>
      <c r="G995" s="16"/>
      <c r="H995" s="9"/>
      <c r="I995" s="9"/>
      <c r="J995" s="9"/>
      <c r="K995" s="72"/>
      <c r="L995" s="9"/>
      <c r="M995" s="9"/>
      <c r="N995" s="9"/>
      <c r="O995" s="9"/>
      <c r="P995" s="9"/>
      <c r="Q995" s="9"/>
      <c r="R995" s="9"/>
      <c r="S995" s="9"/>
      <c r="T995" s="9"/>
      <c r="U995" s="9"/>
      <c r="V995" s="9"/>
      <c r="W995" s="9"/>
      <c r="X995" s="9"/>
      <c r="Y995" s="9"/>
    </row>
    <row r="996" spans="2:25" x14ac:dyDescent="0.2">
      <c r="B996" s="7"/>
      <c r="C996" s="9"/>
      <c r="D996" s="9"/>
      <c r="E996" s="9"/>
      <c r="F996" s="9"/>
      <c r="G996" s="16"/>
      <c r="H996" s="9"/>
      <c r="I996" s="9"/>
      <c r="J996" s="9"/>
      <c r="K996" s="72"/>
      <c r="L996" s="9"/>
      <c r="M996" s="9"/>
      <c r="N996" s="9"/>
      <c r="O996" s="9"/>
      <c r="P996" s="9"/>
      <c r="Q996" s="9"/>
      <c r="R996" s="9"/>
      <c r="S996" s="9"/>
      <c r="T996" s="9"/>
      <c r="U996" s="9"/>
      <c r="V996" s="9"/>
      <c r="W996" s="9"/>
      <c r="X996" s="9"/>
      <c r="Y996" s="9"/>
    </row>
    <row r="997" spans="2:25" x14ac:dyDescent="0.2">
      <c r="B997" s="7"/>
      <c r="C997" s="9"/>
      <c r="D997" s="9"/>
      <c r="E997" s="9"/>
      <c r="F997" s="9"/>
      <c r="G997" s="16"/>
      <c r="H997" s="9"/>
      <c r="I997" s="9"/>
      <c r="J997" s="9"/>
      <c r="K997" s="72"/>
      <c r="L997" s="9"/>
      <c r="M997" s="9"/>
      <c r="N997" s="9"/>
      <c r="O997" s="9"/>
      <c r="P997" s="9"/>
      <c r="Q997" s="9"/>
      <c r="R997" s="9"/>
      <c r="S997" s="9"/>
      <c r="T997" s="9"/>
      <c r="U997" s="9"/>
      <c r="V997" s="9"/>
      <c r="W997" s="9"/>
      <c r="X997" s="9"/>
      <c r="Y997" s="9"/>
    </row>
    <row r="998" spans="2:25" x14ac:dyDescent="0.2">
      <c r="B998" s="7"/>
      <c r="C998" s="9"/>
      <c r="D998" s="9"/>
      <c r="E998" s="9"/>
      <c r="F998" s="9"/>
      <c r="G998" s="16"/>
      <c r="H998" s="9"/>
      <c r="I998" s="9"/>
      <c r="J998" s="9"/>
      <c r="K998" s="72"/>
      <c r="L998" s="9"/>
      <c r="M998" s="9"/>
      <c r="N998" s="9"/>
      <c r="O998" s="9"/>
      <c r="P998" s="9"/>
      <c r="Q998" s="9"/>
      <c r="R998" s="9"/>
      <c r="S998" s="9"/>
      <c r="T998" s="9"/>
      <c r="U998" s="9"/>
      <c r="V998" s="9"/>
      <c r="W998" s="9"/>
      <c r="X998" s="9"/>
      <c r="Y998" s="9"/>
    </row>
    <row r="999" spans="2:25" x14ac:dyDescent="0.2">
      <c r="B999" s="7"/>
      <c r="C999" s="9"/>
      <c r="D999" s="9"/>
      <c r="E999" s="9"/>
      <c r="F999" s="9"/>
      <c r="G999" s="16"/>
      <c r="H999" s="9"/>
      <c r="I999" s="9"/>
      <c r="J999" s="9"/>
      <c r="K999" s="72"/>
      <c r="L999" s="9"/>
      <c r="M999" s="9"/>
      <c r="N999" s="9"/>
      <c r="O999" s="9"/>
      <c r="P999" s="9"/>
      <c r="Q999" s="9"/>
      <c r="R999" s="9"/>
      <c r="S999" s="9"/>
      <c r="T999" s="9"/>
      <c r="U999" s="9"/>
      <c r="V999" s="9"/>
      <c r="W999" s="9"/>
      <c r="X999" s="9"/>
      <c r="Y999" s="9"/>
    </row>
    <row r="1000" spans="2:25" x14ac:dyDescent="0.2">
      <c r="B1000" s="7"/>
      <c r="C1000" s="9"/>
      <c r="D1000" s="9"/>
      <c r="E1000" s="9"/>
      <c r="F1000" s="9"/>
      <c r="G1000" s="16"/>
      <c r="H1000" s="9"/>
      <c r="I1000" s="9"/>
      <c r="J1000" s="9"/>
      <c r="K1000" s="72"/>
      <c r="L1000" s="9"/>
      <c r="M1000" s="9"/>
      <c r="N1000" s="9"/>
      <c r="O1000" s="9"/>
      <c r="P1000" s="9"/>
      <c r="Q1000" s="9"/>
      <c r="R1000" s="9"/>
      <c r="S1000" s="9"/>
      <c r="T1000" s="9"/>
      <c r="U1000" s="9"/>
      <c r="V1000" s="9"/>
      <c r="W1000" s="9"/>
      <c r="X1000" s="9"/>
      <c r="Y1000" s="9"/>
    </row>
    <row r="1001" spans="2:25" x14ac:dyDescent="0.2">
      <c r="B1001" s="7"/>
      <c r="C1001" s="9"/>
      <c r="D1001" s="9"/>
      <c r="E1001" s="9"/>
      <c r="F1001" s="9"/>
      <c r="G1001" s="16"/>
      <c r="H1001" s="9"/>
      <c r="I1001" s="9"/>
      <c r="J1001" s="9"/>
      <c r="K1001" s="72"/>
      <c r="L1001" s="9"/>
      <c r="M1001" s="9"/>
      <c r="N1001" s="9"/>
      <c r="O1001" s="9"/>
      <c r="P1001" s="9"/>
      <c r="Q1001" s="9"/>
      <c r="R1001" s="9"/>
      <c r="S1001" s="9"/>
      <c r="T1001" s="9"/>
      <c r="U1001" s="9"/>
      <c r="V1001" s="9"/>
      <c r="W1001" s="9"/>
      <c r="X1001" s="9"/>
      <c r="Y1001" s="9"/>
    </row>
    <row r="1002" spans="2:25" x14ac:dyDescent="0.2">
      <c r="B1002" s="7"/>
      <c r="C1002" s="9"/>
      <c r="D1002" s="9"/>
      <c r="E1002" s="9"/>
      <c r="F1002" s="9"/>
      <c r="G1002" s="16"/>
      <c r="H1002" s="9"/>
      <c r="I1002" s="9"/>
      <c r="J1002" s="9"/>
      <c r="K1002" s="72"/>
      <c r="L1002" s="9"/>
      <c r="M1002" s="9"/>
      <c r="N1002" s="9"/>
      <c r="O1002" s="9"/>
      <c r="P1002" s="9"/>
      <c r="Q1002" s="9"/>
      <c r="R1002" s="9"/>
      <c r="S1002" s="9"/>
      <c r="T1002" s="9"/>
      <c r="U1002" s="9"/>
      <c r="V1002" s="9"/>
      <c r="W1002" s="9"/>
      <c r="X1002" s="9"/>
      <c r="Y1002" s="9"/>
    </row>
    <row r="1003" spans="2:25" x14ac:dyDescent="0.2">
      <c r="B1003" s="7"/>
      <c r="C1003" s="9"/>
      <c r="D1003" s="9"/>
      <c r="E1003" s="9"/>
      <c r="F1003" s="9"/>
      <c r="G1003" s="16"/>
      <c r="H1003" s="9"/>
      <c r="I1003" s="9"/>
      <c r="J1003" s="9"/>
      <c r="K1003" s="72"/>
      <c r="L1003" s="9"/>
      <c r="M1003" s="9"/>
      <c r="N1003" s="9"/>
      <c r="O1003" s="9"/>
      <c r="P1003" s="9"/>
      <c r="Q1003" s="9"/>
      <c r="R1003" s="9"/>
      <c r="S1003" s="9"/>
      <c r="T1003" s="9"/>
      <c r="U1003" s="9"/>
      <c r="V1003" s="9"/>
      <c r="W1003" s="9"/>
      <c r="X1003" s="9"/>
      <c r="Y1003" s="9"/>
    </row>
    <row r="1004" spans="2:25" x14ac:dyDescent="0.2">
      <c r="B1004" s="7"/>
      <c r="C1004" s="9"/>
      <c r="D1004" s="9"/>
      <c r="E1004" s="9"/>
      <c r="F1004" s="9"/>
      <c r="G1004" s="16"/>
      <c r="H1004" s="9"/>
      <c r="I1004" s="9"/>
      <c r="J1004" s="9"/>
      <c r="K1004" s="72"/>
      <c r="L1004" s="9"/>
      <c r="M1004" s="9"/>
      <c r="N1004" s="9"/>
      <c r="O1004" s="9"/>
      <c r="P1004" s="9"/>
      <c r="Q1004" s="9"/>
      <c r="R1004" s="9"/>
      <c r="S1004" s="9"/>
      <c r="T1004" s="9"/>
      <c r="U1004" s="9"/>
      <c r="V1004" s="9"/>
      <c r="W1004" s="9"/>
      <c r="X1004" s="9"/>
      <c r="Y1004" s="9"/>
    </row>
    <row r="1005" spans="2:25" x14ac:dyDescent="0.2">
      <c r="B1005" s="7"/>
      <c r="C1005" s="9"/>
      <c r="D1005" s="9"/>
      <c r="E1005" s="9"/>
      <c r="F1005" s="9"/>
      <c r="G1005" s="16"/>
      <c r="H1005" s="9"/>
      <c r="I1005" s="9"/>
      <c r="J1005" s="9"/>
      <c r="K1005" s="72"/>
      <c r="L1005" s="9"/>
      <c r="M1005" s="9"/>
      <c r="N1005" s="9"/>
      <c r="O1005" s="9"/>
      <c r="P1005" s="9"/>
      <c r="Q1005" s="9"/>
      <c r="R1005" s="9"/>
      <c r="S1005" s="9"/>
      <c r="T1005" s="9"/>
      <c r="U1005" s="9"/>
      <c r="V1005" s="9"/>
      <c r="W1005" s="9"/>
      <c r="X1005" s="9"/>
      <c r="Y1005" s="9"/>
    </row>
    <row r="1006" spans="2:25" x14ac:dyDescent="0.2">
      <c r="B1006" s="7"/>
      <c r="C1006" s="9"/>
      <c r="D1006" s="9"/>
      <c r="E1006" s="9"/>
      <c r="F1006" s="9"/>
      <c r="G1006" s="16"/>
      <c r="H1006" s="9"/>
      <c r="I1006" s="9"/>
      <c r="J1006" s="9"/>
      <c r="K1006" s="72"/>
      <c r="L1006" s="9"/>
      <c r="M1006" s="9"/>
      <c r="N1006" s="9"/>
      <c r="O1006" s="9"/>
      <c r="P1006" s="9"/>
      <c r="Q1006" s="9"/>
      <c r="R1006" s="9"/>
      <c r="S1006" s="9"/>
      <c r="T1006" s="9"/>
      <c r="U1006" s="9"/>
      <c r="V1006" s="9"/>
      <c r="W1006" s="9"/>
      <c r="X1006" s="9"/>
      <c r="Y1006" s="9"/>
    </row>
    <row r="1007" spans="2:25" x14ac:dyDescent="0.2">
      <c r="B1007" s="7"/>
      <c r="C1007" s="9"/>
      <c r="D1007" s="9"/>
      <c r="E1007" s="9"/>
      <c r="F1007" s="9"/>
      <c r="G1007" s="16"/>
      <c r="H1007" s="9"/>
      <c r="I1007" s="9"/>
      <c r="J1007" s="9"/>
      <c r="K1007" s="72"/>
      <c r="L1007" s="9"/>
      <c r="M1007" s="9"/>
      <c r="N1007" s="9"/>
      <c r="O1007" s="9"/>
      <c r="P1007" s="9"/>
      <c r="Q1007" s="9"/>
      <c r="R1007" s="9"/>
      <c r="S1007" s="9"/>
      <c r="T1007" s="9"/>
      <c r="U1007" s="9"/>
      <c r="V1007" s="9"/>
      <c r="W1007" s="9"/>
      <c r="X1007" s="9"/>
      <c r="Y1007" s="9"/>
    </row>
    <row r="1008" spans="2:25" x14ac:dyDescent="0.2">
      <c r="B1008" s="7"/>
      <c r="C1008" s="9"/>
      <c r="D1008" s="9"/>
      <c r="E1008" s="9"/>
      <c r="F1008" s="9"/>
      <c r="G1008" s="16"/>
      <c r="H1008" s="9"/>
      <c r="I1008" s="9"/>
      <c r="J1008" s="9"/>
      <c r="K1008" s="72"/>
      <c r="L1008" s="9"/>
      <c r="M1008" s="9"/>
      <c r="N1008" s="9"/>
      <c r="O1008" s="9"/>
      <c r="P1008" s="9"/>
      <c r="Q1008" s="9"/>
      <c r="R1008" s="9"/>
      <c r="S1008" s="9"/>
      <c r="T1008" s="9"/>
      <c r="U1008" s="9"/>
      <c r="V1008" s="9"/>
      <c r="W1008" s="9"/>
      <c r="X1008" s="9"/>
      <c r="Y1008" s="9"/>
    </row>
    <row r="1009" spans="2:25" x14ac:dyDescent="0.2">
      <c r="B1009" s="7"/>
      <c r="C1009" s="9"/>
      <c r="D1009" s="9"/>
      <c r="E1009" s="9"/>
      <c r="F1009" s="9"/>
      <c r="G1009" s="16"/>
      <c r="H1009" s="9"/>
      <c r="I1009" s="9"/>
      <c r="J1009" s="9"/>
      <c r="K1009" s="72"/>
      <c r="L1009" s="9"/>
      <c r="M1009" s="9"/>
      <c r="N1009" s="9"/>
      <c r="O1009" s="9"/>
      <c r="P1009" s="9"/>
      <c r="Q1009" s="9"/>
      <c r="R1009" s="9"/>
      <c r="S1009" s="9"/>
      <c r="T1009" s="9"/>
      <c r="U1009" s="9"/>
      <c r="V1009" s="9"/>
      <c r="W1009" s="9"/>
      <c r="X1009" s="9"/>
      <c r="Y1009" s="9"/>
    </row>
    <row r="1010" spans="2:25" x14ac:dyDescent="0.2">
      <c r="B1010" s="7"/>
      <c r="C1010" s="9"/>
      <c r="D1010" s="9"/>
      <c r="E1010" s="9"/>
      <c r="F1010" s="9"/>
      <c r="G1010" s="16"/>
      <c r="H1010" s="9"/>
      <c r="I1010" s="9"/>
      <c r="J1010" s="9"/>
      <c r="K1010" s="72"/>
      <c r="L1010" s="9"/>
      <c r="M1010" s="9"/>
      <c r="N1010" s="9"/>
      <c r="O1010" s="9"/>
      <c r="P1010" s="9"/>
      <c r="Q1010" s="9"/>
      <c r="R1010" s="9"/>
      <c r="S1010" s="9"/>
      <c r="T1010" s="9"/>
      <c r="U1010" s="9"/>
      <c r="V1010" s="9"/>
      <c r="W1010" s="9"/>
      <c r="X1010" s="9"/>
      <c r="Y1010" s="9"/>
    </row>
    <row r="1011" spans="2:25" x14ac:dyDescent="0.2">
      <c r="B1011" s="7"/>
      <c r="C1011" s="9"/>
      <c r="D1011" s="9"/>
      <c r="E1011" s="9"/>
      <c r="F1011" s="9"/>
      <c r="G1011" s="16"/>
      <c r="H1011" s="9"/>
      <c r="I1011" s="9"/>
      <c r="J1011" s="9"/>
      <c r="K1011" s="72"/>
      <c r="L1011" s="9"/>
      <c r="M1011" s="9"/>
      <c r="N1011" s="9"/>
      <c r="O1011" s="9"/>
      <c r="P1011" s="9"/>
      <c r="Q1011" s="9"/>
      <c r="R1011" s="9"/>
      <c r="S1011" s="9"/>
      <c r="T1011" s="9"/>
      <c r="U1011" s="9"/>
      <c r="V1011" s="9"/>
      <c r="W1011" s="9"/>
      <c r="X1011" s="9"/>
      <c r="Y1011" s="9"/>
    </row>
    <row r="1012" spans="2:25" x14ac:dyDescent="0.2">
      <c r="B1012" s="7"/>
      <c r="C1012" s="9"/>
      <c r="D1012" s="9"/>
      <c r="E1012" s="9"/>
      <c r="F1012" s="9"/>
      <c r="G1012" s="16"/>
      <c r="H1012" s="9"/>
      <c r="I1012" s="9"/>
      <c r="J1012" s="9"/>
      <c r="K1012" s="72"/>
      <c r="L1012" s="9"/>
      <c r="M1012" s="9"/>
      <c r="N1012" s="9"/>
      <c r="O1012" s="9"/>
      <c r="P1012" s="9"/>
      <c r="Q1012" s="9"/>
      <c r="R1012" s="9"/>
      <c r="S1012" s="9"/>
      <c r="T1012" s="9"/>
      <c r="U1012" s="9"/>
      <c r="V1012" s="9"/>
      <c r="W1012" s="9"/>
      <c r="X1012" s="9"/>
      <c r="Y1012" s="9"/>
    </row>
    <row r="1013" spans="2:25" x14ac:dyDescent="0.2">
      <c r="B1013" s="7"/>
      <c r="C1013" s="9"/>
      <c r="D1013" s="9"/>
      <c r="E1013" s="9"/>
      <c r="F1013" s="9"/>
      <c r="G1013" s="16"/>
      <c r="H1013" s="9"/>
      <c r="I1013" s="9"/>
      <c r="J1013" s="9"/>
      <c r="K1013" s="72"/>
      <c r="L1013" s="9"/>
      <c r="M1013" s="9"/>
      <c r="N1013" s="9"/>
      <c r="O1013" s="9"/>
      <c r="P1013" s="9"/>
      <c r="Q1013" s="9"/>
      <c r="R1013" s="9"/>
      <c r="S1013" s="9"/>
      <c r="T1013" s="9"/>
      <c r="U1013" s="9"/>
      <c r="V1013" s="9"/>
      <c r="W1013" s="9"/>
      <c r="X1013" s="9"/>
      <c r="Y1013" s="9"/>
    </row>
    <row r="1014" spans="2:25" x14ac:dyDescent="0.2">
      <c r="B1014" s="7"/>
      <c r="C1014" s="9"/>
      <c r="D1014" s="9"/>
      <c r="E1014" s="9"/>
      <c r="F1014" s="9"/>
      <c r="G1014" s="16"/>
      <c r="H1014" s="9"/>
      <c r="I1014" s="9"/>
      <c r="J1014" s="9"/>
      <c r="K1014" s="72"/>
      <c r="L1014" s="9"/>
      <c r="M1014" s="9"/>
      <c r="N1014" s="9"/>
      <c r="O1014" s="9"/>
      <c r="P1014" s="9"/>
      <c r="Q1014" s="9"/>
      <c r="R1014" s="9"/>
      <c r="S1014" s="9"/>
      <c r="T1014" s="9"/>
      <c r="U1014" s="9"/>
      <c r="V1014" s="9"/>
      <c r="W1014" s="9"/>
      <c r="X1014" s="9"/>
      <c r="Y1014" s="9"/>
    </row>
    <row r="1015" spans="2:25" x14ac:dyDescent="0.2">
      <c r="B1015" s="7"/>
      <c r="C1015" s="9"/>
      <c r="D1015" s="9"/>
      <c r="E1015" s="9"/>
      <c r="F1015" s="9"/>
      <c r="G1015" s="16"/>
      <c r="H1015" s="9"/>
      <c r="I1015" s="9"/>
      <c r="J1015" s="9"/>
      <c r="K1015" s="72"/>
      <c r="L1015" s="9"/>
      <c r="M1015" s="9"/>
      <c r="N1015" s="9"/>
      <c r="O1015" s="9"/>
      <c r="P1015" s="9"/>
      <c r="Q1015" s="9"/>
      <c r="R1015" s="9"/>
      <c r="S1015" s="9"/>
      <c r="T1015" s="9"/>
      <c r="U1015" s="9"/>
      <c r="V1015" s="9"/>
      <c r="W1015" s="9"/>
      <c r="X1015" s="9"/>
      <c r="Y1015" s="9"/>
    </row>
    <row r="1016" spans="2:25" x14ac:dyDescent="0.2">
      <c r="B1016" s="7"/>
      <c r="C1016" s="9"/>
      <c r="D1016" s="9"/>
      <c r="E1016" s="9"/>
      <c r="F1016" s="9"/>
      <c r="G1016" s="16"/>
      <c r="H1016" s="9"/>
      <c r="I1016" s="9"/>
      <c r="J1016" s="9"/>
      <c r="K1016" s="72"/>
      <c r="L1016" s="9"/>
      <c r="M1016" s="9"/>
      <c r="N1016" s="9"/>
      <c r="O1016" s="9"/>
      <c r="P1016" s="9"/>
      <c r="Q1016" s="9"/>
      <c r="R1016" s="9"/>
      <c r="S1016" s="9"/>
      <c r="T1016" s="9"/>
      <c r="U1016" s="9"/>
      <c r="V1016" s="9"/>
      <c r="W1016" s="9"/>
      <c r="X1016" s="9"/>
      <c r="Y1016" s="9"/>
    </row>
    <row r="1017" spans="2:25" x14ac:dyDescent="0.2">
      <c r="B1017" s="7"/>
      <c r="C1017" s="9"/>
      <c r="D1017" s="9"/>
      <c r="E1017" s="9"/>
      <c r="F1017" s="9"/>
      <c r="G1017" s="16"/>
      <c r="H1017" s="9"/>
      <c r="I1017" s="9"/>
      <c r="J1017" s="9"/>
      <c r="K1017" s="72"/>
      <c r="L1017" s="9"/>
      <c r="M1017" s="9"/>
      <c r="N1017" s="9"/>
      <c r="O1017" s="9"/>
      <c r="P1017" s="9"/>
      <c r="Q1017" s="9"/>
      <c r="R1017" s="9"/>
      <c r="S1017" s="9"/>
      <c r="T1017" s="9"/>
      <c r="U1017" s="9"/>
      <c r="V1017" s="9"/>
      <c r="W1017" s="9"/>
      <c r="X1017" s="9"/>
      <c r="Y1017" s="9"/>
    </row>
    <row r="1018" spans="2:25" x14ac:dyDescent="0.2">
      <c r="B1018" s="7"/>
      <c r="C1018" s="9"/>
      <c r="D1018" s="9"/>
      <c r="E1018" s="9"/>
      <c r="F1018" s="9"/>
      <c r="G1018" s="16"/>
      <c r="H1018" s="9"/>
      <c r="I1018" s="9"/>
      <c r="J1018" s="9"/>
      <c r="K1018" s="72"/>
      <c r="L1018" s="9"/>
      <c r="M1018" s="9"/>
      <c r="N1018" s="9"/>
      <c r="O1018" s="9"/>
      <c r="P1018" s="9"/>
      <c r="Q1018" s="9"/>
      <c r="R1018" s="9"/>
      <c r="S1018" s="9"/>
      <c r="T1018" s="9"/>
      <c r="U1018" s="9"/>
      <c r="V1018" s="9"/>
      <c r="W1018" s="9"/>
      <c r="X1018" s="9"/>
      <c r="Y1018" s="9"/>
    </row>
    <row r="1019" spans="2:25" x14ac:dyDescent="0.2">
      <c r="B1019" s="7"/>
      <c r="C1019" s="9"/>
      <c r="D1019" s="9"/>
      <c r="E1019" s="9"/>
      <c r="F1019" s="9"/>
      <c r="G1019" s="16"/>
      <c r="H1019" s="9"/>
      <c r="I1019" s="9"/>
      <c r="J1019" s="9"/>
      <c r="K1019" s="72"/>
      <c r="L1019" s="9"/>
      <c r="M1019" s="9"/>
      <c r="N1019" s="9"/>
      <c r="O1019" s="9"/>
      <c r="P1019" s="9"/>
      <c r="Q1019" s="9"/>
      <c r="R1019" s="9"/>
      <c r="S1019" s="9"/>
      <c r="T1019" s="9"/>
      <c r="U1019" s="9"/>
      <c r="V1019" s="9"/>
      <c r="W1019" s="9"/>
      <c r="X1019" s="9"/>
      <c r="Y1019" s="9"/>
    </row>
    <row r="1020" spans="2:25" x14ac:dyDescent="0.2">
      <c r="B1020" s="7"/>
      <c r="C1020" s="9"/>
      <c r="D1020" s="9"/>
      <c r="E1020" s="9"/>
      <c r="F1020" s="9"/>
      <c r="G1020" s="16"/>
      <c r="H1020" s="9"/>
      <c r="I1020" s="9"/>
      <c r="J1020" s="9"/>
      <c r="K1020" s="72"/>
      <c r="L1020" s="9"/>
      <c r="M1020" s="9"/>
      <c r="N1020" s="9"/>
      <c r="O1020" s="9"/>
      <c r="P1020" s="9"/>
      <c r="Q1020" s="9"/>
      <c r="R1020" s="9"/>
      <c r="S1020" s="9"/>
      <c r="T1020" s="9"/>
      <c r="U1020" s="9"/>
      <c r="V1020" s="9"/>
      <c r="W1020" s="9"/>
      <c r="X1020" s="9"/>
      <c r="Y1020" s="9"/>
    </row>
    <row r="1021" spans="2:25" x14ac:dyDescent="0.2">
      <c r="B1021" s="7"/>
      <c r="C1021" s="9"/>
      <c r="D1021" s="9"/>
      <c r="E1021" s="9"/>
      <c r="F1021" s="9"/>
      <c r="G1021" s="16"/>
      <c r="H1021" s="9"/>
      <c r="I1021" s="9"/>
      <c r="J1021" s="9"/>
      <c r="K1021" s="72"/>
      <c r="L1021" s="9"/>
      <c r="M1021" s="9"/>
      <c r="N1021" s="9"/>
      <c r="O1021" s="9"/>
      <c r="P1021" s="9"/>
      <c r="Q1021" s="9"/>
      <c r="R1021" s="9"/>
      <c r="S1021" s="9"/>
      <c r="T1021" s="9"/>
      <c r="U1021" s="9"/>
      <c r="V1021" s="9"/>
      <c r="W1021" s="9"/>
      <c r="X1021" s="9"/>
      <c r="Y1021" s="9"/>
    </row>
    <row r="1022" spans="2:25" x14ac:dyDescent="0.2">
      <c r="B1022" s="7"/>
      <c r="C1022" s="9"/>
      <c r="D1022" s="9"/>
      <c r="E1022" s="9"/>
      <c r="F1022" s="9"/>
      <c r="G1022" s="16"/>
      <c r="H1022" s="9"/>
      <c r="I1022" s="9"/>
      <c r="J1022" s="9"/>
      <c r="K1022" s="72"/>
      <c r="L1022" s="9"/>
      <c r="M1022" s="9"/>
      <c r="N1022" s="9"/>
      <c r="O1022" s="9"/>
      <c r="P1022" s="9"/>
      <c r="Q1022" s="9"/>
      <c r="R1022" s="9"/>
      <c r="S1022" s="9"/>
      <c r="T1022" s="9"/>
      <c r="U1022" s="9"/>
      <c r="V1022" s="9"/>
      <c r="W1022" s="9"/>
      <c r="X1022" s="9"/>
      <c r="Y1022" s="9"/>
    </row>
    <row r="1023" spans="2:25" x14ac:dyDescent="0.2">
      <c r="B1023" s="7"/>
      <c r="C1023" s="9"/>
      <c r="D1023" s="9"/>
      <c r="E1023" s="9"/>
      <c r="F1023" s="9"/>
      <c r="G1023" s="16"/>
      <c r="H1023" s="9"/>
      <c r="I1023" s="9"/>
      <c r="J1023" s="9"/>
      <c r="K1023" s="72"/>
      <c r="L1023" s="9"/>
      <c r="M1023" s="9"/>
      <c r="N1023" s="9"/>
      <c r="O1023" s="9"/>
      <c r="P1023" s="9"/>
      <c r="Q1023" s="9"/>
      <c r="R1023" s="9"/>
      <c r="S1023" s="9"/>
      <c r="T1023" s="9"/>
      <c r="U1023" s="9"/>
      <c r="V1023" s="9"/>
      <c r="W1023" s="9"/>
      <c r="X1023" s="9"/>
      <c r="Y1023" s="9"/>
    </row>
    <row r="1024" spans="2:25" x14ac:dyDescent="0.2">
      <c r="B1024" s="7"/>
      <c r="C1024" s="9"/>
      <c r="D1024" s="9"/>
      <c r="E1024" s="9"/>
      <c r="F1024" s="9"/>
      <c r="G1024" s="16"/>
      <c r="H1024" s="9"/>
      <c r="I1024" s="9"/>
      <c r="J1024" s="9"/>
      <c r="K1024" s="72"/>
      <c r="L1024" s="9"/>
      <c r="M1024" s="9"/>
      <c r="N1024" s="9"/>
      <c r="O1024" s="9"/>
      <c r="P1024" s="9"/>
      <c r="Q1024" s="9"/>
      <c r="R1024" s="9"/>
      <c r="S1024" s="9"/>
      <c r="T1024" s="9"/>
      <c r="U1024" s="9"/>
      <c r="V1024" s="9"/>
      <c r="W1024" s="9"/>
      <c r="X1024" s="9"/>
      <c r="Y1024" s="9"/>
    </row>
    <row r="1025" spans="2:25" x14ac:dyDescent="0.2">
      <c r="B1025" s="7"/>
      <c r="C1025" s="9"/>
      <c r="D1025" s="9"/>
      <c r="E1025" s="9"/>
      <c r="F1025" s="9"/>
      <c r="G1025" s="16"/>
      <c r="H1025" s="9"/>
      <c r="I1025" s="9"/>
      <c r="J1025" s="9"/>
      <c r="K1025" s="72"/>
      <c r="L1025" s="9"/>
      <c r="M1025" s="9"/>
      <c r="N1025" s="9"/>
      <c r="O1025" s="9"/>
      <c r="P1025" s="9"/>
      <c r="Q1025" s="9"/>
      <c r="R1025" s="9"/>
      <c r="S1025" s="9"/>
      <c r="T1025" s="9"/>
      <c r="U1025" s="9"/>
      <c r="V1025" s="9"/>
      <c r="W1025" s="9"/>
      <c r="X1025" s="9"/>
      <c r="Y1025" s="9"/>
    </row>
    <row r="1026" spans="2:25" x14ac:dyDescent="0.2">
      <c r="B1026" s="7"/>
      <c r="C1026" s="9"/>
      <c r="D1026" s="9"/>
      <c r="E1026" s="9"/>
      <c r="F1026" s="9"/>
      <c r="G1026" s="16"/>
      <c r="H1026" s="9"/>
      <c r="I1026" s="9"/>
      <c r="J1026" s="9"/>
      <c r="K1026" s="72"/>
      <c r="L1026" s="9"/>
      <c r="M1026" s="9"/>
      <c r="N1026" s="9"/>
      <c r="O1026" s="9"/>
      <c r="P1026" s="9"/>
      <c r="Q1026" s="9"/>
      <c r="R1026" s="9"/>
      <c r="S1026" s="9"/>
      <c r="T1026" s="9"/>
      <c r="U1026" s="9"/>
      <c r="V1026" s="9"/>
      <c r="W1026" s="9"/>
      <c r="X1026" s="9"/>
      <c r="Y1026" s="9"/>
    </row>
    <row r="1027" spans="2:25" x14ac:dyDescent="0.2">
      <c r="B1027" s="7"/>
      <c r="C1027" s="9"/>
      <c r="D1027" s="9"/>
      <c r="E1027" s="9"/>
      <c r="F1027" s="9"/>
      <c r="G1027" s="16"/>
      <c r="H1027" s="9"/>
      <c r="I1027" s="9"/>
      <c r="J1027" s="9"/>
      <c r="K1027" s="72"/>
      <c r="L1027" s="9"/>
      <c r="M1027" s="9"/>
      <c r="N1027" s="9"/>
      <c r="O1027" s="9"/>
      <c r="P1027" s="9"/>
      <c r="Q1027" s="9"/>
      <c r="R1027" s="9"/>
      <c r="S1027" s="9"/>
      <c r="T1027" s="9"/>
      <c r="U1027" s="9"/>
      <c r="V1027" s="9"/>
      <c r="W1027" s="9"/>
      <c r="X1027" s="9"/>
      <c r="Y1027" s="9"/>
    </row>
    <row r="1028" spans="2:25" x14ac:dyDescent="0.2">
      <c r="B1028" s="7"/>
      <c r="C1028" s="9"/>
      <c r="D1028" s="9"/>
      <c r="E1028" s="9"/>
      <c r="F1028" s="9"/>
      <c r="G1028" s="16"/>
      <c r="H1028" s="9"/>
      <c r="I1028" s="9"/>
      <c r="J1028" s="9"/>
      <c r="K1028" s="72"/>
      <c r="L1028" s="9"/>
      <c r="M1028" s="9"/>
      <c r="N1028" s="9"/>
      <c r="O1028" s="9"/>
      <c r="P1028" s="9"/>
      <c r="Q1028" s="9"/>
      <c r="R1028" s="9"/>
      <c r="S1028" s="9"/>
      <c r="T1028" s="9"/>
      <c r="U1028" s="9"/>
      <c r="V1028" s="9"/>
      <c r="W1028" s="9"/>
      <c r="X1028" s="9"/>
      <c r="Y1028" s="9"/>
    </row>
    <row r="1029" spans="2:25" x14ac:dyDescent="0.2">
      <c r="B1029" s="7"/>
      <c r="C1029" s="9"/>
      <c r="D1029" s="9"/>
      <c r="E1029" s="9"/>
      <c r="F1029" s="9"/>
      <c r="G1029" s="16"/>
      <c r="H1029" s="9"/>
      <c r="I1029" s="9"/>
      <c r="J1029" s="9"/>
      <c r="K1029" s="72"/>
      <c r="L1029" s="9"/>
      <c r="M1029" s="9"/>
      <c r="N1029" s="9"/>
      <c r="O1029" s="9"/>
      <c r="P1029" s="9"/>
      <c r="Q1029" s="9"/>
      <c r="R1029" s="9"/>
      <c r="S1029" s="9"/>
      <c r="T1029" s="9"/>
      <c r="U1029" s="9"/>
      <c r="V1029" s="9"/>
      <c r="W1029" s="9"/>
      <c r="X1029" s="9"/>
      <c r="Y1029" s="9"/>
    </row>
    <row r="1030" spans="2:25" x14ac:dyDescent="0.2">
      <c r="B1030" s="7"/>
      <c r="C1030" s="9"/>
      <c r="D1030" s="9"/>
      <c r="E1030" s="9"/>
      <c r="F1030" s="9"/>
      <c r="G1030" s="16"/>
      <c r="H1030" s="9"/>
      <c r="I1030" s="9"/>
      <c r="J1030" s="9"/>
      <c r="K1030" s="72"/>
      <c r="L1030" s="9"/>
      <c r="M1030" s="9"/>
      <c r="N1030" s="9"/>
      <c r="O1030" s="9"/>
      <c r="P1030" s="9"/>
      <c r="Q1030" s="9"/>
      <c r="R1030" s="9"/>
      <c r="S1030" s="9"/>
      <c r="T1030" s="9"/>
      <c r="U1030" s="9"/>
      <c r="V1030" s="9"/>
      <c r="W1030" s="9"/>
      <c r="X1030" s="9"/>
      <c r="Y1030" s="9"/>
    </row>
    <row r="1031" spans="2:25" x14ac:dyDescent="0.2">
      <c r="B1031" s="7"/>
      <c r="C1031" s="9"/>
      <c r="D1031" s="9"/>
      <c r="E1031" s="9"/>
      <c r="F1031" s="9"/>
      <c r="G1031" s="16"/>
      <c r="H1031" s="9"/>
      <c r="I1031" s="9"/>
      <c r="J1031" s="9"/>
      <c r="K1031" s="72"/>
      <c r="L1031" s="9"/>
      <c r="M1031" s="9"/>
      <c r="N1031" s="9"/>
      <c r="O1031" s="9"/>
      <c r="P1031" s="9"/>
      <c r="Q1031" s="9"/>
      <c r="R1031" s="9"/>
      <c r="S1031" s="9"/>
      <c r="T1031" s="9"/>
      <c r="U1031" s="9"/>
      <c r="V1031" s="9"/>
      <c r="W1031" s="9"/>
      <c r="X1031" s="9"/>
      <c r="Y1031" s="9"/>
    </row>
    <row r="1032" spans="2:25" x14ac:dyDescent="0.2">
      <c r="B1032" s="7"/>
      <c r="C1032" s="9"/>
      <c r="D1032" s="9"/>
      <c r="E1032" s="9"/>
      <c r="F1032" s="9"/>
      <c r="G1032" s="16"/>
      <c r="H1032" s="9"/>
      <c r="I1032" s="9"/>
      <c r="J1032" s="9"/>
      <c r="K1032" s="72"/>
      <c r="L1032" s="9"/>
      <c r="M1032" s="9"/>
      <c r="N1032" s="9"/>
      <c r="O1032" s="9"/>
      <c r="P1032" s="9"/>
      <c r="Q1032" s="9"/>
      <c r="R1032" s="9"/>
      <c r="S1032" s="9"/>
      <c r="T1032" s="9"/>
      <c r="U1032" s="9"/>
      <c r="V1032" s="9"/>
      <c r="W1032" s="9"/>
      <c r="X1032" s="9"/>
      <c r="Y1032" s="9"/>
    </row>
    <row r="1033" spans="2:25" x14ac:dyDescent="0.2">
      <c r="B1033" s="7"/>
      <c r="C1033" s="9"/>
      <c r="D1033" s="9"/>
      <c r="E1033" s="9"/>
      <c r="F1033" s="9"/>
      <c r="G1033" s="16"/>
      <c r="H1033" s="9"/>
      <c r="I1033" s="9"/>
      <c r="J1033" s="9"/>
      <c r="K1033" s="72"/>
      <c r="L1033" s="9"/>
      <c r="M1033" s="9"/>
      <c r="N1033" s="9"/>
      <c r="O1033" s="9"/>
      <c r="P1033" s="9"/>
      <c r="Q1033" s="9"/>
      <c r="R1033" s="9"/>
      <c r="S1033" s="9"/>
      <c r="T1033" s="9"/>
      <c r="U1033" s="9"/>
      <c r="V1033" s="9"/>
      <c r="W1033" s="9"/>
      <c r="X1033" s="9"/>
      <c r="Y1033" s="9"/>
    </row>
    <row r="1034" spans="2:25" x14ac:dyDescent="0.2">
      <c r="B1034" s="7"/>
      <c r="C1034" s="9"/>
      <c r="D1034" s="9"/>
      <c r="E1034" s="9"/>
      <c r="F1034" s="9"/>
      <c r="G1034" s="16"/>
      <c r="H1034" s="9"/>
      <c r="I1034" s="9"/>
      <c r="J1034" s="9"/>
      <c r="K1034" s="72"/>
      <c r="L1034" s="9"/>
      <c r="M1034" s="9"/>
      <c r="N1034" s="9"/>
      <c r="O1034" s="9"/>
      <c r="P1034" s="9"/>
      <c r="Q1034" s="9"/>
      <c r="R1034" s="9"/>
      <c r="S1034" s="9"/>
      <c r="T1034" s="9"/>
      <c r="U1034" s="9"/>
      <c r="V1034" s="9"/>
      <c r="W1034" s="9"/>
      <c r="X1034" s="9"/>
      <c r="Y1034" s="9"/>
    </row>
    <row r="1035" spans="2:25" x14ac:dyDescent="0.2">
      <c r="B1035" s="7"/>
      <c r="C1035" s="9"/>
      <c r="D1035" s="9"/>
      <c r="E1035" s="9"/>
      <c r="F1035" s="9"/>
      <c r="G1035" s="16"/>
      <c r="H1035" s="9"/>
      <c r="I1035" s="9"/>
      <c r="J1035" s="9"/>
      <c r="K1035" s="72"/>
      <c r="L1035" s="9"/>
      <c r="M1035" s="9"/>
      <c r="N1035" s="9"/>
      <c r="O1035" s="9"/>
      <c r="P1035" s="9"/>
      <c r="Q1035" s="9"/>
      <c r="R1035" s="9"/>
      <c r="S1035" s="9"/>
      <c r="T1035" s="9"/>
      <c r="U1035" s="9"/>
      <c r="V1035" s="9"/>
      <c r="W1035" s="9"/>
      <c r="X1035" s="9"/>
      <c r="Y1035" s="9"/>
    </row>
    <row r="1036" spans="2:25" x14ac:dyDescent="0.2">
      <c r="B1036" s="7"/>
      <c r="C1036" s="9"/>
      <c r="D1036" s="9"/>
      <c r="E1036" s="9"/>
      <c r="F1036" s="9"/>
      <c r="G1036" s="16"/>
      <c r="H1036" s="9"/>
      <c r="I1036" s="9"/>
      <c r="J1036" s="9"/>
      <c r="K1036" s="72"/>
      <c r="L1036" s="9"/>
      <c r="M1036" s="9"/>
      <c r="N1036" s="9"/>
      <c r="O1036" s="9"/>
      <c r="P1036" s="9"/>
      <c r="Q1036" s="9"/>
      <c r="R1036" s="9"/>
      <c r="S1036" s="9"/>
      <c r="T1036" s="9"/>
      <c r="U1036" s="9"/>
      <c r="V1036" s="9"/>
      <c r="W1036" s="9"/>
      <c r="X1036" s="9"/>
      <c r="Y1036" s="9"/>
    </row>
    <row r="1037" spans="2:25" x14ac:dyDescent="0.2">
      <c r="B1037" s="7"/>
      <c r="C1037" s="9"/>
      <c r="D1037" s="9"/>
      <c r="E1037" s="9"/>
      <c r="F1037" s="9"/>
      <c r="G1037" s="16"/>
      <c r="H1037" s="9"/>
      <c r="I1037" s="9"/>
      <c r="J1037" s="9"/>
      <c r="K1037" s="72"/>
      <c r="L1037" s="9"/>
      <c r="M1037" s="9"/>
      <c r="N1037" s="9"/>
      <c r="O1037" s="9"/>
      <c r="P1037" s="9"/>
      <c r="Q1037" s="9"/>
      <c r="R1037" s="9"/>
      <c r="S1037" s="9"/>
      <c r="T1037" s="9"/>
      <c r="U1037" s="9"/>
      <c r="V1037" s="9"/>
      <c r="W1037" s="9"/>
      <c r="X1037" s="9"/>
      <c r="Y1037" s="9"/>
    </row>
    <row r="1038" spans="2:25" x14ac:dyDescent="0.2">
      <c r="B1038" s="7"/>
      <c r="C1038" s="9"/>
      <c r="D1038" s="9"/>
      <c r="E1038" s="9"/>
      <c r="F1038" s="9"/>
      <c r="G1038" s="16"/>
      <c r="H1038" s="9"/>
      <c r="I1038" s="9"/>
      <c r="J1038" s="9"/>
      <c r="K1038" s="72"/>
      <c r="L1038" s="9"/>
      <c r="M1038" s="9"/>
      <c r="N1038" s="9"/>
      <c r="O1038" s="9"/>
      <c r="P1038" s="9"/>
      <c r="Q1038" s="9"/>
      <c r="R1038" s="9"/>
      <c r="S1038" s="9"/>
      <c r="T1038" s="9"/>
      <c r="U1038" s="9"/>
      <c r="V1038" s="9"/>
      <c r="W1038" s="9"/>
      <c r="X1038" s="9"/>
      <c r="Y1038" s="9"/>
    </row>
    <row r="1039" spans="2:25" x14ac:dyDescent="0.2">
      <c r="B1039" s="7"/>
      <c r="C1039" s="9"/>
      <c r="D1039" s="9"/>
      <c r="E1039" s="9"/>
      <c r="F1039" s="9"/>
      <c r="G1039" s="16"/>
      <c r="H1039" s="9"/>
      <c r="I1039" s="9"/>
      <c r="J1039" s="9"/>
      <c r="K1039" s="72"/>
      <c r="L1039" s="9"/>
      <c r="M1039" s="9"/>
      <c r="N1039" s="9"/>
      <c r="O1039" s="9"/>
      <c r="P1039" s="9"/>
      <c r="Q1039" s="9"/>
      <c r="R1039" s="9"/>
      <c r="S1039" s="9"/>
      <c r="T1039" s="9"/>
      <c r="U1039" s="9"/>
      <c r="V1039" s="9"/>
      <c r="W1039" s="9"/>
      <c r="X1039" s="9"/>
      <c r="Y1039" s="9"/>
    </row>
    <row r="1040" spans="2:25" x14ac:dyDescent="0.2">
      <c r="B1040" s="7"/>
      <c r="C1040" s="9"/>
      <c r="D1040" s="9"/>
      <c r="E1040" s="9"/>
      <c r="F1040" s="9"/>
      <c r="G1040" s="16"/>
      <c r="H1040" s="9"/>
      <c r="I1040" s="9"/>
      <c r="J1040" s="9"/>
      <c r="K1040" s="72"/>
      <c r="L1040" s="9"/>
      <c r="M1040" s="9"/>
      <c r="N1040" s="9"/>
      <c r="O1040" s="9"/>
      <c r="P1040" s="9"/>
      <c r="Q1040" s="9"/>
      <c r="R1040" s="9"/>
      <c r="S1040" s="9"/>
      <c r="T1040" s="9"/>
      <c r="U1040" s="9"/>
      <c r="V1040" s="9"/>
      <c r="W1040" s="9"/>
      <c r="X1040" s="9"/>
      <c r="Y1040" s="9"/>
    </row>
    <row r="1041" spans="2:25" x14ac:dyDescent="0.2">
      <c r="B1041" s="7"/>
      <c r="C1041" s="9"/>
      <c r="D1041" s="9"/>
      <c r="E1041" s="9"/>
      <c r="F1041" s="9"/>
      <c r="G1041" s="16"/>
      <c r="H1041" s="9"/>
      <c r="I1041" s="9"/>
      <c r="J1041" s="9"/>
      <c r="K1041" s="72"/>
      <c r="L1041" s="9"/>
      <c r="M1041" s="9"/>
      <c r="N1041" s="9"/>
      <c r="O1041" s="9"/>
      <c r="P1041" s="9"/>
      <c r="Q1041" s="9"/>
      <c r="R1041" s="9"/>
      <c r="S1041" s="9"/>
      <c r="T1041" s="9"/>
      <c r="U1041" s="9"/>
      <c r="V1041" s="9"/>
      <c r="W1041" s="9"/>
      <c r="X1041" s="9"/>
      <c r="Y1041" s="9"/>
    </row>
    <row r="1042" spans="2:25" x14ac:dyDescent="0.2">
      <c r="B1042" s="7"/>
      <c r="C1042" s="9"/>
      <c r="D1042" s="9"/>
      <c r="E1042" s="9"/>
      <c r="F1042" s="9"/>
      <c r="G1042" s="16"/>
      <c r="H1042" s="9"/>
      <c r="I1042" s="9"/>
      <c r="J1042" s="9"/>
      <c r="K1042" s="72"/>
      <c r="L1042" s="9"/>
      <c r="M1042" s="9"/>
      <c r="N1042" s="9"/>
      <c r="O1042" s="9"/>
      <c r="P1042" s="9"/>
      <c r="Q1042" s="9"/>
      <c r="R1042" s="9"/>
      <c r="S1042" s="9"/>
      <c r="T1042" s="9"/>
      <c r="U1042" s="9"/>
      <c r="V1042" s="9"/>
      <c r="W1042" s="9"/>
      <c r="X1042" s="9"/>
      <c r="Y1042" s="9"/>
    </row>
    <row r="1043" spans="2:25" x14ac:dyDescent="0.2">
      <c r="B1043" s="7"/>
      <c r="C1043" s="9"/>
      <c r="D1043" s="9"/>
      <c r="E1043" s="9"/>
      <c r="F1043" s="9"/>
      <c r="G1043" s="16"/>
      <c r="H1043" s="9"/>
      <c r="I1043" s="9"/>
      <c r="J1043" s="9"/>
      <c r="K1043" s="72"/>
      <c r="L1043" s="9"/>
      <c r="M1043" s="9"/>
      <c r="N1043" s="9"/>
      <c r="O1043" s="9"/>
      <c r="P1043" s="9"/>
      <c r="Q1043" s="9"/>
      <c r="R1043" s="9"/>
      <c r="S1043" s="9"/>
      <c r="T1043" s="9"/>
      <c r="U1043" s="9"/>
      <c r="V1043" s="9"/>
      <c r="W1043" s="9"/>
      <c r="X1043" s="9"/>
      <c r="Y1043" s="9"/>
    </row>
    <row r="1044" spans="2:25" x14ac:dyDescent="0.2">
      <c r="B1044" s="7"/>
      <c r="C1044" s="9"/>
      <c r="D1044" s="9"/>
      <c r="E1044" s="9"/>
      <c r="F1044" s="9"/>
      <c r="G1044" s="16"/>
      <c r="H1044" s="9"/>
      <c r="I1044" s="9"/>
      <c r="J1044" s="9"/>
      <c r="K1044" s="72"/>
      <c r="L1044" s="9"/>
      <c r="M1044" s="9"/>
      <c r="N1044" s="9"/>
      <c r="O1044" s="9"/>
      <c r="P1044" s="9"/>
      <c r="Q1044" s="9"/>
      <c r="R1044" s="9"/>
      <c r="S1044" s="9"/>
      <c r="T1044" s="9"/>
      <c r="U1044" s="9"/>
      <c r="V1044" s="9"/>
      <c r="W1044" s="9"/>
      <c r="X1044" s="9"/>
      <c r="Y1044" s="9"/>
    </row>
    <row r="1045" spans="2:25" x14ac:dyDescent="0.2">
      <c r="B1045" s="7"/>
      <c r="C1045" s="9"/>
      <c r="D1045" s="9"/>
      <c r="E1045" s="9"/>
      <c r="F1045" s="9"/>
      <c r="G1045" s="16"/>
      <c r="H1045" s="9"/>
      <c r="I1045" s="9"/>
      <c r="J1045" s="9"/>
      <c r="K1045" s="72"/>
      <c r="L1045" s="9"/>
      <c r="M1045" s="9"/>
      <c r="N1045" s="9"/>
      <c r="O1045" s="9"/>
      <c r="P1045" s="9"/>
      <c r="Q1045" s="9"/>
      <c r="R1045" s="9"/>
      <c r="S1045" s="9"/>
      <c r="T1045" s="9"/>
      <c r="U1045" s="9"/>
      <c r="V1045" s="9"/>
      <c r="W1045" s="9"/>
      <c r="X1045" s="9"/>
      <c r="Y1045" s="9"/>
    </row>
    <row r="1046" spans="2:25" x14ac:dyDescent="0.2">
      <c r="B1046" s="7"/>
      <c r="C1046" s="9"/>
      <c r="D1046" s="9"/>
      <c r="E1046" s="9"/>
      <c r="F1046" s="9"/>
      <c r="G1046" s="16"/>
      <c r="H1046" s="9"/>
      <c r="I1046" s="9"/>
      <c r="J1046" s="9"/>
      <c r="K1046" s="72"/>
      <c r="L1046" s="9"/>
      <c r="M1046" s="9"/>
      <c r="N1046" s="9"/>
      <c r="O1046" s="9"/>
      <c r="P1046" s="9"/>
      <c r="Q1046" s="9"/>
      <c r="R1046" s="9"/>
      <c r="S1046" s="9"/>
      <c r="T1046" s="9"/>
      <c r="U1046" s="9"/>
      <c r="V1046" s="9"/>
      <c r="W1046" s="9"/>
      <c r="X1046" s="9"/>
      <c r="Y1046" s="9"/>
    </row>
    <row r="1047" spans="2:25" x14ac:dyDescent="0.2">
      <c r="B1047" s="7"/>
      <c r="C1047" s="9"/>
      <c r="D1047" s="9"/>
      <c r="E1047" s="9"/>
      <c r="F1047" s="9"/>
      <c r="G1047" s="16"/>
      <c r="H1047" s="9"/>
      <c r="I1047" s="9"/>
      <c r="J1047" s="9"/>
      <c r="K1047" s="72"/>
      <c r="L1047" s="9"/>
      <c r="M1047" s="9"/>
      <c r="N1047" s="9"/>
      <c r="O1047" s="9"/>
      <c r="P1047" s="9"/>
      <c r="Q1047" s="9"/>
      <c r="R1047" s="9"/>
      <c r="S1047" s="9"/>
      <c r="T1047" s="9"/>
      <c r="U1047" s="9"/>
      <c r="V1047" s="9"/>
      <c r="W1047" s="9"/>
      <c r="X1047" s="9"/>
      <c r="Y1047" s="9"/>
    </row>
    <row r="1048" spans="2:25" x14ac:dyDescent="0.2">
      <c r="B1048" s="7"/>
      <c r="C1048" s="9"/>
      <c r="D1048" s="9"/>
      <c r="E1048" s="9"/>
      <c r="F1048" s="9"/>
      <c r="G1048" s="16"/>
      <c r="H1048" s="9"/>
      <c r="I1048" s="9"/>
      <c r="J1048" s="9"/>
      <c r="K1048" s="72"/>
      <c r="L1048" s="9"/>
      <c r="M1048" s="9"/>
      <c r="N1048" s="9"/>
      <c r="O1048" s="9"/>
      <c r="P1048" s="9"/>
      <c r="Q1048" s="9"/>
      <c r="R1048" s="9"/>
      <c r="S1048" s="9"/>
      <c r="T1048" s="9"/>
      <c r="U1048" s="9"/>
      <c r="V1048" s="9"/>
      <c r="W1048" s="9"/>
      <c r="X1048" s="9"/>
      <c r="Y1048" s="9"/>
    </row>
    <row r="1049" spans="2:25" x14ac:dyDescent="0.2">
      <c r="B1049" s="7"/>
      <c r="C1049" s="9"/>
      <c r="D1049" s="9"/>
      <c r="E1049" s="9"/>
      <c r="F1049" s="9"/>
      <c r="G1049" s="16"/>
      <c r="H1049" s="9"/>
      <c r="I1049" s="9"/>
      <c r="J1049" s="9"/>
      <c r="K1049" s="72"/>
      <c r="L1049" s="9"/>
      <c r="M1049" s="9"/>
      <c r="N1049" s="9"/>
      <c r="O1049" s="9"/>
      <c r="P1049" s="9"/>
      <c r="Q1049" s="9"/>
      <c r="R1049" s="9"/>
      <c r="S1049" s="9"/>
      <c r="T1049" s="9"/>
      <c r="U1049" s="9"/>
      <c r="V1049" s="9"/>
      <c r="W1049" s="9"/>
      <c r="X1049" s="9"/>
      <c r="Y1049" s="9"/>
    </row>
    <row r="1050" spans="2:25" x14ac:dyDescent="0.2">
      <c r="B1050" s="7"/>
      <c r="C1050" s="9"/>
      <c r="D1050" s="9"/>
      <c r="E1050" s="9"/>
      <c r="F1050" s="9"/>
      <c r="G1050" s="16"/>
      <c r="H1050" s="9"/>
      <c r="I1050" s="9"/>
      <c r="J1050" s="9"/>
      <c r="K1050" s="72"/>
      <c r="L1050" s="9"/>
      <c r="M1050" s="9"/>
      <c r="N1050" s="9"/>
      <c r="O1050" s="9"/>
      <c r="P1050" s="9"/>
      <c r="Q1050" s="9"/>
      <c r="R1050" s="9"/>
      <c r="S1050" s="9"/>
      <c r="T1050" s="9"/>
      <c r="U1050" s="9"/>
      <c r="V1050" s="9"/>
      <c r="W1050" s="9"/>
      <c r="X1050" s="9"/>
      <c r="Y1050" s="9"/>
    </row>
    <row r="1051" spans="2:25" x14ac:dyDescent="0.2">
      <c r="B1051" s="7"/>
      <c r="C1051" s="9"/>
      <c r="D1051" s="9"/>
      <c r="E1051" s="9"/>
      <c r="F1051" s="9"/>
      <c r="G1051" s="16"/>
      <c r="H1051" s="9"/>
      <c r="I1051" s="9"/>
      <c r="J1051" s="9"/>
      <c r="K1051" s="72"/>
      <c r="L1051" s="9"/>
      <c r="M1051" s="9"/>
      <c r="N1051" s="9"/>
      <c r="O1051" s="9"/>
      <c r="P1051" s="9"/>
      <c r="Q1051" s="9"/>
      <c r="R1051" s="9"/>
      <c r="S1051" s="9"/>
      <c r="T1051" s="9"/>
      <c r="U1051" s="9"/>
      <c r="V1051" s="9"/>
      <c r="W1051" s="9"/>
      <c r="X1051" s="9"/>
      <c r="Y1051" s="9"/>
    </row>
    <row r="1052" spans="2:25" x14ac:dyDescent="0.2">
      <c r="B1052" s="7"/>
      <c r="C1052" s="9"/>
      <c r="D1052" s="9"/>
      <c r="E1052" s="9"/>
      <c r="F1052" s="9"/>
      <c r="G1052" s="16"/>
      <c r="H1052" s="9"/>
      <c r="I1052" s="9"/>
      <c r="J1052" s="9"/>
      <c r="K1052" s="72"/>
      <c r="L1052" s="9"/>
      <c r="M1052" s="9"/>
      <c r="N1052" s="9"/>
      <c r="O1052" s="9"/>
      <c r="P1052" s="9"/>
      <c r="Q1052" s="9"/>
      <c r="R1052" s="9"/>
      <c r="S1052" s="9"/>
      <c r="T1052" s="9"/>
      <c r="U1052" s="9"/>
      <c r="V1052" s="9"/>
      <c r="W1052" s="9"/>
      <c r="X1052" s="9"/>
      <c r="Y1052" s="9"/>
    </row>
    <row r="1053" spans="2:25" x14ac:dyDescent="0.2">
      <c r="B1053" s="7"/>
      <c r="C1053" s="9"/>
      <c r="D1053" s="9"/>
      <c r="E1053" s="9"/>
      <c r="F1053" s="9"/>
      <c r="G1053" s="16"/>
      <c r="H1053" s="9"/>
      <c r="I1053" s="9"/>
      <c r="J1053" s="9"/>
      <c r="K1053" s="72"/>
      <c r="L1053" s="9"/>
      <c r="M1053" s="9"/>
      <c r="N1053" s="9"/>
      <c r="O1053" s="9"/>
      <c r="P1053" s="9"/>
      <c r="Q1053" s="9"/>
      <c r="R1053" s="9"/>
      <c r="S1053" s="9"/>
      <c r="T1053" s="9"/>
      <c r="U1053" s="9"/>
      <c r="V1053" s="9"/>
      <c r="W1053" s="9"/>
      <c r="X1053" s="9"/>
      <c r="Y1053" s="9"/>
    </row>
    <row r="1054" spans="2:25" x14ac:dyDescent="0.2">
      <c r="B1054" s="7"/>
      <c r="C1054" s="9"/>
      <c r="D1054" s="9"/>
      <c r="E1054" s="9"/>
      <c r="F1054" s="9"/>
      <c r="G1054" s="16"/>
      <c r="H1054" s="9"/>
      <c r="I1054" s="9"/>
      <c r="J1054" s="9"/>
      <c r="K1054" s="72"/>
      <c r="L1054" s="9"/>
      <c r="M1054" s="9"/>
      <c r="N1054" s="9"/>
      <c r="O1054" s="9"/>
      <c r="P1054" s="9"/>
      <c r="Q1054" s="9"/>
      <c r="R1054" s="9"/>
      <c r="S1054" s="9"/>
      <c r="T1054" s="9"/>
      <c r="U1054" s="9"/>
      <c r="V1054" s="9"/>
      <c r="W1054" s="9"/>
      <c r="X1054" s="9"/>
      <c r="Y1054" s="9"/>
    </row>
    <row r="1055" spans="2:25" x14ac:dyDescent="0.2">
      <c r="B1055" s="7"/>
      <c r="C1055" s="9"/>
      <c r="D1055" s="9"/>
      <c r="E1055" s="9"/>
      <c r="F1055" s="9"/>
      <c r="G1055" s="16"/>
      <c r="H1055" s="9"/>
      <c r="I1055" s="9"/>
      <c r="J1055" s="9"/>
      <c r="K1055" s="72"/>
      <c r="L1055" s="9"/>
      <c r="M1055" s="9"/>
      <c r="N1055" s="9"/>
      <c r="O1055" s="9"/>
      <c r="P1055" s="9"/>
      <c r="Q1055" s="9"/>
      <c r="R1055" s="9"/>
      <c r="S1055" s="9"/>
      <c r="T1055" s="9"/>
      <c r="U1055" s="9"/>
      <c r="V1055" s="9"/>
      <c r="W1055" s="9"/>
      <c r="X1055" s="9"/>
      <c r="Y1055" s="9"/>
    </row>
    <row r="1056" spans="2:25" x14ac:dyDescent="0.2">
      <c r="B1056" s="7"/>
      <c r="C1056" s="9"/>
      <c r="D1056" s="9"/>
      <c r="E1056" s="9"/>
      <c r="F1056" s="9"/>
      <c r="G1056" s="16"/>
      <c r="H1056" s="9"/>
      <c r="I1056" s="9"/>
      <c r="J1056" s="9"/>
      <c r="K1056" s="72"/>
      <c r="L1056" s="9"/>
      <c r="M1056" s="9"/>
      <c r="N1056" s="9"/>
      <c r="O1056" s="9"/>
      <c r="P1056" s="9"/>
      <c r="Q1056" s="9"/>
      <c r="R1056" s="9"/>
      <c r="S1056" s="9"/>
      <c r="T1056" s="9"/>
      <c r="U1056" s="9"/>
      <c r="V1056" s="9"/>
      <c r="W1056" s="9"/>
      <c r="X1056" s="9"/>
      <c r="Y1056" s="9"/>
    </row>
    <row r="1057" spans="2:25" x14ac:dyDescent="0.2">
      <c r="B1057" s="7"/>
      <c r="C1057" s="9"/>
      <c r="D1057" s="9"/>
      <c r="E1057" s="9"/>
      <c r="F1057" s="9"/>
      <c r="G1057" s="16"/>
      <c r="H1057" s="9"/>
      <c r="I1057" s="9"/>
      <c r="J1057" s="9"/>
      <c r="K1057" s="72"/>
      <c r="L1057" s="9"/>
      <c r="M1057" s="9"/>
      <c r="N1057" s="9"/>
      <c r="O1057" s="9"/>
      <c r="P1057" s="9"/>
      <c r="Q1057" s="9"/>
      <c r="R1057" s="9"/>
      <c r="S1057" s="9"/>
      <c r="T1057" s="9"/>
      <c r="U1057" s="9"/>
      <c r="V1057" s="9"/>
      <c r="W1057" s="9"/>
      <c r="X1057" s="9"/>
      <c r="Y1057" s="9"/>
    </row>
    <row r="1058" spans="2:25" x14ac:dyDescent="0.2">
      <c r="B1058" s="7"/>
      <c r="C1058" s="9"/>
      <c r="D1058" s="9"/>
      <c r="E1058" s="9"/>
      <c r="F1058" s="9"/>
      <c r="G1058" s="16"/>
      <c r="H1058" s="9"/>
      <c r="I1058" s="9"/>
      <c r="J1058" s="9"/>
      <c r="K1058" s="72"/>
      <c r="L1058" s="9"/>
      <c r="M1058" s="9"/>
      <c r="N1058" s="9"/>
      <c r="O1058" s="9"/>
      <c r="P1058" s="9"/>
      <c r="Q1058" s="9"/>
      <c r="R1058" s="9"/>
      <c r="S1058" s="9"/>
      <c r="T1058" s="9"/>
      <c r="U1058" s="9"/>
      <c r="V1058" s="9"/>
      <c r="W1058" s="9"/>
      <c r="X1058" s="9"/>
      <c r="Y1058" s="9"/>
    </row>
    <row r="1059" spans="2:25" x14ac:dyDescent="0.2">
      <c r="B1059" s="7"/>
      <c r="C1059" s="9"/>
      <c r="D1059" s="9"/>
      <c r="E1059" s="9"/>
      <c r="F1059" s="9"/>
      <c r="G1059" s="16"/>
      <c r="H1059" s="9"/>
      <c r="I1059" s="9"/>
      <c r="J1059" s="9"/>
      <c r="K1059" s="72"/>
      <c r="L1059" s="9"/>
      <c r="M1059" s="9"/>
      <c r="N1059" s="9"/>
      <c r="O1059" s="9"/>
      <c r="P1059" s="9"/>
      <c r="Q1059" s="9"/>
      <c r="R1059" s="9"/>
      <c r="S1059" s="9"/>
      <c r="T1059" s="9"/>
      <c r="U1059" s="9"/>
      <c r="V1059" s="9"/>
      <c r="W1059" s="9"/>
      <c r="X1059" s="9"/>
      <c r="Y1059" s="9"/>
    </row>
    <row r="1060" spans="2:25" x14ac:dyDescent="0.2">
      <c r="B1060" s="7"/>
      <c r="C1060" s="9"/>
      <c r="D1060" s="9"/>
      <c r="E1060" s="9"/>
      <c r="F1060" s="9"/>
      <c r="G1060" s="16"/>
      <c r="H1060" s="9"/>
      <c r="I1060" s="9"/>
      <c r="J1060" s="9"/>
      <c r="K1060" s="72"/>
      <c r="L1060" s="9"/>
      <c r="M1060" s="9"/>
      <c r="N1060" s="9"/>
      <c r="O1060" s="9"/>
      <c r="P1060" s="9"/>
      <c r="Q1060" s="9"/>
      <c r="R1060" s="9"/>
      <c r="S1060" s="9"/>
      <c r="T1060" s="9"/>
      <c r="U1060" s="9"/>
      <c r="V1060" s="9"/>
      <c r="W1060" s="9"/>
      <c r="X1060" s="9"/>
      <c r="Y1060" s="9"/>
    </row>
    <row r="1061" spans="2:25" x14ac:dyDescent="0.2">
      <c r="B1061" s="7"/>
      <c r="C1061" s="9"/>
      <c r="D1061" s="9"/>
      <c r="E1061" s="9"/>
      <c r="F1061" s="9"/>
      <c r="G1061" s="16"/>
      <c r="H1061" s="9"/>
      <c r="I1061" s="9"/>
      <c r="J1061" s="9"/>
      <c r="K1061" s="72"/>
      <c r="L1061" s="9"/>
      <c r="M1061" s="9"/>
      <c r="N1061" s="9"/>
      <c r="O1061" s="9"/>
      <c r="P1061" s="9"/>
      <c r="Q1061" s="9"/>
      <c r="R1061" s="9"/>
      <c r="S1061" s="9"/>
      <c r="T1061" s="9"/>
      <c r="U1061" s="9"/>
      <c r="V1061" s="9"/>
      <c r="W1061" s="9"/>
      <c r="X1061" s="9"/>
      <c r="Y1061" s="9"/>
    </row>
    <row r="1062" spans="2:25" x14ac:dyDescent="0.2">
      <c r="B1062" s="7"/>
      <c r="C1062" s="9"/>
      <c r="D1062" s="9"/>
      <c r="E1062" s="9"/>
      <c r="F1062" s="9"/>
      <c r="G1062" s="16"/>
      <c r="H1062" s="9"/>
      <c r="I1062" s="9"/>
      <c r="J1062" s="9"/>
      <c r="K1062" s="72"/>
      <c r="L1062" s="9"/>
      <c r="M1062" s="9"/>
      <c r="N1062" s="9"/>
      <c r="O1062" s="9"/>
      <c r="P1062" s="9"/>
      <c r="Q1062" s="9"/>
      <c r="R1062" s="9"/>
      <c r="S1062" s="9"/>
      <c r="T1062" s="9"/>
      <c r="U1062" s="9"/>
      <c r="V1062" s="9"/>
      <c r="W1062" s="9"/>
      <c r="X1062" s="9"/>
      <c r="Y1062" s="9"/>
    </row>
    <row r="1063" spans="2:25" x14ac:dyDescent="0.2">
      <c r="B1063" s="7"/>
      <c r="C1063" s="9"/>
      <c r="D1063" s="9"/>
      <c r="E1063" s="9"/>
      <c r="F1063" s="9"/>
      <c r="G1063" s="16"/>
      <c r="H1063" s="9"/>
      <c r="I1063" s="9"/>
      <c r="J1063" s="9"/>
      <c r="K1063" s="72"/>
      <c r="L1063" s="9"/>
      <c r="M1063" s="9"/>
      <c r="N1063" s="9"/>
      <c r="O1063" s="9"/>
      <c r="P1063" s="9"/>
      <c r="Q1063" s="9"/>
      <c r="R1063" s="9"/>
      <c r="S1063" s="9"/>
      <c r="T1063" s="9"/>
      <c r="U1063" s="9"/>
      <c r="V1063" s="9"/>
      <c r="W1063" s="9"/>
      <c r="X1063" s="9"/>
      <c r="Y1063" s="9"/>
    </row>
    <row r="1064" spans="2:25" x14ac:dyDescent="0.2">
      <c r="B1064" s="7"/>
      <c r="C1064" s="9"/>
      <c r="D1064" s="9"/>
      <c r="E1064" s="9"/>
      <c r="F1064" s="9"/>
      <c r="G1064" s="16"/>
      <c r="H1064" s="9"/>
      <c r="I1064" s="9"/>
      <c r="J1064" s="9"/>
      <c r="K1064" s="72"/>
      <c r="L1064" s="9"/>
      <c r="M1064" s="9"/>
      <c r="N1064" s="9"/>
      <c r="O1064" s="9"/>
      <c r="P1064" s="9"/>
      <c r="Q1064" s="9"/>
      <c r="R1064" s="9"/>
      <c r="S1064" s="9"/>
      <c r="T1064" s="9"/>
      <c r="U1064" s="9"/>
      <c r="V1064" s="9"/>
      <c r="W1064" s="9"/>
      <c r="X1064" s="9"/>
      <c r="Y1064" s="9"/>
    </row>
    <row r="1065" spans="2:25" x14ac:dyDescent="0.2">
      <c r="B1065" s="7"/>
      <c r="C1065" s="9"/>
      <c r="D1065" s="9"/>
      <c r="E1065" s="9"/>
      <c r="F1065" s="9"/>
      <c r="G1065" s="16"/>
      <c r="H1065" s="9"/>
      <c r="I1065" s="9"/>
      <c r="J1065" s="9"/>
      <c r="K1065" s="72"/>
      <c r="L1065" s="9"/>
      <c r="M1065" s="9"/>
      <c r="N1065" s="9"/>
      <c r="O1065" s="9"/>
      <c r="P1065" s="9"/>
      <c r="Q1065" s="9"/>
      <c r="R1065" s="9"/>
      <c r="S1065" s="9"/>
      <c r="T1065" s="9"/>
      <c r="U1065" s="9"/>
      <c r="V1065" s="9"/>
      <c r="W1065" s="9"/>
      <c r="X1065" s="9"/>
      <c r="Y1065" s="9"/>
    </row>
    <row r="1066" spans="2:25" x14ac:dyDescent="0.2">
      <c r="B1066" s="7"/>
      <c r="C1066" s="9"/>
      <c r="D1066" s="9"/>
      <c r="E1066" s="9"/>
      <c r="F1066" s="9"/>
      <c r="G1066" s="16"/>
      <c r="H1066" s="9"/>
      <c r="I1066" s="9"/>
      <c r="J1066" s="9"/>
      <c r="K1066" s="72"/>
      <c r="L1066" s="9"/>
      <c r="M1066" s="9"/>
      <c r="N1066" s="9"/>
      <c r="O1066" s="9"/>
      <c r="P1066" s="9"/>
      <c r="Q1066" s="9"/>
      <c r="R1066" s="9"/>
      <c r="S1066" s="9"/>
      <c r="T1066" s="9"/>
      <c r="U1066" s="9"/>
      <c r="V1066" s="9"/>
      <c r="W1066" s="9"/>
      <c r="X1066" s="9"/>
      <c r="Y1066" s="9"/>
    </row>
    <row r="1067" spans="2:25" x14ac:dyDescent="0.2">
      <c r="B1067" s="7"/>
      <c r="C1067" s="9"/>
      <c r="D1067" s="9"/>
      <c r="E1067" s="9"/>
      <c r="F1067" s="9"/>
      <c r="G1067" s="16"/>
      <c r="H1067" s="9"/>
      <c r="I1067" s="9"/>
      <c r="J1067" s="9"/>
      <c r="K1067" s="72"/>
      <c r="L1067" s="9"/>
      <c r="M1067" s="9"/>
      <c r="N1067" s="9"/>
      <c r="O1067" s="9"/>
      <c r="P1067" s="9"/>
      <c r="Q1067" s="9"/>
      <c r="R1067" s="9"/>
      <c r="S1067" s="9"/>
      <c r="T1067" s="9"/>
      <c r="U1067" s="9"/>
      <c r="V1067" s="9"/>
      <c r="W1067" s="9"/>
      <c r="X1067" s="9"/>
      <c r="Y1067" s="9"/>
    </row>
    <row r="1068" spans="2:25" x14ac:dyDescent="0.2">
      <c r="B1068" s="7"/>
      <c r="C1068" s="9"/>
      <c r="D1068" s="9"/>
      <c r="E1068" s="9"/>
      <c r="F1068" s="9"/>
      <c r="G1068" s="16"/>
      <c r="H1068" s="9"/>
      <c r="I1068" s="9"/>
      <c r="J1068" s="9"/>
      <c r="K1068" s="72"/>
      <c r="L1068" s="9"/>
      <c r="M1068" s="9"/>
      <c r="N1068" s="9"/>
      <c r="O1068" s="9"/>
      <c r="P1068" s="9"/>
      <c r="Q1068" s="9"/>
      <c r="R1068" s="9"/>
      <c r="S1068" s="9"/>
      <c r="T1068" s="9"/>
      <c r="U1068" s="9"/>
      <c r="V1068" s="9"/>
      <c r="W1068" s="9"/>
      <c r="X1068" s="9"/>
      <c r="Y1068" s="9"/>
    </row>
    <row r="1069" spans="2:25" x14ac:dyDescent="0.2">
      <c r="B1069" s="7"/>
      <c r="C1069" s="9"/>
      <c r="D1069" s="9"/>
      <c r="E1069" s="9"/>
      <c r="F1069" s="9"/>
      <c r="G1069" s="16"/>
      <c r="H1069" s="9"/>
      <c r="I1069" s="9"/>
      <c r="J1069" s="9"/>
      <c r="K1069" s="72"/>
      <c r="L1069" s="9"/>
      <c r="M1069" s="9"/>
      <c r="N1069" s="9"/>
      <c r="O1069" s="9"/>
      <c r="P1069" s="9"/>
      <c r="Q1069" s="9"/>
      <c r="R1069" s="9"/>
      <c r="S1069" s="9"/>
      <c r="T1069" s="9"/>
      <c r="U1069" s="9"/>
      <c r="V1069" s="9"/>
      <c r="W1069" s="9"/>
      <c r="X1069" s="9"/>
      <c r="Y1069" s="9"/>
    </row>
    <row r="1070" spans="2:25" x14ac:dyDescent="0.2">
      <c r="B1070" s="7"/>
      <c r="C1070" s="9"/>
      <c r="D1070" s="9"/>
      <c r="E1070" s="9"/>
      <c r="F1070" s="9"/>
      <c r="G1070" s="16"/>
      <c r="H1070" s="9"/>
      <c r="I1070" s="9"/>
      <c r="J1070" s="9"/>
      <c r="K1070" s="72"/>
      <c r="L1070" s="9"/>
      <c r="M1070" s="9"/>
      <c r="N1070" s="9"/>
      <c r="O1070" s="9"/>
      <c r="P1070" s="9"/>
      <c r="Q1070" s="9"/>
      <c r="R1070" s="9"/>
      <c r="S1070" s="9"/>
      <c r="T1070" s="9"/>
      <c r="U1070" s="9"/>
      <c r="V1070" s="9"/>
      <c r="W1070" s="9"/>
      <c r="X1070" s="9"/>
      <c r="Y1070" s="9"/>
    </row>
    <row r="1071" spans="2:25" x14ac:dyDescent="0.2">
      <c r="B1071" s="7"/>
      <c r="C1071" s="9"/>
      <c r="D1071" s="9"/>
      <c r="E1071" s="9"/>
      <c r="F1071" s="9"/>
      <c r="G1071" s="16"/>
      <c r="H1071" s="9"/>
      <c r="I1071" s="9"/>
      <c r="J1071" s="9"/>
      <c r="K1071" s="72"/>
      <c r="L1071" s="9"/>
      <c r="M1071" s="9"/>
      <c r="N1071" s="9"/>
      <c r="O1071" s="9"/>
      <c r="P1071" s="9"/>
      <c r="Q1071" s="9"/>
      <c r="R1071" s="9"/>
      <c r="S1071" s="9"/>
      <c r="T1071" s="9"/>
      <c r="U1071" s="9"/>
      <c r="V1071" s="9"/>
      <c r="W1071" s="9"/>
      <c r="X1071" s="9"/>
      <c r="Y1071" s="9"/>
    </row>
    <row r="1072" spans="2:25" x14ac:dyDescent="0.2">
      <c r="B1072" s="7"/>
      <c r="C1072" s="9"/>
      <c r="D1072" s="9"/>
      <c r="E1072" s="9"/>
      <c r="F1072" s="9"/>
      <c r="G1072" s="16"/>
      <c r="H1072" s="9"/>
      <c r="I1072" s="9"/>
      <c r="J1072" s="9"/>
      <c r="K1072" s="72"/>
      <c r="L1072" s="9"/>
      <c r="M1072" s="9"/>
      <c r="N1072" s="9"/>
      <c r="O1072" s="9"/>
      <c r="P1072" s="9"/>
      <c r="Q1072" s="9"/>
      <c r="R1072" s="9"/>
      <c r="S1072" s="9"/>
      <c r="T1072" s="9"/>
      <c r="U1072" s="9"/>
      <c r="V1072" s="9"/>
      <c r="W1072" s="9"/>
      <c r="X1072" s="9"/>
      <c r="Y1072" s="9"/>
    </row>
    <row r="1073" spans="2:25" x14ac:dyDescent="0.2">
      <c r="B1073" s="7"/>
      <c r="C1073" s="9"/>
      <c r="D1073" s="9"/>
      <c r="E1073" s="9"/>
      <c r="F1073" s="9"/>
      <c r="G1073" s="16"/>
      <c r="H1073" s="9"/>
      <c r="I1073" s="9"/>
      <c r="J1073" s="9"/>
      <c r="K1073" s="72"/>
      <c r="L1073" s="9"/>
      <c r="M1073" s="9"/>
      <c r="N1073" s="9"/>
      <c r="O1073" s="9"/>
      <c r="P1073" s="9"/>
      <c r="Q1073" s="9"/>
      <c r="R1073" s="9"/>
      <c r="S1073" s="9"/>
      <c r="T1073" s="9"/>
      <c r="U1073" s="9"/>
      <c r="V1073" s="9"/>
      <c r="W1073" s="9"/>
      <c r="X1073" s="9"/>
      <c r="Y1073" s="9"/>
    </row>
    <row r="1074" spans="2:25" x14ac:dyDescent="0.2">
      <c r="B1074" s="7"/>
      <c r="C1074" s="9"/>
      <c r="D1074" s="9"/>
      <c r="E1074" s="9"/>
      <c r="F1074" s="9"/>
      <c r="G1074" s="16"/>
      <c r="H1074" s="9"/>
      <c r="I1074" s="9"/>
      <c r="J1074" s="9"/>
      <c r="K1074" s="72"/>
      <c r="L1074" s="9"/>
      <c r="M1074" s="9"/>
      <c r="N1074" s="9"/>
      <c r="O1074" s="9"/>
      <c r="P1074" s="9"/>
      <c r="Q1074" s="9"/>
      <c r="R1074" s="9"/>
      <c r="S1074" s="9"/>
      <c r="T1074" s="9"/>
      <c r="U1074" s="9"/>
      <c r="V1074" s="9"/>
      <c r="W1074" s="9"/>
      <c r="X1074" s="9"/>
      <c r="Y1074" s="9"/>
    </row>
    <row r="1075" spans="2:25" x14ac:dyDescent="0.2">
      <c r="B1075" s="7"/>
      <c r="C1075" s="9"/>
      <c r="D1075" s="9"/>
      <c r="E1075" s="9"/>
      <c r="F1075" s="9"/>
      <c r="G1075" s="16"/>
      <c r="H1075" s="9"/>
      <c r="I1075" s="9"/>
      <c r="J1075" s="9"/>
      <c r="K1075" s="72"/>
      <c r="L1075" s="9"/>
      <c r="M1075" s="9"/>
      <c r="N1075" s="9"/>
      <c r="O1075" s="9"/>
      <c r="P1075" s="9"/>
      <c r="Q1075" s="9"/>
      <c r="R1075" s="9"/>
      <c r="S1075" s="9"/>
      <c r="T1075" s="9"/>
      <c r="U1075" s="9"/>
      <c r="V1075" s="9"/>
      <c r="W1075" s="9"/>
      <c r="X1075" s="9"/>
      <c r="Y1075" s="9"/>
    </row>
    <row r="1076" spans="2:25" x14ac:dyDescent="0.2">
      <c r="B1076" s="7"/>
      <c r="C1076" s="9"/>
      <c r="D1076" s="9"/>
      <c r="E1076" s="9"/>
      <c r="F1076" s="9"/>
      <c r="G1076" s="16"/>
      <c r="H1076" s="9"/>
      <c r="I1076" s="9"/>
      <c r="J1076" s="9"/>
      <c r="K1076" s="72"/>
      <c r="L1076" s="9"/>
      <c r="M1076" s="9"/>
      <c r="N1076" s="9"/>
      <c r="O1076" s="9"/>
      <c r="P1076" s="9"/>
      <c r="Q1076" s="9"/>
      <c r="R1076" s="9"/>
      <c r="S1076" s="9"/>
      <c r="T1076" s="9"/>
      <c r="U1076" s="9"/>
      <c r="V1076" s="9"/>
      <c r="W1076" s="9"/>
      <c r="X1076" s="9"/>
      <c r="Y1076" s="9"/>
    </row>
    <row r="1077" spans="2:25" x14ac:dyDescent="0.2">
      <c r="B1077" s="7"/>
      <c r="C1077" s="9"/>
      <c r="D1077" s="9"/>
      <c r="E1077" s="9"/>
      <c r="F1077" s="9"/>
      <c r="G1077" s="16"/>
      <c r="H1077" s="9"/>
      <c r="I1077" s="9"/>
      <c r="J1077" s="9"/>
      <c r="K1077" s="72"/>
      <c r="L1077" s="9"/>
      <c r="M1077" s="9"/>
      <c r="N1077" s="9"/>
      <c r="O1077" s="9"/>
      <c r="P1077" s="9"/>
      <c r="Q1077" s="9"/>
      <c r="R1077" s="9"/>
      <c r="S1077" s="9"/>
      <c r="T1077" s="9"/>
      <c r="U1077" s="9"/>
      <c r="V1077" s="9"/>
      <c r="W1077" s="9"/>
      <c r="X1077" s="9"/>
      <c r="Y1077" s="9"/>
    </row>
    <row r="1078" spans="2:25" x14ac:dyDescent="0.2">
      <c r="B1078" s="7"/>
      <c r="C1078" s="9"/>
      <c r="D1078" s="9"/>
      <c r="E1078" s="9"/>
      <c r="F1078" s="9"/>
      <c r="G1078" s="16"/>
      <c r="H1078" s="9"/>
      <c r="I1078" s="9"/>
      <c r="J1078" s="9"/>
      <c r="K1078" s="72"/>
      <c r="L1078" s="9"/>
      <c r="M1078" s="9"/>
      <c r="N1078" s="9"/>
      <c r="O1078" s="9"/>
      <c r="P1078" s="9"/>
      <c r="Q1078" s="9"/>
      <c r="R1078" s="9"/>
      <c r="S1078" s="9"/>
      <c r="T1078" s="9"/>
      <c r="U1078" s="9"/>
      <c r="V1078" s="9"/>
      <c r="W1078" s="9"/>
      <c r="X1078" s="9"/>
      <c r="Y1078" s="9"/>
    </row>
    <row r="1079" spans="2:25" x14ac:dyDescent="0.2">
      <c r="B1079" s="7"/>
      <c r="C1079" s="9"/>
      <c r="D1079" s="9"/>
      <c r="E1079" s="9"/>
      <c r="F1079" s="9"/>
      <c r="G1079" s="16"/>
      <c r="H1079" s="9"/>
      <c r="I1079" s="9"/>
      <c r="J1079" s="9"/>
      <c r="K1079" s="72"/>
      <c r="L1079" s="9"/>
      <c r="M1079" s="9"/>
      <c r="N1079" s="9"/>
      <c r="O1079" s="9"/>
      <c r="P1079" s="9"/>
      <c r="Q1079" s="9"/>
      <c r="R1079" s="9"/>
      <c r="S1079" s="9"/>
      <c r="T1079" s="9"/>
      <c r="U1079" s="9"/>
      <c r="V1079" s="9"/>
      <c r="W1079" s="9"/>
      <c r="X1079" s="9"/>
      <c r="Y1079" s="9"/>
    </row>
    <row r="1080" spans="2:25" x14ac:dyDescent="0.2">
      <c r="B1080" s="7"/>
      <c r="C1080" s="9"/>
      <c r="D1080" s="9"/>
      <c r="E1080" s="9"/>
      <c r="F1080" s="9"/>
      <c r="G1080" s="16"/>
      <c r="H1080" s="9"/>
      <c r="I1080" s="9"/>
      <c r="J1080" s="9"/>
      <c r="K1080" s="72"/>
      <c r="L1080" s="9"/>
      <c r="M1080" s="9"/>
      <c r="N1080" s="9"/>
      <c r="O1080" s="9"/>
      <c r="P1080" s="9"/>
      <c r="Q1080" s="9"/>
      <c r="R1080" s="9"/>
      <c r="S1080" s="9"/>
      <c r="T1080" s="9"/>
      <c r="U1080" s="9"/>
      <c r="V1080" s="9"/>
      <c r="W1080" s="9"/>
      <c r="X1080" s="9"/>
      <c r="Y1080" s="9"/>
    </row>
    <row r="1081" spans="2:25" x14ac:dyDescent="0.2">
      <c r="B1081" s="7"/>
      <c r="C1081" s="9"/>
      <c r="D1081" s="9"/>
      <c r="E1081" s="9"/>
      <c r="F1081" s="9"/>
      <c r="G1081" s="16"/>
      <c r="H1081" s="9"/>
      <c r="I1081" s="9"/>
      <c r="J1081" s="9"/>
      <c r="K1081" s="72"/>
      <c r="L1081" s="9"/>
      <c r="M1081" s="9"/>
      <c r="N1081" s="9"/>
      <c r="O1081" s="9"/>
      <c r="P1081" s="9"/>
      <c r="Q1081" s="9"/>
      <c r="R1081" s="9"/>
      <c r="S1081" s="9"/>
      <c r="T1081" s="9"/>
      <c r="U1081" s="9"/>
      <c r="V1081" s="9"/>
      <c r="W1081" s="9"/>
      <c r="X1081" s="9"/>
      <c r="Y1081" s="9"/>
    </row>
    <row r="1082" spans="2:25" x14ac:dyDescent="0.2">
      <c r="B1082" s="7"/>
      <c r="C1082" s="9"/>
      <c r="D1082" s="9"/>
      <c r="E1082" s="9"/>
      <c r="F1082" s="9"/>
      <c r="G1082" s="16"/>
      <c r="H1082" s="9"/>
      <c r="I1082" s="9"/>
      <c r="J1082" s="9"/>
      <c r="K1082" s="72"/>
      <c r="L1082" s="9"/>
      <c r="M1082" s="9"/>
      <c r="N1082" s="9"/>
      <c r="O1082" s="9"/>
      <c r="P1082" s="9"/>
      <c r="Q1082" s="9"/>
      <c r="R1082" s="9"/>
      <c r="S1082" s="9"/>
      <c r="T1082" s="9"/>
      <c r="U1082" s="9"/>
      <c r="V1082" s="9"/>
      <c r="W1082" s="9"/>
      <c r="X1082" s="9"/>
      <c r="Y1082" s="9"/>
    </row>
    <row r="1083" spans="2:25" x14ac:dyDescent="0.2">
      <c r="B1083" s="7"/>
      <c r="C1083" s="9"/>
      <c r="D1083" s="9"/>
      <c r="E1083" s="9"/>
      <c r="F1083" s="9"/>
      <c r="G1083" s="16"/>
      <c r="H1083" s="9"/>
      <c r="I1083" s="9"/>
      <c r="J1083" s="9"/>
      <c r="K1083" s="72"/>
      <c r="L1083" s="9"/>
      <c r="M1083" s="9"/>
      <c r="N1083" s="9"/>
      <c r="O1083" s="9"/>
      <c r="P1083" s="9"/>
      <c r="Q1083" s="9"/>
      <c r="R1083" s="9"/>
      <c r="S1083" s="9"/>
      <c r="T1083" s="9"/>
      <c r="U1083" s="9"/>
      <c r="V1083" s="9"/>
      <c r="W1083" s="9"/>
      <c r="X1083" s="9"/>
      <c r="Y1083" s="9"/>
    </row>
    <row r="1084" spans="2:25" x14ac:dyDescent="0.2">
      <c r="B1084" s="7"/>
      <c r="C1084" s="9"/>
      <c r="D1084" s="9"/>
      <c r="E1084" s="9"/>
      <c r="F1084" s="9"/>
      <c r="G1084" s="16"/>
      <c r="H1084" s="9"/>
      <c r="I1084" s="9"/>
      <c r="J1084" s="9"/>
      <c r="K1084" s="72"/>
      <c r="L1084" s="9"/>
      <c r="M1084" s="9"/>
      <c r="N1084" s="9"/>
      <c r="O1084" s="9"/>
      <c r="P1084" s="9"/>
      <c r="Q1084" s="9"/>
      <c r="R1084" s="9"/>
      <c r="S1084" s="9"/>
      <c r="T1084" s="9"/>
      <c r="U1084" s="9"/>
      <c r="V1084" s="9"/>
      <c r="W1084" s="9"/>
      <c r="X1084" s="9"/>
      <c r="Y1084" s="9"/>
    </row>
    <row r="1085" spans="2:25" x14ac:dyDescent="0.2">
      <c r="B1085" s="7"/>
      <c r="C1085" s="9"/>
      <c r="D1085" s="9"/>
      <c r="E1085" s="9"/>
      <c r="F1085" s="9"/>
      <c r="G1085" s="16"/>
      <c r="H1085" s="9"/>
      <c r="I1085" s="9"/>
      <c r="J1085" s="9"/>
      <c r="K1085" s="72"/>
      <c r="L1085" s="9"/>
      <c r="M1085" s="9"/>
      <c r="N1085" s="9"/>
      <c r="O1085" s="9"/>
      <c r="P1085" s="9"/>
      <c r="Q1085" s="9"/>
      <c r="R1085" s="9"/>
      <c r="S1085" s="9"/>
      <c r="T1085" s="9"/>
      <c r="U1085" s="9"/>
      <c r="V1085" s="9"/>
      <c r="W1085" s="9"/>
      <c r="X1085" s="9"/>
      <c r="Y1085" s="9"/>
    </row>
    <row r="1086" spans="2:25" x14ac:dyDescent="0.2">
      <c r="B1086" s="7"/>
      <c r="C1086" s="9"/>
      <c r="D1086" s="9"/>
      <c r="E1086" s="9"/>
      <c r="F1086" s="9"/>
      <c r="G1086" s="16"/>
      <c r="H1086" s="9"/>
      <c r="I1086" s="9"/>
      <c r="J1086" s="9"/>
      <c r="K1086" s="72"/>
      <c r="L1086" s="9"/>
      <c r="M1086" s="9"/>
      <c r="N1086" s="9"/>
      <c r="O1086" s="9"/>
      <c r="P1086" s="9"/>
      <c r="Q1086" s="9"/>
      <c r="R1086" s="9"/>
      <c r="S1086" s="9"/>
      <c r="T1086" s="9"/>
      <c r="U1086" s="9"/>
      <c r="V1086" s="9"/>
      <c r="W1086" s="9"/>
      <c r="X1086" s="9"/>
      <c r="Y1086" s="9"/>
    </row>
    <row r="1087" spans="2:25" x14ac:dyDescent="0.2">
      <c r="B1087" s="7"/>
      <c r="C1087" s="9"/>
      <c r="D1087" s="9"/>
      <c r="E1087" s="9"/>
      <c r="F1087" s="9"/>
      <c r="G1087" s="16"/>
      <c r="H1087" s="9"/>
      <c r="I1087" s="9"/>
      <c r="J1087" s="9"/>
      <c r="K1087" s="72"/>
      <c r="L1087" s="9"/>
      <c r="M1087" s="9"/>
      <c r="N1087" s="9"/>
      <c r="O1087" s="9"/>
      <c r="P1087" s="9"/>
      <c r="Q1087" s="9"/>
      <c r="R1087" s="9"/>
      <c r="S1087" s="9"/>
      <c r="T1087" s="9"/>
      <c r="U1087" s="9"/>
      <c r="V1087" s="9"/>
      <c r="W1087" s="9"/>
      <c r="X1087" s="9"/>
      <c r="Y1087" s="9"/>
    </row>
    <row r="1088" spans="2:25" x14ac:dyDescent="0.2">
      <c r="B1088" s="7"/>
      <c r="C1088" s="9"/>
      <c r="D1088" s="9"/>
      <c r="E1088" s="9"/>
      <c r="F1088" s="9"/>
      <c r="G1088" s="16"/>
      <c r="H1088" s="9"/>
      <c r="I1088" s="9"/>
      <c r="J1088" s="9"/>
      <c r="K1088" s="72"/>
      <c r="L1088" s="9"/>
      <c r="M1088" s="9"/>
      <c r="N1088" s="9"/>
      <c r="O1088" s="9"/>
      <c r="P1088" s="9"/>
      <c r="Q1088" s="9"/>
      <c r="R1088" s="9"/>
      <c r="S1088" s="9"/>
      <c r="T1088" s="9"/>
      <c r="U1088" s="9"/>
      <c r="V1088" s="9"/>
      <c r="W1088" s="9"/>
      <c r="X1088" s="9"/>
      <c r="Y1088" s="9"/>
    </row>
    <row r="1089" spans="2:25" x14ac:dyDescent="0.2">
      <c r="B1089" s="7"/>
      <c r="C1089" s="9"/>
      <c r="D1089" s="9"/>
      <c r="E1089" s="9"/>
      <c r="F1089" s="9"/>
      <c r="G1089" s="16"/>
      <c r="H1089" s="9"/>
      <c r="I1089" s="9"/>
      <c r="J1089" s="9"/>
      <c r="K1089" s="72"/>
      <c r="L1089" s="9"/>
      <c r="M1089" s="9"/>
      <c r="N1089" s="9"/>
      <c r="O1089" s="9"/>
      <c r="P1089" s="9"/>
      <c r="Q1089" s="9"/>
      <c r="R1089" s="9"/>
      <c r="S1089" s="9"/>
      <c r="T1089" s="9"/>
      <c r="U1089" s="9"/>
      <c r="V1089" s="9"/>
      <c r="W1089" s="9"/>
      <c r="X1089" s="9"/>
      <c r="Y1089" s="9"/>
    </row>
    <row r="1090" spans="2:25" x14ac:dyDescent="0.2">
      <c r="B1090" s="7"/>
      <c r="C1090" s="9"/>
      <c r="D1090" s="9"/>
      <c r="E1090" s="9"/>
      <c r="F1090" s="9"/>
      <c r="G1090" s="16"/>
      <c r="H1090" s="9"/>
      <c r="I1090" s="9"/>
      <c r="J1090" s="9"/>
      <c r="K1090" s="72"/>
      <c r="L1090" s="9"/>
      <c r="M1090" s="9"/>
      <c r="N1090" s="9"/>
      <c r="O1090" s="9"/>
      <c r="P1090" s="9"/>
      <c r="Q1090" s="9"/>
      <c r="R1090" s="9"/>
      <c r="S1090" s="9"/>
      <c r="T1090" s="9"/>
      <c r="U1090" s="9"/>
      <c r="V1090" s="9"/>
      <c r="W1090" s="9"/>
      <c r="X1090" s="9"/>
      <c r="Y1090" s="9"/>
    </row>
    <row r="1091" spans="2:25" x14ac:dyDescent="0.2">
      <c r="B1091" s="7"/>
      <c r="C1091" s="9"/>
      <c r="D1091" s="9"/>
      <c r="E1091" s="9"/>
      <c r="F1091" s="9"/>
      <c r="G1091" s="16"/>
      <c r="H1091" s="9"/>
      <c r="I1091" s="9"/>
      <c r="J1091" s="9"/>
      <c r="K1091" s="72"/>
      <c r="L1091" s="9"/>
      <c r="M1091" s="9"/>
      <c r="N1091" s="9"/>
      <c r="O1091" s="9"/>
      <c r="P1091" s="9"/>
      <c r="Q1091" s="9"/>
      <c r="R1091" s="9"/>
      <c r="S1091" s="9"/>
      <c r="T1091" s="9"/>
      <c r="U1091" s="9"/>
      <c r="V1091" s="9"/>
      <c r="W1091" s="9"/>
      <c r="X1091" s="9"/>
      <c r="Y1091" s="9"/>
    </row>
    <row r="1092" spans="2:25" x14ac:dyDescent="0.2">
      <c r="B1092" s="7"/>
      <c r="C1092" s="9"/>
      <c r="D1092" s="9"/>
      <c r="E1092" s="9"/>
      <c r="F1092" s="9"/>
      <c r="G1092" s="16"/>
      <c r="H1092" s="9"/>
      <c r="I1092" s="9"/>
      <c r="J1092" s="9"/>
      <c r="K1092" s="72"/>
      <c r="L1092" s="9"/>
      <c r="M1092" s="9"/>
      <c r="N1092" s="9"/>
      <c r="O1092" s="9"/>
      <c r="P1092" s="9"/>
      <c r="Q1092" s="9"/>
      <c r="R1092" s="9"/>
      <c r="S1092" s="9"/>
      <c r="T1092" s="9"/>
      <c r="U1092" s="9"/>
      <c r="V1092" s="9"/>
      <c r="W1092" s="9"/>
      <c r="X1092" s="9"/>
      <c r="Y1092" s="9"/>
    </row>
    <row r="1093" spans="2:25" x14ac:dyDescent="0.2">
      <c r="B1093" s="7"/>
      <c r="C1093" s="9"/>
      <c r="D1093" s="9"/>
      <c r="E1093" s="9"/>
      <c r="F1093" s="9"/>
      <c r="G1093" s="16"/>
      <c r="H1093" s="9"/>
      <c r="I1093" s="9"/>
      <c r="J1093" s="9"/>
      <c r="K1093" s="72"/>
      <c r="L1093" s="9"/>
      <c r="M1093" s="9"/>
      <c r="N1093" s="9"/>
      <c r="O1093" s="9"/>
      <c r="P1093" s="9"/>
      <c r="Q1093" s="9"/>
      <c r="R1093" s="9"/>
      <c r="S1093" s="9"/>
      <c r="T1093" s="9"/>
      <c r="U1093" s="9"/>
      <c r="V1093" s="9"/>
      <c r="W1093" s="9"/>
      <c r="X1093" s="9"/>
      <c r="Y1093" s="9"/>
    </row>
    <row r="1094" spans="2:25" x14ac:dyDescent="0.2">
      <c r="B1094" s="7"/>
      <c r="C1094" s="9"/>
      <c r="D1094" s="9"/>
      <c r="E1094" s="9"/>
      <c r="F1094" s="9"/>
      <c r="G1094" s="16"/>
      <c r="H1094" s="9"/>
      <c r="I1094" s="9"/>
      <c r="J1094" s="9"/>
      <c r="K1094" s="72"/>
      <c r="L1094" s="9"/>
      <c r="M1094" s="9"/>
      <c r="N1094" s="9"/>
      <c r="O1094" s="9"/>
      <c r="P1094" s="9"/>
      <c r="Q1094" s="9"/>
      <c r="R1094" s="9"/>
      <c r="S1094" s="9"/>
      <c r="T1094" s="9"/>
      <c r="U1094" s="9"/>
      <c r="V1094" s="9"/>
      <c r="W1094" s="9"/>
      <c r="X1094" s="9"/>
      <c r="Y1094" s="9"/>
    </row>
    <row r="1095" spans="2:25" x14ac:dyDescent="0.2">
      <c r="B1095" s="7"/>
      <c r="C1095" s="9"/>
      <c r="D1095" s="9"/>
      <c r="E1095" s="9"/>
      <c r="F1095" s="9"/>
      <c r="G1095" s="16"/>
      <c r="H1095" s="9"/>
      <c r="I1095" s="9"/>
      <c r="J1095" s="9"/>
      <c r="K1095" s="72"/>
      <c r="L1095" s="9"/>
      <c r="M1095" s="9"/>
      <c r="N1095" s="9"/>
      <c r="O1095" s="9"/>
      <c r="P1095" s="9"/>
      <c r="Q1095" s="9"/>
      <c r="R1095" s="9"/>
      <c r="S1095" s="9"/>
      <c r="T1095" s="9"/>
      <c r="U1095" s="9"/>
      <c r="V1095" s="9"/>
      <c r="W1095" s="9"/>
      <c r="X1095" s="9"/>
      <c r="Y1095" s="9"/>
    </row>
    <row r="1096" spans="2:25" x14ac:dyDescent="0.2">
      <c r="B1096" s="7"/>
      <c r="C1096" s="9"/>
      <c r="D1096" s="9"/>
      <c r="E1096" s="9"/>
      <c r="F1096" s="9"/>
      <c r="G1096" s="16"/>
      <c r="H1096" s="9"/>
      <c r="I1096" s="9"/>
      <c r="J1096" s="9"/>
      <c r="K1096" s="72"/>
      <c r="L1096" s="9"/>
      <c r="M1096" s="9"/>
      <c r="N1096" s="9"/>
      <c r="O1096" s="9"/>
      <c r="P1096" s="9"/>
      <c r="Q1096" s="9"/>
      <c r="R1096" s="9"/>
      <c r="S1096" s="9"/>
      <c r="T1096" s="9"/>
      <c r="U1096" s="9"/>
      <c r="V1096" s="9"/>
      <c r="W1096" s="9"/>
      <c r="X1096" s="9"/>
      <c r="Y1096" s="9"/>
    </row>
    <row r="1097" spans="2:25" x14ac:dyDescent="0.2">
      <c r="B1097" s="7"/>
      <c r="C1097" s="9"/>
      <c r="D1097" s="9"/>
      <c r="E1097" s="9"/>
      <c r="F1097" s="9"/>
      <c r="G1097" s="16"/>
      <c r="H1097" s="9"/>
      <c r="I1097" s="9"/>
      <c r="J1097" s="9"/>
      <c r="K1097" s="72"/>
      <c r="L1097" s="9"/>
      <c r="M1097" s="9"/>
      <c r="N1097" s="9"/>
      <c r="O1097" s="9"/>
      <c r="P1097" s="9"/>
      <c r="Q1097" s="9"/>
      <c r="R1097" s="9"/>
      <c r="S1097" s="9"/>
      <c r="T1097" s="9"/>
      <c r="U1097" s="9"/>
      <c r="V1097" s="9"/>
      <c r="W1097" s="9"/>
      <c r="X1097" s="9"/>
      <c r="Y1097" s="9"/>
    </row>
    <row r="1098" spans="2:25" x14ac:dyDescent="0.2">
      <c r="B1098" s="7"/>
      <c r="C1098" s="9"/>
      <c r="D1098" s="9"/>
      <c r="E1098" s="9"/>
      <c r="F1098" s="9"/>
      <c r="G1098" s="16"/>
      <c r="H1098" s="9"/>
      <c r="I1098" s="9"/>
      <c r="J1098" s="9"/>
      <c r="K1098" s="72"/>
      <c r="L1098" s="9"/>
      <c r="M1098" s="9"/>
      <c r="N1098" s="9"/>
      <c r="O1098" s="9"/>
      <c r="P1098" s="9"/>
      <c r="Q1098" s="9"/>
      <c r="R1098" s="9"/>
      <c r="S1098" s="9"/>
      <c r="T1098" s="9"/>
      <c r="U1098" s="9"/>
      <c r="V1098" s="9"/>
      <c r="W1098" s="9"/>
      <c r="X1098" s="9"/>
      <c r="Y1098" s="9"/>
    </row>
    <row r="1099" spans="2:25" x14ac:dyDescent="0.2">
      <c r="B1099" s="7"/>
      <c r="C1099" s="9"/>
      <c r="D1099" s="9"/>
      <c r="E1099" s="9"/>
      <c r="F1099" s="9"/>
      <c r="G1099" s="16"/>
      <c r="H1099" s="9"/>
      <c r="I1099" s="9"/>
      <c r="J1099" s="9"/>
      <c r="K1099" s="72"/>
      <c r="L1099" s="9"/>
      <c r="M1099" s="9"/>
      <c r="N1099" s="9"/>
      <c r="O1099" s="9"/>
      <c r="P1099" s="9"/>
      <c r="Q1099" s="9"/>
      <c r="R1099" s="9"/>
      <c r="S1099" s="9"/>
      <c r="T1099" s="9"/>
      <c r="U1099" s="9"/>
      <c r="V1099" s="9"/>
      <c r="W1099" s="9"/>
      <c r="X1099" s="9"/>
      <c r="Y1099" s="9"/>
    </row>
    <row r="1100" spans="2:25" x14ac:dyDescent="0.2">
      <c r="B1100" s="7"/>
      <c r="C1100" s="9"/>
      <c r="D1100" s="9"/>
      <c r="E1100" s="9"/>
      <c r="F1100" s="9"/>
      <c r="G1100" s="16"/>
      <c r="H1100" s="9"/>
      <c r="I1100" s="9"/>
      <c r="J1100" s="9"/>
      <c r="K1100" s="72"/>
      <c r="L1100" s="9"/>
      <c r="M1100" s="9"/>
      <c r="N1100" s="9"/>
      <c r="O1100" s="9"/>
      <c r="P1100" s="9"/>
      <c r="Q1100" s="9"/>
      <c r="R1100" s="9"/>
      <c r="S1100" s="9"/>
      <c r="T1100" s="9"/>
      <c r="U1100" s="9"/>
      <c r="V1100" s="9"/>
      <c r="W1100" s="9"/>
      <c r="X1100" s="9"/>
      <c r="Y1100" s="9"/>
    </row>
    <row r="1101" spans="2:25" x14ac:dyDescent="0.2">
      <c r="B1101" s="7"/>
      <c r="C1101" s="9"/>
      <c r="D1101" s="9"/>
      <c r="E1101" s="9"/>
      <c r="F1101" s="9"/>
      <c r="G1101" s="16"/>
      <c r="H1101" s="9"/>
      <c r="I1101" s="9"/>
      <c r="J1101" s="9"/>
      <c r="K1101" s="72"/>
      <c r="L1101" s="9"/>
      <c r="M1101" s="9"/>
      <c r="N1101" s="9"/>
      <c r="O1101" s="9"/>
      <c r="P1101" s="9"/>
      <c r="Q1101" s="9"/>
      <c r="R1101" s="9"/>
      <c r="S1101" s="9"/>
      <c r="T1101" s="9"/>
      <c r="U1101" s="9"/>
      <c r="V1101" s="9"/>
      <c r="W1101" s="9"/>
      <c r="X1101" s="9"/>
      <c r="Y1101" s="9"/>
    </row>
    <row r="1102" spans="2:25" x14ac:dyDescent="0.2">
      <c r="B1102" s="7"/>
      <c r="C1102" s="9"/>
      <c r="D1102" s="9"/>
      <c r="E1102" s="9"/>
      <c r="F1102" s="9"/>
      <c r="G1102" s="16"/>
      <c r="H1102" s="9"/>
      <c r="I1102" s="9"/>
      <c r="J1102" s="9"/>
      <c r="K1102" s="72"/>
      <c r="L1102" s="9"/>
      <c r="M1102" s="9"/>
      <c r="N1102" s="9"/>
      <c r="O1102" s="9"/>
      <c r="P1102" s="9"/>
      <c r="Q1102" s="9"/>
      <c r="R1102" s="9"/>
      <c r="S1102" s="9"/>
      <c r="T1102" s="9"/>
      <c r="U1102" s="9"/>
      <c r="V1102" s="9"/>
      <c r="W1102" s="9"/>
      <c r="X1102" s="9"/>
      <c r="Y1102" s="9"/>
    </row>
    <row r="1103" spans="2:25" x14ac:dyDescent="0.2">
      <c r="B1103" s="7"/>
      <c r="C1103" s="9"/>
      <c r="D1103" s="9"/>
      <c r="E1103" s="9"/>
      <c r="F1103" s="9"/>
      <c r="G1103" s="16"/>
      <c r="H1103" s="9"/>
      <c r="I1103" s="9"/>
      <c r="J1103" s="9"/>
      <c r="K1103" s="72"/>
      <c r="L1103" s="9"/>
      <c r="M1103" s="9"/>
      <c r="N1103" s="9"/>
      <c r="O1103" s="9"/>
      <c r="P1103" s="9"/>
      <c r="Q1103" s="9"/>
      <c r="R1103" s="9"/>
      <c r="S1103" s="9"/>
      <c r="T1103" s="9"/>
      <c r="U1103" s="9"/>
      <c r="V1103" s="9"/>
      <c r="W1103" s="9"/>
      <c r="X1103" s="9"/>
      <c r="Y1103" s="9"/>
    </row>
    <row r="1104" spans="2:25" x14ac:dyDescent="0.2">
      <c r="B1104" s="7"/>
      <c r="C1104" s="9"/>
      <c r="D1104" s="9"/>
      <c r="E1104" s="9"/>
      <c r="F1104" s="9"/>
      <c r="G1104" s="16"/>
      <c r="H1104" s="9"/>
      <c r="I1104" s="9"/>
      <c r="J1104" s="9"/>
      <c r="K1104" s="72"/>
      <c r="L1104" s="9"/>
      <c r="M1104" s="9"/>
      <c r="N1104" s="9"/>
      <c r="O1104" s="9"/>
      <c r="P1104" s="9"/>
      <c r="Q1104" s="9"/>
      <c r="R1104" s="9"/>
      <c r="S1104" s="9"/>
      <c r="T1104" s="9"/>
      <c r="U1104" s="9"/>
      <c r="V1104" s="9"/>
      <c r="W1104" s="9"/>
      <c r="X1104" s="9"/>
      <c r="Y1104" s="9"/>
    </row>
    <row r="1105" spans="2:25" x14ac:dyDescent="0.2">
      <c r="B1105" s="7"/>
      <c r="C1105" s="9"/>
      <c r="D1105" s="9"/>
      <c r="E1105" s="9"/>
      <c r="F1105" s="9"/>
      <c r="G1105" s="16"/>
      <c r="H1105" s="9"/>
      <c r="I1105" s="9"/>
      <c r="J1105" s="9"/>
      <c r="K1105" s="72"/>
      <c r="L1105" s="9"/>
      <c r="M1105" s="9"/>
      <c r="N1105" s="9"/>
      <c r="O1105" s="9"/>
      <c r="P1105" s="9"/>
      <c r="Q1105" s="9"/>
      <c r="R1105" s="9"/>
      <c r="S1105" s="9"/>
      <c r="T1105" s="9"/>
      <c r="U1105" s="9"/>
      <c r="V1105" s="9"/>
      <c r="W1105" s="9"/>
      <c r="X1105" s="9"/>
      <c r="Y1105" s="9"/>
    </row>
    <row r="1106" spans="2:25" x14ac:dyDescent="0.2">
      <c r="B1106" s="7"/>
      <c r="C1106" s="9"/>
      <c r="D1106" s="9"/>
      <c r="E1106" s="9"/>
      <c r="F1106" s="9"/>
      <c r="G1106" s="16"/>
      <c r="H1106" s="9"/>
      <c r="I1106" s="9"/>
      <c r="J1106" s="9"/>
      <c r="K1106" s="72"/>
      <c r="L1106" s="9"/>
      <c r="M1106" s="9"/>
      <c r="N1106" s="9"/>
      <c r="O1106" s="9"/>
      <c r="P1106" s="9"/>
      <c r="Q1106" s="9"/>
      <c r="R1106" s="9"/>
      <c r="S1106" s="9"/>
      <c r="T1106" s="9"/>
      <c r="U1106" s="9"/>
      <c r="V1106" s="9"/>
      <c r="W1106" s="9"/>
      <c r="X1106" s="9"/>
      <c r="Y1106" s="9"/>
    </row>
    <row r="1107" spans="2:25" x14ac:dyDescent="0.2">
      <c r="B1107" s="7"/>
      <c r="C1107" s="9"/>
      <c r="D1107" s="9"/>
      <c r="E1107" s="9"/>
      <c r="F1107" s="9"/>
      <c r="G1107" s="16"/>
      <c r="H1107" s="9"/>
      <c r="I1107" s="9"/>
      <c r="J1107" s="9"/>
      <c r="K1107" s="72"/>
      <c r="L1107" s="9"/>
      <c r="M1107" s="9"/>
      <c r="N1107" s="9"/>
      <c r="O1107" s="9"/>
      <c r="P1107" s="9"/>
      <c r="Q1107" s="9"/>
      <c r="R1107" s="9"/>
      <c r="S1107" s="9"/>
      <c r="T1107" s="9"/>
      <c r="U1107" s="9"/>
      <c r="V1107" s="9"/>
      <c r="W1107" s="9"/>
      <c r="X1107" s="9"/>
      <c r="Y1107" s="9"/>
    </row>
    <row r="1108" spans="2:25" x14ac:dyDescent="0.2">
      <c r="B1108" s="7"/>
      <c r="C1108" s="9"/>
      <c r="D1108" s="9"/>
      <c r="E1108" s="9"/>
      <c r="F1108" s="9"/>
      <c r="G1108" s="16"/>
      <c r="H1108" s="9"/>
      <c r="I1108" s="9"/>
      <c r="J1108" s="9"/>
      <c r="K1108" s="72"/>
      <c r="L1108" s="9"/>
      <c r="M1108" s="9"/>
      <c r="N1108" s="9"/>
      <c r="O1108" s="9"/>
      <c r="P1108" s="9"/>
      <c r="Q1108" s="9"/>
      <c r="R1108" s="9"/>
      <c r="S1108" s="9"/>
      <c r="T1108" s="9"/>
      <c r="U1108" s="9"/>
      <c r="V1108" s="9"/>
      <c r="W1108" s="9"/>
      <c r="X1108" s="9"/>
      <c r="Y1108" s="9"/>
    </row>
    <row r="1109" spans="2:25" x14ac:dyDescent="0.2">
      <c r="B1109" s="7"/>
      <c r="C1109" s="9"/>
      <c r="D1109" s="9"/>
      <c r="E1109" s="9"/>
      <c r="F1109" s="9"/>
      <c r="G1109" s="16"/>
      <c r="H1109" s="9"/>
      <c r="I1109" s="9"/>
      <c r="J1109" s="9"/>
      <c r="K1109" s="72"/>
      <c r="L1109" s="9"/>
      <c r="M1109" s="9"/>
      <c r="N1109" s="9"/>
      <c r="O1109" s="9"/>
      <c r="P1109" s="9"/>
      <c r="Q1109" s="9"/>
      <c r="R1109" s="9"/>
      <c r="S1109" s="9"/>
      <c r="T1109" s="9"/>
      <c r="U1109" s="9"/>
      <c r="V1109" s="9"/>
      <c r="W1109" s="9"/>
      <c r="X1109" s="9"/>
      <c r="Y1109" s="9"/>
    </row>
    <row r="1110" spans="2:25" x14ac:dyDescent="0.2">
      <c r="B1110" s="7"/>
      <c r="C1110" s="9"/>
      <c r="D1110" s="9"/>
      <c r="E1110" s="9"/>
      <c r="F1110" s="9"/>
      <c r="G1110" s="16"/>
      <c r="H1110" s="9"/>
      <c r="I1110" s="9"/>
      <c r="J1110" s="9"/>
      <c r="K1110" s="72"/>
      <c r="L1110" s="9"/>
      <c r="M1110" s="9"/>
      <c r="N1110" s="9"/>
      <c r="O1110" s="9"/>
      <c r="P1110" s="9"/>
      <c r="Q1110" s="9"/>
      <c r="R1110" s="9"/>
      <c r="S1110" s="9"/>
      <c r="T1110" s="9"/>
      <c r="U1110" s="9"/>
      <c r="V1110" s="9"/>
      <c r="W1110" s="9"/>
      <c r="X1110" s="9"/>
      <c r="Y1110" s="9"/>
    </row>
    <row r="1111" spans="2:25" x14ac:dyDescent="0.2">
      <c r="B1111" s="7"/>
      <c r="C1111" s="9"/>
      <c r="D1111" s="9"/>
      <c r="E1111" s="9"/>
      <c r="F1111" s="9"/>
      <c r="G1111" s="16"/>
      <c r="H1111" s="9"/>
      <c r="I1111" s="9"/>
      <c r="J1111" s="9"/>
      <c r="K1111" s="72"/>
      <c r="L1111" s="9"/>
      <c r="M1111" s="9"/>
      <c r="N1111" s="9"/>
      <c r="O1111" s="9"/>
      <c r="P1111" s="9"/>
      <c r="Q1111" s="9"/>
      <c r="R1111" s="9"/>
      <c r="S1111" s="9"/>
      <c r="T1111" s="9"/>
      <c r="U1111" s="9"/>
      <c r="V1111" s="9"/>
      <c r="W1111" s="9"/>
      <c r="X1111" s="9"/>
      <c r="Y1111" s="9"/>
    </row>
    <row r="1112" spans="2:25" x14ac:dyDescent="0.2">
      <c r="B1112" s="7"/>
      <c r="C1112" s="9"/>
      <c r="D1112" s="9"/>
      <c r="E1112" s="9"/>
      <c r="F1112" s="9"/>
      <c r="G1112" s="16"/>
      <c r="H1112" s="9"/>
      <c r="I1112" s="9"/>
      <c r="J1112" s="9"/>
      <c r="K1112" s="72"/>
      <c r="L1112" s="9"/>
      <c r="M1112" s="9"/>
      <c r="N1112" s="9"/>
      <c r="O1112" s="9"/>
      <c r="P1112" s="9"/>
      <c r="Q1112" s="9"/>
      <c r="R1112" s="9"/>
      <c r="S1112" s="9"/>
      <c r="T1112" s="9"/>
      <c r="U1112" s="9"/>
      <c r="V1112" s="9"/>
      <c r="W1112" s="9"/>
      <c r="X1112" s="9"/>
      <c r="Y1112" s="9"/>
    </row>
    <row r="1113" spans="2:25" x14ac:dyDescent="0.2">
      <c r="B1113" s="7"/>
      <c r="C1113" s="9"/>
      <c r="D1113" s="9"/>
      <c r="E1113" s="9"/>
      <c r="F1113" s="9"/>
      <c r="G1113" s="16"/>
      <c r="H1113" s="9"/>
      <c r="I1113" s="9"/>
      <c r="J1113" s="9"/>
      <c r="K1113" s="72"/>
      <c r="L1113" s="9"/>
      <c r="M1113" s="9"/>
      <c r="N1113" s="9"/>
      <c r="O1113" s="9"/>
      <c r="P1113" s="9"/>
      <c r="Q1113" s="9"/>
      <c r="R1113" s="9"/>
      <c r="S1113" s="9"/>
      <c r="T1113" s="9"/>
      <c r="U1113" s="9"/>
      <c r="V1113" s="9"/>
      <c r="W1113" s="9"/>
      <c r="X1113" s="9"/>
      <c r="Y1113" s="9"/>
    </row>
    <row r="1114" spans="2:25" x14ac:dyDescent="0.2">
      <c r="B1114" s="7"/>
      <c r="C1114" s="9"/>
      <c r="D1114" s="9"/>
      <c r="E1114" s="9"/>
      <c r="F1114" s="9"/>
      <c r="G1114" s="16"/>
      <c r="H1114" s="9"/>
      <c r="I1114" s="9"/>
      <c r="J1114" s="9"/>
      <c r="K1114" s="72"/>
      <c r="L1114" s="9"/>
      <c r="M1114" s="9"/>
      <c r="N1114" s="9"/>
      <c r="O1114" s="9"/>
      <c r="P1114" s="9"/>
      <c r="Q1114" s="9"/>
      <c r="R1114" s="9"/>
      <c r="S1114" s="9"/>
      <c r="T1114" s="9"/>
      <c r="U1114" s="9"/>
      <c r="V1114" s="9"/>
      <c r="W1114" s="9"/>
      <c r="X1114" s="9"/>
      <c r="Y1114" s="9"/>
    </row>
    <row r="1115" spans="2:25" x14ac:dyDescent="0.2">
      <c r="B1115" s="7"/>
      <c r="C1115" s="9"/>
      <c r="D1115" s="9"/>
      <c r="E1115" s="9"/>
      <c r="F1115" s="9"/>
      <c r="G1115" s="16"/>
      <c r="H1115" s="9"/>
      <c r="I1115" s="9"/>
      <c r="J1115" s="9"/>
      <c r="K1115" s="72"/>
      <c r="L1115" s="9"/>
      <c r="M1115" s="9"/>
      <c r="N1115" s="9"/>
      <c r="O1115" s="9"/>
      <c r="P1115" s="9"/>
      <c r="Q1115" s="9"/>
      <c r="R1115" s="9"/>
      <c r="S1115" s="9"/>
      <c r="T1115" s="9"/>
      <c r="U1115" s="9"/>
      <c r="V1115" s="9"/>
      <c r="W1115" s="9"/>
      <c r="X1115" s="9"/>
      <c r="Y1115" s="9"/>
    </row>
    <row r="1116" spans="2:25" x14ac:dyDescent="0.2">
      <c r="B1116" s="7"/>
      <c r="C1116" s="9"/>
      <c r="D1116" s="9"/>
      <c r="E1116" s="9"/>
      <c r="F1116" s="9"/>
      <c r="G1116" s="16"/>
      <c r="H1116" s="9"/>
      <c r="I1116" s="9"/>
      <c r="J1116" s="9"/>
      <c r="K1116" s="72"/>
      <c r="L1116" s="9"/>
      <c r="M1116" s="9"/>
      <c r="N1116" s="9"/>
      <c r="O1116" s="9"/>
      <c r="P1116" s="9"/>
      <c r="Q1116" s="9"/>
      <c r="R1116" s="9"/>
      <c r="S1116" s="9"/>
      <c r="T1116" s="9"/>
      <c r="U1116" s="9"/>
      <c r="V1116" s="9"/>
      <c r="W1116" s="9"/>
      <c r="X1116" s="9"/>
      <c r="Y1116" s="9"/>
    </row>
    <row r="1117" spans="2:25" x14ac:dyDescent="0.2">
      <c r="B1117" s="7"/>
      <c r="C1117" s="9"/>
      <c r="D1117" s="9"/>
      <c r="E1117" s="9"/>
      <c r="F1117" s="9"/>
      <c r="G1117" s="16"/>
      <c r="H1117" s="9"/>
      <c r="I1117" s="9"/>
      <c r="J1117" s="9"/>
      <c r="K1117" s="72"/>
      <c r="L1117" s="9"/>
      <c r="M1117" s="9"/>
      <c r="N1117" s="9"/>
      <c r="O1117" s="9"/>
      <c r="P1117" s="9"/>
      <c r="Q1117" s="9"/>
      <c r="R1117" s="9"/>
      <c r="S1117" s="9"/>
      <c r="T1117" s="9"/>
      <c r="U1117" s="9"/>
      <c r="V1117" s="9"/>
      <c r="W1117" s="9"/>
      <c r="X1117" s="9"/>
      <c r="Y1117" s="9"/>
    </row>
    <row r="1118" spans="2:25" x14ac:dyDescent="0.2">
      <c r="B1118" s="7"/>
      <c r="C1118" s="9"/>
      <c r="D1118" s="9"/>
      <c r="E1118" s="9"/>
      <c r="F1118" s="9"/>
      <c r="G1118" s="16"/>
      <c r="H1118" s="9"/>
      <c r="I1118" s="9"/>
      <c r="J1118" s="9"/>
      <c r="K1118" s="72"/>
      <c r="L1118" s="9"/>
      <c r="M1118" s="9"/>
      <c r="N1118" s="9"/>
      <c r="O1118" s="9"/>
      <c r="P1118" s="9"/>
      <c r="Q1118" s="9"/>
      <c r="R1118" s="9"/>
      <c r="S1118" s="9"/>
      <c r="T1118" s="9"/>
      <c r="U1118" s="9"/>
      <c r="V1118" s="9"/>
      <c r="W1118" s="9"/>
      <c r="X1118" s="9"/>
      <c r="Y1118" s="9"/>
    </row>
    <row r="1119" spans="2:25" x14ac:dyDescent="0.2">
      <c r="B1119" s="7"/>
      <c r="C1119" s="9"/>
      <c r="D1119" s="9"/>
      <c r="E1119" s="9"/>
      <c r="F1119" s="9"/>
      <c r="G1119" s="16"/>
      <c r="H1119" s="9"/>
      <c r="I1119" s="9"/>
      <c r="J1119" s="9"/>
      <c r="K1119" s="72"/>
      <c r="L1119" s="9"/>
      <c r="M1119" s="9"/>
      <c r="N1119" s="9"/>
      <c r="O1119" s="9"/>
      <c r="P1119" s="9"/>
      <c r="Q1119" s="9"/>
      <c r="R1119" s="9"/>
      <c r="S1119" s="9"/>
      <c r="T1119" s="9"/>
      <c r="U1119" s="9"/>
      <c r="V1119" s="9"/>
      <c r="W1119" s="9"/>
      <c r="X1119" s="9"/>
      <c r="Y1119" s="9"/>
    </row>
    <row r="1120" spans="2:25" x14ac:dyDescent="0.2">
      <c r="B1120" s="7"/>
      <c r="C1120" s="9"/>
      <c r="D1120" s="9"/>
      <c r="E1120" s="9"/>
      <c r="F1120" s="9"/>
      <c r="G1120" s="16"/>
      <c r="H1120" s="9"/>
      <c r="I1120" s="9"/>
      <c r="J1120" s="9"/>
      <c r="K1120" s="72"/>
      <c r="L1120" s="9"/>
      <c r="M1120" s="9"/>
      <c r="N1120" s="9"/>
      <c r="O1120" s="9"/>
      <c r="P1120" s="9"/>
      <c r="Q1120" s="9"/>
      <c r="R1120" s="9"/>
      <c r="S1120" s="9"/>
      <c r="T1120" s="9"/>
      <c r="U1120" s="9"/>
      <c r="V1120" s="9"/>
      <c r="W1120" s="9"/>
      <c r="X1120" s="9"/>
      <c r="Y1120" s="9"/>
    </row>
    <row r="1121" spans="2:25" x14ac:dyDescent="0.2">
      <c r="B1121" s="7"/>
      <c r="C1121" s="9"/>
      <c r="D1121" s="9"/>
      <c r="E1121" s="9"/>
      <c r="F1121" s="9"/>
      <c r="G1121" s="16"/>
      <c r="H1121" s="9"/>
      <c r="I1121" s="9"/>
      <c r="J1121" s="9"/>
      <c r="K1121" s="72"/>
      <c r="L1121" s="9"/>
      <c r="M1121" s="9"/>
      <c r="N1121" s="9"/>
      <c r="O1121" s="9"/>
      <c r="P1121" s="9"/>
      <c r="Q1121" s="9"/>
      <c r="R1121" s="9"/>
      <c r="S1121" s="9"/>
      <c r="T1121" s="9"/>
      <c r="U1121" s="9"/>
      <c r="V1121" s="9"/>
      <c r="W1121" s="9"/>
      <c r="X1121" s="9"/>
      <c r="Y1121" s="9"/>
    </row>
    <row r="1122" spans="2:25" x14ac:dyDescent="0.2">
      <c r="B1122" s="7"/>
      <c r="C1122" s="9"/>
      <c r="D1122" s="9"/>
      <c r="E1122" s="9"/>
      <c r="F1122" s="9"/>
      <c r="G1122" s="16"/>
      <c r="H1122" s="9"/>
      <c r="I1122" s="9"/>
      <c r="J1122" s="9"/>
      <c r="K1122" s="72"/>
      <c r="L1122" s="9"/>
      <c r="M1122" s="9"/>
      <c r="N1122" s="9"/>
      <c r="O1122" s="9"/>
      <c r="P1122" s="9"/>
      <c r="Q1122" s="9"/>
      <c r="R1122" s="9"/>
      <c r="S1122" s="9"/>
      <c r="T1122" s="9"/>
      <c r="U1122" s="9"/>
      <c r="V1122" s="9"/>
      <c r="W1122" s="9"/>
      <c r="X1122" s="9"/>
      <c r="Y1122" s="9"/>
    </row>
    <row r="1123" spans="2:25" x14ac:dyDescent="0.2">
      <c r="B1123" s="7"/>
      <c r="C1123" s="9"/>
      <c r="D1123" s="9"/>
      <c r="E1123" s="9"/>
      <c r="F1123" s="9"/>
      <c r="G1123" s="16"/>
      <c r="H1123" s="9"/>
      <c r="I1123" s="9"/>
      <c r="J1123" s="9"/>
      <c r="K1123" s="72"/>
      <c r="L1123" s="9"/>
      <c r="M1123" s="9"/>
      <c r="N1123" s="9"/>
      <c r="O1123" s="9"/>
      <c r="P1123" s="9"/>
      <c r="Q1123" s="9"/>
      <c r="R1123" s="9"/>
      <c r="S1123" s="9"/>
      <c r="T1123" s="9"/>
      <c r="U1123" s="9"/>
      <c r="V1123" s="9"/>
      <c r="W1123" s="9"/>
      <c r="X1123" s="9"/>
      <c r="Y1123" s="9"/>
    </row>
    <row r="1124" spans="2:25" x14ac:dyDescent="0.2">
      <c r="B1124" s="7"/>
      <c r="C1124" s="9"/>
      <c r="D1124" s="9"/>
      <c r="E1124" s="9"/>
      <c r="F1124" s="9"/>
      <c r="G1124" s="16"/>
      <c r="H1124" s="9"/>
      <c r="I1124" s="9"/>
      <c r="J1124" s="9"/>
      <c r="K1124" s="72"/>
      <c r="L1124" s="9"/>
      <c r="M1124" s="9"/>
      <c r="N1124" s="9"/>
      <c r="O1124" s="9"/>
      <c r="P1124" s="9"/>
      <c r="Q1124" s="9"/>
      <c r="R1124" s="9"/>
      <c r="S1124" s="9"/>
      <c r="T1124" s="9"/>
      <c r="U1124" s="9"/>
      <c r="V1124" s="9"/>
      <c r="W1124" s="9"/>
      <c r="X1124" s="9"/>
      <c r="Y1124" s="9"/>
    </row>
    <row r="1125" spans="2:25" x14ac:dyDescent="0.2">
      <c r="B1125" s="7"/>
      <c r="C1125" s="9"/>
      <c r="D1125" s="9"/>
      <c r="E1125" s="9"/>
      <c r="F1125" s="9"/>
      <c r="G1125" s="16"/>
      <c r="H1125" s="9"/>
      <c r="I1125" s="9"/>
      <c r="J1125" s="9"/>
      <c r="K1125" s="72"/>
      <c r="L1125" s="9"/>
      <c r="M1125" s="9"/>
      <c r="N1125" s="9"/>
      <c r="O1125" s="9"/>
      <c r="P1125" s="9"/>
      <c r="Q1125" s="9"/>
      <c r="R1125" s="9"/>
      <c r="S1125" s="9"/>
      <c r="T1125" s="9"/>
      <c r="U1125" s="9"/>
      <c r="V1125" s="9"/>
      <c r="W1125" s="9"/>
      <c r="X1125" s="9"/>
      <c r="Y1125" s="9"/>
    </row>
    <row r="1126" spans="2:25" x14ac:dyDescent="0.2">
      <c r="B1126" s="7"/>
      <c r="C1126" s="9"/>
      <c r="D1126" s="9"/>
      <c r="E1126" s="9"/>
      <c r="F1126" s="9"/>
      <c r="G1126" s="16"/>
      <c r="H1126" s="9"/>
      <c r="I1126" s="9"/>
      <c r="J1126" s="9"/>
      <c r="K1126" s="72"/>
      <c r="L1126" s="9"/>
      <c r="M1126" s="9"/>
      <c r="N1126" s="9"/>
      <c r="O1126" s="9"/>
      <c r="P1126" s="9"/>
      <c r="Q1126" s="9"/>
      <c r="R1126" s="9"/>
      <c r="S1126" s="9"/>
      <c r="T1126" s="9"/>
      <c r="U1126" s="9"/>
      <c r="V1126" s="9"/>
      <c r="W1126" s="9"/>
      <c r="X1126" s="9"/>
      <c r="Y1126" s="9"/>
    </row>
    <row r="1127" spans="2:25" x14ac:dyDescent="0.2">
      <c r="B1127" s="7"/>
      <c r="C1127" s="9"/>
      <c r="D1127" s="9"/>
      <c r="E1127" s="9"/>
      <c r="F1127" s="9"/>
      <c r="G1127" s="16"/>
      <c r="H1127" s="9"/>
      <c r="I1127" s="9"/>
      <c r="J1127" s="9"/>
      <c r="K1127" s="72"/>
      <c r="L1127" s="9"/>
      <c r="M1127" s="9"/>
      <c r="N1127" s="9"/>
      <c r="O1127" s="9"/>
      <c r="P1127" s="9"/>
      <c r="Q1127" s="9"/>
      <c r="R1127" s="9"/>
      <c r="S1127" s="9"/>
      <c r="T1127" s="9"/>
      <c r="U1127" s="9"/>
      <c r="V1127" s="9"/>
      <c r="W1127" s="9"/>
      <c r="X1127" s="9"/>
      <c r="Y1127" s="9"/>
    </row>
    <row r="1128" spans="2:25" x14ac:dyDescent="0.2">
      <c r="B1128" s="7"/>
      <c r="C1128" s="9"/>
      <c r="D1128" s="9"/>
      <c r="E1128" s="9"/>
      <c r="F1128" s="9"/>
      <c r="G1128" s="16"/>
      <c r="H1128" s="9"/>
      <c r="I1128" s="9"/>
      <c r="J1128" s="9"/>
      <c r="K1128" s="72"/>
      <c r="L1128" s="9"/>
      <c r="M1128" s="9"/>
      <c r="N1128" s="9"/>
      <c r="O1128" s="9"/>
      <c r="P1128" s="9"/>
      <c r="Q1128" s="9"/>
      <c r="R1128" s="9"/>
      <c r="S1128" s="9"/>
      <c r="T1128" s="9"/>
      <c r="U1128" s="9"/>
      <c r="V1128" s="9"/>
      <c r="W1128" s="9"/>
      <c r="X1128" s="9"/>
      <c r="Y1128" s="9"/>
    </row>
    <row r="1129" spans="2:25" x14ac:dyDescent="0.2">
      <c r="B1129" s="7"/>
      <c r="C1129" s="9"/>
      <c r="D1129" s="9"/>
      <c r="E1129" s="9"/>
      <c r="F1129" s="9"/>
      <c r="G1129" s="16"/>
      <c r="H1129" s="9"/>
      <c r="I1129" s="9"/>
      <c r="J1129" s="9"/>
      <c r="K1129" s="72"/>
      <c r="L1129" s="9"/>
      <c r="M1129" s="9"/>
      <c r="N1129" s="9"/>
      <c r="O1129" s="9"/>
      <c r="P1129" s="9"/>
      <c r="Q1129" s="9"/>
      <c r="R1129" s="9"/>
      <c r="S1129" s="9"/>
      <c r="T1129" s="9"/>
      <c r="U1129" s="9"/>
      <c r="V1129" s="9"/>
      <c r="W1129" s="9"/>
      <c r="X1129" s="9"/>
      <c r="Y1129" s="9"/>
    </row>
    <row r="1130" spans="2:25" x14ac:dyDescent="0.2">
      <c r="B1130" s="7"/>
      <c r="C1130" s="9"/>
      <c r="D1130" s="9"/>
      <c r="E1130" s="9"/>
      <c r="F1130" s="9"/>
      <c r="G1130" s="16"/>
      <c r="H1130" s="9"/>
      <c r="I1130" s="9"/>
      <c r="J1130" s="9"/>
      <c r="K1130" s="72"/>
      <c r="L1130" s="9"/>
      <c r="M1130" s="9"/>
      <c r="N1130" s="9"/>
      <c r="O1130" s="9"/>
      <c r="P1130" s="9"/>
      <c r="Q1130" s="9"/>
      <c r="R1130" s="9"/>
      <c r="S1130" s="9"/>
      <c r="T1130" s="9"/>
      <c r="U1130" s="9"/>
      <c r="V1130" s="9"/>
      <c r="W1130" s="9"/>
      <c r="X1130" s="9"/>
      <c r="Y1130" s="9"/>
    </row>
    <row r="1131" spans="2:25" x14ac:dyDescent="0.2">
      <c r="B1131" s="7"/>
      <c r="C1131" s="9"/>
      <c r="D1131" s="9"/>
      <c r="E1131" s="9"/>
      <c r="F1131" s="9"/>
      <c r="G1131" s="16"/>
      <c r="H1131" s="9"/>
      <c r="I1131" s="9"/>
      <c r="J1131" s="9"/>
      <c r="K1131" s="72"/>
      <c r="L1131" s="9"/>
      <c r="M1131" s="9"/>
      <c r="N1131" s="9"/>
      <c r="O1131" s="9"/>
      <c r="P1131" s="9"/>
      <c r="Q1131" s="9"/>
      <c r="R1131" s="9"/>
      <c r="S1131" s="9"/>
      <c r="T1131" s="9"/>
      <c r="U1131" s="9"/>
      <c r="V1131" s="9"/>
      <c r="W1131" s="9"/>
      <c r="X1131" s="9"/>
      <c r="Y1131" s="9"/>
    </row>
    <row r="1132" spans="2:25" x14ac:dyDescent="0.2">
      <c r="B1132" s="7"/>
      <c r="C1132" s="9"/>
      <c r="D1132" s="9"/>
      <c r="E1132" s="9"/>
      <c r="F1132" s="9"/>
      <c r="G1132" s="16"/>
      <c r="H1132" s="9"/>
      <c r="I1132" s="9"/>
      <c r="J1132" s="9"/>
      <c r="K1132" s="72"/>
      <c r="L1132" s="9"/>
      <c r="M1132" s="9"/>
      <c r="N1132" s="9"/>
      <c r="O1132" s="9"/>
      <c r="P1132" s="9"/>
      <c r="Q1132" s="9"/>
      <c r="R1132" s="9"/>
      <c r="S1132" s="9"/>
      <c r="T1132" s="9"/>
      <c r="U1132" s="9"/>
      <c r="V1132" s="9"/>
      <c r="W1132" s="9"/>
      <c r="X1132" s="9"/>
      <c r="Y1132" s="9"/>
    </row>
    <row r="1133" spans="2:25" x14ac:dyDescent="0.2">
      <c r="B1133" s="7"/>
      <c r="C1133" s="9"/>
      <c r="D1133" s="9"/>
      <c r="E1133" s="9"/>
      <c r="F1133" s="9"/>
      <c r="G1133" s="16"/>
      <c r="H1133" s="9"/>
      <c r="I1133" s="9"/>
      <c r="J1133" s="9"/>
      <c r="K1133" s="72"/>
      <c r="L1133" s="9"/>
      <c r="M1133" s="9"/>
      <c r="N1133" s="9"/>
      <c r="O1133" s="9"/>
      <c r="P1133" s="9"/>
      <c r="Q1133" s="9"/>
      <c r="R1133" s="9"/>
      <c r="S1133" s="9"/>
      <c r="T1133" s="9"/>
      <c r="U1133" s="9"/>
      <c r="V1133" s="9"/>
      <c r="W1133" s="9"/>
      <c r="X1133" s="9"/>
      <c r="Y1133" s="9"/>
    </row>
    <row r="1134" spans="2:25" x14ac:dyDescent="0.2">
      <c r="B1134" s="7"/>
      <c r="C1134" s="9"/>
      <c r="D1134" s="9"/>
      <c r="E1134" s="9"/>
      <c r="F1134" s="9"/>
      <c r="G1134" s="16"/>
      <c r="H1134" s="9"/>
      <c r="I1134" s="9"/>
      <c r="J1134" s="9"/>
      <c r="K1134" s="72"/>
      <c r="L1134" s="9"/>
      <c r="M1134" s="9"/>
      <c r="N1134" s="9"/>
      <c r="O1134" s="9"/>
      <c r="P1134" s="9"/>
      <c r="Q1134" s="9"/>
      <c r="R1134" s="9"/>
      <c r="S1134" s="9"/>
      <c r="T1134" s="9"/>
      <c r="U1134" s="9"/>
      <c r="V1134" s="9"/>
      <c r="W1134" s="9"/>
      <c r="X1134" s="9"/>
      <c r="Y1134" s="9"/>
    </row>
    <row r="1135" spans="2:25" x14ac:dyDescent="0.2">
      <c r="B1135" s="7"/>
      <c r="C1135" s="9"/>
      <c r="D1135" s="9"/>
      <c r="E1135" s="9"/>
      <c r="F1135" s="9"/>
      <c r="G1135" s="16"/>
      <c r="H1135" s="9"/>
      <c r="I1135" s="9"/>
      <c r="J1135" s="9"/>
      <c r="K1135" s="72"/>
      <c r="L1135" s="9"/>
      <c r="M1135" s="9"/>
      <c r="N1135" s="9"/>
      <c r="O1135" s="9"/>
      <c r="P1135" s="9"/>
      <c r="Q1135" s="9"/>
      <c r="R1135" s="9"/>
      <c r="S1135" s="9"/>
      <c r="T1135" s="9"/>
      <c r="U1135" s="9"/>
      <c r="V1135" s="9"/>
      <c r="W1135" s="9"/>
      <c r="X1135" s="9"/>
      <c r="Y1135" s="9"/>
    </row>
    <row r="1136" spans="2:25" x14ac:dyDescent="0.2">
      <c r="B1136" s="7"/>
      <c r="C1136" s="9"/>
      <c r="D1136" s="9"/>
      <c r="E1136" s="9"/>
      <c r="F1136" s="9"/>
      <c r="G1136" s="16"/>
      <c r="H1136" s="9"/>
      <c r="I1136" s="9"/>
      <c r="J1136" s="9"/>
      <c r="K1136" s="72"/>
      <c r="L1136" s="9"/>
      <c r="M1136" s="9"/>
      <c r="N1136" s="9"/>
      <c r="O1136" s="9"/>
      <c r="P1136" s="9"/>
      <c r="Q1136" s="9"/>
      <c r="R1136" s="9"/>
      <c r="S1136" s="9"/>
      <c r="T1136" s="9"/>
      <c r="U1136" s="9"/>
      <c r="V1136" s="9"/>
      <c r="W1136" s="9"/>
      <c r="X1136" s="9"/>
      <c r="Y1136" s="9"/>
    </row>
    <row r="1137" spans="2:25" x14ac:dyDescent="0.2">
      <c r="B1137" s="7"/>
      <c r="C1137" s="9"/>
      <c r="D1137" s="9"/>
      <c r="E1137" s="9"/>
      <c r="F1137" s="9"/>
      <c r="G1137" s="16"/>
      <c r="H1137" s="9"/>
      <c r="I1137" s="9"/>
      <c r="J1137" s="9"/>
      <c r="K1137" s="72"/>
      <c r="L1137" s="9"/>
      <c r="M1137" s="9"/>
      <c r="N1137" s="9"/>
      <c r="O1137" s="9"/>
      <c r="P1137" s="9"/>
      <c r="Q1137" s="9"/>
      <c r="R1137" s="9"/>
      <c r="S1137" s="9"/>
      <c r="T1137" s="9"/>
      <c r="U1137" s="9"/>
      <c r="V1137" s="9"/>
      <c r="W1137" s="9"/>
      <c r="X1137" s="9"/>
      <c r="Y1137" s="9"/>
    </row>
    <row r="1138" spans="2:25" x14ac:dyDescent="0.2">
      <c r="B1138" s="7"/>
      <c r="C1138" s="9"/>
      <c r="D1138" s="9"/>
      <c r="E1138" s="9"/>
      <c r="F1138" s="9"/>
      <c r="G1138" s="16"/>
      <c r="H1138" s="9"/>
      <c r="I1138" s="9"/>
      <c r="J1138" s="9"/>
      <c r="K1138" s="72"/>
      <c r="L1138" s="9"/>
      <c r="M1138" s="9"/>
      <c r="N1138" s="9"/>
      <c r="O1138" s="9"/>
      <c r="P1138" s="9"/>
      <c r="Q1138" s="9"/>
      <c r="R1138" s="9"/>
      <c r="S1138" s="9"/>
      <c r="T1138" s="9"/>
      <c r="U1138" s="9"/>
      <c r="V1138" s="9"/>
      <c r="W1138" s="9"/>
      <c r="X1138" s="9"/>
      <c r="Y1138" s="9"/>
    </row>
    <row r="1139" spans="2:25" x14ac:dyDescent="0.2">
      <c r="B1139" s="7"/>
      <c r="C1139" s="9"/>
      <c r="D1139" s="9"/>
      <c r="E1139" s="9"/>
      <c r="F1139" s="9"/>
      <c r="G1139" s="16"/>
      <c r="H1139" s="9"/>
      <c r="I1139" s="9"/>
      <c r="J1139" s="9"/>
      <c r="K1139" s="72"/>
      <c r="L1139" s="9"/>
      <c r="M1139" s="9"/>
      <c r="N1139" s="9"/>
      <c r="O1139" s="9"/>
      <c r="P1139" s="9"/>
      <c r="Q1139" s="9"/>
      <c r="R1139" s="9"/>
      <c r="S1139" s="9"/>
      <c r="T1139" s="9"/>
      <c r="U1139" s="9"/>
      <c r="V1139" s="9"/>
      <c r="W1139" s="9"/>
      <c r="X1139" s="9"/>
      <c r="Y1139" s="9"/>
    </row>
    <row r="1140" spans="2:25" x14ac:dyDescent="0.2">
      <c r="B1140" s="7"/>
      <c r="C1140" s="9"/>
      <c r="D1140" s="9"/>
      <c r="E1140" s="9"/>
      <c r="F1140" s="9"/>
      <c r="G1140" s="16"/>
      <c r="H1140" s="9"/>
      <c r="I1140" s="9"/>
      <c r="J1140" s="9"/>
      <c r="K1140" s="72"/>
      <c r="L1140" s="9"/>
      <c r="M1140" s="9"/>
      <c r="N1140" s="9"/>
      <c r="O1140" s="9"/>
      <c r="P1140" s="9"/>
      <c r="Q1140" s="9"/>
      <c r="R1140" s="9"/>
      <c r="S1140" s="9"/>
      <c r="T1140" s="9"/>
      <c r="U1140" s="9"/>
      <c r="V1140" s="9"/>
      <c r="W1140" s="9"/>
      <c r="X1140" s="9"/>
      <c r="Y1140" s="9"/>
    </row>
    <row r="1141" spans="2:25" x14ac:dyDescent="0.2">
      <c r="B1141" s="7"/>
      <c r="C1141" s="9"/>
      <c r="D1141" s="9"/>
      <c r="E1141" s="9"/>
      <c r="F1141" s="9"/>
      <c r="G1141" s="16"/>
      <c r="H1141" s="9"/>
      <c r="I1141" s="9"/>
      <c r="J1141" s="9"/>
      <c r="K1141" s="72"/>
      <c r="L1141" s="9"/>
      <c r="M1141" s="9"/>
      <c r="N1141" s="9"/>
      <c r="O1141" s="9"/>
      <c r="P1141" s="9"/>
      <c r="Q1141" s="9"/>
      <c r="R1141" s="9"/>
      <c r="S1141" s="9"/>
      <c r="T1141" s="9"/>
      <c r="U1141" s="9"/>
      <c r="V1141" s="9"/>
      <c r="W1141" s="9"/>
      <c r="X1141" s="9"/>
      <c r="Y1141" s="9"/>
    </row>
    <row r="1142" spans="2:25" x14ac:dyDescent="0.2">
      <c r="B1142" s="7"/>
      <c r="C1142" s="9"/>
      <c r="D1142" s="9"/>
      <c r="E1142" s="9"/>
      <c r="F1142" s="9"/>
      <c r="G1142" s="16"/>
      <c r="H1142" s="9"/>
      <c r="I1142" s="9"/>
      <c r="J1142" s="9"/>
      <c r="K1142" s="72"/>
      <c r="L1142" s="9"/>
      <c r="M1142" s="9"/>
      <c r="N1142" s="9"/>
      <c r="O1142" s="9"/>
      <c r="P1142" s="9"/>
      <c r="Q1142" s="9"/>
      <c r="R1142" s="9"/>
      <c r="S1142" s="9"/>
      <c r="T1142" s="9"/>
      <c r="U1142" s="9"/>
      <c r="V1142" s="9"/>
      <c r="W1142" s="9"/>
      <c r="X1142" s="9"/>
      <c r="Y1142" s="9"/>
    </row>
    <row r="1143" spans="2:25" x14ac:dyDescent="0.2">
      <c r="B1143" s="7"/>
      <c r="C1143" s="9"/>
      <c r="D1143" s="9"/>
      <c r="E1143" s="9"/>
      <c r="F1143" s="9"/>
      <c r="G1143" s="16"/>
      <c r="H1143" s="9"/>
      <c r="I1143" s="9"/>
      <c r="J1143" s="9"/>
      <c r="K1143" s="72"/>
      <c r="L1143" s="9"/>
      <c r="M1143" s="9"/>
      <c r="N1143" s="9"/>
      <c r="O1143" s="9"/>
      <c r="P1143" s="9"/>
      <c r="Q1143" s="9"/>
      <c r="R1143" s="9"/>
      <c r="S1143" s="9"/>
      <c r="T1143" s="9"/>
      <c r="U1143" s="9"/>
      <c r="V1143" s="9"/>
      <c r="W1143" s="9"/>
      <c r="X1143" s="9"/>
      <c r="Y1143" s="9"/>
    </row>
    <row r="1144" spans="2:25" x14ac:dyDescent="0.2">
      <c r="B1144" s="7"/>
      <c r="C1144" s="9"/>
      <c r="D1144" s="9"/>
      <c r="E1144" s="9"/>
      <c r="F1144" s="9"/>
      <c r="G1144" s="16"/>
      <c r="H1144" s="9"/>
      <c r="I1144" s="9"/>
      <c r="J1144" s="9"/>
      <c r="K1144" s="72"/>
      <c r="L1144" s="9"/>
      <c r="M1144" s="9"/>
      <c r="N1144" s="9"/>
      <c r="O1144" s="9"/>
      <c r="P1144" s="9"/>
      <c r="Q1144" s="9"/>
      <c r="R1144" s="9"/>
      <c r="S1144" s="9"/>
      <c r="T1144" s="9"/>
      <c r="U1144" s="9"/>
      <c r="V1144" s="9"/>
      <c r="W1144" s="9"/>
      <c r="X1144" s="9"/>
      <c r="Y1144" s="9"/>
    </row>
    <row r="1145" spans="2:25" x14ac:dyDescent="0.2">
      <c r="B1145" s="7"/>
      <c r="C1145" s="9"/>
      <c r="D1145" s="9"/>
      <c r="E1145" s="9"/>
      <c r="F1145" s="9"/>
      <c r="G1145" s="16"/>
      <c r="H1145" s="9"/>
      <c r="I1145" s="9"/>
      <c r="J1145" s="9"/>
      <c r="K1145" s="72"/>
      <c r="L1145" s="9"/>
      <c r="M1145" s="9"/>
      <c r="N1145" s="9"/>
      <c r="O1145" s="9"/>
      <c r="P1145" s="9"/>
      <c r="Q1145" s="9"/>
      <c r="R1145" s="9"/>
      <c r="S1145" s="9"/>
      <c r="T1145" s="9"/>
      <c r="U1145" s="9"/>
      <c r="V1145" s="9"/>
      <c r="W1145" s="9"/>
      <c r="X1145" s="9"/>
      <c r="Y1145" s="9"/>
    </row>
    <row r="1146" spans="2:25" x14ac:dyDescent="0.2">
      <c r="B1146" s="7"/>
      <c r="C1146" s="9"/>
      <c r="D1146" s="9"/>
      <c r="E1146" s="9"/>
      <c r="F1146" s="9"/>
      <c r="G1146" s="16"/>
      <c r="H1146" s="9"/>
      <c r="I1146" s="9"/>
      <c r="J1146" s="9"/>
      <c r="K1146" s="72"/>
      <c r="L1146" s="9"/>
      <c r="M1146" s="9"/>
      <c r="N1146" s="9"/>
      <c r="O1146" s="9"/>
      <c r="P1146" s="9"/>
      <c r="Q1146" s="9"/>
      <c r="R1146" s="9"/>
      <c r="S1146" s="9"/>
      <c r="T1146" s="9"/>
      <c r="U1146" s="9"/>
      <c r="V1146" s="9"/>
      <c r="W1146" s="9"/>
      <c r="X1146" s="9"/>
      <c r="Y1146" s="9"/>
    </row>
    <row r="1147" spans="2:25" x14ac:dyDescent="0.2">
      <c r="B1147" s="7"/>
      <c r="C1147" s="9"/>
      <c r="D1147" s="9"/>
      <c r="E1147" s="9"/>
      <c r="F1147" s="9"/>
      <c r="G1147" s="16"/>
      <c r="H1147" s="9"/>
      <c r="I1147" s="9"/>
      <c r="J1147" s="9"/>
      <c r="K1147" s="72"/>
      <c r="L1147" s="9"/>
      <c r="M1147" s="9"/>
      <c r="N1147" s="9"/>
      <c r="O1147" s="9"/>
      <c r="P1147" s="9"/>
      <c r="Q1147" s="9"/>
      <c r="R1147" s="9"/>
      <c r="S1147" s="9"/>
      <c r="T1147" s="9"/>
      <c r="U1147" s="9"/>
      <c r="V1147" s="9"/>
      <c r="W1147" s="9"/>
      <c r="X1147" s="9"/>
      <c r="Y1147" s="9"/>
    </row>
    <row r="1148" spans="2:25" x14ac:dyDescent="0.2">
      <c r="B1148" s="7"/>
      <c r="C1148" s="9"/>
      <c r="D1148" s="9"/>
      <c r="E1148" s="9"/>
      <c r="F1148" s="9"/>
      <c r="G1148" s="16"/>
      <c r="H1148" s="9"/>
      <c r="I1148" s="9"/>
      <c r="J1148" s="9"/>
      <c r="K1148" s="72"/>
      <c r="L1148" s="9"/>
      <c r="M1148" s="9"/>
      <c r="N1148" s="9"/>
      <c r="O1148" s="9"/>
      <c r="P1148" s="9"/>
      <c r="Q1148" s="9"/>
      <c r="R1148" s="9"/>
      <c r="S1148" s="9"/>
      <c r="T1148" s="9"/>
      <c r="U1148" s="9"/>
      <c r="V1148" s="9"/>
      <c r="W1148" s="9"/>
      <c r="X1148" s="9"/>
      <c r="Y1148" s="9"/>
    </row>
    <row r="1149" spans="2:25" x14ac:dyDescent="0.2">
      <c r="B1149" s="7"/>
      <c r="C1149" s="9"/>
      <c r="D1149" s="9"/>
      <c r="E1149" s="9"/>
      <c r="F1149" s="9"/>
      <c r="G1149" s="16"/>
      <c r="H1149" s="9"/>
      <c r="I1149" s="9"/>
      <c r="J1149" s="9"/>
      <c r="K1149" s="72"/>
      <c r="L1149" s="9"/>
      <c r="M1149" s="9"/>
      <c r="N1149" s="9"/>
      <c r="O1149" s="9"/>
      <c r="P1149" s="9"/>
      <c r="Q1149" s="9"/>
      <c r="R1149" s="9"/>
      <c r="S1149" s="9"/>
      <c r="T1149" s="9"/>
      <c r="U1149" s="9"/>
      <c r="V1149" s="9"/>
      <c r="W1149" s="9"/>
      <c r="X1149" s="9"/>
      <c r="Y1149" s="9"/>
    </row>
    <row r="1150" spans="2:25" x14ac:dyDescent="0.2">
      <c r="B1150" s="7"/>
      <c r="C1150" s="9"/>
      <c r="D1150" s="9"/>
      <c r="E1150" s="9"/>
      <c r="F1150" s="9"/>
      <c r="G1150" s="16"/>
      <c r="H1150" s="9"/>
      <c r="I1150" s="9"/>
      <c r="J1150" s="9"/>
      <c r="K1150" s="72"/>
      <c r="L1150" s="9"/>
      <c r="M1150" s="9"/>
      <c r="N1150" s="9"/>
      <c r="O1150" s="9"/>
      <c r="P1150" s="9"/>
      <c r="Q1150" s="9"/>
      <c r="R1150" s="9"/>
      <c r="S1150" s="9"/>
      <c r="T1150" s="9"/>
      <c r="U1150" s="9"/>
      <c r="V1150" s="9"/>
      <c r="W1150" s="9"/>
      <c r="X1150" s="9"/>
      <c r="Y1150" s="9"/>
    </row>
    <row r="1151" spans="2:25" x14ac:dyDescent="0.2">
      <c r="B1151" s="7"/>
      <c r="C1151" s="9"/>
      <c r="D1151" s="9"/>
      <c r="E1151" s="9"/>
      <c r="F1151" s="9"/>
      <c r="G1151" s="16"/>
      <c r="H1151" s="9"/>
      <c r="I1151" s="9"/>
      <c r="J1151" s="9"/>
      <c r="K1151" s="72"/>
      <c r="L1151" s="9"/>
      <c r="M1151" s="9"/>
      <c r="N1151" s="9"/>
      <c r="O1151" s="9"/>
      <c r="P1151" s="9"/>
      <c r="Q1151" s="9"/>
      <c r="R1151" s="9"/>
      <c r="S1151" s="9"/>
      <c r="T1151" s="9"/>
      <c r="U1151" s="9"/>
      <c r="V1151" s="9"/>
      <c r="W1151" s="9"/>
      <c r="X1151" s="9"/>
      <c r="Y1151" s="9"/>
    </row>
    <row r="1152" spans="2:25" x14ac:dyDescent="0.2">
      <c r="B1152" s="7"/>
      <c r="C1152" s="9"/>
      <c r="D1152" s="9"/>
      <c r="E1152" s="9"/>
      <c r="F1152" s="9"/>
      <c r="G1152" s="16"/>
      <c r="H1152" s="9"/>
      <c r="I1152" s="9"/>
      <c r="J1152" s="9"/>
      <c r="K1152" s="72"/>
      <c r="L1152" s="9"/>
      <c r="M1152" s="9"/>
      <c r="N1152" s="9"/>
      <c r="O1152" s="9"/>
      <c r="P1152" s="9"/>
      <c r="Q1152" s="9"/>
      <c r="R1152" s="9"/>
      <c r="S1152" s="9"/>
      <c r="T1152" s="9"/>
      <c r="U1152" s="9"/>
      <c r="V1152" s="9"/>
      <c r="W1152" s="9"/>
      <c r="X1152" s="9"/>
      <c r="Y1152" s="9"/>
    </row>
    <row r="1153" spans="2:25" x14ac:dyDescent="0.2">
      <c r="B1153" s="7"/>
      <c r="C1153" s="9"/>
      <c r="D1153" s="9"/>
      <c r="E1153" s="9"/>
      <c r="F1153" s="9"/>
      <c r="G1153" s="16"/>
      <c r="H1153" s="9"/>
      <c r="I1153" s="9"/>
      <c r="J1153" s="9"/>
      <c r="K1153" s="72"/>
      <c r="L1153" s="9"/>
      <c r="M1153" s="9"/>
      <c r="N1153" s="9"/>
      <c r="O1153" s="9"/>
      <c r="P1153" s="9"/>
      <c r="Q1153" s="9"/>
      <c r="R1153" s="9"/>
      <c r="S1153" s="9"/>
      <c r="T1153" s="9"/>
      <c r="U1153" s="9"/>
      <c r="V1153" s="9"/>
      <c r="W1153" s="9"/>
      <c r="X1153" s="9"/>
      <c r="Y1153" s="9"/>
    </row>
    <row r="1154" spans="2:25" x14ac:dyDescent="0.2">
      <c r="B1154" s="7"/>
      <c r="C1154" s="9"/>
      <c r="D1154" s="9"/>
      <c r="E1154" s="9"/>
      <c r="F1154" s="9"/>
      <c r="G1154" s="16"/>
      <c r="H1154" s="9"/>
      <c r="I1154" s="9"/>
      <c r="J1154" s="9"/>
      <c r="K1154" s="72"/>
      <c r="L1154" s="9"/>
      <c r="M1154" s="9"/>
      <c r="N1154" s="9"/>
      <c r="O1154" s="9"/>
      <c r="P1154" s="9"/>
      <c r="Q1154" s="9"/>
      <c r="R1154" s="9"/>
      <c r="S1154" s="9"/>
      <c r="T1154" s="9"/>
      <c r="U1154" s="9"/>
      <c r="V1154" s="9"/>
      <c r="W1154" s="9"/>
      <c r="X1154" s="9"/>
      <c r="Y1154" s="9"/>
    </row>
    <row r="1155" spans="2:25" x14ac:dyDescent="0.2">
      <c r="B1155" s="7"/>
      <c r="C1155" s="9"/>
      <c r="D1155" s="9"/>
      <c r="E1155" s="9"/>
      <c r="F1155" s="9"/>
      <c r="G1155" s="16"/>
      <c r="H1155" s="9"/>
      <c r="I1155" s="9"/>
      <c r="J1155" s="9"/>
      <c r="K1155" s="72"/>
      <c r="L1155" s="9"/>
      <c r="M1155" s="9"/>
      <c r="N1155" s="9"/>
      <c r="O1155" s="9"/>
      <c r="P1155" s="9"/>
      <c r="Q1155" s="9"/>
      <c r="R1155" s="9"/>
      <c r="S1155" s="9"/>
      <c r="T1155" s="9"/>
      <c r="U1155" s="9"/>
      <c r="V1155" s="9"/>
      <c r="W1155" s="9"/>
      <c r="X1155" s="9"/>
      <c r="Y1155" s="9"/>
    </row>
    <row r="1156" spans="2:25" x14ac:dyDescent="0.2">
      <c r="B1156" s="7"/>
      <c r="C1156" s="9"/>
      <c r="D1156" s="9"/>
      <c r="E1156" s="9"/>
      <c r="F1156" s="9"/>
      <c r="G1156" s="16"/>
      <c r="H1156" s="9"/>
      <c r="I1156" s="9"/>
      <c r="J1156" s="9"/>
      <c r="K1156" s="72"/>
      <c r="L1156" s="9"/>
      <c r="M1156" s="9"/>
      <c r="N1156" s="9"/>
      <c r="O1156" s="9"/>
      <c r="P1156" s="9"/>
      <c r="Q1156" s="9"/>
      <c r="R1156" s="9"/>
      <c r="S1156" s="9"/>
      <c r="T1156" s="9"/>
      <c r="U1156" s="9"/>
      <c r="V1156" s="9"/>
      <c r="W1156" s="9"/>
      <c r="X1156" s="9"/>
      <c r="Y1156" s="9"/>
    </row>
    <row r="1157" spans="2:25" x14ac:dyDescent="0.2">
      <c r="B1157" s="7"/>
      <c r="C1157" s="9"/>
      <c r="D1157" s="9"/>
      <c r="E1157" s="9"/>
      <c r="F1157" s="9"/>
      <c r="G1157" s="16"/>
      <c r="H1157" s="9"/>
      <c r="I1157" s="9"/>
      <c r="J1157" s="9"/>
      <c r="K1157" s="72"/>
      <c r="L1157" s="9"/>
      <c r="M1157" s="9"/>
      <c r="N1157" s="9"/>
      <c r="O1157" s="9"/>
      <c r="P1157" s="9"/>
      <c r="Q1157" s="9"/>
      <c r="R1157" s="9"/>
      <c r="S1157" s="9"/>
      <c r="T1157" s="9"/>
      <c r="U1157" s="9"/>
      <c r="V1157" s="9"/>
      <c r="W1157" s="9"/>
      <c r="X1157" s="9"/>
      <c r="Y1157" s="9"/>
    </row>
    <row r="1158" spans="2:25" x14ac:dyDescent="0.2">
      <c r="B1158" s="7"/>
      <c r="C1158" s="9"/>
      <c r="D1158" s="9"/>
      <c r="E1158" s="9"/>
      <c r="F1158" s="9"/>
      <c r="G1158" s="16"/>
      <c r="H1158" s="9"/>
      <c r="I1158" s="9"/>
      <c r="J1158" s="9"/>
      <c r="K1158" s="72"/>
      <c r="L1158" s="9"/>
      <c r="M1158" s="9"/>
      <c r="N1158" s="9"/>
      <c r="O1158" s="9"/>
      <c r="P1158" s="9"/>
      <c r="Q1158" s="9"/>
      <c r="R1158" s="9"/>
      <c r="S1158" s="9"/>
      <c r="T1158" s="9"/>
      <c r="U1158" s="9"/>
      <c r="V1158" s="9"/>
      <c r="W1158" s="9"/>
      <c r="X1158" s="9"/>
      <c r="Y1158" s="9"/>
    </row>
    <row r="1159" spans="2:25" x14ac:dyDescent="0.2">
      <c r="B1159" s="7"/>
      <c r="C1159" s="9"/>
      <c r="D1159" s="9"/>
      <c r="E1159" s="9"/>
      <c r="F1159" s="9"/>
      <c r="G1159" s="16"/>
      <c r="H1159" s="9"/>
      <c r="I1159" s="9"/>
      <c r="J1159" s="9"/>
      <c r="K1159" s="72"/>
      <c r="L1159" s="9"/>
      <c r="M1159" s="9"/>
      <c r="N1159" s="9"/>
      <c r="O1159" s="9"/>
      <c r="P1159" s="9"/>
      <c r="Q1159" s="9"/>
      <c r="R1159" s="9"/>
      <c r="S1159" s="9"/>
      <c r="T1159" s="9"/>
      <c r="U1159" s="9"/>
      <c r="V1159" s="9"/>
      <c r="W1159" s="9"/>
      <c r="X1159" s="9"/>
      <c r="Y1159" s="9"/>
    </row>
    <row r="1160" spans="2:25" x14ac:dyDescent="0.2">
      <c r="B1160" s="7"/>
      <c r="C1160" s="9"/>
      <c r="D1160" s="9"/>
      <c r="E1160" s="9"/>
      <c r="F1160" s="9"/>
      <c r="G1160" s="16"/>
      <c r="H1160" s="9"/>
      <c r="I1160" s="9"/>
      <c r="J1160" s="9"/>
      <c r="K1160" s="72"/>
      <c r="L1160" s="9"/>
      <c r="M1160" s="9"/>
      <c r="N1160" s="9"/>
      <c r="O1160" s="9"/>
      <c r="P1160" s="9"/>
      <c r="Q1160" s="9"/>
      <c r="R1160" s="9"/>
      <c r="S1160" s="9"/>
      <c r="T1160" s="9"/>
      <c r="U1160" s="9"/>
      <c r="V1160" s="9"/>
      <c r="W1160" s="9"/>
      <c r="X1160" s="9"/>
      <c r="Y1160" s="9"/>
    </row>
    <row r="1161" spans="2:25" x14ac:dyDescent="0.2">
      <c r="B1161" s="7"/>
      <c r="C1161" s="9"/>
      <c r="D1161" s="9"/>
      <c r="E1161" s="9"/>
      <c r="F1161" s="9"/>
      <c r="G1161" s="16"/>
      <c r="H1161" s="9"/>
      <c r="I1161" s="9"/>
      <c r="J1161" s="9"/>
      <c r="K1161" s="72"/>
      <c r="L1161" s="9"/>
      <c r="M1161" s="9"/>
      <c r="N1161" s="9"/>
      <c r="O1161" s="9"/>
      <c r="P1161" s="9"/>
      <c r="Q1161" s="9"/>
      <c r="R1161" s="9"/>
      <c r="S1161" s="9"/>
      <c r="T1161" s="9"/>
      <c r="U1161" s="9"/>
      <c r="V1161" s="9"/>
      <c r="W1161" s="9"/>
      <c r="X1161" s="9"/>
      <c r="Y1161" s="9"/>
    </row>
    <row r="1162" spans="2:25" x14ac:dyDescent="0.2">
      <c r="B1162" s="7"/>
      <c r="C1162" s="9"/>
      <c r="D1162" s="9"/>
      <c r="E1162" s="9"/>
      <c r="F1162" s="9"/>
      <c r="G1162" s="16"/>
      <c r="H1162" s="9"/>
      <c r="I1162" s="9"/>
      <c r="J1162" s="9"/>
      <c r="K1162" s="72"/>
      <c r="L1162" s="9"/>
      <c r="M1162" s="9"/>
      <c r="N1162" s="9"/>
      <c r="O1162" s="9"/>
      <c r="P1162" s="9"/>
      <c r="Q1162" s="9"/>
      <c r="R1162" s="9"/>
      <c r="S1162" s="9"/>
      <c r="T1162" s="9"/>
      <c r="U1162" s="9"/>
      <c r="V1162" s="9"/>
      <c r="W1162" s="9"/>
      <c r="X1162" s="9"/>
      <c r="Y1162" s="9"/>
    </row>
    <row r="1163" spans="2:25" x14ac:dyDescent="0.2">
      <c r="B1163" s="7"/>
      <c r="C1163" s="9"/>
      <c r="D1163" s="9"/>
      <c r="E1163" s="9"/>
      <c r="F1163" s="9"/>
      <c r="G1163" s="16"/>
      <c r="H1163" s="9"/>
      <c r="I1163" s="9"/>
      <c r="J1163" s="9"/>
      <c r="K1163" s="72"/>
      <c r="L1163" s="9"/>
      <c r="M1163" s="9"/>
      <c r="N1163" s="9"/>
      <c r="O1163" s="9"/>
      <c r="P1163" s="9"/>
      <c r="Q1163" s="9"/>
      <c r="R1163" s="9"/>
      <c r="S1163" s="9"/>
      <c r="T1163" s="9"/>
      <c r="U1163" s="9"/>
      <c r="V1163" s="9"/>
      <c r="W1163" s="9"/>
      <c r="X1163" s="9"/>
      <c r="Y1163" s="9"/>
    </row>
    <row r="1164" spans="2:25" x14ac:dyDescent="0.2">
      <c r="B1164" s="7"/>
      <c r="C1164" s="9"/>
      <c r="D1164" s="9"/>
      <c r="E1164" s="9"/>
      <c r="F1164" s="9"/>
      <c r="G1164" s="16"/>
      <c r="H1164" s="9"/>
      <c r="I1164" s="9"/>
      <c r="J1164" s="9"/>
      <c r="K1164" s="72"/>
      <c r="L1164" s="9"/>
      <c r="M1164" s="9"/>
      <c r="N1164" s="9"/>
      <c r="O1164" s="9"/>
      <c r="P1164" s="9"/>
      <c r="Q1164" s="9"/>
      <c r="R1164" s="9"/>
      <c r="S1164" s="9"/>
      <c r="T1164" s="9"/>
      <c r="U1164" s="9"/>
      <c r="V1164" s="9"/>
      <c r="W1164" s="9"/>
      <c r="X1164" s="9"/>
      <c r="Y1164" s="9"/>
    </row>
    <row r="1165" spans="2:25" x14ac:dyDescent="0.2">
      <c r="B1165" s="7"/>
      <c r="C1165" s="9"/>
      <c r="D1165" s="9"/>
      <c r="E1165" s="9"/>
      <c r="F1165" s="9"/>
      <c r="G1165" s="16"/>
      <c r="H1165" s="9"/>
      <c r="I1165" s="9"/>
      <c r="J1165" s="9"/>
      <c r="K1165" s="72"/>
      <c r="L1165" s="9"/>
      <c r="M1165" s="9"/>
      <c r="N1165" s="9"/>
      <c r="O1165" s="9"/>
      <c r="P1165" s="9"/>
      <c r="Q1165" s="9"/>
      <c r="R1165" s="9"/>
      <c r="S1165" s="9"/>
      <c r="T1165" s="9"/>
      <c r="U1165" s="9"/>
      <c r="V1165" s="9"/>
      <c r="W1165" s="9"/>
      <c r="X1165" s="9"/>
      <c r="Y1165" s="9"/>
    </row>
    <row r="1166" spans="2:25" x14ac:dyDescent="0.2">
      <c r="B1166" s="7"/>
      <c r="C1166" s="9"/>
      <c r="D1166" s="9"/>
      <c r="E1166" s="9"/>
      <c r="F1166" s="9"/>
      <c r="G1166" s="16"/>
      <c r="H1166" s="9"/>
      <c r="I1166" s="9"/>
      <c r="J1166" s="9"/>
      <c r="K1166" s="72"/>
      <c r="L1166" s="9"/>
      <c r="M1166" s="9"/>
      <c r="N1166" s="9"/>
      <c r="O1166" s="9"/>
      <c r="P1166" s="9"/>
      <c r="Q1166" s="9"/>
      <c r="R1166" s="9"/>
      <c r="S1166" s="9"/>
      <c r="T1166" s="9"/>
      <c r="U1166" s="9"/>
      <c r="V1166" s="9"/>
      <c r="W1166" s="9"/>
      <c r="X1166" s="9"/>
      <c r="Y1166" s="9"/>
    </row>
    <row r="1167" spans="2:25" x14ac:dyDescent="0.2">
      <c r="B1167" s="7"/>
      <c r="C1167" s="9"/>
      <c r="D1167" s="9"/>
      <c r="E1167" s="9"/>
      <c r="F1167" s="9"/>
      <c r="G1167" s="16"/>
      <c r="H1167" s="9"/>
      <c r="I1167" s="9"/>
      <c r="J1167" s="9"/>
      <c r="K1167" s="72"/>
      <c r="L1167" s="9"/>
      <c r="M1167" s="9"/>
      <c r="N1167" s="9"/>
      <c r="O1167" s="9"/>
      <c r="P1167" s="9"/>
      <c r="Q1167" s="9"/>
      <c r="R1167" s="9"/>
      <c r="S1167" s="9"/>
      <c r="T1167" s="9"/>
      <c r="U1167" s="9"/>
      <c r="V1167" s="9"/>
      <c r="W1167" s="9"/>
      <c r="X1167" s="9"/>
      <c r="Y1167" s="9"/>
    </row>
    <row r="1168" spans="2:25" x14ac:dyDescent="0.2">
      <c r="B1168" s="7"/>
      <c r="C1168" s="9"/>
      <c r="D1168" s="9"/>
      <c r="E1168" s="9"/>
      <c r="F1168" s="9"/>
      <c r="G1168" s="16"/>
      <c r="H1168" s="9"/>
      <c r="I1168" s="9"/>
      <c r="J1168" s="9"/>
      <c r="K1168" s="72"/>
      <c r="L1168" s="9"/>
      <c r="M1168" s="9"/>
      <c r="N1168" s="9"/>
      <c r="O1168" s="9"/>
      <c r="P1168" s="9"/>
      <c r="Q1168" s="9"/>
      <c r="R1168" s="9"/>
      <c r="S1168" s="9"/>
      <c r="T1168" s="9"/>
      <c r="U1168" s="9"/>
      <c r="V1168" s="9"/>
      <c r="W1168" s="9"/>
      <c r="X1168" s="9"/>
      <c r="Y1168" s="9"/>
    </row>
    <row r="1169" spans="2:25" x14ac:dyDescent="0.2">
      <c r="B1169" s="7"/>
      <c r="C1169" s="9"/>
      <c r="D1169" s="9"/>
      <c r="E1169" s="9"/>
      <c r="F1169" s="9"/>
      <c r="G1169" s="16"/>
      <c r="H1169" s="9"/>
      <c r="I1169" s="9"/>
      <c r="J1169" s="9"/>
      <c r="K1169" s="72"/>
      <c r="L1169" s="9"/>
      <c r="M1169" s="9"/>
      <c r="N1169" s="9"/>
      <c r="O1169" s="9"/>
      <c r="P1169" s="9"/>
      <c r="Q1169" s="9"/>
      <c r="R1169" s="9"/>
      <c r="S1169" s="9"/>
      <c r="T1169" s="9"/>
      <c r="U1169" s="9"/>
      <c r="V1169" s="9"/>
      <c r="W1169" s="9"/>
      <c r="X1169" s="9"/>
      <c r="Y1169" s="9"/>
    </row>
    <row r="1170" spans="2:25" x14ac:dyDescent="0.2">
      <c r="B1170" s="7"/>
      <c r="C1170" s="9"/>
      <c r="D1170" s="9"/>
      <c r="E1170" s="9"/>
      <c r="F1170" s="9"/>
      <c r="G1170" s="16"/>
      <c r="H1170" s="9"/>
      <c r="I1170" s="9"/>
      <c r="J1170" s="9"/>
      <c r="K1170" s="72"/>
      <c r="L1170" s="9"/>
      <c r="M1170" s="9"/>
      <c r="N1170" s="9"/>
      <c r="O1170" s="9"/>
      <c r="P1170" s="9"/>
      <c r="Q1170" s="9"/>
      <c r="R1170" s="9"/>
      <c r="S1170" s="9"/>
      <c r="T1170" s="9"/>
      <c r="U1170" s="9"/>
      <c r="V1170" s="9"/>
      <c r="W1170" s="9"/>
      <c r="X1170" s="9"/>
      <c r="Y1170" s="9"/>
    </row>
    <row r="1171" spans="2:25" x14ac:dyDescent="0.2">
      <c r="B1171" s="7"/>
      <c r="C1171" s="9"/>
      <c r="D1171" s="9"/>
      <c r="E1171" s="9"/>
      <c r="F1171" s="9"/>
      <c r="G1171" s="16"/>
      <c r="H1171" s="9"/>
      <c r="I1171" s="9"/>
      <c r="J1171" s="9"/>
      <c r="K1171" s="72"/>
      <c r="L1171" s="9"/>
      <c r="M1171" s="9"/>
      <c r="N1171" s="9"/>
      <c r="O1171" s="9"/>
      <c r="P1171" s="9"/>
      <c r="Q1171" s="9"/>
      <c r="R1171" s="9"/>
      <c r="S1171" s="9"/>
      <c r="T1171" s="9"/>
      <c r="U1171" s="9"/>
      <c r="V1171" s="9"/>
      <c r="W1171" s="9"/>
      <c r="X1171" s="9"/>
      <c r="Y1171" s="9"/>
    </row>
    <row r="1172" spans="2:25" x14ac:dyDescent="0.2">
      <c r="B1172" s="7"/>
      <c r="C1172" s="9"/>
      <c r="D1172" s="9"/>
      <c r="E1172" s="9"/>
      <c r="F1172" s="9"/>
      <c r="G1172" s="16"/>
      <c r="H1172" s="9"/>
      <c r="I1172" s="9"/>
      <c r="J1172" s="9"/>
      <c r="K1172" s="72"/>
      <c r="L1172" s="9"/>
      <c r="M1172" s="9"/>
      <c r="N1172" s="9"/>
      <c r="O1172" s="9"/>
      <c r="P1172" s="9"/>
      <c r="Q1172" s="9"/>
      <c r="R1172" s="9"/>
      <c r="S1172" s="9"/>
      <c r="T1172" s="9"/>
      <c r="U1172" s="9"/>
      <c r="V1172" s="9"/>
      <c r="W1172" s="9"/>
      <c r="X1172" s="9"/>
      <c r="Y1172" s="9"/>
    </row>
    <row r="1173" spans="2:25" x14ac:dyDescent="0.2">
      <c r="B1173" s="7"/>
      <c r="C1173" s="9"/>
      <c r="D1173" s="9"/>
      <c r="E1173" s="9"/>
      <c r="F1173" s="9"/>
      <c r="G1173" s="16"/>
      <c r="H1173" s="9"/>
      <c r="I1173" s="9"/>
      <c r="J1173" s="9"/>
      <c r="K1173" s="72"/>
      <c r="L1173" s="9"/>
      <c r="M1173" s="9"/>
      <c r="N1173" s="9"/>
      <c r="O1173" s="9"/>
      <c r="P1173" s="9"/>
      <c r="Q1173" s="9"/>
      <c r="R1173" s="9"/>
      <c r="S1173" s="9"/>
      <c r="T1173" s="9"/>
      <c r="U1173" s="9"/>
      <c r="V1173" s="9"/>
      <c r="W1173" s="9"/>
      <c r="X1173" s="9"/>
      <c r="Y1173" s="9"/>
    </row>
    <row r="1174" spans="2:25" x14ac:dyDescent="0.2">
      <c r="B1174" s="7"/>
      <c r="C1174" s="9"/>
      <c r="D1174" s="9"/>
      <c r="E1174" s="9"/>
      <c r="F1174" s="9"/>
      <c r="G1174" s="16"/>
      <c r="H1174" s="9"/>
      <c r="I1174" s="9"/>
      <c r="J1174" s="9"/>
      <c r="K1174" s="72"/>
      <c r="L1174" s="9"/>
      <c r="M1174" s="9"/>
      <c r="N1174" s="9"/>
      <c r="O1174" s="9"/>
      <c r="P1174" s="9"/>
      <c r="Q1174" s="9"/>
      <c r="R1174" s="9"/>
      <c r="S1174" s="9"/>
      <c r="T1174" s="9"/>
      <c r="U1174" s="9"/>
      <c r="V1174" s="9"/>
      <c r="W1174" s="9"/>
      <c r="X1174" s="9"/>
      <c r="Y1174" s="9"/>
    </row>
    <row r="1175" spans="2:25" x14ac:dyDescent="0.2">
      <c r="B1175" s="7"/>
      <c r="C1175" s="9"/>
      <c r="D1175" s="9"/>
      <c r="E1175" s="9"/>
      <c r="F1175" s="9"/>
      <c r="G1175" s="16"/>
      <c r="H1175" s="9"/>
      <c r="I1175" s="9"/>
      <c r="J1175" s="9"/>
      <c r="K1175" s="72"/>
      <c r="L1175" s="9"/>
      <c r="M1175" s="9"/>
      <c r="N1175" s="9"/>
      <c r="O1175" s="9"/>
      <c r="P1175" s="9"/>
      <c r="Q1175" s="9"/>
      <c r="R1175" s="9"/>
      <c r="S1175" s="9"/>
      <c r="T1175" s="9"/>
      <c r="U1175" s="9"/>
      <c r="V1175" s="9"/>
      <c r="W1175" s="9"/>
      <c r="X1175" s="9"/>
      <c r="Y1175" s="9"/>
    </row>
    <row r="1176" spans="2:25" x14ac:dyDescent="0.2">
      <c r="B1176" s="7"/>
      <c r="C1176" s="9"/>
      <c r="D1176" s="9"/>
      <c r="E1176" s="9"/>
      <c r="F1176" s="9"/>
      <c r="G1176" s="16"/>
      <c r="H1176" s="9"/>
      <c r="I1176" s="9"/>
      <c r="J1176" s="9"/>
      <c r="K1176" s="72"/>
      <c r="L1176" s="9"/>
      <c r="M1176" s="9"/>
      <c r="N1176" s="9"/>
      <c r="O1176" s="9"/>
      <c r="P1176" s="9"/>
      <c r="Q1176" s="9"/>
      <c r="R1176" s="9"/>
      <c r="S1176" s="9"/>
      <c r="T1176" s="9"/>
      <c r="U1176" s="9"/>
      <c r="V1176" s="9"/>
      <c r="W1176" s="9"/>
      <c r="X1176" s="9"/>
      <c r="Y1176" s="9"/>
    </row>
    <row r="1177" spans="2:25" x14ac:dyDescent="0.2">
      <c r="B1177" s="7"/>
      <c r="C1177" s="9"/>
      <c r="D1177" s="9"/>
      <c r="E1177" s="9"/>
      <c r="F1177" s="9"/>
      <c r="G1177" s="16"/>
      <c r="H1177" s="9"/>
      <c r="I1177" s="9"/>
      <c r="J1177" s="9"/>
      <c r="K1177" s="72"/>
      <c r="L1177" s="9"/>
      <c r="M1177" s="9"/>
      <c r="N1177" s="9"/>
      <c r="O1177" s="9"/>
      <c r="P1177" s="9"/>
      <c r="Q1177" s="9"/>
      <c r="R1177" s="9"/>
      <c r="S1177" s="9"/>
      <c r="T1177" s="9"/>
      <c r="U1177" s="9"/>
      <c r="V1177" s="9"/>
      <c r="W1177" s="9"/>
      <c r="X1177" s="9"/>
      <c r="Y1177" s="9"/>
    </row>
    <row r="1178" spans="2:25" x14ac:dyDescent="0.2">
      <c r="B1178" s="7"/>
      <c r="C1178" s="9"/>
      <c r="D1178" s="9"/>
      <c r="E1178" s="9"/>
      <c r="F1178" s="9"/>
      <c r="G1178" s="16"/>
      <c r="H1178" s="9"/>
      <c r="I1178" s="9"/>
      <c r="J1178" s="9"/>
      <c r="K1178" s="72"/>
      <c r="L1178" s="9"/>
      <c r="M1178" s="9"/>
      <c r="N1178" s="9"/>
      <c r="O1178" s="9"/>
      <c r="P1178" s="9"/>
      <c r="Q1178" s="9"/>
      <c r="R1178" s="9"/>
      <c r="S1178" s="9"/>
      <c r="T1178" s="9"/>
      <c r="U1178" s="9"/>
      <c r="V1178" s="9"/>
      <c r="W1178" s="9"/>
      <c r="X1178" s="9"/>
      <c r="Y1178" s="9"/>
    </row>
    <row r="1179" spans="2:25" x14ac:dyDescent="0.2">
      <c r="B1179" s="7"/>
      <c r="C1179" s="9"/>
      <c r="D1179" s="9"/>
      <c r="E1179" s="9"/>
      <c r="F1179" s="9"/>
      <c r="G1179" s="16"/>
      <c r="H1179" s="9"/>
      <c r="I1179" s="9"/>
      <c r="J1179" s="9"/>
      <c r="K1179" s="72"/>
      <c r="L1179" s="9"/>
      <c r="M1179" s="9"/>
      <c r="N1179" s="9"/>
      <c r="O1179" s="9"/>
      <c r="P1179" s="9"/>
      <c r="Q1179" s="9"/>
      <c r="R1179" s="9"/>
      <c r="S1179" s="9"/>
      <c r="T1179" s="9"/>
      <c r="U1179" s="9"/>
      <c r="V1179" s="9"/>
      <c r="W1179" s="9"/>
      <c r="X1179" s="9"/>
      <c r="Y1179" s="9"/>
    </row>
    <row r="1180" spans="2:25" x14ac:dyDescent="0.2">
      <c r="B1180" s="7"/>
      <c r="C1180" s="9"/>
      <c r="D1180" s="9"/>
      <c r="E1180" s="9"/>
      <c r="F1180" s="9"/>
      <c r="G1180" s="16"/>
      <c r="H1180" s="9"/>
      <c r="I1180" s="9"/>
      <c r="J1180" s="9"/>
      <c r="K1180" s="72"/>
      <c r="L1180" s="9"/>
      <c r="M1180" s="9"/>
      <c r="N1180" s="9"/>
      <c r="O1180" s="9"/>
      <c r="P1180" s="9"/>
      <c r="Q1180" s="9"/>
      <c r="R1180" s="9"/>
      <c r="S1180" s="9"/>
      <c r="T1180" s="9"/>
      <c r="U1180" s="9"/>
      <c r="V1180" s="9"/>
      <c r="W1180" s="9"/>
      <c r="X1180" s="9"/>
      <c r="Y1180" s="9"/>
    </row>
    <row r="1181" spans="2:25" x14ac:dyDescent="0.2">
      <c r="B1181" s="7"/>
      <c r="C1181" s="9"/>
      <c r="D1181" s="9"/>
      <c r="E1181" s="9"/>
      <c r="F1181" s="9"/>
      <c r="G1181" s="16"/>
      <c r="H1181" s="9"/>
      <c r="I1181" s="9"/>
      <c r="J1181" s="9"/>
      <c r="K1181" s="72"/>
      <c r="L1181" s="9"/>
      <c r="M1181" s="9"/>
      <c r="N1181" s="9"/>
      <c r="O1181" s="9"/>
      <c r="P1181" s="9"/>
      <c r="Q1181" s="9"/>
      <c r="R1181" s="9"/>
      <c r="S1181" s="9"/>
      <c r="T1181" s="9"/>
      <c r="U1181" s="9"/>
      <c r="V1181" s="9"/>
      <c r="W1181" s="9"/>
      <c r="X1181" s="9"/>
      <c r="Y1181" s="9"/>
    </row>
    <row r="1182" spans="2:25" x14ac:dyDescent="0.2">
      <c r="B1182" s="7"/>
      <c r="C1182" s="9"/>
      <c r="D1182" s="9"/>
      <c r="E1182" s="9"/>
      <c r="F1182" s="9"/>
      <c r="G1182" s="16"/>
      <c r="H1182" s="9"/>
      <c r="I1182" s="9"/>
      <c r="J1182" s="9"/>
      <c r="K1182" s="72"/>
      <c r="L1182" s="9"/>
      <c r="M1182" s="9"/>
      <c r="N1182" s="9"/>
      <c r="O1182" s="9"/>
      <c r="P1182" s="9"/>
      <c r="Q1182" s="9"/>
      <c r="R1182" s="9"/>
      <c r="S1182" s="9"/>
      <c r="T1182" s="9"/>
      <c r="U1182" s="9"/>
      <c r="V1182" s="9"/>
      <c r="W1182" s="9"/>
      <c r="X1182" s="9"/>
      <c r="Y1182" s="9"/>
    </row>
    <row r="1183" spans="2:25" x14ac:dyDescent="0.2">
      <c r="B1183" s="7"/>
      <c r="C1183" s="9"/>
      <c r="D1183" s="9"/>
      <c r="E1183" s="9"/>
      <c r="F1183" s="9"/>
      <c r="G1183" s="16"/>
      <c r="H1183" s="9"/>
      <c r="I1183" s="9"/>
      <c r="J1183" s="9"/>
      <c r="K1183" s="72"/>
      <c r="L1183" s="9"/>
      <c r="M1183" s="9"/>
      <c r="N1183" s="9"/>
      <c r="O1183" s="9"/>
      <c r="P1183" s="9"/>
      <c r="Q1183" s="9"/>
      <c r="R1183" s="9"/>
      <c r="S1183" s="9"/>
      <c r="T1183" s="9"/>
      <c r="U1183" s="9"/>
      <c r="V1183" s="9"/>
      <c r="W1183" s="9"/>
      <c r="X1183" s="9"/>
      <c r="Y1183" s="9"/>
    </row>
    <row r="1184" spans="2:25" x14ac:dyDescent="0.2">
      <c r="B1184" s="7"/>
      <c r="C1184" s="9"/>
      <c r="D1184" s="9"/>
      <c r="E1184" s="9"/>
      <c r="F1184" s="9"/>
      <c r="G1184" s="16"/>
      <c r="H1184" s="9"/>
      <c r="I1184" s="9"/>
      <c r="J1184" s="9"/>
      <c r="K1184" s="72"/>
      <c r="L1184" s="9"/>
      <c r="M1184" s="9"/>
      <c r="N1184" s="9"/>
      <c r="O1184" s="9"/>
      <c r="P1184" s="9"/>
      <c r="Q1184" s="9"/>
      <c r="R1184" s="9"/>
      <c r="S1184" s="9"/>
      <c r="T1184" s="9"/>
      <c r="U1184" s="9"/>
      <c r="V1184" s="9"/>
      <c r="W1184" s="9"/>
      <c r="X1184" s="9"/>
      <c r="Y1184" s="9"/>
    </row>
    <row r="1185" spans="2:25" x14ac:dyDescent="0.2">
      <c r="B1185" s="7"/>
      <c r="C1185" s="9"/>
      <c r="D1185" s="9"/>
      <c r="E1185" s="9"/>
      <c r="F1185" s="9"/>
      <c r="G1185" s="16"/>
      <c r="H1185" s="9"/>
      <c r="I1185" s="9"/>
      <c r="J1185" s="9"/>
      <c r="K1185" s="72"/>
      <c r="L1185" s="9"/>
      <c r="M1185" s="9"/>
      <c r="N1185" s="9"/>
      <c r="O1185" s="9"/>
      <c r="P1185" s="9"/>
      <c r="Q1185" s="9"/>
      <c r="R1185" s="9"/>
      <c r="S1185" s="9"/>
      <c r="T1185" s="9"/>
      <c r="U1185" s="9"/>
      <c r="V1185" s="9"/>
      <c r="W1185" s="9"/>
      <c r="X1185" s="9"/>
      <c r="Y1185" s="9"/>
    </row>
    <row r="1186" spans="2:25" x14ac:dyDescent="0.2">
      <c r="B1186" s="7"/>
      <c r="C1186" s="9"/>
      <c r="D1186" s="9"/>
      <c r="E1186" s="9"/>
      <c r="F1186" s="9"/>
      <c r="G1186" s="16"/>
      <c r="H1186" s="9"/>
      <c r="I1186" s="9"/>
      <c r="J1186" s="9"/>
      <c r="K1186" s="72"/>
      <c r="L1186" s="9"/>
      <c r="M1186" s="9"/>
      <c r="N1186" s="9"/>
      <c r="O1186" s="9"/>
      <c r="P1186" s="9"/>
      <c r="Q1186" s="9"/>
      <c r="R1186" s="9"/>
      <c r="S1186" s="9"/>
      <c r="T1186" s="9"/>
      <c r="U1186" s="9"/>
      <c r="V1186" s="9"/>
      <c r="W1186" s="9"/>
      <c r="X1186" s="9"/>
      <c r="Y1186" s="9"/>
    </row>
    <row r="1187" spans="2:25" x14ac:dyDescent="0.2">
      <c r="B1187" s="7"/>
      <c r="C1187" s="9"/>
      <c r="D1187" s="9"/>
      <c r="E1187" s="9"/>
      <c r="F1187" s="9"/>
      <c r="G1187" s="16"/>
      <c r="H1187" s="9"/>
      <c r="I1187" s="9"/>
      <c r="J1187" s="9"/>
      <c r="K1187" s="72"/>
      <c r="L1187" s="9"/>
      <c r="M1187" s="9"/>
      <c r="N1187" s="9"/>
      <c r="O1187" s="9"/>
      <c r="P1187" s="9"/>
      <c r="Q1187" s="9"/>
      <c r="R1187" s="9"/>
      <c r="S1187" s="9"/>
      <c r="T1187" s="9"/>
      <c r="U1187" s="9"/>
      <c r="V1187" s="9"/>
      <c r="W1187" s="9"/>
      <c r="X1187" s="9"/>
      <c r="Y1187" s="9"/>
    </row>
    <row r="1188" spans="2:25" x14ac:dyDescent="0.2">
      <c r="B1188" s="7"/>
      <c r="C1188" s="9"/>
      <c r="D1188" s="9"/>
      <c r="E1188" s="9"/>
      <c r="F1188" s="9"/>
      <c r="G1188" s="16"/>
      <c r="H1188" s="9"/>
      <c r="I1188" s="9"/>
      <c r="J1188" s="9"/>
      <c r="K1188" s="72"/>
      <c r="L1188" s="9"/>
      <c r="M1188" s="9"/>
      <c r="N1188" s="9"/>
      <c r="O1188" s="9"/>
      <c r="P1188" s="9"/>
      <c r="Q1188" s="9"/>
      <c r="R1188" s="9"/>
      <c r="S1188" s="9"/>
      <c r="T1188" s="9"/>
      <c r="U1188" s="9"/>
      <c r="V1188" s="9"/>
      <c r="W1188" s="9"/>
      <c r="X1188" s="9"/>
      <c r="Y1188" s="9"/>
    </row>
    <row r="1189" spans="2:25" x14ac:dyDescent="0.2">
      <c r="B1189" s="7"/>
      <c r="C1189" s="9"/>
      <c r="D1189" s="9"/>
      <c r="E1189" s="9"/>
      <c r="F1189" s="9"/>
      <c r="G1189" s="16"/>
      <c r="H1189" s="9"/>
      <c r="I1189" s="9"/>
      <c r="J1189" s="9"/>
      <c r="K1189" s="72"/>
      <c r="L1189" s="9"/>
      <c r="M1189" s="9"/>
      <c r="N1189" s="9"/>
      <c r="O1189" s="9"/>
      <c r="P1189" s="9"/>
      <c r="Q1189" s="9"/>
      <c r="R1189" s="9"/>
      <c r="S1189" s="9"/>
      <c r="T1189" s="9"/>
      <c r="U1189" s="9"/>
      <c r="V1189" s="9"/>
      <c r="W1189" s="9"/>
      <c r="X1189" s="9"/>
      <c r="Y1189" s="9"/>
    </row>
    <row r="1190" spans="2:25" x14ac:dyDescent="0.2">
      <c r="B1190" s="7"/>
      <c r="C1190" s="9"/>
      <c r="D1190" s="9"/>
      <c r="E1190" s="9"/>
      <c r="F1190" s="9"/>
      <c r="G1190" s="16"/>
      <c r="H1190" s="9"/>
      <c r="I1190" s="9"/>
      <c r="J1190" s="9"/>
      <c r="K1190" s="72"/>
      <c r="L1190" s="9"/>
      <c r="M1190" s="9"/>
      <c r="N1190" s="9"/>
      <c r="O1190" s="9"/>
      <c r="P1190" s="9"/>
      <c r="Q1190" s="9"/>
      <c r="R1190" s="9"/>
      <c r="S1190" s="9"/>
      <c r="T1190" s="9"/>
      <c r="U1190" s="9"/>
      <c r="V1190" s="9"/>
      <c r="W1190" s="9"/>
      <c r="X1190" s="9"/>
      <c r="Y1190" s="9"/>
    </row>
    <row r="1191" spans="2:25" x14ac:dyDescent="0.2">
      <c r="B1191" s="7"/>
      <c r="C1191" s="9"/>
      <c r="D1191" s="9"/>
      <c r="E1191" s="9"/>
      <c r="F1191" s="9"/>
      <c r="G1191" s="16"/>
      <c r="H1191" s="9"/>
      <c r="I1191" s="9"/>
      <c r="J1191" s="9"/>
      <c r="K1191" s="72"/>
      <c r="L1191" s="9"/>
      <c r="M1191" s="9"/>
      <c r="N1191" s="9"/>
      <c r="O1191" s="9"/>
      <c r="P1191" s="9"/>
      <c r="Q1191" s="9"/>
      <c r="R1191" s="9"/>
      <c r="S1191" s="9"/>
      <c r="T1191" s="9"/>
      <c r="U1191" s="9"/>
      <c r="V1191" s="9"/>
      <c r="W1191" s="9"/>
      <c r="X1191" s="9"/>
      <c r="Y1191" s="9"/>
    </row>
    <row r="1192" spans="2:25" x14ac:dyDescent="0.2">
      <c r="B1192" s="7"/>
      <c r="C1192" s="9"/>
      <c r="D1192" s="9"/>
      <c r="E1192" s="9"/>
      <c r="F1192" s="9"/>
      <c r="G1192" s="16"/>
      <c r="H1192" s="9"/>
      <c r="I1192" s="9"/>
      <c r="J1192" s="9"/>
      <c r="K1192" s="72"/>
      <c r="L1192" s="9"/>
      <c r="M1192" s="9"/>
      <c r="N1192" s="9"/>
      <c r="O1192" s="9"/>
      <c r="P1192" s="9"/>
      <c r="Q1192" s="9"/>
      <c r="R1192" s="9"/>
      <c r="S1192" s="9"/>
      <c r="T1192" s="9"/>
      <c r="U1192" s="9"/>
      <c r="V1192" s="9"/>
      <c r="W1192" s="9"/>
      <c r="X1192" s="9"/>
      <c r="Y1192" s="9"/>
    </row>
    <row r="1193" spans="2:25" x14ac:dyDescent="0.2">
      <c r="B1193" s="7"/>
      <c r="C1193" s="9"/>
      <c r="D1193" s="9"/>
      <c r="E1193" s="9"/>
      <c r="F1193" s="9"/>
      <c r="G1193" s="16"/>
      <c r="H1193" s="9"/>
      <c r="I1193" s="9"/>
      <c r="J1193" s="9"/>
      <c r="K1193" s="72"/>
      <c r="L1193" s="9"/>
      <c r="M1193" s="9"/>
      <c r="N1193" s="9"/>
      <c r="O1193" s="9"/>
      <c r="P1193" s="9"/>
      <c r="Q1193" s="9"/>
      <c r="R1193" s="9"/>
      <c r="S1193" s="9"/>
      <c r="T1193" s="9"/>
      <c r="U1193" s="9"/>
      <c r="V1193" s="9"/>
      <c r="W1193" s="9"/>
      <c r="X1193" s="9"/>
      <c r="Y1193" s="9"/>
    </row>
    <row r="1194" spans="2:25" x14ac:dyDescent="0.2">
      <c r="B1194" s="7"/>
      <c r="C1194" s="9"/>
      <c r="D1194" s="9"/>
      <c r="E1194" s="9"/>
      <c r="F1194" s="9"/>
      <c r="G1194" s="16"/>
      <c r="H1194" s="9"/>
      <c r="I1194" s="9"/>
      <c r="J1194" s="9"/>
      <c r="K1194" s="72"/>
      <c r="L1194" s="9"/>
      <c r="M1194" s="9"/>
      <c r="N1194" s="9"/>
      <c r="O1194" s="9"/>
      <c r="P1194" s="9"/>
      <c r="Q1194" s="9"/>
      <c r="R1194" s="9"/>
      <c r="S1194" s="9"/>
      <c r="T1194" s="9"/>
      <c r="U1194" s="9"/>
      <c r="V1194" s="9"/>
      <c r="W1194" s="9"/>
      <c r="X1194" s="9"/>
      <c r="Y1194" s="9"/>
    </row>
    <row r="1195" spans="2:25" x14ac:dyDescent="0.2">
      <c r="B1195" s="7"/>
      <c r="C1195" s="9"/>
      <c r="D1195" s="9"/>
      <c r="E1195" s="9"/>
      <c r="F1195" s="9"/>
      <c r="G1195" s="16"/>
      <c r="H1195" s="9"/>
      <c r="I1195" s="9"/>
      <c r="J1195" s="9"/>
      <c r="K1195" s="72"/>
      <c r="L1195" s="9"/>
      <c r="M1195" s="9"/>
      <c r="N1195" s="9"/>
      <c r="O1195" s="9"/>
      <c r="P1195" s="9"/>
      <c r="Q1195" s="9"/>
      <c r="R1195" s="9"/>
      <c r="S1195" s="9"/>
      <c r="T1195" s="9"/>
      <c r="U1195" s="9"/>
      <c r="V1195" s="9"/>
      <c r="W1195" s="9"/>
      <c r="X1195" s="9"/>
      <c r="Y1195" s="9"/>
    </row>
    <row r="1196" spans="2:25" x14ac:dyDescent="0.2">
      <c r="B1196" s="7"/>
      <c r="C1196" s="9"/>
      <c r="D1196" s="9"/>
      <c r="E1196" s="9"/>
      <c r="F1196" s="9"/>
      <c r="G1196" s="16"/>
      <c r="H1196" s="9"/>
      <c r="I1196" s="9"/>
      <c r="J1196" s="9"/>
      <c r="K1196" s="72"/>
      <c r="L1196" s="9"/>
      <c r="M1196" s="9"/>
      <c r="N1196" s="9"/>
      <c r="O1196" s="9"/>
      <c r="P1196" s="9"/>
      <c r="Q1196" s="9"/>
      <c r="R1196" s="9"/>
      <c r="S1196" s="9"/>
      <c r="T1196" s="9"/>
      <c r="U1196" s="9"/>
      <c r="V1196" s="9"/>
      <c r="W1196" s="9"/>
      <c r="X1196" s="9"/>
      <c r="Y1196" s="9"/>
    </row>
    <row r="1197" spans="2:25" x14ac:dyDescent="0.2">
      <c r="B1197" s="7"/>
      <c r="C1197" s="9"/>
      <c r="D1197" s="9"/>
      <c r="E1197" s="9"/>
      <c r="F1197" s="9"/>
      <c r="G1197" s="16"/>
      <c r="H1197" s="9"/>
      <c r="I1197" s="9"/>
      <c r="J1197" s="9"/>
      <c r="K1197" s="72"/>
      <c r="L1197" s="9"/>
      <c r="M1197" s="9"/>
      <c r="N1197" s="9"/>
      <c r="O1197" s="9"/>
      <c r="P1197" s="9"/>
      <c r="Q1197" s="9"/>
      <c r="R1197" s="9"/>
      <c r="S1197" s="9"/>
      <c r="T1197" s="9"/>
      <c r="U1197" s="9"/>
      <c r="V1197" s="9"/>
      <c r="W1197" s="9"/>
      <c r="X1197" s="9"/>
      <c r="Y1197" s="9"/>
    </row>
    <row r="1198" spans="2:25" x14ac:dyDescent="0.2">
      <c r="B1198" s="7"/>
      <c r="C1198" s="9"/>
      <c r="D1198" s="9"/>
      <c r="E1198" s="9"/>
      <c r="F1198" s="9"/>
      <c r="G1198" s="16"/>
      <c r="H1198" s="9"/>
      <c r="I1198" s="9"/>
      <c r="J1198" s="9"/>
      <c r="K1198" s="72"/>
      <c r="L1198" s="9"/>
      <c r="M1198" s="9"/>
      <c r="N1198" s="9"/>
      <c r="O1198" s="9"/>
      <c r="P1198" s="9"/>
      <c r="Q1198" s="9"/>
      <c r="R1198" s="9"/>
      <c r="S1198" s="9"/>
      <c r="T1198" s="9"/>
      <c r="U1198" s="9"/>
      <c r="V1198" s="9"/>
      <c r="W1198" s="9"/>
      <c r="X1198" s="9"/>
      <c r="Y1198" s="9"/>
    </row>
    <row r="1199" spans="2:25" x14ac:dyDescent="0.2">
      <c r="B1199" s="7"/>
      <c r="C1199" s="9"/>
      <c r="D1199" s="9"/>
      <c r="E1199" s="9"/>
      <c r="F1199" s="9"/>
      <c r="G1199" s="16"/>
      <c r="H1199" s="9"/>
      <c r="I1199" s="9"/>
      <c r="J1199" s="9"/>
      <c r="K1199" s="72"/>
      <c r="L1199" s="9"/>
      <c r="M1199" s="9"/>
      <c r="N1199" s="9"/>
      <c r="O1199" s="9"/>
      <c r="P1199" s="9"/>
      <c r="Q1199" s="9"/>
      <c r="R1199" s="9"/>
      <c r="S1199" s="9"/>
      <c r="T1199" s="9"/>
      <c r="U1199" s="9"/>
      <c r="V1199" s="9"/>
      <c r="W1199" s="9"/>
      <c r="X1199" s="9"/>
      <c r="Y1199" s="9"/>
    </row>
    <row r="1200" spans="2:25" x14ac:dyDescent="0.2">
      <c r="B1200" s="7"/>
      <c r="C1200" s="9"/>
      <c r="D1200" s="9"/>
      <c r="E1200" s="9"/>
      <c r="F1200" s="9"/>
      <c r="G1200" s="16"/>
      <c r="H1200" s="9"/>
      <c r="I1200" s="9"/>
      <c r="J1200" s="9"/>
      <c r="K1200" s="72"/>
      <c r="L1200" s="9"/>
      <c r="M1200" s="9"/>
      <c r="N1200" s="9"/>
      <c r="O1200" s="9"/>
      <c r="P1200" s="9"/>
      <c r="Q1200" s="9"/>
      <c r="R1200" s="9"/>
      <c r="S1200" s="9"/>
      <c r="T1200" s="9"/>
      <c r="U1200" s="9"/>
      <c r="V1200" s="9"/>
      <c r="W1200" s="9"/>
      <c r="X1200" s="9"/>
      <c r="Y1200" s="9"/>
    </row>
    <row r="1201" spans="2:25" x14ac:dyDescent="0.2">
      <c r="B1201" s="7"/>
      <c r="C1201" s="9"/>
      <c r="D1201" s="9"/>
      <c r="E1201" s="9"/>
      <c r="F1201" s="9"/>
      <c r="G1201" s="16"/>
      <c r="H1201" s="9"/>
      <c r="I1201" s="9"/>
      <c r="J1201" s="9"/>
      <c r="K1201" s="72"/>
      <c r="L1201" s="9"/>
      <c r="M1201" s="9"/>
      <c r="N1201" s="9"/>
      <c r="O1201" s="9"/>
      <c r="P1201" s="9"/>
      <c r="Q1201" s="9"/>
      <c r="R1201" s="9"/>
      <c r="S1201" s="9"/>
      <c r="T1201" s="9"/>
      <c r="U1201" s="9"/>
      <c r="V1201" s="9"/>
      <c r="W1201" s="9"/>
      <c r="X1201" s="9"/>
      <c r="Y1201" s="9"/>
    </row>
    <row r="1202" spans="2:25" x14ac:dyDescent="0.2">
      <c r="B1202" s="7"/>
      <c r="C1202" s="9"/>
      <c r="D1202" s="9"/>
      <c r="E1202" s="9"/>
      <c r="F1202" s="9"/>
      <c r="G1202" s="16"/>
      <c r="H1202" s="9"/>
      <c r="I1202" s="9"/>
      <c r="J1202" s="9"/>
      <c r="K1202" s="72"/>
      <c r="L1202" s="9"/>
      <c r="M1202" s="9"/>
      <c r="N1202" s="9"/>
      <c r="O1202" s="9"/>
      <c r="P1202" s="9"/>
      <c r="Q1202" s="9"/>
      <c r="R1202" s="9"/>
      <c r="S1202" s="9"/>
      <c r="T1202" s="9"/>
      <c r="U1202" s="9"/>
      <c r="V1202" s="9"/>
      <c r="W1202" s="9"/>
      <c r="X1202" s="9"/>
      <c r="Y1202" s="9"/>
    </row>
    <row r="1203" spans="2:25" x14ac:dyDescent="0.2">
      <c r="B1203" s="7"/>
      <c r="C1203" s="9"/>
      <c r="D1203" s="9"/>
      <c r="E1203" s="9"/>
      <c r="F1203" s="9"/>
      <c r="G1203" s="16"/>
      <c r="H1203" s="9"/>
      <c r="I1203" s="9"/>
      <c r="J1203" s="9"/>
      <c r="K1203" s="72"/>
      <c r="L1203" s="9"/>
      <c r="M1203" s="9"/>
      <c r="N1203" s="9"/>
      <c r="O1203" s="9"/>
      <c r="P1203" s="9"/>
      <c r="Q1203" s="9"/>
      <c r="R1203" s="9"/>
      <c r="S1203" s="9"/>
      <c r="T1203" s="9"/>
      <c r="U1203" s="9"/>
      <c r="V1203" s="9"/>
      <c r="W1203" s="9"/>
      <c r="X1203" s="9"/>
      <c r="Y1203" s="9"/>
    </row>
    <row r="1204" spans="2:25" x14ac:dyDescent="0.2">
      <c r="B1204" s="7"/>
      <c r="C1204" s="9"/>
      <c r="D1204" s="9"/>
      <c r="E1204" s="9"/>
      <c r="F1204" s="9"/>
      <c r="G1204" s="16"/>
      <c r="H1204" s="9"/>
      <c r="I1204" s="9"/>
      <c r="J1204" s="9"/>
      <c r="K1204" s="72"/>
      <c r="L1204" s="9"/>
      <c r="M1204" s="9"/>
      <c r="N1204" s="9"/>
      <c r="O1204" s="9"/>
      <c r="P1204" s="9"/>
      <c r="Q1204" s="9"/>
      <c r="R1204" s="9"/>
      <c r="S1204" s="9"/>
      <c r="T1204" s="9"/>
      <c r="U1204" s="9"/>
      <c r="V1204" s="9"/>
      <c r="W1204" s="9"/>
      <c r="X1204" s="9"/>
      <c r="Y1204" s="9"/>
    </row>
    <row r="1205" spans="2:25" x14ac:dyDescent="0.2">
      <c r="B1205" s="7"/>
      <c r="C1205" s="9"/>
      <c r="D1205" s="9"/>
      <c r="E1205" s="9"/>
      <c r="F1205" s="9"/>
      <c r="G1205" s="16"/>
      <c r="H1205" s="9"/>
      <c r="I1205" s="9"/>
      <c r="J1205" s="9"/>
      <c r="K1205" s="72"/>
      <c r="L1205" s="9"/>
      <c r="M1205" s="9"/>
      <c r="N1205" s="9"/>
      <c r="O1205" s="9"/>
      <c r="P1205" s="9"/>
      <c r="Q1205" s="9"/>
      <c r="R1205" s="9"/>
      <c r="S1205" s="9"/>
      <c r="T1205" s="9"/>
      <c r="U1205" s="9"/>
      <c r="V1205" s="9"/>
      <c r="W1205" s="9"/>
      <c r="X1205" s="9"/>
      <c r="Y1205" s="9"/>
    </row>
    <row r="1206" spans="2:25" x14ac:dyDescent="0.2">
      <c r="B1206" s="7"/>
      <c r="C1206" s="9"/>
      <c r="D1206" s="9"/>
      <c r="E1206" s="9"/>
      <c r="F1206" s="9"/>
      <c r="G1206" s="16"/>
      <c r="H1206" s="9"/>
      <c r="I1206" s="9"/>
      <c r="J1206" s="9"/>
      <c r="K1206" s="72"/>
      <c r="L1206" s="9"/>
      <c r="M1206" s="9"/>
      <c r="N1206" s="9"/>
      <c r="O1206" s="9"/>
      <c r="P1206" s="9"/>
      <c r="Q1206" s="9"/>
      <c r="R1206" s="9"/>
      <c r="S1206" s="9"/>
      <c r="T1206" s="9"/>
      <c r="U1206" s="9"/>
      <c r="V1206" s="9"/>
      <c r="W1206" s="9"/>
      <c r="X1206" s="9"/>
      <c r="Y1206" s="9"/>
    </row>
    <row r="1207" spans="2:25" x14ac:dyDescent="0.2">
      <c r="B1207" s="7"/>
      <c r="C1207" s="9"/>
      <c r="D1207" s="9"/>
      <c r="E1207" s="9"/>
      <c r="F1207" s="9"/>
      <c r="G1207" s="16"/>
      <c r="H1207" s="9"/>
      <c r="I1207" s="9"/>
      <c r="J1207" s="9"/>
      <c r="K1207" s="72"/>
      <c r="L1207" s="9"/>
      <c r="M1207" s="9"/>
      <c r="N1207" s="9"/>
      <c r="O1207" s="9"/>
      <c r="P1207" s="9"/>
      <c r="Q1207" s="9"/>
      <c r="R1207" s="9"/>
      <c r="S1207" s="9"/>
      <c r="T1207" s="9"/>
      <c r="U1207" s="9"/>
      <c r="V1207" s="9"/>
      <c r="W1207" s="9"/>
      <c r="X1207" s="9"/>
      <c r="Y1207" s="9"/>
    </row>
    <row r="1208" spans="2:25" x14ac:dyDescent="0.2">
      <c r="B1208" s="7"/>
      <c r="C1208" s="9"/>
      <c r="D1208" s="9"/>
      <c r="E1208" s="9"/>
      <c r="F1208" s="9"/>
      <c r="G1208" s="16"/>
      <c r="H1208" s="9"/>
      <c r="I1208" s="9"/>
      <c r="J1208" s="9"/>
      <c r="K1208" s="72"/>
      <c r="L1208" s="9"/>
      <c r="M1208" s="9"/>
      <c r="N1208" s="9"/>
      <c r="O1208" s="9"/>
      <c r="P1208" s="9"/>
      <c r="Q1208" s="9"/>
      <c r="R1208" s="9"/>
      <c r="S1208" s="9"/>
      <c r="T1208" s="9"/>
      <c r="U1208" s="9"/>
      <c r="V1208" s="9"/>
      <c r="W1208" s="9"/>
      <c r="X1208" s="9"/>
      <c r="Y1208" s="9"/>
    </row>
    <row r="1209" spans="2:25" x14ac:dyDescent="0.2">
      <c r="B1209" s="7"/>
      <c r="C1209" s="9"/>
      <c r="D1209" s="9"/>
      <c r="E1209" s="9"/>
      <c r="F1209" s="9"/>
      <c r="G1209" s="16"/>
      <c r="H1209" s="9"/>
      <c r="I1209" s="9"/>
      <c r="J1209" s="9"/>
      <c r="K1209" s="72"/>
      <c r="L1209" s="9"/>
      <c r="M1209" s="9"/>
      <c r="N1209" s="9"/>
      <c r="O1209" s="9"/>
      <c r="P1209" s="9"/>
      <c r="Q1209" s="9"/>
      <c r="R1209" s="9"/>
      <c r="S1209" s="9"/>
      <c r="T1209" s="9"/>
      <c r="U1209" s="9"/>
      <c r="V1209" s="9"/>
      <c r="W1209" s="9"/>
      <c r="X1209" s="9"/>
      <c r="Y1209" s="9"/>
    </row>
    <row r="1210" spans="2:25" x14ac:dyDescent="0.2">
      <c r="B1210" s="7"/>
      <c r="C1210" s="9"/>
      <c r="D1210" s="9"/>
      <c r="E1210" s="9"/>
      <c r="F1210" s="9"/>
      <c r="G1210" s="16"/>
      <c r="H1210" s="9"/>
      <c r="I1210" s="9"/>
      <c r="J1210" s="9"/>
      <c r="K1210" s="72"/>
      <c r="L1210" s="9"/>
      <c r="M1210" s="9"/>
      <c r="N1210" s="9"/>
      <c r="O1210" s="9"/>
      <c r="P1210" s="9"/>
      <c r="Q1210" s="9"/>
      <c r="R1210" s="9"/>
      <c r="S1210" s="9"/>
      <c r="T1210" s="9"/>
      <c r="U1210" s="9"/>
      <c r="V1210" s="9"/>
      <c r="W1210" s="9"/>
      <c r="X1210" s="9"/>
      <c r="Y1210" s="9"/>
    </row>
    <row r="1211" spans="2:25" x14ac:dyDescent="0.2">
      <c r="B1211" s="7"/>
      <c r="C1211" s="9"/>
      <c r="D1211" s="9"/>
      <c r="E1211" s="9"/>
      <c r="F1211" s="9"/>
      <c r="G1211" s="16"/>
      <c r="H1211" s="9"/>
      <c r="I1211" s="9"/>
      <c r="J1211" s="9"/>
      <c r="K1211" s="72"/>
      <c r="L1211" s="9"/>
      <c r="M1211" s="9"/>
      <c r="N1211" s="9"/>
      <c r="O1211" s="9"/>
      <c r="P1211" s="9"/>
      <c r="Q1211" s="9"/>
      <c r="R1211" s="9"/>
      <c r="S1211" s="9"/>
      <c r="T1211" s="9"/>
      <c r="U1211" s="9"/>
      <c r="V1211" s="9"/>
      <c r="W1211" s="9"/>
      <c r="X1211" s="9"/>
      <c r="Y1211" s="9"/>
    </row>
    <row r="1212" spans="2:25" x14ac:dyDescent="0.2">
      <c r="B1212" s="7"/>
      <c r="C1212" s="9"/>
      <c r="D1212" s="9"/>
      <c r="E1212" s="9"/>
      <c r="F1212" s="9"/>
      <c r="G1212" s="16"/>
      <c r="H1212" s="9"/>
      <c r="I1212" s="9"/>
      <c r="J1212" s="9"/>
      <c r="K1212" s="72"/>
      <c r="L1212" s="9"/>
      <c r="M1212" s="9"/>
      <c r="N1212" s="9"/>
      <c r="O1212" s="9"/>
      <c r="P1212" s="9"/>
      <c r="Q1212" s="9"/>
      <c r="R1212" s="9"/>
      <c r="S1212" s="9"/>
      <c r="T1212" s="9"/>
      <c r="U1212" s="9"/>
      <c r="V1212" s="9"/>
      <c r="W1212" s="9"/>
      <c r="X1212" s="9"/>
      <c r="Y1212" s="9"/>
    </row>
    <row r="1213" spans="2:25" x14ac:dyDescent="0.2">
      <c r="B1213" s="7"/>
      <c r="C1213" s="9"/>
      <c r="D1213" s="9"/>
      <c r="E1213" s="9"/>
      <c r="F1213" s="9"/>
      <c r="G1213" s="16"/>
      <c r="H1213" s="9"/>
      <c r="I1213" s="9"/>
      <c r="J1213" s="9"/>
      <c r="K1213" s="72"/>
      <c r="L1213" s="9"/>
      <c r="M1213" s="9"/>
      <c r="N1213" s="9"/>
      <c r="O1213" s="9"/>
      <c r="P1213" s="9"/>
      <c r="Q1213" s="9"/>
      <c r="R1213" s="9"/>
      <c r="S1213" s="9"/>
      <c r="T1213" s="9"/>
      <c r="U1213" s="9"/>
      <c r="V1213" s="9"/>
      <c r="W1213" s="9"/>
      <c r="X1213" s="9"/>
      <c r="Y1213" s="9"/>
    </row>
    <row r="1214" spans="2:25" x14ac:dyDescent="0.2">
      <c r="B1214" s="7"/>
      <c r="C1214" s="9"/>
      <c r="D1214" s="9"/>
      <c r="E1214" s="9"/>
      <c r="F1214" s="9"/>
      <c r="G1214" s="16"/>
      <c r="H1214" s="9"/>
      <c r="I1214" s="9"/>
      <c r="J1214" s="9"/>
      <c r="K1214" s="72"/>
      <c r="L1214" s="9"/>
      <c r="M1214" s="9"/>
      <c r="N1214" s="9"/>
      <c r="O1214" s="9"/>
      <c r="P1214" s="9"/>
      <c r="Q1214" s="9"/>
      <c r="R1214" s="9"/>
      <c r="S1214" s="9"/>
      <c r="T1214" s="9"/>
      <c r="U1214" s="9"/>
      <c r="V1214" s="9"/>
      <c r="W1214" s="9"/>
      <c r="X1214" s="9"/>
      <c r="Y1214" s="9"/>
    </row>
    <row r="1215" spans="2:25" x14ac:dyDescent="0.2">
      <c r="B1215" s="7"/>
      <c r="C1215" s="9"/>
      <c r="D1215" s="9"/>
      <c r="E1215" s="9"/>
      <c r="F1215" s="9"/>
      <c r="G1215" s="16"/>
      <c r="H1215" s="9"/>
      <c r="I1215" s="9"/>
      <c r="J1215" s="9"/>
      <c r="K1215" s="72"/>
      <c r="L1215" s="9"/>
      <c r="M1215" s="9"/>
      <c r="N1215" s="9"/>
      <c r="O1215" s="9"/>
      <c r="P1215" s="9"/>
      <c r="Q1215" s="9"/>
      <c r="R1215" s="9"/>
      <c r="S1215" s="9"/>
      <c r="T1215" s="9"/>
      <c r="U1215" s="9"/>
      <c r="V1215" s="9"/>
      <c r="W1215" s="9"/>
      <c r="X1215" s="9"/>
      <c r="Y1215" s="9"/>
    </row>
    <row r="1216" spans="2:25" x14ac:dyDescent="0.2">
      <c r="B1216" s="7"/>
      <c r="C1216" s="9"/>
      <c r="D1216" s="9"/>
      <c r="E1216" s="9"/>
      <c r="F1216" s="9"/>
      <c r="G1216" s="16"/>
      <c r="H1216" s="9"/>
      <c r="I1216" s="9"/>
      <c r="J1216" s="9"/>
      <c r="K1216" s="72"/>
      <c r="L1216" s="9"/>
      <c r="M1216" s="9"/>
      <c r="N1216" s="9"/>
      <c r="O1216" s="9"/>
      <c r="P1216" s="9"/>
      <c r="Q1216" s="9"/>
      <c r="R1216" s="9"/>
      <c r="S1216" s="9"/>
      <c r="T1216" s="9"/>
      <c r="U1216" s="9"/>
      <c r="V1216" s="9"/>
      <c r="W1216" s="9"/>
      <c r="X1216" s="9"/>
      <c r="Y1216" s="9"/>
    </row>
    <row r="1217" spans="2:25" x14ac:dyDescent="0.2">
      <c r="B1217" s="7"/>
      <c r="C1217" s="9"/>
      <c r="D1217" s="9"/>
      <c r="E1217" s="9"/>
      <c r="F1217" s="9"/>
      <c r="G1217" s="16"/>
      <c r="H1217" s="9"/>
      <c r="I1217" s="9"/>
      <c r="J1217" s="9"/>
      <c r="K1217" s="72"/>
      <c r="L1217" s="9"/>
      <c r="M1217" s="9"/>
      <c r="N1217" s="9"/>
      <c r="O1217" s="9"/>
      <c r="P1217" s="9"/>
      <c r="Q1217" s="9"/>
      <c r="R1217" s="9"/>
      <c r="S1217" s="9"/>
      <c r="T1217" s="9"/>
      <c r="U1217" s="9"/>
      <c r="V1217" s="9"/>
      <c r="W1217" s="9"/>
      <c r="X1217" s="9"/>
      <c r="Y1217" s="9"/>
    </row>
  </sheetData>
  <sortState xmlns:xlrd2="http://schemas.microsoft.com/office/spreadsheetml/2017/richdata2" ref="B7:H58">
    <sortCondition ref="C9"/>
  </sortState>
  <mergeCells count="1">
    <mergeCell ref="C5:E5"/>
  </mergeCell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tabColor theme="0" tint="-0.499984740745262"/>
  </sheetPr>
  <dimension ref="B2:Q1217"/>
  <sheetViews>
    <sheetView workbookViewId="0">
      <selection activeCell="D16" sqref="D16"/>
    </sheetView>
  </sheetViews>
  <sheetFormatPr baseColWidth="10" defaultColWidth="9.1640625" defaultRowHeight="15" x14ac:dyDescent="0.2"/>
  <cols>
    <col min="1" max="1" width="5.1640625" style="2" customWidth="1"/>
    <col min="2" max="2" width="24.5" style="2" customWidth="1"/>
    <col min="3" max="3" width="49.83203125" style="70" customWidth="1"/>
    <col min="4" max="4" width="25.5" style="10" customWidth="1"/>
    <col min="5" max="5" width="111.33203125" style="70" customWidth="1"/>
    <col min="6" max="6" width="19.33203125" style="10" customWidth="1"/>
    <col min="7" max="7" width="20.33203125" style="25" customWidth="1"/>
    <col min="8" max="8" width="22.33203125" style="10" bestFit="1" customWidth="1"/>
    <col min="9" max="9" width="35" style="10" customWidth="1"/>
    <col min="10" max="10" width="22.33203125" style="10" bestFit="1" customWidth="1"/>
    <col min="11" max="11" width="44.83203125" style="70" customWidth="1"/>
    <col min="12" max="13" width="33" style="10" customWidth="1"/>
    <col min="14" max="14" width="35" style="10" customWidth="1"/>
    <col min="15" max="15" width="15" style="10" customWidth="1"/>
    <col min="16" max="16" width="22.1640625" style="10" customWidth="1"/>
    <col min="17" max="17" width="16.5" style="10" customWidth="1"/>
    <col min="18" max="16384" width="9.1640625" style="2"/>
  </cols>
  <sheetData>
    <row r="2" spans="2:17" ht="21.75" customHeight="1" x14ac:dyDescent="0.2">
      <c r="B2" s="5"/>
      <c r="C2" s="71"/>
      <c r="D2" s="8"/>
      <c r="E2" s="96"/>
      <c r="F2" s="8"/>
      <c r="G2" s="24"/>
      <c r="H2" s="8"/>
      <c r="I2" s="8"/>
      <c r="J2" s="8"/>
      <c r="K2" s="71"/>
      <c r="L2" s="8"/>
      <c r="M2" s="8"/>
      <c r="N2" s="8"/>
      <c r="O2" s="8"/>
      <c r="P2" s="8"/>
      <c r="Q2" s="8"/>
    </row>
    <row r="3" spans="2:17" ht="24" x14ac:dyDescent="0.3">
      <c r="B3" s="5"/>
      <c r="C3" s="71"/>
      <c r="D3" s="18" t="s">
        <v>1433</v>
      </c>
      <c r="E3" s="97"/>
      <c r="F3" s="8"/>
      <c r="G3" s="24"/>
      <c r="H3" s="8"/>
      <c r="I3" s="8"/>
      <c r="J3" s="8"/>
      <c r="K3" s="71"/>
      <c r="L3" s="8"/>
      <c r="M3" s="8"/>
      <c r="N3" s="8"/>
      <c r="O3" s="8"/>
      <c r="P3" s="8"/>
      <c r="Q3" s="8"/>
    </row>
    <row r="4" spans="2:17" ht="21.75" customHeight="1" x14ac:dyDescent="0.2">
      <c r="B4" s="5"/>
      <c r="C4" s="71"/>
      <c r="D4" s="8"/>
      <c r="E4" s="71"/>
      <c r="F4" s="8"/>
      <c r="G4" s="24"/>
      <c r="H4" s="8"/>
      <c r="I4" s="8"/>
      <c r="J4" s="8"/>
      <c r="K4" s="71"/>
      <c r="L4" s="8"/>
      <c r="M4" s="8"/>
      <c r="N4" s="8"/>
      <c r="O4" s="8"/>
      <c r="P4" s="8"/>
      <c r="Q4" s="8"/>
    </row>
    <row r="5" spans="2:17" ht="63.75" customHeight="1" x14ac:dyDescent="0.2">
      <c r="C5" s="220" t="s">
        <v>1434</v>
      </c>
      <c r="D5" s="239"/>
      <c r="E5" s="240"/>
    </row>
    <row r="6" spans="2:17" ht="16.5" customHeight="1" x14ac:dyDescent="0.2">
      <c r="B6" s="13" t="s">
        <v>1435</v>
      </c>
      <c r="C6" s="13" t="s">
        <v>137</v>
      </c>
      <c r="D6" s="13" t="s">
        <v>1436</v>
      </c>
      <c r="E6" s="13" t="s">
        <v>6</v>
      </c>
      <c r="F6" s="13"/>
      <c r="G6" s="13"/>
      <c r="H6" s="13"/>
      <c r="I6" s="13"/>
      <c r="J6" s="13"/>
      <c r="K6" s="94" t="s">
        <v>1067</v>
      </c>
      <c r="L6" s="13" t="s">
        <v>1068</v>
      </c>
      <c r="M6" s="13" t="s">
        <v>1069</v>
      </c>
      <c r="N6" s="13" t="s">
        <v>1070</v>
      </c>
      <c r="O6" s="13" t="s">
        <v>1071</v>
      </c>
      <c r="P6" s="13" t="s">
        <v>1072</v>
      </c>
      <c r="Q6" s="13" t="s">
        <v>1073</v>
      </c>
    </row>
    <row r="7" spans="2:17" x14ac:dyDescent="0.2">
      <c r="B7" s="9" t="s">
        <v>1437</v>
      </c>
      <c r="C7" s="72" t="s">
        <v>1438</v>
      </c>
      <c r="D7" s="9">
        <v>32</v>
      </c>
      <c r="E7" s="72" t="s">
        <v>1439</v>
      </c>
      <c r="F7" s="9"/>
      <c r="G7" s="16"/>
      <c r="H7" s="9"/>
      <c r="I7" s="9"/>
      <c r="J7" s="9"/>
      <c r="K7" s="205"/>
      <c r="L7" s="9"/>
      <c r="M7" s="9"/>
      <c r="N7" s="9"/>
      <c r="O7" s="9"/>
      <c r="P7" s="9"/>
      <c r="Q7" s="9"/>
    </row>
    <row r="8" spans="2:17" x14ac:dyDescent="0.2">
      <c r="B8" s="9" t="s">
        <v>1440</v>
      </c>
      <c r="C8" s="72" t="s">
        <v>1441</v>
      </c>
      <c r="D8" s="9" t="s">
        <v>1442</v>
      </c>
      <c r="E8" s="72" t="s">
        <v>1443</v>
      </c>
      <c r="F8" s="9"/>
      <c r="G8" s="16"/>
      <c r="H8" s="9"/>
      <c r="I8" s="9"/>
      <c r="J8" s="9"/>
      <c r="K8" s="205"/>
      <c r="L8" s="9"/>
      <c r="M8" s="9"/>
      <c r="N8" s="9"/>
      <c r="O8" s="9"/>
      <c r="P8" s="9"/>
      <c r="Q8" s="9"/>
    </row>
    <row r="9" spans="2:17" x14ac:dyDescent="0.2">
      <c r="B9" s="9" t="s">
        <v>1444</v>
      </c>
      <c r="C9" s="72" t="s">
        <v>1445</v>
      </c>
      <c r="D9" s="9">
        <v>32</v>
      </c>
      <c r="E9" s="72" t="s">
        <v>1439</v>
      </c>
      <c r="F9" s="9"/>
      <c r="G9" s="16"/>
      <c r="H9" s="9"/>
      <c r="I9" s="9"/>
      <c r="J9" s="9"/>
      <c r="K9" s="205"/>
      <c r="L9" s="9"/>
      <c r="M9" s="9"/>
      <c r="N9" s="9"/>
      <c r="O9" s="9"/>
      <c r="P9" s="9"/>
      <c r="Q9" s="9"/>
    </row>
    <row r="10" spans="2:17" x14ac:dyDescent="0.2">
      <c r="B10" s="9" t="s">
        <v>1446</v>
      </c>
      <c r="C10" s="72" t="s">
        <v>1447</v>
      </c>
      <c r="D10" s="9" t="s">
        <v>1448</v>
      </c>
      <c r="E10" s="72" t="s">
        <v>1443</v>
      </c>
      <c r="F10" s="9"/>
      <c r="G10" s="16"/>
      <c r="H10" s="9"/>
      <c r="I10" s="9"/>
      <c r="J10" s="9"/>
      <c r="K10" s="205"/>
      <c r="L10" s="9"/>
      <c r="M10" s="9"/>
      <c r="N10" s="9"/>
      <c r="O10" s="9"/>
      <c r="P10" s="9"/>
      <c r="Q10" s="9"/>
    </row>
    <row r="11" spans="2:17" x14ac:dyDescent="0.2">
      <c r="B11" s="9" t="s">
        <v>1449</v>
      </c>
      <c r="C11" s="72" t="s">
        <v>1450</v>
      </c>
      <c r="D11" s="9">
        <v>1</v>
      </c>
      <c r="E11" s="72" t="s">
        <v>1451</v>
      </c>
      <c r="F11" s="9"/>
      <c r="G11" s="16"/>
      <c r="H11" s="9"/>
      <c r="I11" s="9"/>
      <c r="J11" s="9"/>
      <c r="K11" s="205"/>
      <c r="L11" s="9"/>
      <c r="M11" s="9"/>
      <c r="N11" s="9"/>
      <c r="O11" s="9"/>
      <c r="P11" s="9"/>
      <c r="Q11" s="9"/>
    </row>
    <row r="12" spans="2:17" x14ac:dyDescent="0.2">
      <c r="B12" s="9" t="s">
        <v>1452</v>
      </c>
      <c r="C12" s="72" t="s">
        <v>1453</v>
      </c>
      <c r="D12" s="9" t="s">
        <v>1454</v>
      </c>
      <c r="E12" s="72" t="s">
        <v>1453</v>
      </c>
      <c r="F12" s="9"/>
      <c r="G12" s="9"/>
      <c r="H12" s="9"/>
      <c r="I12" s="9"/>
      <c r="J12" s="9"/>
      <c r="K12" s="205"/>
      <c r="L12" s="9"/>
      <c r="M12" s="9"/>
      <c r="N12" s="9"/>
      <c r="O12" s="9"/>
      <c r="P12" s="9"/>
      <c r="Q12" s="9"/>
    </row>
    <row r="13" spans="2:17" x14ac:dyDescent="0.2">
      <c r="B13" s="9"/>
      <c r="C13" s="72"/>
      <c r="D13" s="9"/>
      <c r="E13" s="72"/>
      <c r="F13" s="9"/>
      <c r="G13" s="9"/>
      <c r="H13" s="9"/>
      <c r="I13" s="9"/>
      <c r="J13" s="9"/>
      <c r="K13" s="205"/>
      <c r="L13" s="9"/>
      <c r="M13" s="9"/>
      <c r="N13" s="9"/>
      <c r="O13" s="9"/>
      <c r="P13" s="9"/>
      <c r="Q13" s="9"/>
    </row>
    <row r="14" spans="2:17" x14ac:dyDescent="0.2">
      <c r="B14" s="7"/>
      <c r="C14" s="72"/>
      <c r="D14" s="9"/>
      <c r="E14" s="72"/>
      <c r="F14" s="9"/>
      <c r="G14" s="16"/>
      <c r="H14" s="9"/>
      <c r="I14" s="9"/>
      <c r="J14" s="9"/>
      <c r="K14" s="205"/>
      <c r="L14" s="9"/>
      <c r="M14" s="9"/>
      <c r="N14" s="9"/>
      <c r="O14" s="9"/>
      <c r="P14" s="9"/>
      <c r="Q14" s="9"/>
    </row>
    <row r="15" spans="2:17" x14ac:dyDescent="0.2">
      <c r="B15" s="7"/>
      <c r="C15" s="72"/>
      <c r="D15" s="9"/>
      <c r="E15" s="72"/>
      <c r="F15" s="9"/>
      <c r="G15" s="16"/>
      <c r="H15" s="9"/>
      <c r="I15" s="9"/>
      <c r="J15" s="9"/>
      <c r="K15" s="205"/>
      <c r="L15" s="9"/>
      <c r="M15" s="9"/>
      <c r="N15" s="9"/>
      <c r="O15" s="9"/>
      <c r="P15" s="9"/>
      <c r="Q15" s="9"/>
    </row>
    <row r="16" spans="2:17" x14ac:dyDescent="0.2">
      <c r="B16" s="7"/>
      <c r="C16" s="72"/>
      <c r="D16" s="9"/>
      <c r="E16" s="72"/>
      <c r="F16" s="9"/>
      <c r="G16" s="16"/>
      <c r="H16" s="9"/>
      <c r="I16" s="9"/>
      <c r="J16" s="9"/>
      <c r="K16" s="205"/>
      <c r="L16" s="9"/>
      <c r="M16" s="9"/>
      <c r="N16" s="9"/>
      <c r="O16" s="9"/>
      <c r="P16" s="9"/>
      <c r="Q16" s="9"/>
    </row>
    <row r="17" spans="2:17" x14ac:dyDescent="0.2">
      <c r="B17" s="7"/>
      <c r="C17" s="72"/>
      <c r="D17" s="9"/>
      <c r="E17" s="72"/>
      <c r="F17" s="9"/>
      <c r="G17" s="16"/>
      <c r="H17" s="9"/>
      <c r="I17" s="9"/>
      <c r="J17" s="9"/>
      <c r="K17" s="205"/>
      <c r="L17" s="9"/>
      <c r="M17" s="9"/>
      <c r="N17" s="9"/>
      <c r="O17" s="9"/>
      <c r="P17" s="9"/>
      <c r="Q17" s="9"/>
    </row>
    <row r="18" spans="2:17" x14ac:dyDescent="0.2">
      <c r="B18" s="7"/>
      <c r="C18" s="72"/>
      <c r="D18" s="9"/>
      <c r="E18" s="72"/>
      <c r="F18" s="9"/>
      <c r="G18" s="16"/>
      <c r="H18" s="9"/>
      <c r="I18" s="9"/>
      <c r="J18" s="9"/>
      <c r="K18" s="205"/>
      <c r="L18" s="9"/>
      <c r="M18" s="9"/>
      <c r="N18" s="9"/>
      <c r="O18" s="9"/>
      <c r="P18" s="9"/>
      <c r="Q18" s="9"/>
    </row>
    <row r="19" spans="2:17" x14ac:dyDescent="0.2">
      <c r="B19" s="7"/>
      <c r="C19" s="72"/>
      <c r="D19" s="9"/>
      <c r="E19" s="72"/>
      <c r="F19" s="9"/>
      <c r="G19" s="16"/>
      <c r="H19" s="9"/>
      <c r="I19" s="9"/>
      <c r="J19" s="9"/>
      <c r="K19" s="205"/>
      <c r="L19" s="9"/>
      <c r="M19" s="9"/>
      <c r="N19" s="9"/>
      <c r="O19" s="9"/>
      <c r="P19" s="9"/>
      <c r="Q19" s="9"/>
    </row>
    <row r="20" spans="2:17" x14ac:dyDescent="0.2">
      <c r="B20" s="7"/>
      <c r="C20" s="72"/>
      <c r="D20" s="9"/>
      <c r="E20" s="72"/>
      <c r="F20" s="9"/>
      <c r="G20" s="16"/>
      <c r="H20" s="9"/>
      <c r="I20" s="9"/>
      <c r="J20" s="9"/>
      <c r="K20" s="72"/>
      <c r="L20" s="9"/>
      <c r="M20" s="9"/>
      <c r="N20" s="9"/>
      <c r="O20" s="9"/>
      <c r="P20" s="9"/>
      <c r="Q20" s="9"/>
    </row>
    <row r="21" spans="2:17" x14ac:dyDescent="0.2">
      <c r="B21" s="7"/>
      <c r="C21" s="72"/>
      <c r="D21" s="9"/>
      <c r="E21" s="72"/>
      <c r="F21" s="9"/>
      <c r="G21" s="16"/>
      <c r="H21" s="9"/>
      <c r="I21" s="9"/>
      <c r="J21" s="9"/>
      <c r="K21" s="72"/>
      <c r="L21" s="9"/>
      <c r="M21" s="9"/>
      <c r="N21" s="9"/>
      <c r="O21" s="9"/>
      <c r="P21" s="9"/>
      <c r="Q21" s="9"/>
    </row>
    <row r="22" spans="2:17" x14ac:dyDescent="0.2">
      <c r="B22" s="7"/>
      <c r="C22" s="72"/>
      <c r="D22" s="9"/>
      <c r="E22" s="72"/>
      <c r="F22" s="9"/>
      <c r="G22" s="16"/>
      <c r="H22" s="9"/>
      <c r="I22" s="9"/>
      <c r="J22" s="9"/>
      <c r="K22" s="72"/>
      <c r="L22" s="9"/>
      <c r="M22" s="9"/>
      <c r="N22" s="9"/>
      <c r="O22" s="9"/>
      <c r="P22" s="9"/>
      <c r="Q22" s="9"/>
    </row>
    <row r="23" spans="2:17" x14ac:dyDescent="0.2">
      <c r="B23" s="7"/>
      <c r="C23" s="72"/>
      <c r="D23" s="9"/>
      <c r="E23" s="72"/>
      <c r="F23" s="9"/>
      <c r="G23" s="16"/>
      <c r="H23" s="9"/>
      <c r="I23" s="9"/>
      <c r="J23" s="9"/>
      <c r="K23" s="72"/>
      <c r="L23" s="9"/>
      <c r="M23" s="9"/>
      <c r="N23" s="9"/>
      <c r="O23" s="9"/>
      <c r="P23" s="9"/>
      <c r="Q23" s="9"/>
    </row>
    <row r="24" spans="2:17" x14ac:dyDescent="0.2">
      <c r="B24" s="7"/>
      <c r="C24" s="72"/>
      <c r="D24" s="9"/>
      <c r="E24" s="72"/>
      <c r="F24" s="9"/>
      <c r="G24" s="16"/>
      <c r="H24" s="9"/>
      <c r="I24" s="9"/>
      <c r="J24" s="9"/>
      <c r="K24" s="72"/>
      <c r="L24" s="9"/>
      <c r="M24" s="9"/>
      <c r="N24" s="9"/>
      <c r="O24" s="9"/>
      <c r="P24" s="9"/>
      <c r="Q24" s="9"/>
    </row>
    <row r="25" spans="2:17" x14ac:dyDescent="0.2">
      <c r="B25" s="7"/>
      <c r="C25" s="72"/>
      <c r="D25" s="9"/>
      <c r="E25" s="72"/>
      <c r="F25" s="9"/>
      <c r="G25" s="16"/>
      <c r="H25" s="9"/>
      <c r="I25" s="9"/>
      <c r="J25" s="9"/>
      <c r="K25" s="72"/>
      <c r="L25" s="9"/>
      <c r="M25" s="9"/>
      <c r="N25" s="9"/>
      <c r="O25" s="9"/>
      <c r="P25" s="9"/>
      <c r="Q25" s="9"/>
    </row>
    <row r="26" spans="2:17" x14ac:dyDescent="0.2">
      <c r="B26" s="7"/>
      <c r="C26" s="72"/>
      <c r="D26" s="9"/>
      <c r="E26" s="72"/>
      <c r="F26" s="9"/>
      <c r="G26" s="16"/>
      <c r="H26" s="9"/>
      <c r="I26" s="9"/>
      <c r="J26" s="9"/>
      <c r="K26" s="72"/>
      <c r="L26" s="9"/>
      <c r="M26" s="9"/>
      <c r="N26" s="9"/>
      <c r="O26" s="9"/>
      <c r="P26" s="9"/>
      <c r="Q26" s="9"/>
    </row>
    <row r="27" spans="2:17" x14ac:dyDescent="0.2">
      <c r="B27" s="7"/>
      <c r="C27" s="72"/>
      <c r="D27" s="9"/>
      <c r="E27" s="72"/>
      <c r="F27" s="9"/>
      <c r="G27" s="16"/>
      <c r="H27" s="9"/>
      <c r="I27" s="9"/>
      <c r="J27" s="9"/>
      <c r="K27" s="72"/>
      <c r="L27" s="9"/>
      <c r="M27" s="9"/>
      <c r="N27" s="9"/>
      <c r="O27" s="9"/>
      <c r="P27" s="9"/>
      <c r="Q27" s="9"/>
    </row>
    <row r="28" spans="2:17" x14ac:dyDescent="0.2">
      <c r="B28" s="7"/>
      <c r="C28" s="72"/>
      <c r="D28" s="9"/>
      <c r="E28" s="72"/>
      <c r="F28" s="9"/>
      <c r="G28" s="16"/>
      <c r="H28" s="9"/>
      <c r="I28" s="9"/>
      <c r="J28" s="9"/>
      <c r="K28" s="72"/>
      <c r="L28" s="9"/>
      <c r="M28" s="9"/>
      <c r="N28" s="9"/>
      <c r="O28" s="9"/>
      <c r="P28" s="9"/>
      <c r="Q28" s="9"/>
    </row>
    <row r="29" spans="2:17" x14ac:dyDescent="0.2">
      <c r="B29" s="7"/>
      <c r="C29" s="72"/>
      <c r="D29" s="9"/>
      <c r="E29" s="72"/>
      <c r="F29" s="9"/>
      <c r="G29" s="16"/>
      <c r="H29" s="9"/>
      <c r="I29" s="9"/>
      <c r="J29" s="9"/>
      <c r="K29" s="72"/>
      <c r="L29" s="9"/>
      <c r="M29" s="9"/>
      <c r="N29" s="9"/>
      <c r="O29" s="9"/>
      <c r="P29" s="9"/>
      <c r="Q29" s="9"/>
    </row>
    <row r="30" spans="2:17" x14ac:dyDescent="0.2">
      <c r="B30" s="7"/>
      <c r="C30" s="72"/>
      <c r="D30" s="9"/>
      <c r="E30" s="72"/>
      <c r="F30" s="9"/>
      <c r="G30" s="16"/>
      <c r="H30" s="9"/>
      <c r="I30" s="9"/>
      <c r="J30" s="9"/>
      <c r="K30" s="72"/>
      <c r="L30" s="9"/>
      <c r="M30" s="9"/>
      <c r="N30" s="9"/>
      <c r="O30" s="9"/>
      <c r="P30" s="9"/>
      <c r="Q30" s="9"/>
    </row>
    <row r="31" spans="2:17" x14ac:dyDescent="0.2">
      <c r="B31" s="7"/>
      <c r="C31" s="72"/>
      <c r="D31" s="9"/>
      <c r="E31" s="72"/>
      <c r="F31" s="9"/>
      <c r="G31" s="16"/>
      <c r="H31" s="9"/>
      <c r="I31" s="9"/>
      <c r="J31" s="9"/>
      <c r="K31" s="72"/>
      <c r="L31" s="9"/>
      <c r="M31" s="9"/>
      <c r="N31" s="9"/>
      <c r="O31" s="9"/>
      <c r="P31" s="9"/>
      <c r="Q31" s="9"/>
    </row>
    <row r="32" spans="2:17" x14ac:dyDescent="0.2">
      <c r="B32" s="7"/>
      <c r="C32" s="72"/>
      <c r="D32" s="9"/>
      <c r="E32" s="72"/>
      <c r="F32" s="9"/>
      <c r="G32" s="16"/>
      <c r="H32" s="9"/>
      <c r="I32" s="9"/>
      <c r="J32" s="9"/>
      <c r="K32" s="72"/>
      <c r="L32" s="9"/>
      <c r="M32" s="9"/>
      <c r="N32" s="9"/>
      <c r="O32" s="9"/>
      <c r="P32" s="9"/>
      <c r="Q32" s="9"/>
    </row>
    <row r="33" spans="2:17" x14ac:dyDescent="0.2">
      <c r="B33" s="7"/>
      <c r="C33" s="72"/>
      <c r="D33" s="9"/>
      <c r="E33" s="72"/>
      <c r="F33" s="9"/>
      <c r="G33" s="16"/>
      <c r="H33" s="9"/>
      <c r="I33" s="9"/>
      <c r="J33" s="9"/>
      <c r="K33" s="72"/>
      <c r="L33" s="9"/>
      <c r="M33" s="9"/>
      <c r="N33" s="9"/>
      <c r="O33" s="9"/>
      <c r="P33" s="9"/>
      <c r="Q33" s="9"/>
    </row>
    <row r="34" spans="2:17" x14ac:dyDescent="0.2">
      <c r="B34" s="7"/>
      <c r="C34" s="72"/>
      <c r="D34" s="9"/>
      <c r="E34" s="72"/>
      <c r="F34" s="9"/>
      <c r="G34" s="16"/>
      <c r="H34" s="9"/>
      <c r="I34" s="9"/>
      <c r="J34" s="9"/>
      <c r="K34" s="72"/>
      <c r="L34" s="9"/>
      <c r="M34" s="9"/>
      <c r="N34" s="9"/>
      <c r="O34" s="9"/>
      <c r="P34" s="9"/>
      <c r="Q34" s="9"/>
    </row>
    <row r="35" spans="2:17" x14ac:dyDescent="0.2">
      <c r="B35" s="7"/>
      <c r="C35" s="72"/>
      <c r="D35" s="9"/>
      <c r="E35" s="72"/>
      <c r="F35" s="9"/>
      <c r="G35" s="16"/>
      <c r="H35" s="9"/>
      <c r="I35" s="9"/>
      <c r="J35" s="9"/>
      <c r="K35" s="72"/>
      <c r="L35" s="9"/>
      <c r="M35" s="9"/>
      <c r="N35" s="9"/>
      <c r="O35" s="9"/>
      <c r="P35" s="9"/>
      <c r="Q35" s="9"/>
    </row>
    <row r="36" spans="2:17" x14ac:dyDescent="0.2">
      <c r="B36" s="7"/>
      <c r="C36" s="72"/>
      <c r="D36" s="9"/>
      <c r="E36" s="72"/>
      <c r="F36" s="9"/>
      <c r="G36" s="16"/>
      <c r="H36" s="9"/>
      <c r="I36" s="9"/>
      <c r="J36" s="9"/>
      <c r="K36" s="72"/>
      <c r="L36" s="9"/>
      <c r="M36" s="9"/>
      <c r="N36" s="9"/>
      <c r="O36" s="9"/>
      <c r="P36" s="9"/>
      <c r="Q36" s="9"/>
    </row>
    <row r="37" spans="2:17" x14ac:dyDescent="0.2">
      <c r="B37" s="7"/>
      <c r="C37" s="72"/>
      <c r="D37" s="9"/>
      <c r="E37" s="72"/>
      <c r="F37" s="9"/>
      <c r="G37" s="16"/>
      <c r="H37" s="9"/>
      <c r="I37" s="9"/>
      <c r="J37" s="9"/>
      <c r="K37" s="72"/>
      <c r="L37" s="9"/>
      <c r="M37" s="9"/>
      <c r="N37" s="9"/>
      <c r="O37" s="9"/>
      <c r="P37" s="9"/>
      <c r="Q37" s="9"/>
    </row>
    <row r="38" spans="2:17" x14ac:dyDescent="0.2">
      <c r="B38" s="7"/>
      <c r="C38" s="72"/>
      <c r="D38" s="9"/>
      <c r="E38" s="72"/>
      <c r="F38" s="9"/>
      <c r="G38" s="16"/>
      <c r="H38" s="9"/>
      <c r="I38" s="9"/>
      <c r="J38" s="9"/>
      <c r="K38" s="72"/>
      <c r="L38" s="9"/>
      <c r="M38" s="9"/>
      <c r="N38" s="9"/>
      <c r="O38" s="9"/>
      <c r="P38" s="9"/>
      <c r="Q38" s="9"/>
    </row>
    <row r="39" spans="2:17" x14ac:dyDescent="0.2">
      <c r="B39" s="7"/>
      <c r="C39" s="72"/>
      <c r="D39" s="9"/>
      <c r="E39" s="72"/>
      <c r="F39" s="9"/>
      <c r="G39" s="16"/>
      <c r="H39" s="9"/>
      <c r="I39" s="9"/>
      <c r="J39" s="9"/>
      <c r="K39" s="72"/>
      <c r="L39" s="9"/>
      <c r="M39" s="9"/>
      <c r="N39" s="9"/>
      <c r="O39" s="9"/>
      <c r="P39" s="9"/>
      <c r="Q39" s="9"/>
    </row>
    <row r="40" spans="2:17" x14ac:dyDescent="0.2">
      <c r="B40" s="7"/>
      <c r="C40" s="72"/>
      <c r="D40" s="9"/>
      <c r="E40" s="72"/>
      <c r="F40" s="9"/>
      <c r="G40" s="16"/>
      <c r="H40" s="9"/>
      <c r="I40" s="9"/>
      <c r="J40" s="9"/>
      <c r="K40" s="72"/>
      <c r="L40" s="9"/>
      <c r="M40" s="9"/>
      <c r="N40" s="9"/>
      <c r="O40" s="9"/>
      <c r="P40" s="9"/>
      <c r="Q40" s="9"/>
    </row>
    <row r="41" spans="2:17" x14ac:dyDescent="0.2">
      <c r="B41" s="7"/>
      <c r="C41" s="72"/>
      <c r="D41" s="9"/>
      <c r="E41" s="72"/>
      <c r="F41" s="9"/>
      <c r="G41" s="16"/>
      <c r="H41" s="9"/>
      <c r="I41" s="9"/>
      <c r="J41" s="9"/>
      <c r="K41" s="72"/>
      <c r="L41" s="9"/>
      <c r="M41" s="9"/>
      <c r="N41" s="9"/>
      <c r="O41" s="9"/>
      <c r="P41" s="9"/>
      <c r="Q41" s="9"/>
    </row>
    <row r="42" spans="2:17" x14ac:dyDescent="0.2">
      <c r="B42" s="7"/>
      <c r="C42" s="72"/>
      <c r="D42" s="9"/>
      <c r="E42" s="72"/>
      <c r="F42" s="9"/>
      <c r="G42" s="16"/>
      <c r="H42" s="9"/>
      <c r="I42" s="9"/>
      <c r="J42" s="9"/>
      <c r="K42" s="72"/>
      <c r="L42" s="9"/>
      <c r="M42" s="9"/>
      <c r="N42" s="9"/>
      <c r="O42" s="9"/>
      <c r="P42" s="9"/>
      <c r="Q42" s="9"/>
    </row>
    <row r="43" spans="2:17" x14ac:dyDescent="0.2">
      <c r="B43" s="7"/>
      <c r="C43" s="72"/>
      <c r="D43" s="9"/>
      <c r="E43" s="72"/>
      <c r="F43" s="9"/>
      <c r="G43" s="16"/>
      <c r="H43" s="9"/>
      <c r="I43" s="9"/>
      <c r="J43" s="9"/>
      <c r="K43" s="72"/>
      <c r="L43" s="9"/>
      <c r="M43" s="9"/>
      <c r="N43" s="9"/>
      <c r="O43" s="9"/>
      <c r="P43" s="9"/>
      <c r="Q43" s="9"/>
    </row>
    <row r="44" spans="2:17" x14ac:dyDescent="0.2">
      <c r="B44" s="7"/>
      <c r="C44" s="72"/>
      <c r="D44" s="9"/>
      <c r="E44" s="72"/>
      <c r="F44" s="9"/>
      <c r="G44" s="16"/>
      <c r="H44" s="9"/>
      <c r="I44" s="9"/>
      <c r="J44" s="9"/>
      <c r="K44" s="72"/>
      <c r="L44" s="9"/>
      <c r="M44" s="9"/>
      <c r="N44" s="9"/>
      <c r="O44" s="9"/>
      <c r="P44" s="9"/>
      <c r="Q44" s="9"/>
    </row>
    <row r="45" spans="2:17" x14ac:dyDescent="0.2">
      <c r="B45" s="7"/>
      <c r="C45" s="72"/>
      <c r="D45" s="9"/>
      <c r="E45" s="72"/>
      <c r="F45" s="9"/>
      <c r="G45" s="16"/>
      <c r="H45" s="9"/>
      <c r="I45" s="9"/>
      <c r="J45" s="9"/>
      <c r="K45" s="72"/>
      <c r="L45" s="9"/>
      <c r="M45" s="9"/>
      <c r="N45" s="9"/>
      <c r="O45" s="9"/>
      <c r="P45" s="9"/>
      <c r="Q45" s="9"/>
    </row>
    <row r="46" spans="2:17" x14ac:dyDescent="0.2">
      <c r="B46" s="7"/>
      <c r="C46" s="72"/>
      <c r="D46" s="9"/>
      <c r="E46" s="72"/>
      <c r="F46" s="9"/>
      <c r="G46" s="16"/>
      <c r="H46" s="9"/>
      <c r="I46" s="9"/>
      <c r="J46" s="9"/>
      <c r="K46" s="72"/>
      <c r="L46" s="9"/>
      <c r="M46" s="9"/>
      <c r="N46" s="9"/>
      <c r="O46" s="9"/>
      <c r="P46" s="9"/>
      <c r="Q46" s="9"/>
    </row>
    <row r="47" spans="2:17" x14ac:dyDescent="0.2">
      <c r="B47" s="7"/>
      <c r="C47" s="72"/>
      <c r="D47" s="9"/>
      <c r="E47" s="72"/>
      <c r="F47" s="9"/>
      <c r="G47" s="16"/>
      <c r="H47" s="9"/>
      <c r="I47" s="9"/>
      <c r="J47" s="9"/>
      <c r="K47" s="72"/>
      <c r="L47" s="9"/>
      <c r="M47" s="9"/>
      <c r="N47" s="9"/>
      <c r="O47" s="9"/>
      <c r="P47" s="9"/>
      <c r="Q47" s="9"/>
    </row>
    <row r="48" spans="2:17" x14ac:dyDescent="0.2">
      <c r="B48" s="7"/>
      <c r="C48" s="72"/>
      <c r="D48" s="9"/>
      <c r="E48" s="72"/>
      <c r="F48" s="9"/>
      <c r="G48" s="16"/>
      <c r="H48" s="9"/>
      <c r="I48" s="9"/>
      <c r="J48" s="9"/>
      <c r="K48" s="72"/>
      <c r="L48" s="9"/>
      <c r="M48" s="9"/>
      <c r="N48" s="9"/>
      <c r="O48" s="9"/>
      <c r="P48" s="9"/>
      <c r="Q48" s="9"/>
    </row>
    <row r="49" spans="2:17" x14ac:dyDescent="0.2">
      <c r="B49" s="7"/>
      <c r="C49" s="72"/>
      <c r="D49" s="9"/>
      <c r="E49" s="72"/>
      <c r="F49" s="9"/>
      <c r="G49" s="16"/>
      <c r="H49" s="9"/>
      <c r="I49" s="9"/>
      <c r="J49" s="9"/>
      <c r="K49" s="72"/>
      <c r="L49" s="9"/>
      <c r="M49" s="9"/>
      <c r="N49" s="9"/>
      <c r="O49" s="9"/>
      <c r="P49" s="9"/>
      <c r="Q49" s="9"/>
    </row>
    <row r="50" spans="2:17" x14ac:dyDescent="0.2">
      <c r="B50" s="7"/>
      <c r="C50" s="72"/>
      <c r="D50" s="9"/>
      <c r="E50" s="72"/>
      <c r="F50" s="9"/>
      <c r="G50" s="16"/>
      <c r="H50" s="9"/>
      <c r="I50" s="9"/>
      <c r="J50" s="9"/>
      <c r="K50" s="72"/>
      <c r="L50" s="9"/>
      <c r="M50" s="9"/>
      <c r="N50" s="9"/>
      <c r="O50" s="9"/>
      <c r="P50" s="9"/>
      <c r="Q50" s="9"/>
    </row>
    <row r="51" spans="2:17" x14ac:dyDescent="0.2">
      <c r="B51" s="7"/>
      <c r="C51" s="72"/>
      <c r="D51" s="9"/>
      <c r="E51" s="72"/>
      <c r="F51" s="9"/>
      <c r="G51" s="16"/>
      <c r="H51" s="9"/>
      <c r="I51" s="9"/>
      <c r="J51" s="9"/>
      <c r="K51" s="72"/>
      <c r="L51" s="9"/>
      <c r="M51" s="9"/>
      <c r="N51" s="9"/>
      <c r="O51" s="9"/>
      <c r="P51" s="9"/>
      <c r="Q51" s="9"/>
    </row>
    <row r="52" spans="2:17" x14ac:dyDescent="0.2">
      <c r="B52" s="7"/>
      <c r="C52" s="72"/>
      <c r="D52" s="9"/>
      <c r="E52" s="72"/>
      <c r="F52" s="9"/>
      <c r="G52" s="16"/>
      <c r="H52" s="9"/>
      <c r="I52" s="9"/>
      <c r="J52" s="9"/>
      <c r="K52" s="72"/>
      <c r="L52" s="9"/>
      <c r="M52" s="9"/>
      <c r="N52" s="9"/>
      <c r="O52" s="9"/>
      <c r="P52" s="9"/>
      <c r="Q52" s="9"/>
    </row>
    <row r="53" spans="2:17" x14ac:dyDescent="0.2">
      <c r="B53" s="7"/>
      <c r="C53" s="72"/>
      <c r="D53" s="9"/>
      <c r="E53" s="72"/>
      <c r="F53" s="9"/>
      <c r="G53" s="16"/>
      <c r="H53" s="9"/>
      <c r="I53" s="9"/>
      <c r="J53" s="9"/>
      <c r="K53" s="72"/>
      <c r="L53" s="9"/>
      <c r="M53" s="9"/>
      <c r="N53" s="9"/>
      <c r="O53" s="9"/>
      <c r="P53" s="9"/>
      <c r="Q53" s="9"/>
    </row>
    <row r="54" spans="2:17" x14ac:dyDescent="0.2">
      <c r="B54" s="7"/>
      <c r="C54" s="72"/>
      <c r="D54" s="9"/>
      <c r="E54" s="72"/>
      <c r="F54" s="9"/>
      <c r="G54" s="16"/>
      <c r="H54" s="9"/>
      <c r="I54" s="9"/>
      <c r="J54" s="9"/>
      <c r="K54" s="72"/>
      <c r="L54" s="9"/>
      <c r="M54" s="9"/>
      <c r="N54" s="9"/>
      <c r="O54" s="9"/>
      <c r="P54" s="9"/>
      <c r="Q54" s="9"/>
    </row>
    <row r="55" spans="2:17" x14ac:dyDescent="0.2">
      <c r="B55" s="7"/>
      <c r="C55" s="72"/>
      <c r="D55" s="9"/>
      <c r="E55" s="72"/>
      <c r="F55" s="9"/>
      <c r="G55" s="16"/>
      <c r="H55" s="9"/>
      <c r="I55" s="9"/>
      <c r="J55" s="9"/>
      <c r="K55" s="72"/>
      <c r="L55" s="9"/>
      <c r="M55" s="9"/>
      <c r="N55" s="9"/>
      <c r="O55" s="9"/>
      <c r="P55" s="9"/>
      <c r="Q55" s="9"/>
    </row>
    <row r="56" spans="2:17" x14ac:dyDescent="0.2">
      <c r="B56" s="7"/>
      <c r="C56" s="72"/>
      <c r="D56" s="9"/>
      <c r="E56" s="72"/>
      <c r="F56" s="9"/>
      <c r="G56" s="16"/>
      <c r="H56" s="9"/>
      <c r="I56" s="9"/>
      <c r="J56" s="9"/>
      <c r="K56" s="72"/>
      <c r="L56" s="9"/>
      <c r="M56" s="9"/>
      <c r="N56" s="9"/>
      <c r="O56" s="9"/>
      <c r="P56" s="9"/>
      <c r="Q56" s="9"/>
    </row>
    <row r="57" spans="2:17" x14ac:dyDescent="0.2">
      <c r="B57" s="7"/>
      <c r="C57" s="72"/>
      <c r="D57" s="9"/>
      <c r="E57" s="72"/>
      <c r="F57" s="9"/>
      <c r="G57" s="16"/>
      <c r="H57" s="9"/>
      <c r="I57" s="9"/>
      <c r="J57" s="9"/>
      <c r="K57" s="72"/>
      <c r="L57" s="9"/>
      <c r="M57" s="9"/>
      <c r="N57" s="9"/>
      <c r="O57" s="9"/>
      <c r="P57" s="9"/>
      <c r="Q57" s="9"/>
    </row>
    <row r="58" spans="2:17" x14ac:dyDescent="0.2">
      <c r="B58" s="7"/>
      <c r="C58" s="72"/>
      <c r="D58" s="9"/>
      <c r="E58" s="72"/>
      <c r="F58" s="9"/>
      <c r="G58" s="16"/>
      <c r="H58" s="9"/>
      <c r="I58" s="9"/>
      <c r="J58" s="9"/>
      <c r="K58" s="72"/>
      <c r="L58" s="9"/>
      <c r="M58" s="9"/>
      <c r="N58" s="9"/>
      <c r="O58" s="9"/>
      <c r="P58" s="9"/>
      <c r="Q58" s="9"/>
    </row>
    <row r="59" spans="2:17" x14ac:dyDescent="0.2">
      <c r="B59" s="7"/>
      <c r="C59" s="72"/>
      <c r="D59" s="9"/>
      <c r="E59" s="72"/>
      <c r="F59" s="9"/>
      <c r="G59" s="16"/>
      <c r="H59" s="9"/>
      <c r="I59" s="9"/>
      <c r="J59" s="9"/>
      <c r="K59" s="72"/>
      <c r="L59" s="9"/>
      <c r="M59" s="9"/>
      <c r="N59" s="9"/>
      <c r="O59" s="9"/>
      <c r="P59" s="9"/>
      <c r="Q59" s="9"/>
    </row>
    <row r="60" spans="2:17" x14ac:dyDescent="0.2">
      <c r="B60" s="7"/>
      <c r="C60" s="72"/>
      <c r="D60" s="9"/>
      <c r="E60" s="72"/>
      <c r="F60" s="9"/>
      <c r="G60" s="16"/>
      <c r="H60" s="9"/>
      <c r="I60" s="9"/>
      <c r="J60" s="9"/>
      <c r="K60" s="72"/>
      <c r="L60" s="9"/>
      <c r="M60" s="9"/>
      <c r="N60" s="9"/>
      <c r="O60" s="9"/>
      <c r="P60" s="9"/>
      <c r="Q60" s="9"/>
    </row>
    <row r="61" spans="2:17" x14ac:dyDescent="0.2">
      <c r="B61" s="7"/>
      <c r="C61" s="72"/>
      <c r="D61" s="9"/>
      <c r="E61" s="72"/>
      <c r="F61" s="9"/>
      <c r="G61" s="16"/>
      <c r="H61" s="9"/>
      <c r="I61" s="9"/>
      <c r="J61" s="9"/>
      <c r="K61" s="72"/>
      <c r="L61" s="9"/>
      <c r="M61" s="9"/>
      <c r="N61" s="9"/>
      <c r="O61" s="9"/>
      <c r="P61" s="9"/>
      <c r="Q61" s="9"/>
    </row>
    <row r="62" spans="2:17" x14ac:dyDescent="0.2">
      <c r="B62" s="7"/>
      <c r="C62" s="72"/>
      <c r="D62" s="9"/>
      <c r="E62" s="72"/>
      <c r="F62" s="9"/>
      <c r="G62" s="16"/>
      <c r="H62" s="9"/>
      <c r="I62" s="9"/>
      <c r="J62" s="9"/>
      <c r="K62" s="72"/>
      <c r="L62" s="9"/>
      <c r="M62" s="9"/>
      <c r="N62" s="9"/>
      <c r="O62" s="9"/>
      <c r="P62" s="9"/>
      <c r="Q62" s="9"/>
    </row>
    <row r="63" spans="2:17" x14ac:dyDescent="0.2">
      <c r="B63" s="7"/>
      <c r="C63" s="72"/>
      <c r="D63" s="9"/>
      <c r="E63" s="72"/>
      <c r="F63" s="9"/>
      <c r="G63" s="16"/>
      <c r="H63" s="9"/>
      <c r="I63" s="9"/>
      <c r="J63" s="9"/>
      <c r="K63" s="72"/>
      <c r="L63" s="9"/>
      <c r="M63" s="9"/>
      <c r="N63" s="9"/>
      <c r="O63" s="9"/>
      <c r="P63" s="9"/>
      <c r="Q63" s="9"/>
    </row>
    <row r="64" spans="2:17" x14ac:dyDescent="0.2">
      <c r="B64" s="7"/>
      <c r="C64" s="72"/>
      <c r="D64" s="9"/>
      <c r="E64" s="72"/>
      <c r="F64" s="9"/>
      <c r="G64" s="16"/>
      <c r="H64" s="9"/>
      <c r="I64" s="9"/>
      <c r="J64" s="9"/>
      <c r="K64" s="72"/>
      <c r="L64" s="9"/>
      <c r="M64" s="9"/>
      <c r="N64" s="9"/>
      <c r="O64" s="9"/>
      <c r="P64" s="9"/>
      <c r="Q64" s="9"/>
    </row>
    <row r="65" spans="2:17" x14ac:dyDescent="0.2">
      <c r="B65" s="7"/>
      <c r="C65" s="72"/>
      <c r="D65" s="9"/>
      <c r="E65" s="72"/>
      <c r="F65" s="9"/>
      <c r="G65" s="16"/>
      <c r="H65" s="9"/>
      <c r="I65" s="9"/>
      <c r="J65" s="9"/>
      <c r="K65" s="72"/>
      <c r="L65" s="9"/>
      <c r="M65" s="9"/>
      <c r="N65" s="9"/>
      <c r="O65" s="9"/>
      <c r="P65" s="9"/>
      <c r="Q65" s="9"/>
    </row>
    <row r="66" spans="2:17" x14ac:dyDescent="0.2">
      <c r="B66" s="7"/>
      <c r="C66" s="72"/>
      <c r="D66" s="9"/>
      <c r="E66" s="72"/>
      <c r="F66" s="9"/>
      <c r="G66" s="16"/>
      <c r="H66" s="9"/>
      <c r="I66" s="9"/>
      <c r="J66" s="9"/>
      <c r="K66" s="72"/>
      <c r="L66" s="9"/>
      <c r="M66" s="9"/>
      <c r="N66" s="9"/>
      <c r="O66" s="9"/>
      <c r="P66" s="9"/>
      <c r="Q66" s="9"/>
    </row>
    <row r="67" spans="2:17" x14ac:dyDescent="0.2">
      <c r="B67" s="7"/>
      <c r="C67" s="72"/>
      <c r="D67" s="9"/>
      <c r="E67" s="72"/>
      <c r="F67" s="9"/>
      <c r="G67" s="16"/>
      <c r="H67" s="9"/>
      <c r="I67" s="9"/>
      <c r="J67" s="9"/>
      <c r="K67" s="72"/>
      <c r="L67" s="9"/>
      <c r="M67" s="9"/>
      <c r="N67" s="9"/>
      <c r="O67" s="9"/>
      <c r="P67" s="9"/>
      <c r="Q67" s="9"/>
    </row>
    <row r="68" spans="2:17" x14ac:dyDescent="0.2">
      <c r="B68" s="7"/>
      <c r="C68" s="72"/>
      <c r="D68" s="9"/>
      <c r="E68" s="72"/>
      <c r="F68" s="9"/>
      <c r="G68" s="16"/>
      <c r="H68" s="9"/>
      <c r="I68" s="9"/>
      <c r="J68" s="9"/>
      <c r="K68" s="72"/>
      <c r="L68" s="9"/>
      <c r="M68" s="9"/>
      <c r="N68" s="9"/>
      <c r="O68" s="9"/>
      <c r="P68" s="9"/>
      <c r="Q68" s="9"/>
    </row>
    <row r="69" spans="2:17" x14ac:dyDescent="0.2">
      <c r="B69" s="7"/>
      <c r="C69" s="72"/>
      <c r="D69" s="9"/>
      <c r="E69" s="72"/>
      <c r="F69" s="9"/>
      <c r="G69" s="16"/>
      <c r="H69" s="9"/>
      <c r="I69" s="9"/>
      <c r="J69" s="9"/>
      <c r="K69" s="72"/>
      <c r="L69" s="9"/>
      <c r="M69" s="9"/>
      <c r="N69" s="9"/>
      <c r="O69" s="9"/>
      <c r="P69" s="9"/>
      <c r="Q69" s="9"/>
    </row>
    <row r="70" spans="2:17" x14ac:dyDescent="0.2">
      <c r="B70" s="7"/>
      <c r="C70" s="72"/>
      <c r="D70" s="9"/>
      <c r="E70" s="72"/>
      <c r="F70" s="9"/>
      <c r="G70" s="16"/>
      <c r="H70" s="9"/>
      <c r="I70" s="9"/>
      <c r="J70" s="9"/>
      <c r="K70" s="72"/>
      <c r="L70" s="9"/>
      <c r="M70" s="9"/>
      <c r="N70" s="9"/>
      <c r="O70" s="9"/>
      <c r="P70" s="9"/>
      <c r="Q70" s="9"/>
    </row>
    <row r="71" spans="2:17" x14ac:dyDescent="0.2">
      <c r="B71" s="7"/>
      <c r="C71" s="72"/>
      <c r="D71" s="9"/>
      <c r="E71" s="72"/>
      <c r="F71" s="9"/>
      <c r="G71" s="16"/>
      <c r="H71" s="9"/>
      <c r="I71" s="9"/>
      <c r="J71" s="9"/>
      <c r="K71" s="72"/>
      <c r="L71" s="9"/>
      <c r="M71" s="9"/>
      <c r="N71" s="9"/>
      <c r="O71" s="9"/>
      <c r="P71" s="9"/>
      <c r="Q71" s="9"/>
    </row>
    <row r="72" spans="2:17" x14ac:dyDescent="0.2">
      <c r="B72" s="7"/>
      <c r="C72" s="72"/>
      <c r="D72" s="9"/>
      <c r="E72" s="72"/>
      <c r="F72" s="9"/>
      <c r="G72" s="16"/>
      <c r="H72" s="9"/>
      <c r="I72" s="9"/>
      <c r="J72" s="9"/>
      <c r="K72" s="72"/>
      <c r="L72" s="9"/>
      <c r="M72" s="9"/>
      <c r="N72" s="9"/>
      <c r="O72" s="9"/>
      <c r="P72" s="9"/>
      <c r="Q72" s="9"/>
    </row>
    <row r="73" spans="2:17" x14ac:dyDescent="0.2">
      <c r="B73" s="7"/>
      <c r="C73" s="72"/>
      <c r="D73" s="9"/>
      <c r="E73" s="72"/>
      <c r="F73" s="9"/>
      <c r="G73" s="16"/>
      <c r="H73" s="9"/>
      <c r="I73" s="9"/>
      <c r="J73" s="9"/>
      <c r="K73" s="72"/>
      <c r="L73" s="9"/>
      <c r="M73" s="9"/>
      <c r="N73" s="9"/>
      <c r="O73" s="9"/>
      <c r="P73" s="9"/>
      <c r="Q73" s="9"/>
    </row>
    <row r="74" spans="2:17" x14ac:dyDescent="0.2">
      <c r="B74" s="7"/>
      <c r="C74" s="72"/>
      <c r="D74" s="9"/>
      <c r="E74" s="72"/>
      <c r="F74" s="9"/>
      <c r="G74" s="16"/>
      <c r="H74" s="9"/>
      <c r="I74" s="9"/>
      <c r="J74" s="9"/>
      <c r="K74" s="72"/>
      <c r="L74" s="9"/>
      <c r="M74" s="9"/>
      <c r="N74" s="9"/>
      <c r="O74" s="9"/>
      <c r="P74" s="9"/>
      <c r="Q74" s="9"/>
    </row>
    <row r="75" spans="2:17" x14ac:dyDescent="0.2">
      <c r="B75" s="7"/>
      <c r="C75" s="72"/>
      <c r="D75" s="9"/>
      <c r="E75" s="72"/>
      <c r="F75" s="9"/>
      <c r="G75" s="16"/>
      <c r="H75" s="9"/>
      <c r="I75" s="9"/>
      <c r="J75" s="9"/>
      <c r="K75" s="72"/>
      <c r="L75" s="9"/>
      <c r="M75" s="9"/>
      <c r="N75" s="9"/>
      <c r="O75" s="9"/>
      <c r="P75" s="9"/>
      <c r="Q75" s="9"/>
    </row>
    <row r="76" spans="2:17" x14ac:dyDescent="0.2">
      <c r="B76" s="7"/>
      <c r="C76" s="72"/>
      <c r="D76" s="9"/>
      <c r="E76" s="72"/>
      <c r="F76" s="9"/>
      <c r="G76" s="16"/>
      <c r="H76" s="9"/>
      <c r="I76" s="9"/>
      <c r="J76" s="9"/>
      <c r="K76" s="72"/>
      <c r="L76" s="9"/>
      <c r="M76" s="9"/>
      <c r="N76" s="9"/>
      <c r="O76" s="9"/>
      <c r="P76" s="9"/>
      <c r="Q76" s="9"/>
    </row>
    <row r="77" spans="2:17" x14ac:dyDescent="0.2">
      <c r="B77" s="7"/>
      <c r="C77" s="72"/>
      <c r="D77" s="9"/>
      <c r="E77" s="72"/>
      <c r="F77" s="9"/>
      <c r="G77" s="16"/>
      <c r="H77" s="9"/>
      <c r="I77" s="9"/>
      <c r="J77" s="9"/>
      <c r="K77" s="72"/>
      <c r="L77" s="9"/>
      <c r="M77" s="9"/>
      <c r="N77" s="9"/>
      <c r="O77" s="9"/>
      <c r="P77" s="9"/>
      <c r="Q77" s="9"/>
    </row>
    <row r="78" spans="2:17" x14ac:dyDescent="0.2">
      <c r="B78" s="7"/>
      <c r="C78" s="72"/>
      <c r="D78" s="9"/>
      <c r="E78" s="72"/>
      <c r="F78" s="9"/>
      <c r="G78" s="16"/>
      <c r="H78" s="9"/>
      <c r="I78" s="9"/>
      <c r="J78" s="9"/>
      <c r="K78" s="72"/>
      <c r="L78" s="9"/>
      <c r="M78" s="9"/>
      <c r="N78" s="9"/>
      <c r="O78" s="9"/>
      <c r="P78" s="9"/>
      <c r="Q78" s="9"/>
    </row>
    <row r="79" spans="2:17" x14ac:dyDescent="0.2">
      <c r="B79" s="7"/>
      <c r="C79" s="72"/>
      <c r="D79" s="9"/>
      <c r="E79" s="72"/>
      <c r="F79" s="9"/>
      <c r="G79" s="16"/>
      <c r="H79" s="9"/>
      <c r="I79" s="9"/>
      <c r="J79" s="9"/>
      <c r="K79" s="72"/>
      <c r="L79" s="9"/>
      <c r="M79" s="9"/>
      <c r="N79" s="9"/>
      <c r="O79" s="9"/>
      <c r="P79" s="9"/>
      <c r="Q79" s="9"/>
    </row>
    <row r="80" spans="2:17" x14ac:dyDescent="0.2">
      <c r="B80" s="7"/>
      <c r="C80" s="72"/>
      <c r="D80" s="9"/>
      <c r="E80" s="72"/>
      <c r="F80" s="9"/>
      <c r="G80" s="16"/>
      <c r="H80" s="9"/>
      <c r="I80" s="9"/>
      <c r="J80" s="9"/>
      <c r="K80" s="72"/>
      <c r="L80" s="9"/>
      <c r="M80" s="9"/>
      <c r="N80" s="9"/>
      <c r="O80" s="9"/>
      <c r="P80" s="9"/>
      <c r="Q80" s="9"/>
    </row>
    <row r="81" spans="2:17" x14ac:dyDescent="0.2">
      <c r="B81" s="7"/>
      <c r="C81" s="72"/>
      <c r="D81" s="9"/>
      <c r="E81" s="72"/>
      <c r="F81" s="9"/>
      <c r="G81" s="16"/>
      <c r="H81" s="9"/>
      <c r="I81" s="9"/>
      <c r="J81" s="9"/>
      <c r="K81" s="72"/>
      <c r="L81" s="9"/>
      <c r="M81" s="9"/>
      <c r="N81" s="9"/>
      <c r="O81" s="9"/>
      <c r="P81" s="9"/>
      <c r="Q81" s="9"/>
    </row>
    <row r="82" spans="2:17" x14ac:dyDescent="0.2">
      <c r="B82" s="7"/>
      <c r="C82" s="72"/>
      <c r="D82" s="9"/>
      <c r="E82" s="72"/>
      <c r="F82" s="9"/>
      <c r="G82" s="16"/>
      <c r="H82" s="9"/>
      <c r="I82" s="9"/>
      <c r="J82" s="9"/>
      <c r="K82" s="72"/>
      <c r="L82" s="9"/>
      <c r="M82" s="9"/>
      <c r="N82" s="9"/>
      <c r="O82" s="9"/>
      <c r="P82" s="9"/>
      <c r="Q82" s="9"/>
    </row>
    <row r="83" spans="2:17" x14ac:dyDescent="0.2">
      <c r="B83" s="7"/>
      <c r="C83" s="72"/>
      <c r="D83" s="9"/>
      <c r="E83" s="72"/>
      <c r="F83" s="9"/>
      <c r="G83" s="16"/>
      <c r="H83" s="9"/>
      <c r="I83" s="9"/>
      <c r="J83" s="9"/>
      <c r="K83" s="72"/>
      <c r="L83" s="9"/>
      <c r="M83" s="9"/>
      <c r="N83" s="9"/>
      <c r="O83" s="9"/>
      <c r="P83" s="9"/>
      <c r="Q83" s="9"/>
    </row>
    <row r="84" spans="2:17" x14ac:dyDescent="0.2">
      <c r="B84" s="7"/>
      <c r="C84" s="72"/>
      <c r="D84" s="9"/>
      <c r="E84" s="72"/>
      <c r="F84" s="9"/>
      <c r="G84" s="16"/>
      <c r="H84" s="9"/>
      <c r="I84" s="9"/>
      <c r="J84" s="9"/>
      <c r="K84" s="72"/>
      <c r="L84" s="9"/>
      <c r="M84" s="9"/>
      <c r="N84" s="9"/>
      <c r="O84" s="9"/>
      <c r="P84" s="9"/>
      <c r="Q84" s="9"/>
    </row>
    <row r="85" spans="2:17" x14ac:dyDescent="0.2">
      <c r="B85" s="7"/>
      <c r="C85" s="72"/>
      <c r="D85" s="9"/>
      <c r="E85" s="72"/>
      <c r="F85" s="9"/>
      <c r="G85" s="16"/>
      <c r="H85" s="9"/>
      <c r="I85" s="9"/>
      <c r="J85" s="9"/>
      <c r="K85" s="72"/>
      <c r="L85" s="9"/>
      <c r="M85" s="9"/>
      <c r="N85" s="9"/>
      <c r="O85" s="9"/>
      <c r="P85" s="9"/>
      <c r="Q85" s="9"/>
    </row>
    <row r="86" spans="2:17" x14ac:dyDescent="0.2">
      <c r="B86" s="7"/>
      <c r="C86" s="72"/>
      <c r="D86" s="9"/>
      <c r="E86" s="72"/>
      <c r="F86" s="9"/>
      <c r="G86" s="16"/>
      <c r="H86" s="9"/>
      <c r="I86" s="9"/>
      <c r="J86" s="9"/>
      <c r="K86" s="72"/>
      <c r="L86" s="9"/>
      <c r="M86" s="9"/>
      <c r="N86" s="9"/>
      <c r="O86" s="9"/>
      <c r="P86" s="9"/>
      <c r="Q86" s="9"/>
    </row>
    <row r="87" spans="2:17" x14ac:dyDescent="0.2">
      <c r="B87" s="7"/>
      <c r="C87" s="72"/>
      <c r="D87" s="9"/>
      <c r="E87" s="72"/>
      <c r="F87" s="9"/>
      <c r="G87" s="16"/>
      <c r="H87" s="9"/>
      <c r="I87" s="9"/>
      <c r="J87" s="9"/>
      <c r="K87" s="72"/>
      <c r="L87" s="9"/>
      <c r="M87" s="9"/>
      <c r="N87" s="9"/>
      <c r="O87" s="9"/>
      <c r="P87" s="9"/>
      <c r="Q87" s="9"/>
    </row>
    <row r="88" spans="2:17" x14ac:dyDescent="0.2">
      <c r="B88" s="7"/>
      <c r="C88" s="72"/>
      <c r="D88" s="9"/>
      <c r="E88" s="72"/>
      <c r="F88" s="9"/>
      <c r="G88" s="16"/>
      <c r="H88" s="9"/>
      <c r="I88" s="9"/>
      <c r="J88" s="9"/>
      <c r="K88" s="72"/>
      <c r="L88" s="9"/>
      <c r="M88" s="9"/>
      <c r="N88" s="9"/>
      <c r="O88" s="9"/>
      <c r="P88" s="9"/>
      <c r="Q88" s="9"/>
    </row>
    <row r="89" spans="2:17" x14ac:dyDescent="0.2">
      <c r="B89" s="7"/>
      <c r="C89" s="72"/>
      <c r="D89" s="9"/>
      <c r="E89" s="72"/>
      <c r="F89" s="9"/>
      <c r="G89" s="16"/>
      <c r="H89" s="9"/>
      <c r="I89" s="9"/>
      <c r="J89" s="9"/>
      <c r="K89" s="72"/>
      <c r="L89" s="9"/>
      <c r="M89" s="9"/>
      <c r="N89" s="9"/>
      <c r="O89" s="9"/>
      <c r="P89" s="9"/>
      <c r="Q89" s="9"/>
    </row>
    <row r="90" spans="2:17" x14ac:dyDescent="0.2">
      <c r="B90" s="7"/>
      <c r="C90" s="72"/>
      <c r="D90" s="9"/>
      <c r="E90" s="72"/>
      <c r="F90" s="9"/>
      <c r="G90" s="16"/>
      <c r="H90" s="9"/>
      <c r="I90" s="9"/>
      <c r="J90" s="9"/>
      <c r="K90" s="72"/>
      <c r="L90" s="9"/>
      <c r="M90" s="9"/>
      <c r="N90" s="9"/>
      <c r="O90" s="9"/>
      <c r="P90" s="9"/>
      <c r="Q90" s="9"/>
    </row>
    <row r="91" spans="2:17" x14ac:dyDescent="0.2">
      <c r="B91" s="7"/>
      <c r="C91" s="72"/>
      <c r="D91" s="9"/>
      <c r="E91" s="72"/>
      <c r="F91" s="9"/>
      <c r="G91" s="16"/>
      <c r="H91" s="9"/>
      <c r="I91" s="9"/>
      <c r="J91" s="9"/>
      <c r="K91" s="72"/>
      <c r="L91" s="9"/>
      <c r="M91" s="9"/>
      <c r="N91" s="9"/>
      <c r="O91" s="9"/>
      <c r="P91" s="9"/>
      <c r="Q91" s="9"/>
    </row>
    <row r="92" spans="2:17" x14ac:dyDescent="0.2">
      <c r="B92" s="7"/>
      <c r="C92" s="72"/>
      <c r="D92" s="9"/>
      <c r="E92" s="72"/>
      <c r="F92" s="9"/>
      <c r="G92" s="16"/>
      <c r="H92" s="9"/>
      <c r="I92" s="9"/>
      <c r="J92" s="9"/>
      <c r="K92" s="72"/>
      <c r="L92" s="9"/>
      <c r="M92" s="9"/>
      <c r="N92" s="9"/>
      <c r="O92" s="9"/>
      <c r="P92" s="9"/>
      <c r="Q92" s="9"/>
    </row>
    <row r="93" spans="2:17" x14ac:dyDescent="0.2">
      <c r="B93" s="7"/>
      <c r="C93" s="72"/>
      <c r="D93" s="9"/>
      <c r="E93" s="72"/>
      <c r="F93" s="9"/>
      <c r="G93" s="16"/>
      <c r="H93" s="9"/>
      <c r="I93" s="9"/>
      <c r="J93" s="9"/>
      <c r="K93" s="72"/>
      <c r="L93" s="9"/>
      <c r="M93" s="9"/>
      <c r="N93" s="9"/>
      <c r="O93" s="9"/>
      <c r="P93" s="9"/>
      <c r="Q93" s="9"/>
    </row>
    <row r="94" spans="2:17" x14ac:dyDescent="0.2">
      <c r="B94" s="7"/>
      <c r="C94" s="72"/>
      <c r="D94" s="9"/>
      <c r="E94" s="72"/>
      <c r="F94" s="9"/>
      <c r="G94" s="16"/>
      <c r="H94" s="9"/>
      <c r="I94" s="9"/>
      <c r="J94" s="9"/>
      <c r="K94" s="72"/>
      <c r="L94" s="9"/>
      <c r="M94" s="9"/>
      <c r="N94" s="9"/>
      <c r="O94" s="9"/>
      <c r="P94" s="9"/>
      <c r="Q94" s="9"/>
    </row>
    <row r="95" spans="2:17" x14ac:dyDescent="0.2">
      <c r="B95" s="7"/>
      <c r="C95" s="72"/>
      <c r="D95" s="9"/>
      <c r="E95" s="72"/>
      <c r="F95" s="9"/>
      <c r="G95" s="16"/>
      <c r="H95" s="9"/>
      <c r="I95" s="9"/>
      <c r="J95" s="9"/>
      <c r="K95" s="72"/>
      <c r="L95" s="9"/>
      <c r="M95" s="9"/>
      <c r="N95" s="9"/>
      <c r="O95" s="9"/>
      <c r="P95" s="9"/>
      <c r="Q95" s="9"/>
    </row>
    <row r="96" spans="2:17" x14ac:dyDescent="0.2">
      <c r="B96" s="7"/>
      <c r="C96" s="72"/>
      <c r="D96" s="9"/>
      <c r="E96" s="72"/>
      <c r="F96" s="9"/>
      <c r="G96" s="16"/>
      <c r="H96" s="9"/>
      <c r="I96" s="9"/>
      <c r="J96" s="9"/>
      <c r="K96" s="72"/>
      <c r="L96" s="9"/>
      <c r="M96" s="9"/>
      <c r="N96" s="9"/>
      <c r="O96" s="9"/>
      <c r="P96" s="9"/>
      <c r="Q96" s="9"/>
    </row>
    <row r="97" spans="2:17" x14ac:dyDescent="0.2">
      <c r="B97" s="7"/>
      <c r="C97" s="72"/>
      <c r="D97" s="9"/>
      <c r="E97" s="72"/>
      <c r="F97" s="9"/>
      <c r="G97" s="16"/>
      <c r="H97" s="9"/>
      <c r="I97" s="9"/>
      <c r="J97" s="9"/>
      <c r="K97" s="72"/>
      <c r="L97" s="9"/>
      <c r="M97" s="9"/>
      <c r="N97" s="9"/>
      <c r="O97" s="9"/>
      <c r="P97" s="9"/>
      <c r="Q97" s="9"/>
    </row>
    <row r="98" spans="2:17" x14ac:dyDescent="0.2">
      <c r="B98" s="7"/>
      <c r="C98" s="72"/>
      <c r="D98" s="9"/>
      <c r="E98" s="72"/>
      <c r="F98" s="9"/>
      <c r="G98" s="16"/>
      <c r="H98" s="9"/>
      <c r="I98" s="9"/>
      <c r="J98" s="9"/>
      <c r="K98" s="72"/>
      <c r="L98" s="9"/>
      <c r="M98" s="9"/>
      <c r="N98" s="9"/>
      <c r="O98" s="9"/>
      <c r="P98" s="9"/>
      <c r="Q98" s="9"/>
    </row>
    <row r="99" spans="2:17" x14ac:dyDescent="0.2">
      <c r="B99" s="7"/>
      <c r="C99" s="72"/>
      <c r="D99" s="9"/>
      <c r="E99" s="72"/>
      <c r="F99" s="9"/>
      <c r="G99" s="16"/>
      <c r="H99" s="9"/>
      <c r="I99" s="9"/>
      <c r="J99" s="9"/>
      <c r="K99" s="72"/>
      <c r="L99" s="9"/>
      <c r="M99" s="9"/>
      <c r="N99" s="9"/>
      <c r="O99" s="9"/>
      <c r="P99" s="9"/>
      <c r="Q99" s="9"/>
    </row>
    <row r="100" spans="2:17" x14ac:dyDescent="0.2">
      <c r="B100" s="7"/>
      <c r="C100" s="72"/>
      <c r="D100" s="9"/>
      <c r="E100" s="72"/>
      <c r="F100" s="9"/>
      <c r="G100" s="16"/>
      <c r="H100" s="9"/>
      <c r="I100" s="9"/>
      <c r="J100" s="9"/>
      <c r="K100" s="72"/>
      <c r="L100" s="9"/>
      <c r="M100" s="9"/>
      <c r="N100" s="9"/>
      <c r="O100" s="9"/>
      <c r="P100" s="9"/>
      <c r="Q100" s="9"/>
    </row>
    <row r="101" spans="2:17" x14ac:dyDescent="0.2">
      <c r="B101" s="7"/>
      <c r="C101" s="72"/>
      <c r="D101" s="9"/>
      <c r="E101" s="72"/>
      <c r="F101" s="9"/>
      <c r="G101" s="16"/>
      <c r="H101" s="9"/>
      <c r="I101" s="9"/>
      <c r="J101" s="9"/>
      <c r="K101" s="72"/>
      <c r="L101" s="9"/>
      <c r="M101" s="9"/>
      <c r="N101" s="9"/>
      <c r="O101" s="9"/>
      <c r="P101" s="9"/>
      <c r="Q101" s="9"/>
    </row>
    <row r="102" spans="2:17" x14ac:dyDescent="0.2">
      <c r="B102" s="7"/>
      <c r="C102" s="72"/>
      <c r="D102" s="9"/>
      <c r="E102" s="72"/>
      <c r="F102" s="9"/>
      <c r="G102" s="16"/>
      <c r="H102" s="9"/>
      <c r="I102" s="9"/>
      <c r="J102" s="9"/>
      <c r="K102" s="72"/>
      <c r="L102" s="9"/>
      <c r="M102" s="9"/>
      <c r="N102" s="9"/>
      <c r="O102" s="9"/>
      <c r="P102" s="9"/>
      <c r="Q102" s="9"/>
    </row>
    <row r="103" spans="2:17" x14ac:dyDescent="0.2">
      <c r="B103" s="7"/>
      <c r="C103" s="72"/>
      <c r="D103" s="9"/>
      <c r="E103" s="72"/>
      <c r="F103" s="9"/>
      <c r="G103" s="16"/>
      <c r="H103" s="9"/>
      <c r="I103" s="9"/>
      <c r="J103" s="9"/>
      <c r="K103" s="72"/>
      <c r="L103" s="9"/>
      <c r="M103" s="9"/>
      <c r="N103" s="9"/>
      <c r="O103" s="9"/>
      <c r="P103" s="9"/>
      <c r="Q103" s="9"/>
    </row>
    <row r="104" spans="2:17" x14ac:dyDescent="0.2">
      <c r="B104" s="7"/>
      <c r="C104" s="72"/>
      <c r="D104" s="9"/>
      <c r="E104" s="72"/>
      <c r="F104" s="9"/>
      <c r="G104" s="16"/>
      <c r="H104" s="9"/>
      <c r="I104" s="9"/>
      <c r="J104" s="9"/>
      <c r="K104" s="72"/>
      <c r="L104" s="9"/>
      <c r="M104" s="9"/>
      <c r="N104" s="9"/>
      <c r="O104" s="9"/>
      <c r="P104" s="9"/>
      <c r="Q104" s="9"/>
    </row>
    <row r="105" spans="2:17" x14ac:dyDescent="0.2">
      <c r="B105" s="7"/>
      <c r="C105" s="72"/>
      <c r="D105" s="9"/>
      <c r="E105" s="72"/>
      <c r="F105" s="9"/>
      <c r="G105" s="16"/>
      <c r="H105" s="9"/>
      <c r="I105" s="9"/>
      <c r="J105" s="9"/>
      <c r="K105" s="72"/>
      <c r="L105" s="9"/>
      <c r="M105" s="9"/>
      <c r="N105" s="9"/>
      <c r="O105" s="9"/>
      <c r="P105" s="9"/>
      <c r="Q105" s="9"/>
    </row>
    <row r="106" spans="2:17" x14ac:dyDescent="0.2">
      <c r="B106" s="7"/>
      <c r="C106" s="72"/>
      <c r="D106" s="9"/>
      <c r="E106" s="72"/>
      <c r="F106" s="9"/>
      <c r="G106" s="16"/>
      <c r="H106" s="9"/>
      <c r="I106" s="9"/>
      <c r="J106" s="9"/>
      <c r="K106" s="72"/>
      <c r="L106" s="9"/>
      <c r="M106" s="9"/>
      <c r="N106" s="9"/>
      <c r="O106" s="9"/>
      <c r="P106" s="9"/>
      <c r="Q106" s="9"/>
    </row>
    <row r="107" spans="2:17" x14ac:dyDescent="0.2">
      <c r="B107" s="7"/>
      <c r="C107" s="72"/>
      <c r="D107" s="9"/>
      <c r="E107" s="72"/>
      <c r="F107" s="9"/>
      <c r="G107" s="16"/>
      <c r="H107" s="9"/>
      <c r="I107" s="9"/>
      <c r="J107" s="9"/>
      <c r="K107" s="72"/>
      <c r="L107" s="9"/>
      <c r="M107" s="9"/>
      <c r="N107" s="9"/>
      <c r="O107" s="9"/>
      <c r="P107" s="9"/>
      <c r="Q107" s="9"/>
    </row>
    <row r="108" spans="2:17" x14ac:dyDescent="0.2">
      <c r="B108" s="7"/>
      <c r="C108" s="72"/>
      <c r="D108" s="9"/>
      <c r="E108" s="72"/>
      <c r="F108" s="9"/>
      <c r="G108" s="16"/>
      <c r="H108" s="9"/>
      <c r="I108" s="9"/>
      <c r="J108" s="9"/>
      <c r="K108" s="72"/>
      <c r="L108" s="9"/>
      <c r="M108" s="9"/>
      <c r="N108" s="9"/>
      <c r="O108" s="9"/>
      <c r="P108" s="9"/>
      <c r="Q108" s="9"/>
    </row>
    <row r="109" spans="2:17" x14ac:dyDescent="0.2">
      <c r="B109" s="7"/>
      <c r="C109" s="72"/>
      <c r="D109" s="9"/>
      <c r="E109" s="72"/>
      <c r="F109" s="9"/>
      <c r="G109" s="16"/>
      <c r="H109" s="9"/>
      <c r="I109" s="9"/>
      <c r="J109" s="9"/>
      <c r="K109" s="72"/>
      <c r="L109" s="9"/>
      <c r="M109" s="9"/>
      <c r="N109" s="9"/>
      <c r="O109" s="9"/>
      <c r="P109" s="9"/>
      <c r="Q109" s="9"/>
    </row>
    <row r="110" spans="2:17" x14ac:dyDescent="0.2">
      <c r="B110" s="7"/>
      <c r="C110" s="72"/>
      <c r="D110" s="9"/>
      <c r="E110" s="72"/>
      <c r="F110" s="9"/>
      <c r="G110" s="16"/>
      <c r="H110" s="9"/>
      <c r="I110" s="9"/>
      <c r="J110" s="9"/>
      <c r="K110" s="72"/>
      <c r="L110" s="9"/>
      <c r="M110" s="9"/>
      <c r="N110" s="9"/>
      <c r="O110" s="9"/>
      <c r="P110" s="9"/>
      <c r="Q110" s="9"/>
    </row>
    <row r="111" spans="2:17" x14ac:dyDescent="0.2">
      <c r="B111" s="7"/>
      <c r="C111" s="72"/>
      <c r="D111" s="9"/>
      <c r="E111" s="72"/>
      <c r="F111" s="9"/>
      <c r="G111" s="16"/>
      <c r="H111" s="9"/>
      <c r="I111" s="9"/>
      <c r="J111" s="9"/>
      <c r="K111" s="72"/>
      <c r="L111" s="9"/>
      <c r="M111" s="9"/>
      <c r="N111" s="9"/>
      <c r="O111" s="9"/>
      <c r="P111" s="9"/>
      <c r="Q111" s="9"/>
    </row>
    <row r="112" spans="2:17" x14ac:dyDescent="0.2">
      <c r="B112" s="7"/>
      <c r="C112" s="72"/>
      <c r="D112" s="9"/>
      <c r="E112" s="72"/>
      <c r="F112" s="9"/>
      <c r="G112" s="16"/>
      <c r="H112" s="9"/>
      <c r="I112" s="9"/>
      <c r="J112" s="9"/>
      <c r="K112" s="72"/>
      <c r="L112" s="9"/>
      <c r="M112" s="9"/>
      <c r="N112" s="9"/>
      <c r="O112" s="9"/>
      <c r="P112" s="9"/>
      <c r="Q112" s="9"/>
    </row>
    <row r="113" spans="2:17" x14ac:dyDescent="0.2">
      <c r="B113" s="7"/>
      <c r="C113" s="72"/>
      <c r="D113" s="9"/>
      <c r="E113" s="72"/>
      <c r="F113" s="9"/>
      <c r="G113" s="16"/>
      <c r="H113" s="9"/>
      <c r="I113" s="9"/>
      <c r="J113" s="9"/>
      <c r="K113" s="72"/>
      <c r="L113" s="9"/>
      <c r="M113" s="9"/>
      <c r="N113" s="9"/>
      <c r="O113" s="9"/>
      <c r="P113" s="9"/>
      <c r="Q113" s="9"/>
    </row>
    <row r="114" spans="2:17" x14ac:dyDescent="0.2">
      <c r="B114" s="7"/>
      <c r="C114" s="72"/>
      <c r="D114" s="9"/>
      <c r="E114" s="72"/>
      <c r="F114" s="9"/>
      <c r="G114" s="16"/>
      <c r="H114" s="9"/>
      <c r="I114" s="9"/>
      <c r="J114" s="9"/>
      <c r="K114" s="72"/>
      <c r="L114" s="9"/>
      <c r="M114" s="9"/>
      <c r="N114" s="9"/>
      <c r="O114" s="9"/>
      <c r="P114" s="9"/>
      <c r="Q114" s="9"/>
    </row>
    <row r="115" spans="2:17" x14ac:dyDescent="0.2">
      <c r="B115" s="7"/>
      <c r="C115" s="72"/>
      <c r="D115" s="9"/>
      <c r="E115" s="72"/>
      <c r="F115" s="9"/>
      <c r="G115" s="16"/>
      <c r="H115" s="9"/>
      <c r="I115" s="9"/>
      <c r="J115" s="9"/>
      <c r="K115" s="72"/>
      <c r="L115" s="9"/>
      <c r="M115" s="9"/>
      <c r="N115" s="9"/>
      <c r="O115" s="9"/>
      <c r="P115" s="9"/>
      <c r="Q115" s="9"/>
    </row>
    <row r="116" spans="2:17" x14ac:dyDescent="0.2">
      <c r="B116" s="7"/>
      <c r="C116" s="72"/>
      <c r="D116" s="9"/>
      <c r="E116" s="72"/>
      <c r="F116" s="9"/>
      <c r="G116" s="16"/>
      <c r="H116" s="9"/>
      <c r="I116" s="9"/>
      <c r="J116" s="9"/>
      <c r="K116" s="72"/>
      <c r="L116" s="9"/>
      <c r="M116" s="9"/>
      <c r="N116" s="9"/>
      <c r="O116" s="9"/>
      <c r="P116" s="9"/>
      <c r="Q116" s="9"/>
    </row>
    <row r="117" spans="2:17" x14ac:dyDescent="0.2">
      <c r="B117" s="7"/>
      <c r="C117" s="72"/>
      <c r="D117" s="9"/>
      <c r="E117" s="72"/>
      <c r="F117" s="9"/>
      <c r="G117" s="16"/>
      <c r="H117" s="9"/>
      <c r="I117" s="9"/>
      <c r="J117" s="9"/>
      <c r="K117" s="72"/>
      <c r="L117" s="9"/>
      <c r="M117" s="9"/>
      <c r="N117" s="9"/>
      <c r="O117" s="9"/>
      <c r="P117" s="9"/>
      <c r="Q117" s="9"/>
    </row>
    <row r="118" spans="2:17" x14ac:dyDescent="0.2">
      <c r="B118" s="7"/>
      <c r="C118" s="72"/>
      <c r="D118" s="9"/>
      <c r="E118" s="72"/>
      <c r="F118" s="9"/>
      <c r="G118" s="16"/>
      <c r="H118" s="9"/>
      <c r="I118" s="9"/>
      <c r="J118" s="9"/>
      <c r="K118" s="72"/>
      <c r="L118" s="9"/>
      <c r="M118" s="9"/>
      <c r="N118" s="9"/>
      <c r="O118" s="9"/>
      <c r="P118" s="9"/>
      <c r="Q118" s="9"/>
    </row>
    <row r="119" spans="2:17" x14ac:dyDescent="0.2">
      <c r="B119" s="7"/>
      <c r="C119" s="72"/>
      <c r="D119" s="9"/>
      <c r="E119" s="72"/>
      <c r="F119" s="9"/>
      <c r="G119" s="16"/>
      <c r="H119" s="9"/>
      <c r="I119" s="9"/>
      <c r="J119" s="9"/>
      <c r="K119" s="72"/>
      <c r="L119" s="9"/>
      <c r="M119" s="9"/>
      <c r="N119" s="9"/>
      <c r="O119" s="9"/>
      <c r="P119" s="9"/>
      <c r="Q119" s="9"/>
    </row>
    <row r="120" spans="2:17" x14ac:dyDescent="0.2">
      <c r="B120" s="7"/>
      <c r="C120" s="72"/>
      <c r="D120" s="9"/>
      <c r="E120" s="72"/>
      <c r="F120" s="9"/>
      <c r="G120" s="16"/>
      <c r="H120" s="9"/>
      <c r="I120" s="9"/>
      <c r="J120" s="9"/>
      <c r="K120" s="72"/>
      <c r="L120" s="9"/>
      <c r="M120" s="9"/>
      <c r="N120" s="9"/>
      <c r="O120" s="9"/>
      <c r="P120" s="9"/>
      <c r="Q120" s="9"/>
    </row>
    <row r="121" spans="2:17" x14ac:dyDescent="0.2">
      <c r="B121" s="7"/>
      <c r="C121" s="72"/>
      <c r="D121" s="9"/>
      <c r="E121" s="72"/>
      <c r="F121" s="9"/>
      <c r="G121" s="16"/>
      <c r="H121" s="9"/>
      <c r="I121" s="9"/>
      <c r="J121" s="9"/>
      <c r="K121" s="72"/>
      <c r="L121" s="9"/>
      <c r="M121" s="9"/>
      <c r="N121" s="9"/>
      <c r="O121" s="9"/>
      <c r="P121" s="9"/>
      <c r="Q121" s="9"/>
    </row>
    <row r="122" spans="2:17" x14ac:dyDescent="0.2">
      <c r="B122" s="7"/>
      <c r="C122" s="72"/>
      <c r="D122" s="9"/>
      <c r="E122" s="72"/>
      <c r="F122" s="9"/>
      <c r="G122" s="16"/>
      <c r="H122" s="9"/>
      <c r="I122" s="9"/>
      <c r="J122" s="9"/>
      <c r="K122" s="72"/>
      <c r="L122" s="9"/>
      <c r="M122" s="9"/>
      <c r="N122" s="9"/>
      <c r="O122" s="9"/>
      <c r="P122" s="9"/>
      <c r="Q122" s="9"/>
    </row>
    <row r="123" spans="2:17" x14ac:dyDescent="0.2">
      <c r="B123" s="7"/>
      <c r="C123" s="72"/>
      <c r="D123" s="9"/>
      <c r="E123" s="72"/>
      <c r="F123" s="9"/>
      <c r="G123" s="16"/>
      <c r="H123" s="9"/>
      <c r="I123" s="9"/>
      <c r="J123" s="9"/>
      <c r="K123" s="72"/>
      <c r="L123" s="9"/>
      <c r="M123" s="9"/>
      <c r="N123" s="9"/>
      <c r="O123" s="9"/>
      <c r="P123" s="9"/>
      <c r="Q123" s="9"/>
    </row>
    <row r="124" spans="2:17" x14ac:dyDescent="0.2">
      <c r="B124" s="7"/>
      <c r="C124" s="72"/>
      <c r="D124" s="9"/>
      <c r="E124" s="72"/>
      <c r="F124" s="9"/>
      <c r="G124" s="16"/>
      <c r="H124" s="9"/>
      <c r="I124" s="9"/>
      <c r="J124" s="9"/>
      <c r="K124" s="72"/>
      <c r="L124" s="9"/>
      <c r="M124" s="9"/>
      <c r="N124" s="9"/>
      <c r="O124" s="9"/>
      <c r="P124" s="9"/>
      <c r="Q124" s="9"/>
    </row>
    <row r="125" spans="2:17" x14ac:dyDescent="0.2">
      <c r="B125" s="7"/>
      <c r="C125" s="72"/>
      <c r="D125" s="9"/>
      <c r="E125" s="72"/>
      <c r="F125" s="9"/>
      <c r="G125" s="16"/>
      <c r="H125" s="9"/>
      <c r="I125" s="9"/>
      <c r="J125" s="9"/>
      <c r="K125" s="72"/>
      <c r="L125" s="9"/>
      <c r="M125" s="9"/>
      <c r="N125" s="9"/>
      <c r="O125" s="9"/>
      <c r="P125" s="9"/>
      <c r="Q125" s="9"/>
    </row>
    <row r="126" spans="2:17" x14ac:dyDescent="0.2">
      <c r="B126" s="7"/>
      <c r="C126" s="72"/>
      <c r="D126" s="9"/>
      <c r="E126" s="72"/>
      <c r="F126" s="9"/>
      <c r="G126" s="16"/>
      <c r="H126" s="9"/>
      <c r="I126" s="9"/>
      <c r="J126" s="9"/>
      <c r="K126" s="72"/>
      <c r="L126" s="9"/>
      <c r="M126" s="9"/>
      <c r="N126" s="9"/>
      <c r="O126" s="9"/>
      <c r="P126" s="9"/>
      <c r="Q126" s="9"/>
    </row>
    <row r="127" spans="2:17" x14ac:dyDescent="0.2">
      <c r="B127" s="7"/>
      <c r="C127" s="72"/>
      <c r="D127" s="9"/>
      <c r="E127" s="72"/>
      <c r="F127" s="9"/>
      <c r="G127" s="16"/>
      <c r="H127" s="9"/>
      <c r="I127" s="9"/>
      <c r="J127" s="9"/>
      <c r="K127" s="72"/>
      <c r="L127" s="9"/>
      <c r="M127" s="9"/>
      <c r="N127" s="9"/>
      <c r="O127" s="9"/>
      <c r="P127" s="9"/>
      <c r="Q127" s="9"/>
    </row>
    <row r="128" spans="2:17" x14ac:dyDescent="0.2">
      <c r="B128" s="7"/>
      <c r="C128" s="72"/>
      <c r="D128" s="9"/>
      <c r="E128" s="72"/>
      <c r="F128" s="9"/>
      <c r="G128" s="16"/>
      <c r="H128" s="9"/>
      <c r="I128" s="9"/>
      <c r="J128" s="9"/>
      <c r="K128" s="72"/>
      <c r="L128" s="9"/>
      <c r="M128" s="9"/>
      <c r="N128" s="9"/>
      <c r="O128" s="9"/>
      <c r="P128" s="9"/>
      <c r="Q128" s="9"/>
    </row>
    <row r="129" spans="2:17" x14ac:dyDescent="0.2">
      <c r="B129" s="7"/>
      <c r="C129" s="72"/>
      <c r="D129" s="9"/>
      <c r="E129" s="72"/>
      <c r="F129" s="9"/>
      <c r="G129" s="16"/>
      <c r="H129" s="9"/>
      <c r="I129" s="9"/>
      <c r="J129" s="9"/>
      <c r="K129" s="72"/>
      <c r="L129" s="9"/>
      <c r="M129" s="9"/>
      <c r="N129" s="9"/>
      <c r="O129" s="9"/>
      <c r="P129" s="9"/>
      <c r="Q129" s="9"/>
    </row>
    <row r="130" spans="2:17" x14ac:dyDescent="0.2">
      <c r="B130" s="7"/>
      <c r="C130" s="72"/>
      <c r="D130" s="9"/>
      <c r="E130" s="72"/>
      <c r="F130" s="9"/>
      <c r="G130" s="16"/>
      <c r="H130" s="9"/>
      <c r="I130" s="9"/>
      <c r="J130" s="9"/>
      <c r="K130" s="72"/>
      <c r="L130" s="9"/>
      <c r="M130" s="9"/>
      <c r="N130" s="9"/>
      <c r="O130" s="9"/>
      <c r="P130" s="9"/>
      <c r="Q130" s="9"/>
    </row>
    <row r="131" spans="2:17" x14ac:dyDescent="0.2">
      <c r="B131" s="7"/>
      <c r="C131" s="72"/>
      <c r="D131" s="9"/>
      <c r="E131" s="72"/>
      <c r="F131" s="9"/>
      <c r="G131" s="16"/>
      <c r="H131" s="9"/>
      <c r="I131" s="9"/>
      <c r="J131" s="9"/>
      <c r="K131" s="72"/>
      <c r="L131" s="9"/>
      <c r="M131" s="9"/>
      <c r="N131" s="9"/>
      <c r="O131" s="9"/>
      <c r="P131" s="9"/>
      <c r="Q131" s="9"/>
    </row>
    <row r="132" spans="2:17" x14ac:dyDescent="0.2">
      <c r="B132" s="7"/>
      <c r="C132" s="72"/>
      <c r="D132" s="9"/>
      <c r="E132" s="72"/>
      <c r="F132" s="9"/>
      <c r="G132" s="16"/>
      <c r="H132" s="9"/>
      <c r="I132" s="9"/>
      <c r="J132" s="9"/>
      <c r="K132" s="72"/>
      <c r="L132" s="9"/>
      <c r="M132" s="9"/>
      <c r="N132" s="9"/>
      <c r="O132" s="9"/>
      <c r="P132" s="9"/>
      <c r="Q132" s="9"/>
    </row>
    <row r="133" spans="2:17" x14ac:dyDescent="0.2">
      <c r="B133" s="7"/>
      <c r="C133" s="72"/>
      <c r="D133" s="9"/>
      <c r="E133" s="72"/>
      <c r="F133" s="9"/>
      <c r="G133" s="16"/>
      <c r="H133" s="9"/>
      <c r="I133" s="9"/>
      <c r="J133" s="9"/>
      <c r="K133" s="72"/>
      <c r="L133" s="9"/>
      <c r="M133" s="9"/>
      <c r="N133" s="9"/>
      <c r="O133" s="9"/>
      <c r="P133" s="9"/>
      <c r="Q133" s="9"/>
    </row>
    <row r="134" spans="2:17" x14ac:dyDescent="0.2">
      <c r="B134" s="7"/>
      <c r="C134" s="72"/>
      <c r="D134" s="9"/>
      <c r="E134" s="72"/>
      <c r="F134" s="9"/>
      <c r="G134" s="16"/>
      <c r="H134" s="9"/>
      <c r="I134" s="9"/>
      <c r="J134" s="9"/>
      <c r="K134" s="72"/>
      <c r="L134" s="9"/>
      <c r="M134" s="9"/>
      <c r="N134" s="9"/>
      <c r="O134" s="9"/>
      <c r="P134" s="9"/>
      <c r="Q134" s="9"/>
    </row>
    <row r="135" spans="2:17" x14ac:dyDescent="0.2">
      <c r="B135" s="7"/>
      <c r="C135" s="72"/>
      <c r="D135" s="9"/>
      <c r="E135" s="72"/>
      <c r="F135" s="9"/>
      <c r="G135" s="16"/>
      <c r="H135" s="9"/>
      <c r="I135" s="9"/>
      <c r="J135" s="9"/>
      <c r="K135" s="72"/>
      <c r="L135" s="9"/>
      <c r="M135" s="9"/>
      <c r="N135" s="9"/>
      <c r="O135" s="9"/>
      <c r="P135" s="9"/>
      <c r="Q135" s="9"/>
    </row>
    <row r="136" spans="2:17" x14ac:dyDescent="0.2">
      <c r="B136" s="7"/>
      <c r="C136" s="72"/>
      <c r="D136" s="9"/>
      <c r="E136" s="72"/>
      <c r="F136" s="9"/>
      <c r="G136" s="16"/>
      <c r="H136" s="9"/>
      <c r="I136" s="9"/>
      <c r="J136" s="9"/>
      <c r="K136" s="72"/>
      <c r="L136" s="9"/>
      <c r="M136" s="9"/>
      <c r="N136" s="9"/>
      <c r="O136" s="9"/>
      <c r="P136" s="9"/>
      <c r="Q136" s="9"/>
    </row>
    <row r="137" spans="2:17" x14ac:dyDescent="0.2">
      <c r="B137" s="7"/>
      <c r="C137" s="72"/>
      <c r="D137" s="9"/>
      <c r="E137" s="72"/>
      <c r="F137" s="9"/>
      <c r="G137" s="16"/>
      <c r="H137" s="9"/>
      <c r="I137" s="9"/>
      <c r="J137" s="9"/>
      <c r="K137" s="72"/>
      <c r="L137" s="9"/>
      <c r="M137" s="9"/>
      <c r="N137" s="9"/>
      <c r="O137" s="9"/>
      <c r="P137" s="9"/>
      <c r="Q137" s="9"/>
    </row>
    <row r="138" spans="2:17" x14ac:dyDescent="0.2">
      <c r="B138" s="7"/>
      <c r="C138" s="72"/>
      <c r="D138" s="9"/>
      <c r="E138" s="72"/>
      <c r="F138" s="9"/>
      <c r="G138" s="16"/>
      <c r="H138" s="9"/>
      <c r="I138" s="9"/>
      <c r="J138" s="9"/>
      <c r="K138" s="72"/>
      <c r="L138" s="9"/>
      <c r="M138" s="9"/>
      <c r="N138" s="9"/>
      <c r="O138" s="9"/>
      <c r="P138" s="9"/>
      <c r="Q138" s="9"/>
    </row>
    <row r="139" spans="2:17" x14ac:dyDescent="0.2">
      <c r="B139" s="7"/>
      <c r="C139" s="72"/>
      <c r="D139" s="9"/>
      <c r="E139" s="72"/>
      <c r="F139" s="9"/>
      <c r="G139" s="16"/>
      <c r="H139" s="9"/>
      <c r="I139" s="9"/>
      <c r="J139" s="9"/>
      <c r="K139" s="72"/>
      <c r="L139" s="9"/>
      <c r="M139" s="9"/>
      <c r="N139" s="9"/>
      <c r="O139" s="9"/>
      <c r="P139" s="9"/>
      <c r="Q139" s="9"/>
    </row>
    <row r="140" spans="2:17" x14ac:dyDescent="0.2">
      <c r="B140" s="7"/>
      <c r="C140" s="72"/>
      <c r="D140" s="9"/>
      <c r="E140" s="72"/>
      <c r="F140" s="9"/>
      <c r="G140" s="16"/>
      <c r="H140" s="9"/>
      <c r="I140" s="9"/>
      <c r="J140" s="9"/>
      <c r="K140" s="72"/>
      <c r="L140" s="9"/>
      <c r="M140" s="9"/>
      <c r="N140" s="9"/>
      <c r="O140" s="9"/>
      <c r="P140" s="9"/>
      <c r="Q140" s="9"/>
    </row>
    <row r="141" spans="2:17" x14ac:dyDescent="0.2">
      <c r="B141" s="7"/>
      <c r="C141" s="72"/>
      <c r="D141" s="9"/>
      <c r="E141" s="72"/>
      <c r="F141" s="9"/>
      <c r="G141" s="16"/>
      <c r="H141" s="9"/>
      <c r="I141" s="9"/>
      <c r="J141" s="9"/>
      <c r="K141" s="72"/>
      <c r="L141" s="9"/>
      <c r="M141" s="9"/>
      <c r="N141" s="9"/>
      <c r="O141" s="9"/>
      <c r="P141" s="9"/>
      <c r="Q141" s="9"/>
    </row>
    <row r="142" spans="2:17" x14ac:dyDescent="0.2">
      <c r="B142" s="7"/>
      <c r="C142" s="72"/>
      <c r="D142" s="9"/>
      <c r="E142" s="72"/>
      <c r="F142" s="9"/>
      <c r="G142" s="16"/>
      <c r="H142" s="9"/>
      <c r="I142" s="9"/>
      <c r="J142" s="9"/>
      <c r="K142" s="72"/>
      <c r="L142" s="9"/>
      <c r="M142" s="9"/>
      <c r="N142" s="9"/>
      <c r="O142" s="9"/>
      <c r="P142" s="9"/>
      <c r="Q142" s="9"/>
    </row>
    <row r="143" spans="2:17" x14ac:dyDescent="0.2">
      <c r="B143" s="7"/>
      <c r="C143" s="72"/>
      <c r="D143" s="9"/>
      <c r="E143" s="72"/>
      <c r="F143" s="9"/>
      <c r="G143" s="16"/>
      <c r="H143" s="9"/>
      <c r="I143" s="9"/>
      <c r="J143" s="9"/>
      <c r="K143" s="72"/>
      <c r="L143" s="9"/>
      <c r="M143" s="9"/>
      <c r="N143" s="9"/>
      <c r="O143" s="9"/>
      <c r="P143" s="9"/>
      <c r="Q143" s="9"/>
    </row>
    <row r="144" spans="2:17" x14ac:dyDescent="0.2">
      <c r="B144" s="7"/>
      <c r="C144" s="72"/>
      <c r="D144" s="9"/>
      <c r="E144" s="72"/>
      <c r="F144" s="9"/>
      <c r="G144" s="16"/>
      <c r="H144" s="9"/>
      <c r="I144" s="9"/>
      <c r="J144" s="9"/>
      <c r="K144" s="72"/>
      <c r="L144" s="9"/>
      <c r="M144" s="9"/>
      <c r="N144" s="9"/>
      <c r="O144" s="9"/>
      <c r="P144" s="9"/>
      <c r="Q144" s="9"/>
    </row>
    <row r="145" spans="2:17" x14ac:dyDescent="0.2">
      <c r="B145" s="7"/>
      <c r="C145" s="72"/>
      <c r="D145" s="9"/>
      <c r="E145" s="72"/>
      <c r="F145" s="9"/>
      <c r="G145" s="16"/>
      <c r="H145" s="9"/>
      <c r="I145" s="9"/>
      <c r="J145" s="9"/>
      <c r="K145" s="72"/>
      <c r="L145" s="9"/>
      <c r="M145" s="9"/>
      <c r="N145" s="9"/>
      <c r="O145" s="9"/>
      <c r="P145" s="9"/>
      <c r="Q145" s="9"/>
    </row>
    <row r="146" spans="2:17" x14ac:dyDescent="0.2">
      <c r="B146" s="7"/>
      <c r="C146" s="72"/>
      <c r="D146" s="9"/>
      <c r="E146" s="72"/>
      <c r="F146" s="9"/>
      <c r="G146" s="16"/>
      <c r="H146" s="9"/>
      <c r="I146" s="9"/>
      <c r="J146" s="9"/>
      <c r="K146" s="72"/>
      <c r="L146" s="9"/>
      <c r="M146" s="9"/>
      <c r="N146" s="9"/>
      <c r="O146" s="9"/>
      <c r="P146" s="9"/>
      <c r="Q146" s="9"/>
    </row>
    <row r="147" spans="2:17" x14ac:dyDescent="0.2">
      <c r="B147" s="7"/>
      <c r="C147" s="72"/>
      <c r="D147" s="9"/>
      <c r="E147" s="72"/>
      <c r="F147" s="9"/>
      <c r="G147" s="16"/>
      <c r="H147" s="9"/>
      <c r="I147" s="9"/>
      <c r="J147" s="9"/>
      <c r="K147" s="72"/>
      <c r="L147" s="9"/>
      <c r="M147" s="9"/>
      <c r="N147" s="9"/>
      <c r="O147" s="9"/>
      <c r="P147" s="9"/>
      <c r="Q147" s="9"/>
    </row>
    <row r="148" spans="2:17" x14ac:dyDescent="0.2">
      <c r="B148" s="7"/>
      <c r="C148" s="72"/>
      <c r="D148" s="9"/>
      <c r="E148" s="72"/>
      <c r="F148" s="9"/>
      <c r="G148" s="16"/>
      <c r="H148" s="9"/>
      <c r="I148" s="9"/>
      <c r="J148" s="9"/>
      <c r="K148" s="72"/>
      <c r="L148" s="9"/>
      <c r="M148" s="9"/>
      <c r="N148" s="9"/>
      <c r="O148" s="9"/>
      <c r="P148" s="9"/>
      <c r="Q148" s="9"/>
    </row>
    <row r="149" spans="2:17" x14ac:dyDescent="0.2">
      <c r="B149" s="7"/>
      <c r="C149" s="72"/>
      <c r="D149" s="9"/>
      <c r="E149" s="72"/>
      <c r="F149" s="9"/>
      <c r="G149" s="16"/>
      <c r="H149" s="9"/>
      <c r="I149" s="9"/>
      <c r="J149" s="9"/>
      <c r="K149" s="72"/>
      <c r="L149" s="9"/>
      <c r="M149" s="9"/>
      <c r="N149" s="9"/>
      <c r="O149" s="9"/>
      <c r="P149" s="9"/>
      <c r="Q149" s="9"/>
    </row>
    <row r="150" spans="2:17" x14ac:dyDescent="0.2">
      <c r="B150" s="7"/>
      <c r="C150" s="72"/>
      <c r="D150" s="9"/>
      <c r="E150" s="72"/>
      <c r="F150" s="9"/>
      <c r="G150" s="16"/>
      <c r="H150" s="9"/>
      <c r="I150" s="9"/>
      <c r="J150" s="9"/>
      <c r="K150" s="72"/>
      <c r="L150" s="9"/>
      <c r="M150" s="9"/>
      <c r="N150" s="9"/>
      <c r="O150" s="9"/>
      <c r="P150" s="9"/>
      <c r="Q150" s="9"/>
    </row>
    <row r="151" spans="2:17" x14ac:dyDescent="0.2">
      <c r="B151" s="7"/>
      <c r="C151" s="72"/>
      <c r="D151" s="9"/>
      <c r="E151" s="72"/>
      <c r="F151" s="9"/>
      <c r="G151" s="16"/>
      <c r="H151" s="9"/>
      <c r="I151" s="9"/>
      <c r="J151" s="9"/>
      <c r="K151" s="72"/>
      <c r="L151" s="9"/>
      <c r="M151" s="9"/>
      <c r="N151" s="9"/>
      <c r="O151" s="9"/>
      <c r="P151" s="9"/>
      <c r="Q151" s="9"/>
    </row>
    <row r="152" spans="2:17" x14ac:dyDescent="0.2">
      <c r="B152" s="7"/>
      <c r="C152" s="72"/>
      <c r="D152" s="9"/>
      <c r="E152" s="72"/>
      <c r="F152" s="9"/>
      <c r="G152" s="16"/>
      <c r="H152" s="9"/>
      <c r="I152" s="9"/>
      <c r="J152" s="9"/>
      <c r="K152" s="72"/>
      <c r="L152" s="9"/>
      <c r="M152" s="9"/>
      <c r="N152" s="9"/>
      <c r="O152" s="9"/>
      <c r="P152" s="9"/>
      <c r="Q152" s="9"/>
    </row>
    <row r="153" spans="2:17" x14ac:dyDescent="0.2">
      <c r="B153" s="7"/>
      <c r="C153" s="72"/>
      <c r="D153" s="9"/>
      <c r="E153" s="72"/>
      <c r="F153" s="9"/>
      <c r="G153" s="16"/>
      <c r="H153" s="9"/>
      <c r="I153" s="9"/>
      <c r="J153" s="9"/>
      <c r="K153" s="72"/>
      <c r="L153" s="9"/>
      <c r="M153" s="9"/>
      <c r="N153" s="9"/>
      <c r="O153" s="9"/>
      <c r="P153" s="9"/>
      <c r="Q153" s="9"/>
    </row>
    <row r="154" spans="2:17" x14ac:dyDescent="0.2">
      <c r="B154" s="7"/>
      <c r="C154" s="72"/>
      <c r="D154" s="9"/>
      <c r="E154" s="72"/>
      <c r="F154" s="9"/>
      <c r="G154" s="16"/>
      <c r="H154" s="9"/>
      <c r="I154" s="9"/>
      <c r="J154" s="9"/>
      <c r="K154" s="72"/>
      <c r="L154" s="9"/>
      <c r="M154" s="9"/>
      <c r="N154" s="9"/>
      <c r="O154" s="9"/>
      <c r="P154" s="9"/>
      <c r="Q154" s="9"/>
    </row>
    <row r="155" spans="2:17" x14ac:dyDescent="0.2">
      <c r="B155" s="7"/>
      <c r="C155" s="72"/>
      <c r="D155" s="9"/>
      <c r="E155" s="72"/>
      <c r="F155" s="9"/>
      <c r="G155" s="16"/>
      <c r="H155" s="9"/>
      <c r="I155" s="9"/>
      <c r="J155" s="9"/>
      <c r="K155" s="72"/>
      <c r="L155" s="9"/>
      <c r="M155" s="9"/>
      <c r="N155" s="9"/>
      <c r="O155" s="9"/>
      <c r="P155" s="9"/>
      <c r="Q155" s="9"/>
    </row>
    <row r="156" spans="2:17" x14ac:dyDescent="0.2">
      <c r="B156" s="7"/>
      <c r="C156" s="72"/>
      <c r="D156" s="9"/>
      <c r="E156" s="72"/>
      <c r="F156" s="9"/>
      <c r="G156" s="16"/>
      <c r="H156" s="9"/>
      <c r="I156" s="9"/>
      <c r="J156" s="9"/>
      <c r="K156" s="72"/>
      <c r="L156" s="9"/>
      <c r="M156" s="9"/>
      <c r="N156" s="9"/>
      <c r="O156" s="9"/>
      <c r="P156" s="9"/>
      <c r="Q156" s="9"/>
    </row>
    <row r="157" spans="2:17" x14ac:dyDescent="0.2">
      <c r="B157" s="7"/>
      <c r="C157" s="72"/>
      <c r="D157" s="9"/>
      <c r="E157" s="72"/>
      <c r="F157" s="9"/>
      <c r="G157" s="16"/>
      <c r="H157" s="9"/>
      <c r="I157" s="9"/>
      <c r="J157" s="9"/>
      <c r="K157" s="72"/>
      <c r="L157" s="9"/>
      <c r="M157" s="9"/>
      <c r="N157" s="9"/>
      <c r="O157" s="9"/>
      <c r="P157" s="9"/>
      <c r="Q157" s="9"/>
    </row>
    <row r="158" spans="2:17" x14ac:dyDescent="0.2">
      <c r="B158" s="7"/>
      <c r="C158" s="72"/>
      <c r="D158" s="9"/>
      <c r="E158" s="72"/>
      <c r="F158" s="9"/>
      <c r="G158" s="16"/>
      <c r="H158" s="9"/>
      <c r="I158" s="9"/>
      <c r="J158" s="9"/>
      <c r="K158" s="72"/>
      <c r="L158" s="9"/>
      <c r="M158" s="9"/>
      <c r="N158" s="9"/>
      <c r="O158" s="9"/>
      <c r="P158" s="9"/>
      <c r="Q158" s="9"/>
    </row>
    <row r="159" spans="2:17" x14ac:dyDescent="0.2">
      <c r="B159" s="7"/>
      <c r="C159" s="72"/>
      <c r="D159" s="9"/>
      <c r="E159" s="72"/>
      <c r="F159" s="9"/>
      <c r="G159" s="16"/>
      <c r="H159" s="9"/>
      <c r="I159" s="9"/>
      <c r="J159" s="9"/>
      <c r="K159" s="72"/>
      <c r="L159" s="9"/>
      <c r="M159" s="9"/>
      <c r="N159" s="9"/>
      <c r="O159" s="9"/>
      <c r="P159" s="9"/>
      <c r="Q159" s="9"/>
    </row>
    <row r="160" spans="2:17" x14ac:dyDescent="0.2">
      <c r="B160" s="7"/>
      <c r="C160" s="72"/>
      <c r="D160" s="9"/>
      <c r="E160" s="72"/>
      <c r="F160" s="9"/>
      <c r="G160" s="16"/>
      <c r="H160" s="9"/>
      <c r="I160" s="9"/>
      <c r="J160" s="9"/>
      <c r="K160" s="72"/>
      <c r="L160" s="9"/>
      <c r="M160" s="9"/>
      <c r="N160" s="9"/>
      <c r="O160" s="9"/>
      <c r="P160" s="9"/>
      <c r="Q160" s="9"/>
    </row>
    <row r="161" spans="2:17" x14ac:dyDescent="0.2">
      <c r="B161" s="7"/>
      <c r="C161" s="72"/>
      <c r="D161" s="9"/>
      <c r="E161" s="72"/>
      <c r="F161" s="9"/>
      <c r="G161" s="16"/>
      <c r="H161" s="9"/>
      <c r="I161" s="9"/>
      <c r="J161" s="9"/>
      <c r="K161" s="72"/>
      <c r="L161" s="9"/>
      <c r="M161" s="9"/>
      <c r="N161" s="9"/>
      <c r="O161" s="9"/>
      <c r="P161" s="9"/>
      <c r="Q161" s="9"/>
    </row>
    <row r="162" spans="2:17" x14ac:dyDescent="0.2">
      <c r="B162" s="7"/>
      <c r="C162" s="72"/>
      <c r="D162" s="9"/>
      <c r="E162" s="72"/>
      <c r="F162" s="9"/>
      <c r="G162" s="16"/>
      <c r="H162" s="9"/>
      <c r="I162" s="9"/>
      <c r="J162" s="9"/>
      <c r="K162" s="72"/>
      <c r="L162" s="9"/>
      <c r="M162" s="9"/>
      <c r="N162" s="9"/>
      <c r="O162" s="9"/>
      <c r="P162" s="9"/>
      <c r="Q162" s="9"/>
    </row>
    <row r="163" spans="2:17" x14ac:dyDescent="0.2">
      <c r="B163" s="7"/>
      <c r="C163" s="72"/>
      <c r="D163" s="9"/>
      <c r="E163" s="72"/>
      <c r="F163" s="9"/>
      <c r="G163" s="16"/>
      <c r="H163" s="9"/>
      <c r="I163" s="9"/>
      <c r="J163" s="9"/>
      <c r="K163" s="72"/>
      <c r="L163" s="9"/>
      <c r="M163" s="9"/>
      <c r="N163" s="9"/>
      <c r="O163" s="9"/>
      <c r="P163" s="9"/>
      <c r="Q163" s="9"/>
    </row>
    <row r="164" spans="2:17" x14ac:dyDescent="0.2">
      <c r="B164" s="7"/>
      <c r="C164" s="72"/>
      <c r="D164" s="9"/>
      <c r="E164" s="72"/>
      <c r="F164" s="9"/>
      <c r="G164" s="16"/>
      <c r="H164" s="9"/>
      <c r="I164" s="9"/>
      <c r="J164" s="9"/>
      <c r="K164" s="72"/>
      <c r="L164" s="9"/>
      <c r="M164" s="9"/>
      <c r="N164" s="9"/>
      <c r="O164" s="9"/>
      <c r="P164" s="9"/>
      <c r="Q164" s="9"/>
    </row>
    <row r="165" spans="2:17" x14ac:dyDescent="0.2">
      <c r="B165" s="7"/>
      <c r="C165" s="72"/>
      <c r="D165" s="9"/>
      <c r="E165" s="72"/>
      <c r="F165" s="9"/>
      <c r="G165" s="16"/>
      <c r="H165" s="9"/>
      <c r="I165" s="9"/>
      <c r="J165" s="9"/>
      <c r="K165" s="72"/>
      <c r="L165" s="9"/>
      <c r="M165" s="9"/>
      <c r="N165" s="9"/>
      <c r="O165" s="9"/>
      <c r="P165" s="9"/>
      <c r="Q165" s="9"/>
    </row>
    <row r="166" spans="2:17" x14ac:dyDescent="0.2">
      <c r="B166" s="7"/>
      <c r="C166" s="72"/>
      <c r="D166" s="9"/>
      <c r="E166" s="72"/>
      <c r="F166" s="9"/>
      <c r="G166" s="16"/>
      <c r="H166" s="9"/>
      <c r="I166" s="9"/>
      <c r="J166" s="9"/>
      <c r="K166" s="72"/>
      <c r="L166" s="9"/>
      <c r="M166" s="9"/>
      <c r="N166" s="9"/>
      <c r="O166" s="9"/>
      <c r="P166" s="9"/>
      <c r="Q166" s="9"/>
    </row>
    <row r="167" spans="2:17" x14ac:dyDescent="0.2">
      <c r="B167" s="7"/>
      <c r="C167" s="72"/>
      <c r="D167" s="9"/>
      <c r="E167" s="72"/>
      <c r="F167" s="9"/>
      <c r="G167" s="16"/>
      <c r="H167" s="9"/>
      <c r="I167" s="9"/>
      <c r="J167" s="9"/>
      <c r="K167" s="72"/>
      <c r="L167" s="9"/>
      <c r="M167" s="9"/>
      <c r="N167" s="9"/>
      <c r="O167" s="9"/>
      <c r="P167" s="9"/>
      <c r="Q167" s="9"/>
    </row>
    <row r="168" spans="2:17" x14ac:dyDescent="0.2">
      <c r="B168" s="7"/>
      <c r="C168" s="72"/>
      <c r="D168" s="9"/>
      <c r="E168" s="72"/>
      <c r="F168" s="9"/>
      <c r="G168" s="16"/>
      <c r="H168" s="9"/>
      <c r="I168" s="9"/>
      <c r="J168" s="9"/>
      <c r="K168" s="72"/>
      <c r="L168" s="9"/>
      <c r="M168" s="9"/>
      <c r="N168" s="9"/>
      <c r="O168" s="9"/>
      <c r="P168" s="9"/>
      <c r="Q168" s="9"/>
    </row>
    <row r="169" spans="2:17" x14ac:dyDescent="0.2">
      <c r="B169" s="7"/>
      <c r="C169" s="72"/>
      <c r="D169" s="9"/>
      <c r="E169" s="72"/>
      <c r="F169" s="9"/>
      <c r="G169" s="16"/>
      <c r="H169" s="9"/>
      <c r="I169" s="9"/>
      <c r="J169" s="9"/>
      <c r="K169" s="72"/>
      <c r="L169" s="9"/>
      <c r="M169" s="9"/>
      <c r="N169" s="9"/>
      <c r="O169" s="9"/>
      <c r="P169" s="9"/>
      <c r="Q169" s="9"/>
    </row>
    <row r="170" spans="2:17" x14ac:dyDescent="0.2">
      <c r="B170" s="7"/>
      <c r="C170" s="72"/>
      <c r="D170" s="9"/>
      <c r="E170" s="72"/>
      <c r="F170" s="9"/>
      <c r="G170" s="16"/>
      <c r="H170" s="9"/>
      <c r="I170" s="9"/>
      <c r="J170" s="9"/>
      <c r="K170" s="72"/>
      <c r="L170" s="9"/>
      <c r="M170" s="9"/>
      <c r="N170" s="9"/>
      <c r="O170" s="9"/>
      <c r="P170" s="9"/>
      <c r="Q170" s="9"/>
    </row>
    <row r="171" spans="2:17" x14ac:dyDescent="0.2">
      <c r="B171" s="7"/>
      <c r="C171" s="72"/>
      <c r="D171" s="9"/>
      <c r="E171" s="72"/>
      <c r="F171" s="9"/>
      <c r="G171" s="16"/>
      <c r="H171" s="9"/>
      <c r="I171" s="9"/>
      <c r="J171" s="9"/>
      <c r="K171" s="72"/>
      <c r="L171" s="9"/>
      <c r="M171" s="9"/>
      <c r="N171" s="9"/>
      <c r="O171" s="9"/>
      <c r="P171" s="9"/>
      <c r="Q171" s="9"/>
    </row>
    <row r="172" spans="2:17" x14ac:dyDescent="0.2">
      <c r="B172" s="7"/>
      <c r="C172" s="72"/>
      <c r="D172" s="9"/>
      <c r="E172" s="72"/>
      <c r="F172" s="9"/>
      <c r="G172" s="16"/>
      <c r="H172" s="9"/>
      <c r="I172" s="9"/>
      <c r="J172" s="9"/>
      <c r="K172" s="72"/>
      <c r="L172" s="9"/>
      <c r="M172" s="9"/>
      <c r="N172" s="9"/>
      <c r="O172" s="9"/>
      <c r="P172" s="9"/>
      <c r="Q172" s="9"/>
    </row>
    <row r="173" spans="2:17" x14ac:dyDescent="0.2">
      <c r="B173" s="7"/>
      <c r="C173" s="72"/>
      <c r="D173" s="9"/>
      <c r="E173" s="72"/>
      <c r="F173" s="9"/>
      <c r="G173" s="16"/>
      <c r="H173" s="9"/>
      <c r="I173" s="9"/>
      <c r="J173" s="9"/>
      <c r="K173" s="72"/>
      <c r="L173" s="9"/>
      <c r="M173" s="9"/>
      <c r="N173" s="9"/>
      <c r="O173" s="9"/>
      <c r="P173" s="9"/>
      <c r="Q173" s="9"/>
    </row>
    <row r="174" spans="2:17" x14ac:dyDescent="0.2">
      <c r="B174" s="7"/>
      <c r="C174" s="72"/>
      <c r="D174" s="9"/>
      <c r="E174" s="72"/>
      <c r="F174" s="9"/>
      <c r="G174" s="16"/>
      <c r="H174" s="9"/>
      <c r="I174" s="9"/>
      <c r="J174" s="9"/>
      <c r="K174" s="72"/>
      <c r="L174" s="9"/>
      <c r="M174" s="9"/>
      <c r="N174" s="9"/>
      <c r="O174" s="9"/>
      <c r="P174" s="9"/>
      <c r="Q174" s="9"/>
    </row>
    <row r="175" spans="2:17" x14ac:dyDescent="0.2">
      <c r="B175" s="7"/>
      <c r="C175" s="72"/>
      <c r="D175" s="9"/>
      <c r="E175" s="72"/>
      <c r="F175" s="9"/>
      <c r="G175" s="16"/>
      <c r="H175" s="9"/>
      <c r="I175" s="9"/>
      <c r="J175" s="9"/>
      <c r="K175" s="72"/>
      <c r="L175" s="9"/>
      <c r="M175" s="9"/>
      <c r="N175" s="9"/>
      <c r="O175" s="9"/>
      <c r="P175" s="9"/>
      <c r="Q175" s="9"/>
    </row>
    <row r="176" spans="2:17" x14ac:dyDescent="0.2">
      <c r="B176" s="7"/>
      <c r="C176" s="72"/>
      <c r="D176" s="9"/>
      <c r="E176" s="72"/>
      <c r="F176" s="9"/>
      <c r="G176" s="16"/>
      <c r="H176" s="9"/>
      <c r="I176" s="9"/>
      <c r="J176" s="9"/>
      <c r="K176" s="72"/>
      <c r="L176" s="9"/>
      <c r="M176" s="9"/>
      <c r="N176" s="9"/>
      <c r="O176" s="9"/>
      <c r="P176" s="9"/>
      <c r="Q176" s="9"/>
    </row>
    <row r="177" spans="2:17" x14ac:dyDescent="0.2">
      <c r="B177" s="7"/>
      <c r="C177" s="72"/>
      <c r="D177" s="9"/>
      <c r="E177" s="72"/>
      <c r="F177" s="9"/>
      <c r="G177" s="16"/>
      <c r="H177" s="9"/>
      <c r="I177" s="9"/>
      <c r="J177" s="9"/>
      <c r="K177" s="72"/>
      <c r="L177" s="9"/>
      <c r="M177" s="9"/>
      <c r="N177" s="9"/>
      <c r="O177" s="9"/>
      <c r="P177" s="9"/>
      <c r="Q177" s="9"/>
    </row>
    <row r="178" spans="2:17" x14ac:dyDescent="0.2">
      <c r="B178" s="7"/>
      <c r="C178" s="72"/>
      <c r="D178" s="9"/>
      <c r="E178" s="72"/>
      <c r="F178" s="9"/>
      <c r="G178" s="16"/>
      <c r="H178" s="9"/>
      <c r="I178" s="9"/>
      <c r="J178" s="9"/>
      <c r="K178" s="72"/>
      <c r="L178" s="9"/>
      <c r="M178" s="9"/>
      <c r="N178" s="9"/>
      <c r="O178" s="9"/>
      <c r="P178" s="9"/>
      <c r="Q178" s="9"/>
    </row>
    <row r="179" spans="2:17" x14ac:dyDescent="0.2">
      <c r="B179" s="7"/>
      <c r="C179" s="72"/>
      <c r="D179" s="9"/>
      <c r="E179" s="72"/>
      <c r="F179" s="9"/>
      <c r="G179" s="16"/>
      <c r="H179" s="9"/>
      <c r="I179" s="9"/>
      <c r="J179" s="9"/>
      <c r="K179" s="72"/>
      <c r="L179" s="9"/>
      <c r="M179" s="9"/>
      <c r="N179" s="9"/>
      <c r="O179" s="9"/>
      <c r="P179" s="9"/>
      <c r="Q179" s="9"/>
    </row>
    <row r="180" spans="2:17" x14ac:dyDescent="0.2">
      <c r="B180" s="7"/>
      <c r="C180" s="72"/>
      <c r="D180" s="9"/>
      <c r="E180" s="72"/>
      <c r="F180" s="9"/>
      <c r="G180" s="16"/>
      <c r="H180" s="9"/>
      <c r="I180" s="9"/>
      <c r="J180" s="9"/>
      <c r="K180" s="72"/>
      <c r="L180" s="9"/>
      <c r="M180" s="9"/>
      <c r="N180" s="9"/>
      <c r="O180" s="9"/>
      <c r="P180" s="9"/>
      <c r="Q180" s="9"/>
    </row>
    <row r="181" spans="2:17" x14ac:dyDescent="0.2">
      <c r="B181" s="7"/>
      <c r="C181" s="72"/>
      <c r="D181" s="9"/>
      <c r="E181" s="72"/>
      <c r="F181" s="9"/>
      <c r="G181" s="16"/>
      <c r="H181" s="9"/>
      <c r="I181" s="9"/>
      <c r="J181" s="9"/>
      <c r="K181" s="72"/>
      <c r="L181" s="9"/>
      <c r="M181" s="9"/>
      <c r="N181" s="9"/>
      <c r="O181" s="9"/>
      <c r="P181" s="9"/>
      <c r="Q181" s="9"/>
    </row>
    <row r="182" spans="2:17" x14ac:dyDescent="0.2">
      <c r="B182" s="7"/>
      <c r="C182" s="72"/>
      <c r="D182" s="9"/>
      <c r="E182" s="72"/>
      <c r="F182" s="9"/>
      <c r="G182" s="16"/>
      <c r="H182" s="9"/>
      <c r="I182" s="9"/>
      <c r="J182" s="9"/>
      <c r="K182" s="72"/>
      <c r="L182" s="9"/>
      <c r="M182" s="9"/>
      <c r="N182" s="9"/>
      <c r="O182" s="9"/>
      <c r="P182" s="9"/>
      <c r="Q182" s="9"/>
    </row>
    <row r="183" spans="2:17" x14ac:dyDescent="0.2">
      <c r="B183" s="7"/>
      <c r="C183" s="72"/>
      <c r="D183" s="9"/>
      <c r="E183" s="72"/>
      <c r="F183" s="9"/>
      <c r="G183" s="16"/>
      <c r="H183" s="9"/>
      <c r="I183" s="9"/>
      <c r="J183" s="9"/>
      <c r="K183" s="72"/>
      <c r="L183" s="9"/>
      <c r="M183" s="9"/>
      <c r="N183" s="9"/>
      <c r="O183" s="9"/>
      <c r="P183" s="9"/>
      <c r="Q183" s="9"/>
    </row>
    <row r="184" spans="2:17" x14ac:dyDescent="0.2">
      <c r="B184" s="7"/>
      <c r="C184" s="72"/>
      <c r="D184" s="9"/>
      <c r="E184" s="72"/>
      <c r="F184" s="9"/>
      <c r="G184" s="16"/>
      <c r="H184" s="9"/>
      <c r="I184" s="9"/>
      <c r="J184" s="9"/>
      <c r="K184" s="72"/>
      <c r="L184" s="9"/>
      <c r="M184" s="9"/>
      <c r="N184" s="9"/>
      <c r="O184" s="9"/>
      <c r="P184" s="9"/>
      <c r="Q184" s="9"/>
    </row>
    <row r="185" spans="2:17" x14ac:dyDescent="0.2">
      <c r="B185" s="7"/>
      <c r="C185" s="72"/>
      <c r="D185" s="9"/>
      <c r="E185" s="72"/>
      <c r="F185" s="9"/>
      <c r="G185" s="16"/>
      <c r="H185" s="9"/>
      <c r="I185" s="9"/>
      <c r="J185" s="9"/>
      <c r="K185" s="72"/>
      <c r="L185" s="9"/>
      <c r="M185" s="9"/>
      <c r="N185" s="9"/>
      <c r="O185" s="9"/>
      <c r="P185" s="9"/>
      <c r="Q185" s="9"/>
    </row>
    <row r="186" spans="2:17" x14ac:dyDescent="0.2">
      <c r="B186" s="7"/>
      <c r="C186" s="72"/>
      <c r="D186" s="9"/>
      <c r="E186" s="72"/>
      <c r="F186" s="9"/>
      <c r="G186" s="16"/>
      <c r="H186" s="9"/>
      <c r="I186" s="9"/>
      <c r="J186" s="9"/>
      <c r="K186" s="72"/>
      <c r="L186" s="9"/>
      <c r="M186" s="9"/>
      <c r="N186" s="9"/>
      <c r="O186" s="9"/>
      <c r="P186" s="9"/>
      <c r="Q186" s="9"/>
    </row>
    <row r="187" spans="2:17" x14ac:dyDescent="0.2">
      <c r="B187" s="7"/>
      <c r="C187" s="72"/>
      <c r="D187" s="9"/>
      <c r="E187" s="72"/>
      <c r="F187" s="9"/>
      <c r="G187" s="16"/>
      <c r="H187" s="9"/>
      <c r="I187" s="9"/>
      <c r="J187" s="9"/>
      <c r="K187" s="72"/>
      <c r="L187" s="9"/>
      <c r="M187" s="9"/>
      <c r="N187" s="9"/>
      <c r="O187" s="9"/>
      <c r="P187" s="9"/>
      <c r="Q187" s="9"/>
    </row>
    <row r="188" spans="2:17" x14ac:dyDescent="0.2">
      <c r="B188" s="7"/>
      <c r="C188" s="72"/>
      <c r="D188" s="9"/>
      <c r="E188" s="72"/>
      <c r="F188" s="9"/>
      <c r="G188" s="16"/>
      <c r="H188" s="9"/>
      <c r="I188" s="9"/>
      <c r="J188" s="9"/>
      <c r="K188" s="72"/>
      <c r="L188" s="9"/>
      <c r="M188" s="9"/>
      <c r="N188" s="9"/>
      <c r="O188" s="9"/>
      <c r="P188" s="9"/>
      <c r="Q188" s="9"/>
    </row>
    <row r="189" spans="2:17" x14ac:dyDescent="0.2">
      <c r="B189" s="7"/>
      <c r="C189" s="72"/>
      <c r="D189" s="9"/>
      <c r="E189" s="72"/>
      <c r="F189" s="9"/>
      <c r="G189" s="16"/>
      <c r="H189" s="9"/>
      <c r="I189" s="9"/>
      <c r="J189" s="9"/>
      <c r="K189" s="72"/>
      <c r="L189" s="9"/>
      <c r="M189" s="9"/>
      <c r="N189" s="9"/>
      <c r="O189" s="9"/>
      <c r="P189" s="9"/>
      <c r="Q189" s="9"/>
    </row>
    <row r="190" spans="2:17" x14ac:dyDescent="0.2">
      <c r="B190" s="7"/>
      <c r="C190" s="72"/>
      <c r="D190" s="9"/>
      <c r="E190" s="72"/>
      <c r="F190" s="9"/>
      <c r="G190" s="16"/>
      <c r="H190" s="9"/>
      <c r="I190" s="9"/>
      <c r="J190" s="9"/>
      <c r="K190" s="72"/>
      <c r="L190" s="9"/>
      <c r="M190" s="9"/>
      <c r="N190" s="9"/>
      <c r="O190" s="9"/>
      <c r="P190" s="9"/>
      <c r="Q190" s="9"/>
    </row>
    <row r="191" spans="2:17" x14ac:dyDescent="0.2">
      <c r="B191" s="7"/>
      <c r="C191" s="72"/>
      <c r="D191" s="9"/>
      <c r="E191" s="72"/>
      <c r="F191" s="9"/>
      <c r="G191" s="16"/>
      <c r="H191" s="9"/>
      <c r="I191" s="9"/>
      <c r="J191" s="9"/>
      <c r="K191" s="72"/>
      <c r="L191" s="9"/>
      <c r="M191" s="9"/>
      <c r="N191" s="9"/>
      <c r="O191" s="9"/>
      <c r="P191" s="9"/>
      <c r="Q191" s="9"/>
    </row>
    <row r="192" spans="2:17" x14ac:dyDescent="0.2">
      <c r="B192" s="7"/>
      <c r="C192" s="72"/>
      <c r="D192" s="9"/>
      <c r="E192" s="72"/>
      <c r="F192" s="9"/>
      <c r="G192" s="16"/>
      <c r="H192" s="9"/>
      <c r="I192" s="9"/>
      <c r="J192" s="9"/>
      <c r="K192" s="72"/>
      <c r="L192" s="9"/>
      <c r="M192" s="9"/>
      <c r="N192" s="9"/>
      <c r="O192" s="9"/>
      <c r="P192" s="9"/>
      <c r="Q192" s="9"/>
    </row>
    <row r="193" spans="2:17" x14ac:dyDescent="0.2">
      <c r="B193" s="7"/>
      <c r="C193" s="72"/>
      <c r="D193" s="9"/>
      <c r="E193" s="72"/>
      <c r="F193" s="9"/>
      <c r="G193" s="16"/>
      <c r="H193" s="9"/>
      <c r="I193" s="9"/>
      <c r="J193" s="9"/>
      <c r="K193" s="72"/>
      <c r="L193" s="9"/>
      <c r="M193" s="9"/>
      <c r="N193" s="9"/>
      <c r="O193" s="9"/>
      <c r="P193" s="9"/>
      <c r="Q193" s="9"/>
    </row>
    <row r="194" spans="2:17" x14ac:dyDescent="0.2">
      <c r="B194" s="7"/>
      <c r="C194" s="72"/>
      <c r="D194" s="9"/>
      <c r="E194" s="72"/>
      <c r="F194" s="9"/>
      <c r="G194" s="16"/>
      <c r="H194" s="9"/>
      <c r="I194" s="9"/>
      <c r="J194" s="9"/>
      <c r="K194" s="72"/>
      <c r="L194" s="9"/>
      <c r="M194" s="9"/>
      <c r="N194" s="9"/>
      <c r="O194" s="9"/>
      <c r="P194" s="9"/>
      <c r="Q194" s="9"/>
    </row>
    <row r="195" spans="2:17" x14ac:dyDescent="0.2">
      <c r="B195" s="7"/>
      <c r="C195" s="72"/>
      <c r="D195" s="9"/>
      <c r="E195" s="72"/>
      <c r="F195" s="9"/>
      <c r="G195" s="16"/>
      <c r="H195" s="9"/>
      <c r="I195" s="9"/>
      <c r="J195" s="9"/>
      <c r="K195" s="72"/>
      <c r="L195" s="9"/>
      <c r="M195" s="9"/>
      <c r="N195" s="9"/>
      <c r="O195" s="9"/>
      <c r="P195" s="9"/>
      <c r="Q195" s="9"/>
    </row>
    <row r="196" spans="2:17" x14ac:dyDescent="0.2">
      <c r="B196" s="7"/>
      <c r="C196" s="72"/>
      <c r="D196" s="9"/>
      <c r="E196" s="72"/>
      <c r="F196" s="9"/>
      <c r="G196" s="16"/>
      <c r="H196" s="9"/>
      <c r="I196" s="9"/>
      <c r="J196" s="9"/>
      <c r="K196" s="72"/>
      <c r="L196" s="9"/>
      <c r="M196" s="9"/>
      <c r="N196" s="9"/>
      <c r="O196" s="9"/>
      <c r="P196" s="9"/>
      <c r="Q196" s="9"/>
    </row>
    <row r="197" spans="2:17" x14ac:dyDescent="0.2">
      <c r="B197" s="7"/>
      <c r="C197" s="72"/>
      <c r="D197" s="9"/>
      <c r="E197" s="72"/>
      <c r="F197" s="9"/>
      <c r="G197" s="16"/>
      <c r="H197" s="9"/>
      <c r="I197" s="9"/>
      <c r="J197" s="9"/>
      <c r="K197" s="72"/>
      <c r="L197" s="9"/>
      <c r="M197" s="9"/>
      <c r="N197" s="9"/>
      <c r="O197" s="9"/>
      <c r="P197" s="9"/>
      <c r="Q197" s="9"/>
    </row>
    <row r="198" spans="2:17" x14ac:dyDescent="0.2">
      <c r="B198" s="7"/>
      <c r="C198" s="72"/>
      <c r="D198" s="9"/>
      <c r="E198" s="72"/>
      <c r="F198" s="9"/>
      <c r="G198" s="16"/>
      <c r="H198" s="9"/>
      <c r="I198" s="9"/>
      <c r="J198" s="9"/>
      <c r="K198" s="72"/>
      <c r="L198" s="9"/>
      <c r="M198" s="9"/>
      <c r="N198" s="9"/>
      <c r="O198" s="9"/>
      <c r="P198" s="9"/>
      <c r="Q198" s="9"/>
    </row>
    <row r="199" spans="2:17" x14ac:dyDescent="0.2">
      <c r="B199" s="7"/>
      <c r="C199" s="72"/>
      <c r="D199" s="9"/>
      <c r="E199" s="72"/>
      <c r="F199" s="9"/>
      <c r="G199" s="16"/>
      <c r="H199" s="9"/>
      <c r="I199" s="9"/>
      <c r="J199" s="9"/>
      <c r="K199" s="72"/>
      <c r="L199" s="9"/>
      <c r="M199" s="9"/>
      <c r="N199" s="9"/>
      <c r="O199" s="9"/>
      <c r="P199" s="9"/>
      <c r="Q199" s="9"/>
    </row>
    <row r="200" spans="2:17" x14ac:dyDescent="0.2">
      <c r="B200" s="7"/>
      <c r="C200" s="72"/>
      <c r="D200" s="9"/>
      <c r="E200" s="72"/>
      <c r="F200" s="9"/>
      <c r="G200" s="16"/>
      <c r="H200" s="9"/>
      <c r="I200" s="9"/>
      <c r="J200" s="9"/>
      <c r="K200" s="72"/>
      <c r="L200" s="9"/>
      <c r="M200" s="9"/>
      <c r="N200" s="9"/>
      <c r="O200" s="9"/>
      <c r="P200" s="9"/>
      <c r="Q200" s="9"/>
    </row>
    <row r="201" spans="2:17" x14ac:dyDescent="0.2">
      <c r="B201" s="7"/>
      <c r="C201" s="72"/>
      <c r="D201" s="9"/>
      <c r="E201" s="72"/>
      <c r="F201" s="9"/>
      <c r="G201" s="16"/>
      <c r="H201" s="9"/>
      <c r="I201" s="9"/>
      <c r="J201" s="9"/>
      <c r="K201" s="72"/>
      <c r="L201" s="9"/>
      <c r="M201" s="9"/>
      <c r="N201" s="9"/>
      <c r="O201" s="9"/>
      <c r="P201" s="9"/>
      <c r="Q201" s="9"/>
    </row>
    <row r="202" spans="2:17" x14ac:dyDescent="0.2">
      <c r="B202" s="7"/>
      <c r="C202" s="72"/>
      <c r="D202" s="9"/>
      <c r="E202" s="72"/>
      <c r="F202" s="9"/>
      <c r="G202" s="16"/>
      <c r="H202" s="9"/>
      <c r="I202" s="9"/>
      <c r="J202" s="9"/>
      <c r="K202" s="72"/>
      <c r="L202" s="9"/>
      <c r="M202" s="9"/>
      <c r="N202" s="9"/>
      <c r="O202" s="9"/>
      <c r="P202" s="9"/>
      <c r="Q202" s="9"/>
    </row>
    <row r="203" spans="2:17" x14ac:dyDescent="0.2">
      <c r="B203" s="7"/>
      <c r="C203" s="72"/>
      <c r="D203" s="9"/>
      <c r="E203" s="72"/>
      <c r="F203" s="9"/>
      <c r="G203" s="16"/>
      <c r="H203" s="9"/>
      <c r="I203" s="9"/>
      <c r="J203" s="9"/>
      <c r="K203" s="72"/>
      <c r="L203" s="9"/>
      <c r="M203" s="9"/>
      <c r="N203" s="9"/>
      <c r="O203" s="9"/>
      <c r="P203" s="9"/>
      <c r="Q203" s="9"/>
    </row>
    <row r="204" spans="2:17" x14ac:dyDescent="0.2">
      <c r="B204" s="7"/>
      <c r="C204" s="72"/>
      <c r="D204" s="9"/>
      <c r="E204" s="72"/>
      <c r="F204" s="9"/>
      <c r="G204" s="16"/>
      <c r="H204" s="9"/>
      <c r="I204" s="9"/>
      <c r="J204" s="9"/>
      <c r="K204" s="72"/>
      <c r="L204" s="9"/>
      <c r="M204" s="9"/>
      <c r="N204" s="9"/>
      <c r="O204" s="9"/>
      <c r="P204" s="9"/>
      <c r="Q204" s="9"/>
    </row>
    <row r="205" spans="2:17" x14ac:dyDescent="0.2">
      <c r="B205" s="7"/>
      <c r="C205" s="72"/>
      <c r="D205" s="9"/>
      <c r="E205" s="72"/>
      <c r="F205" s="9"/>
      <c r="G205" s="16"/>
      <c r="H205" s="9"/>
      <c r="I205" s="9"/>
      <c r="J205" s="9"/>
      <c r="K205" s="72"/>
      <c r="L205" s="9"/>
      <c r="M205" s="9"/>
      <c r="N205" s="9"/>
      <c r="O205" s="9"/>
      <c r="P205" s="9"/>
      <c r="Q205" s="9"/>
    </row>
    <row r="206" spans="2:17" x14ac:dyDescent="0.2">
      <c r="B206" s="7"/>
      <c r="C206" s="72"/>
      <c r="D206" s="9"/>
      <c r="E206" s="72"/>
      <c r="F206" s="9"/>
      <c r="G206" s="16"/>
      <c r="H206" s="9"/>
      <c r="I206" s="9"/>
      <c r="J206" s="9"/>
      <c r="K206" s="72"/>
      <c r="L206" s="9"/>
      <c r="M206" s="9"/>
      <c r="N206" s="9"/>
      <c r="O206" s="9"/>
      <c r="P206" s="9"/>
      <c r="Q206" s="9"/>
    </row>
    <row r="207" spans="2:17" x14ac:dyDescent="0.2">
      <c r="B207" s="7"/>
      <c r="C207" s="72"/>
      <c r="D207" s="9"/>
      <c r="E207" s="72"/>
      <c r="F207" s="9"/>
      <c r="G207" s="16"/>
      <c r="H207" s="9"/>
      <c r="I207" s="9"/>
      <c r="J207" s="9"/>
      <c r="K207" s="72"/>
      <c r="L207" s="9"/>
      <c r="M207" s="9"/>
      <c r="N207" s="9"/>
      <c r="O207" s="9"/>
      <c r="P207" s="9"/>
      <c r="Q207" s="9"/>
    </row>
    <row r="208" spans="2:17" x14ac:dyDescent="0.2">
      <c r="B208" s="7"/>
      <c r="C208" s="72"/>
      <c r="D208" s="9"/>
      <c r="E208" s="72"/>
      <c r="F208" s="9"/>
      <c r="G208" s="16"/>
      <c r="H208" s="9"/>
      <c r="I208" s="9"/>
      <c r="J208" s="9"/>
      <c r="K208" s="72"/>
      <c r="L208" s="9"/>
      <c r="M208" s="9"/>
      <c r="N208" s="9"/>
      <c r="O208" s="9"/>
      <c r="P208" s="9"/>
      <c r="Q208" s="9"/>
    </row>
    <row r="209" spans="2:17" x14ac:dyDescent="0.2">
      <c r="B209" s="7"/>
      <c r="C209" s="72"/>
      <c r="D209" s="9"/>
      <c r="E209" s="72"/>
      <c r="F209" s="9"/>
      <c r="G209" s="16"/>
      <c r="H209" s="9"/>
      <c r="I209" s="9"/>
      <c r="J209" s="9"/>
      <c r="K209" s="72"/>
      <c r="L209" s="9"/>
      <c r="M209" s="9"/>
      <c r="N209" s="9"/>
      <c r="O209" s="9"/>
      <c r="P209" s="9"/>
      <c r="Q209" s="9"/>
    </row>
    <row r="210" spans="2:17" x14ac:dyDescent="0.2">
      <c r="B210" s="7"/>
      <c r="C210" s="72"/>
      <c r="D210" s="9"/>
      <c r="E210" s="72"/>
      <c r="F210" s="9"/>
      <c r="G210" s="16"/>
      <c r="H210" s="9"/>
      <c r="I210" s="9"/>
      <c r="J210" s="9"/>
      <c r="K210" s="72"/>
      <c r="L210" s="9"/>
      <c r="M210" s="9"/>
      <c r="N210" s="9"/>
      <c r="O210" s="9"/>
      <c r="P210" s="9"/>
      <c r="Q210" s="9"/>
    </row>
    <row r="211" spans="2:17" x14ac:dyDescent="0.2">
      <c r="B211" s="7"/>
      <c r="C211" s="72"/>
      <c r="D211" s="9"/>
      <c r="E211" s="72"/>
      <c r="F211" s="9"/>
      <c r="G211" s="16"/>
      <c r="H211" s="9"/>
      <c r="I211" s="9"/>
      <c r="J211" s="9"/>
      <c r="K211" s="72"/>
      <c r="L211" s="9"/>
      <c r="M211" s="9"/>
      <c r="N211" s="9"/>
      <c r="O211" s="9"/>
      <c r="P211" s="9"/>
      <c r="Q211" s="9"/>
    </row>
    <row r="212" spans="2:17" x14ac:dyDescent="0.2">
      <c r="B212" s="7"/>
      <c r="C212" s="72"/>
      <c r="D212" s="9"/>
      <c r="E212" s="72"/>
      <c r="F212" s="9"/>
      <c r="G212" s="16"/>
      <c r="H212" s="9"/>
      <c r="I212" s="9"/>
      <c r="J212" s="9"/>
      <c r="K212" s="72"/>
      <c r="L212" s="9"/>
      <c r="M212" s="9"/>
      <c r="N212" s="9"/>
      <c r="O212" s="9"/>
      <c r="P212" s="9"/>
      <c r="Q212" s="9"/>
    </row>
    <row r="213" spans="2:17" x14ac:dyDescent="0.2">
      <c r="B213" s="7"/>
      <c r="C213" s="72"/>
      <c r="D213" s="9"/>
      <c r="E213" s="72"/>
      <c r="F213" s="9"/>
      <c r="G213" s="16"/>
      <c r="H213" s="9"/>
      <c r="I213" s="9"/>
      <c r="J213" s="9"/>
      <c r="K213" s="72"/>
      <c r="L213" s="9"/>
      <c r="M213" s="9"/>
      <c r="N213" s="9"/>
      <c r="O213" s="9"/>
      <c r="P213" s="9"/>
      <c r="Q213" s="9"/>
    </row>
    <row r="214" spans="2:17" x14ac:dyDescent="0.2">
      <c r="B214" s="7"/>
      <c r="C214" s="72"/>
      <c r="D214" s="9"/>
      <c r="E214" s="72"/>
      <c r="F214" s="9"/>
      <c r="G214" s="16"/>
      <c r="H214" s="9"/>
      <c r="I214" s="9"/>
      <c r="J214" s="9"/>
      <c r="K214" s="72"/>
      <c r="L214" s="9"/>
      <c r="M214" s="9"/>
      <c r="N214" s="9"/>
      <c r="O214" s="9"/>
      <c r="P214" s="9"/>
      <c r="Q214" s="9"/>
    </row>
    <row r="215" spans="2:17" x14ac:dyDescent="0.2">
      <c r="B215" s="7"/>
      <c r="C215" s="72"/>
      <c r="D215" s="9"/>
      <c r="E215" s="72"/>
      <c r="F215" s="9"/>
      <c r="G215" s="16"/>
      <c r="H215" s="9"/>
      <c r="I215" s="9"/>
      <c r="J215" s="9"/>
      <c r="K215" s="72"/>
      <c r="L215" s="9"/>
      <c r="M215" s="9"/>
      <c r="N215" s="9"/>
      <c r="O215" s="9"/>
      <c r="P215" s="9"/>
      <c r="Q215" s="9"/>
    </row>
    <row r="216" spans="2:17" x14ac:dyDescent="0.2">
      <c r="B216" s="7"/>
      <c r="C216" s="72"/>
      <c r="D216" s="9"/>
      <c r="E216" s="72"/>
      <c r="F216" s="9"/>
      <c r="G216" s="16"/>
      <c r="H216" s="9"/>
      <c r="I216" s="9"/>
      <c r="J216" s="9"/>
      <c r="K216" s="72"/>
      <c r="L216" s="9"/>
      <c r="M216" s="9"/>
      <c r="N216" s="9"/>
      <c r="O216" s="9"/>
      <c r="P216" s="9"/>
      <c r="Q216" s="9"/>
    </row>
    <row r="217" spans="2:17" x14ac:dyDescent="0.2">
      <c r="B217" s="7"/>
      <c r="C217" s="72"/>
      <c r="D217" s="9"/>
      <c r="E217" s="72"/>
      <c r="F217" s="9"/>
      <c r="G217" s="16"/>
      <c r="H217" s="9"/>
      <c r="I217" s="9"/>
      <c r="J217" s="9"/>
      <c r="K217" s="72"/>
      <c r="L217" s="9"/>
      <c r="M217" s="9"/>
      <c r="N217" s="9"/>
      <c r="O217" s="9"/>
      <c r="P217" s="9"/>
      <c r="Q217" s="9"/>
    </row>
    <row r="218" spans="2:17" x14ac:dyDescent="0.2">
      <c r="B218" s="7"/>
      <c r="C218" s="72"/>
      <c r="D218" s="9"/>
      <c r="E218" s="72"/>
      <c r="F218" s="9"/>
      <c r="G218" s="16"/>
      <c r="H218" s="9"/>
      <c r="I218" s="9"/>
      <c r="J218" s="9"/>
      <c r="K218" s="72"/>
      <c r="L218" s="9"/>
      <c r="M218" s="9"/>
      <c r="N218" s="9"/>
      <c r="O218" s="9"/>
      <c r="P218" s="9"/>
      <c r="Q218" s="9"/>
    </row>
    <row r="219" spans="2:17" x14ac:dyDescent="0.2">
      <c r="B219" s="7"/>
      <c r="C219" s="72"/>
      <c r="D219" s="9"/>
      <c r="E219" s="72"/>
      <c r="F219" s="9"/>
      <c r="G219" s="16"/>
      <c r="H219" s="9"/>
      <c r="I219" s="9"/>
      <c r="J219" s="9"/>
      <c r="K219" s="72"/>
      <c r="L219" s="9"/>
      <c r="M219" s="9"/>
      <c r="N219" s="9"/>
      <c r="O219" s="9"/>
      <c r="P219" s="9"/>
      <c r="Q219" s="9"/>
    </row>
    <row r="220" spans="2:17" x14ac:dyDescent="0.2">
      <c r="B220" s="7"/>
      <c r="C220" s="72"/>
      <c r="D220" s="9"/>
      <c r="E220" s="72"/>
      <c r="F220" s="9"/>
      <c r="G220" s="16"/>
      <c r="H220" s="9"/>
      <c r="I220" s="9"/>
      <c r="J220" s="9"/>
      <c r="K220" s="72"/>
      <c r="L220" s="9"/>
      <c r="M220" s="9"/>
      <c r="N220" s="9"/>
      <c r="O220" s="9"/>
      <c r="P220" s="9"/>
      <c r="Q220" s="9"/>
    </row>
    <row r="221" spans="2:17" x14ac:dyDescent="0.2">
      <c r="B221" s="7"/>
      <c r="C221" s="72"/>
      <c r="D221" s="9"/>
      <c r="E221" s="72"/>
      <c r="F221" s="9"/>
      <c r="G221" s="16"/>
      <c r="H221" s="9"/>
      <c r="I221" s="9"/>
      <c r="J221" s="9"/>
      <c r="K221" s="72"/>
      <c r="L221" s="9"/>
      <c r="M221" s="9"/>
      <c r="N221" s="9"/>
      <c r="O221" s="9"/>
      <c r="P221" s="9"/>
      <c r="Q221" s="9"/>
    </row>
    <row r="222" spans="2:17" x14ac:dyDescent="0.2">
      <c r="B222" s="7"/>
      <c r="C222" s="72"/>
      <c r="D222" s="9"/>
      <c r="E222" s="72"/>
      <c r="F222" s="9"/>
      <c r="G222" s="16"/>
      <c r="H222" s="9"/>
      <c r="I222" s="9"/>
      <c r="J222" s="9"/>
      <c r="K222" s="72"/>
      <c r="L222" s="9"/>
      <c r="M222" s="9"/>
      <c r="N222" s="9"/>
      <c r="O222" s="9"/>
      <c r="P222" s="9"/>
      <c r="Q222" s="9"/>
    </row>
    <row r="223" spans="2:17" x14ac:dyDescent="0.2">
      <c r="B223" s="7"/>
      <c r="C223" s="72"/>
      <c r="D223" s="9"/>
      <c r="E223" s="72"/>
      <c r="F223" s="9"/>
      <c r="G223" s="16"/>
      <c r="H223" s="9"/>
      <c r="I223" s="9"/>
      <c r="J223" s="9"/>
      <c r="K223" s="72"/>
      <c r="L223" s="9"/>
      <c r="M223" s="9"/>
      <c r="N223" s="9"/>
      <c r="O223" s="9"/>
      <c r="P223" s="9"/>
      <c r="Q223" s="9"/>
    </row>
    <row r="224" spans="2:17" x14ac:dyDescent="0.2">
      <c r="B224" s="7"/>
      <c r="C224" s="72"/>
      <c r="D224" s="9"/>
      <c r="E224" s="72"/>
      <c r="F224" s="9"/>
      <c r="G224" s="16"/>
      <c r="H224" s="9"/>
      <c r="I224" s="9"/>
      <c r="J224" s="9"/>
      <c r="K224" s="72"/>
      <c r="L224" s="9"/>
      <c r="M224" s="9"/>
      <c r="N224" s="9"/>
      <c r="O224" s="9"/>
      <c r="P224" s="9"/>
      <c r="Q224" s="9"/>
    </row>
    <row r="225" spans="2:17" x14ac:dyDescent="0.2">
      <c r="B225" s="7"/>
      <c r="C225" s="72"/>
      <c r="D225" s="9"/>
      <c r="E225" s="72"/>
      <c r="F225" s="9"/>
      <c r="G225" s="16"/>
      <c r="H225" s="9"/>
      <c r="I225" s="9"/>
      <c r="J225" s="9"/>
      <c r="K225" s="72"/>
      <c r="L225" s="9"/>
      <c r="M225" s="9"/>
      <c r="N225" s="9"/>
      <c r="O225" s="9"/>
      <c r="P225" s="9"/>
      <c r="Q225" s="9"/>
    </row>
    <row r="226" spans="2:17" x14ac:dyDescent="0.2">
      <c r="B226" s="7"/>
      <c r="C226" s="72"/>
      <c r="D226" s="9"/>
      <c r="E226" s="72"/>
      <c r="F226" s="9"/>
      <c r="G226" s="16"/>
      <c r="H226" s="9"/>
      <c r="I226" s="9"/>
      <c r="J226" s="9"/>
      <c r="K226" s="72"/>
      <c r="L226" s="9"/>
      <c r="M226" s="9"/>
      <c r="N226" s="9"/>
      <c r="O226" s="9"/>
      <c r="P226" s="9"/>
      <c r="Q226" s="9"/>
    </row>
    <row r="227" spans="2:17" x14ac:dyDescent="0.2">
      <c r="B227" s="7"/>
      <c r="C227" s="72"/>
      <c r="D227" s="9"/>
      <c r="E227" s="72"/>
      <c r="F227" s="9"/>
      <c r="G227" s="16"/>
      <c r="H227" s="9"/>
      <c r="I227" s="9"/>
      <c r="J227" s="9"/>
      <c r="K227" s="72"/>
      <c r="L227" s="9"/>
      <c r="M227" s="9"/>
      <c r="N227" s="9"/>
      <c r="O227" s="9"/>
      <c r="P227" s="9"/>
      <c r="Q227" s="9"/>
    </row>
    <row r="228" spans="2:17" x14ac:dyDescent="0.2">
      <c r="B228" s="7"/>
      <c r="C228" s="72"/>
      <c r="D228" s="9"/>
      <c r="E228" s="72"/>
      <c r="F228" s="9"/>
      <c r="G228" s="16"/>
      <c r="H228" s="9"/>
      <c r="I228" s="9"/>
      <c r="J228" s="9"/>
      <c r="K228" s="72"/>
      <c r="L228" s="9"/>
      <c r="M228" s="9"/>
      <c r="N228" s="9"/>
      <c r="O228" s="9"/>
      <c r="P228" s="9"/>
      <c r="Q228" s="9"/>
    </row>
    <row r="229" spans="2:17" x14ac:dyDescent="0.2">
      <c r="B229" s="7"/>
      <c r="C229" s="72"/>
      <c r="D229" s="9"/>
      <c r="E229" s="72"/>
      <c r="F229" s="9"/>
      <c r="G229" s="16"/>
      <c r="H229" s="9"/>
      <c r="I229" s="9"/>
      <c r="J229" s="9"/>
      <c r="K229" s="72"/>
      <c r="L229" s="9"/>
      <c r="M229" s="9"/>
      <c r="N229" s="9"/>
      <c r="O229" s="9"/>
      <c r="P229" s="9"/>
      <c r="Q229" s="9"/>
    </row>
    <row r="230" spans="2:17" x14ac:dyDescent="0.2">
      <c r="B230" s="7"/>
      <c r="C230" s="72"/>
      <c r="D230" s="9"/>
      <c r="E230" s="72"/>
      <c r="F230" s="9"/>
      <c r="G230" s="16"/>
      <c r="H230" s="9"/>
      <c r="I230" s="9"/>
      <c r="J230" s="9"/>
      <c r="K230" s="72"/>
      <c r="L230" s="9"/>
      <c r="M230" s="9"/>
      <c r="N230" s="9"/>
      <c r="O230" s="9"/>
      <c r="P230" s="9"/>
      <c r="Q230" s="9"/>
    </row>
    <row r="231" spans="2:17" x14ac:dyDescent="0.2">
      <c r="B231" s="7"/>
      <c r="C231" s="72"/>
      <c r="D231" s="9"/>
      <c r="E231" s="72"/>
      <c r="F231" s="9"/>
      <c r="G231" s="16"/>
      <c r="H231" s="9"/>
      <c r="I231" s="9"/>
      <c r="J231" s="9"/>
      <c r="K231" s="72"/>
      <c r="L231" s="9"/>
      <c r="M231" s="9"/>
      <c r="N231" s="9"/>
      <c r="O231" s="9"/>
      <c r="P231" s="9"/>
      <c r="Q231" s="9"/>
    </row>
    <row r="232" spans="2:17" x14ac:dyDescent="0.2">
      <c r="B232" s="7"/>
      <c r="C232" s="72"/>
      <c r="D232" s="9"/>
      <c r="E232" s="72"/>
      <c r="F232" s="9"/>
      <c r="G232" s="16"/>
      <c r="H232" s="9"/>
      <c r="I232" s="9"/>
      <c r="J232" s="9"/>
      <c r="K232" s="72"/>
      <c r="L232" s="9"/>
      <c r="M232" s="9"/>
      <c r="N232" s="9"/>
      <c r="O232" s="9"/>
      <c r="P232" s="9"/>
      <c r="Q232" s="9"/>
    </row>
    <row r="233" spans="2:17" x14ac:dyDescent="0.2">
      <c r="B233" s="7"/>
      <c r="C233" s="72"/>
      <c r="D233" s="9"/>
      <c r="E233" s="72"/>
      <c r="F233" s="9"/>
      <c r="G233" s="16"/>
      <c r="H233" s="9"/>
      <c r="I233" s="9"/>
      <c r="J233" s="9"/>
      <c r="K233" s="72"/>
      <c r="L233" s="9"/>
      <c r="M233" s="9"/>
      <c r="N233" s="9"/>
      <c r="O233" s="9"/>
      <c r="P233" s="9"/>
      <c r="Q233" s="9"/>
    </row>
    <row r="234" spans="2:17" x14ac:dyDescent="0.2">
      <c r="B234" s="7"/>
      <c r="C234" s="72"/>
      <c r="D234" s="9"/>
      <c r="E234" s="72"/>
      <c r="F234" s="9"/>
      <c r="G234" s="16"/>
      <c r="H234" s="9"/>
      <c r="I234" s="9"/>
      <c r="J234" s="9"/>
      <c r="K234" s="72"/>
      <c r="L234" s="9"/>
      <c r="M234" s="9"/>
      <c r="N234" s="9"/>
      <c r="O234" s="9"/>
      <c r="P234" s="9"/>
      <c r="Q234" s="9"/>
    </row>
    <row r="235" spans="2:17" x14ac:dyDescent="0.2">
      <c r="B235" s="7"/>
      <c r="C235" s="72"/>
      <c r="D235" s="9"/>
      <c r="E235" s="72"/>
      <c r="F235" s="9"/>
      <c r="G235" s="16"/>
      <c r="H235" s="9"/>
      <c r="I235" s="9"/>
      <c r="J235" s="9"/>
      <c r="K235" s="72"/>
      <c r="L235" s="9"/>
      <c r="M235" s="9"/>
      <c r="N235" s="9"/>
      <c r="O235" s="9"/>
      <c r="P235" s="9"/>
      <c r="Q235" s="9"/>
    </row>
    <row r="236" spans="2:17" x14ac:dyDescent="0.2">
      <c r="B236" s="7"/>
      <c r="C236" s="72"/>
      <c r="D236" s="9"/>
      <c r="E236" s="72"/>
      <c r="F236" s="9"/>
      <c r="G236" s="16"/>
      <c r="H236" s="9"/>
      <c r="I236" s="9"/>
      <c r="J236" s="9"/>
      <c r="K236" s="72"/>
      <c r="L236" s="9"/>
      <c r="M236" s="9"/>
      <c r="N236" s="9"/>
      <c r="O236" s="9"/>
      <c r="P236" s="9"/>
      <c r="Q236" s="9"/>
    </row>
    <row r="237" spans="2:17" x14ac:dyDescent="0.2">
      <c r="B237" s="7"/>
      <c r="C237" s="72"/>
      <c r="D237" s="9"/>
      <c r="E237" s="72"/>
      <c r="F237" s="9"/>
      <c r="G237" s="16"/>
      <c r="H237" s="9"/>
      <c r="I237" s="9"/>
      <c r="J237" s="9"/>
      <c r="K237" s="72"/>
      <c r="L237" s="9"/>
      <c r="M237" s="9"/>
      <c r="N237" s="9"/>
      <c r="O237" s="9"/>
      <c r="P237" s="9"/>
      <c r="Q237" s="9"/>
    </row>
    <row r="238" spans="2:17" x14ac:dyDescent="0.2">
      <c r="B238" s="7"/>
      <c r="C238" s="72"/>
      <c r="D238" s="9"/>
      <c r="E238" s="72"/>
      <c r="F238" s="9"/>
      <c r="G238" s="16"/>
      <c r="H238" s="9"/>
      <c r="I238" s="9"/>
      <c r="J238" s="9"/>
      <c r="K238" s="72"/>
      <c r="L238" s="9"/>
      <c r="M238" s="9"/>
      <c r="N238" s="9"/>
      <c r="O238" s="9"/>
      <c r="P238" s="9"/>
      <c r="Q238" s="9"/>
    </row>
    <row r="239" spans="2:17" x14ac:dyDescent="0.2">
      <c r="B239" s="7"/>
      <c r="C239" s="72"/>
      <c r="D239" s="9"/>
      <c r="E239" s="72"/>
      <c r="F239" s="9"/>
      <c r="G239" s="16"/>
      <c r="H239" s="9"/>
      <c r="I239" s="9"/>
      <c r="J239" s="9"/>
      <c r="K239" s="72"/>
      <c r="L239" s="9"/>
      <c r="M239" s="9"/>
      <c r="N239" s="9"/>
      <c r="O239" s="9"/>
      <c r="P239" s="9"/>
      <c r="Q239" s="9"/>
    </row>
    <row r="240" spans="2:17" x14ac:dyDescent="0.2">
      <c r="B240" s="7"/>
      <c r="C240" s="72"/>
      <c r="D240" s="9"/>
      <c r="E240" s="72"/>
      <c r="F240" s="9"/>
      <c r="G240" s="16"/>
      <c r="H240" s="9"/>
      <c r="I240" s="9"/>
      <c r="J240" s="9"/>
      <c r="K240" s="72"/>
      <c r="L240" s="9"/>
      <c r="M240" s="9"/>
      <c r="N240" s="9"/>
      <c r="O240" s="9"/>
      <c r="P240" s="9"/>
      <c r="Q240" s="9"/>
    </row>
    <row r="241" spans="2:17" x14ac:dyDescent="0.2">
      <c r="B241" s="7"/>
      <c r="C241" s="72"/>
      <c r="D241" s="9"/>
      <c r="E241" s="72"/>
      <c r="F241" s="9"/>
      <c r="G241" s="16"/>
      <c r="H241" s="9"/>
      <c r="I241" s="9"/>
      <c r="J241" s="9"/>
      <c r="K241" s="72"/>
      <c r="L241" s="9"/>
      <c r="M241" s="9"/>
      <c r="N241" s="9"/>
      <c r="O241" s="9"/>
      <c r="P241" s="9"/>
      <c r="Q241" s="9"/>
    </row>
    <row r="242" spans="2:17" x14ac:dyDescent="0.2">
      <c r="B242" s="7"/>
      <c r="C242" s="72"/>
      <c r="D242" s="9"/>
      <c r="E242" s="72"/>
      <c r="F242" s="9"/>
      <c r="G242" s="16"/>
      <c r="H242" s="9"/>
      <c r="I242" s="9"/>
      <c r="J242" s="9"/>
      <c r="K242" s="72"/>
      <c r="L242" s="9"/>
      <c r="M242" s="9"/>
      <c r="N242" s="9"/>
      <c r="O242" s="9"/>
      <c r="P242" s="9"/>
      <c r="Q242" s="9"/>
    </row>
    <row r="243" spans="2:17" x14ac:dyDescent="0.2">
      <c r="B243" s="7"/>
      <c r="C243" s="72"/>
      <c r="D243" s="9"/>
      <c r="E243" s="72"/>
      <c r="F243" s="9"/>
      <c r="G243" s="16"/>
      <c r="H243" s="9"/>
      <c r="I243" s="9"/>
      <c r="J243" s="9"/>
      <c r="K243" s="72"/>
      <c r="L243" s="9"/>
      <c r="M243" s="9"/>
      <c r="N243" s="9"/>
      <c r="O243" s="9"/>
      <c r="P243" s="9"/>
      <c r="Q243" s="9"/>
    </row>
    <row r="244" spans="2:17" x14ac:dyDescent="0.2">
      <c r="B244" s="7"/>
      <c r="C244" s="72"/>
      <c r="D244" s="9"/>
      <c r="E244" s="72"/>
      <c r="F244" s="9"/>
      <c r="G244" s="16"/>
      <c r="H244" s="9"/>
      <c r="I244" s="9"/>
      <c r="J244" s="9"/>
      <c r="K244" s="72"/>
      <c r="L244" s="9"/>
      <c r="M244" s="9"/>
      <c r="N244" s="9"/>
      <c r="O244" s="9"/>
      <c r="P244" s="9"/>
      <c r="Q244" s="9"/>
    </row>
    <row r="245" spans="2:17" x14ac:dyDescent="0.2">
      <c r="B245" s="7"/>
      <c r="C245" s="72"/>
      <c r="D245" s="9"/>
      <c r="E245" s="72"/>
      <c r="F245" s="9"/>
      <c r="G245" s="16"/>
      <c r="H245" s="9"/>
      <c r="I245" s="9"/>
      <c r="J245" s="9"/>
      <c r="K245" s="72"/>
      <c r="L245" s="9"/>
      <c r="M245" s="9"/>
      <c r="N245" s="9"/>
      <c r="O245" s="9"/>
      <c r="P245" s="9"/>
      <c r="Q245" s="9"/>
    </row>
    <row r="246" spans="2:17" x14ac:dyDescent="0.2">
      <c r="B246" s="7"/>
      <c r="C246" s="72"/>
      <c r="D246" s="9"/>
      <c r="E246" s="72"/>
      <c r="F246" s="9"/>
      <c r="G246" s="16"/>
      <c r="H246" s="9"/>
      <c r="I246" s="9"/>
      <c r="J246" s="9"/>
      <c r="K246" s="72"/>
      <c r="L246" s="9"/>
      <c r="M246" s="9"/>
      <c r="N246" s="9"/>
      <c r="O246" s="9"/>
      <c r="P246" s="9"/>
      <c r="Q246" s="9"/>
    </row>
    <row r="247" spans="2:17" x14ac:dyDescent="0.2">
      <c r="B247" s="7"/>
      <c r="C247" s="72"/>
      <c r="D247" s="9"/>
      <c r="E247" s="72"/>
      <c r="F247" s="9"/>
      <c r="G247" s="16"/>
      <c r="H247" s="9"/>
      <c r="I247" s="9"/>
      <c r="J247" s="9"/>
      <c r="K247" s="72"/>
      <c r="L247" s="9"/>
      <c r="M247" s="9"/>
      <c r="N247" s="9"/>
      <c r="O247" s="9"/>
      <c r="P247" s="9"/>
      <c r="Q247" s="9"/>
    </row>
    <row r="248" spans="2:17" x14ac:dyDescent="0.2">
      <c r="B248" s="7"/>
      <c r="C248" s="72"/>
      <c r="D248" s="9"/>
      <c r="E248" s="72"/>
      <c r="F248" s="9"/>
      <c r="G248" s="16"/>
      <c r="H248" s="9"/>
      <c r="I248" s="9"/>
      <c r="J248" s="9"/>
      <c r="K248" s="72"/>
      <c r="L248" s="9"/>
      <c r="M248" s="9"/>
      <c r="N248" s="9"/>
      <c r="O248" s="9"/>
      <c r="P248" s="9"/>
      <c r="Q248" s="9"/>
    </row>
    <row r="249" spans="2:17" x14ac:dyDescent="0.2">
      <c r="B249" s="7"/>
      <c r="C249" s="72"/>
      <c r="D249" s="9"/>
      <c r="E249" s="72"/>
      <c r="F249" s="9"/>
      <c r="G249" s="16"/>
      <c r="H249" s="9"/>
      <c r="I249" s="9"/>
      <c r="J249" s="9"/>
      <c r="K249" s="72"/>
      <c r="L249" s="9"/>
      <c r="M249" s="9"/>
      <c r="N249" s="9"/>
      <c r="O249" s="9"/>
      <c r="P249" s="9"/>
      <c r="Q249" s="9"/>
    </row>
    <row r="250" spans="2:17" x14ac:dyDescent="0.2">
      <c r="B250" s="7"/>
      <c r="C250" s="72"/>
      <c r="D250" s="9"/>
      <c r="E250" s="72"/>
      <c r="F250" s="9"/>
      <c r="G250" s="16"/>
      <c r="H250" s="9"/>
      <c r="I250" s="9"/>
      <c r="J250" s="9"/>
      <c r="K250" s="72"/>
      <c r="L250" s="9"/>
      <c r="M250" s="9"/>
      <c r="N250" s="9"/>
      <c r="O250" s="9"/>
      <c r="P250" s="9"/>
      <c r="Q250" s="9"/>
    </row>
    <row r="251" spans="2:17" x14ac:dyDescent="0.2">
      <c r="B251" s="7"/>
      <c r="C251" s="72"/>
      <c r="D251" s="9"/>
      <c r="E251" s="72"/>
      <c r="F251" s="9"/>
      <c r="G251" s="16"/>
      <c r="H251" s="9"/>
      <c r="I251" s="9"/>
      <c r="J251" s="9"/>
      <c r="K251" s="72"/>
      <c r="L251" s="9"/>
      <c r="M251" s="9"/>
      <c r="N251" s="9"/>
      <c r="O251" s="9"/>
      <c r="P251" s="9"/>
      <c r="Q251" s="9"/>
    </row>
    <row r="252" spans="2:17" x14ac:dyDescent="0.2">
      <c r="B252" s="7"/>
      <c r="C252" s="72"/>
      <c r="D252" s="9"/>
      <c r="E252" s="72"/>
      <c r="F252" s="9"/>
      <c r="G252" s="16"/>
      <c r="H252" s="9"/>
      <c r="I252" s="9"/>
      <c r="J252" s="9"/>
      <c r="K252" s="72"/>
      <c r="L252" s="9"/>
      <c r="M252" s="9"/>
      <c r="N252" s="9"/>
      <c r="O252" s="9"/>
      <c r="P252" s="9"/>
      <c r="Q252" s="9"/>
    </row>
    <row r="253" spans="2:17" x14ac:dyDescent="0.2">
      <c r="B253" s="7"/>
      <c r="C253" s="72"/>
      <c r="D253" s="9"/>
      <c r="E253" s="72"/>
      <c r="F253" s="9"/>
      <c r="G253" s="16"/>
      <c r="H253" s="9"/>
      <c r="I253" s="9"/>
      <c r="J253" s="9"/>
      <c r="K253" s="72"/>
      <c r="L253" s="9"/>
      <c r="M253" s="9"/>
      <c r="N253" s="9"/>
      <c r="O253" s="9"/>
      <c r="P253" s="9"/>
      <c r="Q253" s="9"/>
    </row>
    <row r="254" spans="2:17" x14ac:dyDescent="0.2">
      <c r="B254" s="7"/>
      <c r="C254" s="72"/>
      <c r="D254" s="9"/>
      <c r="E254" s="72"/>
      <c r="F254" s="9"/>
      <c r="G254" s="16"/>
      <c r="H254" s="9"/>
      <c r="I254" s="9"/>
      <c r="J254" s="9"/>
      <c r="K254" s="72"/>
      <c r="L254" s="9"/>
      <c r="M254" s="9"/>
      <c r="N254" s="9"/>
      <c r="O254" s="9"/>
      <c r="P254" s="9"/>
      <c r="Q254" s="9"/>
    </row>
    <row r="255" spans="2:17" x14ac:dyDescent="0.2">
      <c r="B255" s="7"/>
      <c r="C255" s="72"/>
      <c r="D255" s="9"/>
      <c r="E255" s="72"/>
      <c r="F255" s="9"/>
      <c r="G255" s="16"/>
      <c r="H255" s="9"/>
      <c r="I255" s="9"/>
      <c r="J255" s="9"/>
      <c r="K255" s="72"/>
      <c r="L255" s="9"/>
      <c r="M255" s="9"/>
      <c r="N255" s="9"/>
      <c r="O255" s="9"/>
      <c r="P255" s="9"/>
      <c r="Q255" s="9"/>
    </row>
    <row r="256" spans="2:17" x14ac:dyDescent="0.2">
      <c r="B256" s="7"/>
      <c r="C256" s="72"/>
      <c r="D256" s="9"/>
      <c r="E256" s="72"/>
      <c r="F256" s="9"/>
      <c r="G256" s="16"/>
      <c r="H256" s="9"/>
      <c r="I256" s="9"/>
      <c r="J256" s="9"/>
      <c r="K256" s="72"/>
      <c r="L256" s="9"/>
      <c r="M256" s="9"/>
      <c r="N256" s="9"/>
      <c r="O256" s="9"/>
      <c r="P256" s="9"/>
      <c r="Q256" s="9"/>
    </row>
    <row r="257" spans="2:17" x14ac:dyDescent="0.2">
      <c r="B257" s="7"/>
      <c r="C257" s="72"/>
      <c r="D257" s="9"/>
      <c r="E257" s="72"/>
      <c r="F257" s="9"/>
      <c r="G257" s="16"/>
      <c r="H257" s="9"/>
      <c r="I257" s="9"/>
      <c r="J257" s="9"/>
      <c r="K257" s="72"/>
      <c r="L257" s="9"/>
      <c r="M257" s="9"/>
      <c r="N257" s="9"/>
      <c r="O257" s="9"/>
      <c r="P257" s="9"/>
      <c r="Q257" s="9"/>
    </row>
    <row r="258" spans="2:17" x14ac:dyDescent="0.2">
      <c r="B258" s="7"/>
      <c r="C258" s="72"/>
      <c r="D258" s="9"/>
      <c r="E258" s="72"/>
      <c r="F258" s="9"/>
      <c r="G258" s="16"/>
      <c r="H258" s="9"/>
      <c r="I258" s="9"/>
      <c r="J258" s="9"/>
      <c r="K258" s="72"/>
      <c r="L258" s="9"/>
      <c r="M258" s="9"/>
      <c r="N258" s="9"/>
      <c r="O258" s="9"/>
      <c r="P258" s="9"/>
      <c r="Q258" s="9"/>
    </row>
    <row r="259" spans="2:17" x14ac:dyDescent="0.2">
      <c r="B259" s="7"/>
      <c r="C259" s="72"/>
      <c r="D259" s="9"/>
      <c r="E259" s="72"/>
      <c r="F259" s="9"/>
      <c r="G259" s="16"/>
      <c r="H259" s="9"/>
      <c r="I259" s="9"/>
      <c r="J259" s="9"/>
      <c r="K259" s="72"/>
      <c r="L259" s="9"/>
      <c r="M259" s="9"/>
      <c r="N259" s="9"/>
      <c r="O259" s="9"/>
      <c r="P259" s="9"/>
      <c r="Q259" s="9"/>
    </row>
    <row r="260" spans="2:17" x14ac:dyDescent="0.2">
      <c r="B260" s="7"/>
      <c r="C260" s="72"/>
      <c r="D260" s="9"/>
      <c r="E260" s="72"/>
      <c r="F260" s="9"/>
      <c r="G260" s="16"/>
      <c r="H260" s="9"/>
      <c r="I260" s="9"/>
      <c r="J260" s="9"/>
      <c r="K260" s="72"/>
      <c r="L260" s="9"/>
      <c r="M260" s="9"/>
      <c r="N260" s="9"/>
      <c r="O260" s="9"/>
      <c r="P260" s="9"/>
      <c r="Q260" s="9"/>
    </row>
    <row r="261" spans="2:17" x14ac:dyDescent="0.2">
      <c r="B261" s="7"/>
      <c r="C261" s="72"/>
      <c r="D261" s="9"/>
      <c r="E261" s="72"/>
      <c r="F261" s="9"/>
      <c r="G261" s="16"/>
      <c r="H261" s="9"/>
      <c r="I261" s="9"/>
      <c r="J261" s="9"/>
      <c r="K261" s="72"/>
      <c r="L261" s="9"/>
      <c r="M261" s="9"/>
      <c r="N261" s="9"/>
      <c r="O261" s="9"/>
      <c r="P261" s="9"/>
      <c r="Q261" s="9"/>
    </row>
    <row r="262" spans="2:17" x14ac:dyDescent="0.2">
      <c r="B262" s="7"/>
      <c r="C262" s="72"/>
      <c r="D262" s="9"/>
      <c r="E262" s="72"/>
      <c r="F262" s="9"/>
      <c r="G262" s="16"/>
      <c r="H262" s="9"/>
      <c r="I262" s="9"/>
      <c r="J262" s="9"/>
      <c r="K262" s="72"/>
      <c r="L262" s="9"/>
      <c r="M262" s="9"/>
      <c r="N262" s="9"/>
      <c r="O262" s="9"/>
      <c r="P262" s="9"/>
      <c r="Q262" s="9"/>
    </row>
    <row r="263" spans="2:17" x14ac:dyDescent="0.2">
      <c r="B263" s="7"/>
      <c r="C263" s="72"/>
      <c r="D263" s="9"/>
      <c r="E263" s="72"/>
      <c r="F263" s="9"/>
      <c r="G263" s="16"/>
      <c r="H263" s="9"/>
      <c r="I263" s="9"/>
      <c r="J263" s="9"/>
      <c r="K263" s="72"/>
      <c r="L263" s="9"/>
      <c r="M263" s="9"/>
      <c r="N263" s="9"/>
      <c r="O263" s="9"/>
      <c r="P263" s="9"/>
      <c r="Q263" s="9"/>
    </row>
    <row r="264" spans="2:17" x14ac:dyDescent="0.2">
      <c r="B264" s="7"/>
      <c r="C264" s="72"/>
      <c r="D264" s="9"/>
      <c r="E264" s="72"/>
      <c r="F264" s="9"/>
      <c r="G264" s="16"/>
      <c r="H264" s="9"/>
      <c r="I264" s="9"/>
      <c r="J264" s="9"/>
      <c r="K264" s="72"/>
      <c r="L264" s="9"/>
      <c r="M264" s="9"/>
      <c r="N264" s="9"/>
      <c r="O264" s="9"/>
      <c r="P264" s="9"/>
      <c r="Q264" s="9"/>
    </row>
    <row r="265" spans="2:17" x14ac:dyDescent="0.2">
      <c r="B265" s="7"/>
      <c r="C265" s="72"/>
      <c r="D265" s="9"/>
      <c r="E265" s="72"/>
      <c r="F265" s="9"/>
      <c r="G265" s="16"/>
      <c r="H265" s="9"/>
      <c r="I265" s="9"/>
      <c r="J265" s="9"/>
      <c r="K265" s="72"/>
      <c r="L265" s="9"/>
      <c r="M265" s="9"/>
      <c r="N265" s="9"/>
      <c r="O265" s="9"/>
      <c r="P265" s="9"/>
      <c r="Q265" s="9"/>
    </row>
    <row r="266" spans="2:17" x14ac:dyDescent="0.2">
      <c r="B266" s="7"/>
      <c r="C266" s="72"/>
      <c r="D266" s="9"/>
      <c r="E266" s="72"/>
      <c r="F266" s="9"/>
      <c r="G266" s="16"/>
      <c r="H266" s="9"/>
      <c r="I266" s="9"/>
      <c r="J266" s="9"/>
      <c r="K266" s="72"/>
      <c r="L266" s="9"/>
      <c r="M266" s="9"/>
      <c r="N266" s="9"/>
      <c r="O266" s="9"/>
      <c r="P266" s="9"/>
      <c r="Q266" s="9"/>
    </row>
    <row r="267" spans="2:17" x14ac:dyDescent="0.2">
      <c r="B267" s="7"/>
      <c r="C267" s="72"/>
      <c r="D267" s="9"/>
      <c r="E267" s="72"/>
      <c r="F267" s="9"/>
      <c r="G267" s="16"/>
      <c r="H267" s="9"/>
      <c r="I267" s="9"/>
      <c r="J267" s="9"/>
      <c r="K267" s="72"/>
      <c r="L267" s="9"/>
      <c r="M267" s="9"/>
      <c r="N267" s="9"/>
      <c r="O267" s="9"/>
      <c r="P267" s="9"/>
      <c r="Q267" s="9"/>
    </row>
    <row r="268" spans="2:17" x14ac:dyDescent="0.2">
      <c r="B268" s="7"/>
      <c r="C268" s="72"/>
      <c r="D268" s="9"/>
      <c r="E268" s="72"/>
      <c r="F268" s="9"/>
      <c r="G268" s="16"/>
      <c r="H268" s="9"/>
      <c r="I268" s="9"/>
      <c r="J268" s="9"/>
      <c r="K268" s="72"/>
      <c r="L268" s="9"/>
      <c r="M268" s="9"/>
      <c r="N268" s="9"/>
      <c r="O268" s="9"/>
      <c r="P268" s="9"/>
      <c r="Q268" s="9"/>
    </row>
    <row r="269" spans="2:17" x14ac:dyDescent="0.2">
      <c r="B269" s="7"/>
      <c r="C269" s="72"/>
      <c r="D269" s="9"/>
      <c r="E269" s="72"/>
      <c r="F269" s="9"/>
      <c r="G269" s="16"/>
      <c r="H269" s="9"/>
      <c r="I269" s="9"/>
      <c r="J269" s="9"/>
      <c r="K269" s="72"/>
      <c r="L269" s="9"/>
      <c r="M269" s="9"/>
      <c r="N269" s="9"/>
      <c r="O269" s="9"/>
      <c r="P269" s="9"/>
      <c r="Q269" s="9"/>
    </row>
    <row r="270" spans="2:17" x14ac:dyDescent="0.2">
      <c r="B270" s="7"/>
      <c r="C270" s="72"/>
      <c r="D270" s="9"/>
      <c r="E270" s="72"/>
      <c r="F270" s="9"/>
      <c r="G270" s="16"/>
      <c r="H270" s="9"/>
      <c r="I270" s="9"/>
      <c r="J270" s="9"/>
      <c r="K270" s="72"/>
      <c r="L270" s="9"/>
      <c r="M270" s="9"/>
      <c r="N270" s="9"/>
      <c r="O270" s="9"/>
      <c r="P270" s="9"/>
      <c r="Q270" s="9"/>
    </row>
    <row r="271" spans="2:17" x14ac:dyDescent="0.2">
      <c r="B271" s="7"/>
      <c r="C271" s="72"/>
      <c r="D271" s="9"/>
      <c r="E271" s="72"/>
      <c r="F271" s="9"/>
      <c r="G271" s="16"/>
      <c r="H271" s="9"/>
      <c r="I271" s="9"/>
      <c r="J271" s="9"/>
      <c r="K271" s="72"/>
      <c r="L271" s="9"/>
      <c r="M271" s="9"/>
      <c r="N271" s="9"/>
      <c r="O271" s="9"/>
      <c r="P271" s="9"/>
      <c r="Q271" s="9"/>
    </row>
    <row r="272" spans="2:17" x14ac:dyDescent="0.2">
      <c r="B272" s="7"/>
      <c r="C272" s="72"/>
      <c r="D272" s="9"/>
      <c r="E272" s="72"/>
      <c r="F272" s="9"/>
      <c r="G272" s="16"/>
      <c r="H272" s="9"/>
      <c r="I272" s="9"/>
      <c r="J272" s="9"/>
      <c r="K272" s="72"/>
      <c r="L272" s="9"/>
      <c r="M272" s="9"/>
      <c r="N272" s="9"/>
      <c r="O272" s="9"/>
      <c r="P272" s="9"/>
      <c r="Q272" s="9"/>
    </row>
    <row r="273" spans="2:17" x14ac:dyDescent="0.2">
      <c r="B273" s="7"/>
      <c r="C273" s="72"/>
      <c r="D273" s="9"/>
      <c r="E273" s="72"/>
      <c r="F273" s="9"/>
      <c r="G273" s="16"/>
      <c r="H273" s="9"/>
      <c r="I273" s="9"/>
      <c r="J273" s="9"/>
      <c r="K273" s="72"/>
      <c r="L273" s="9"/>
      <c r="M273" s="9"/>
      <c r="N273" s="9"/>
      <c r="O273" s="9"/>
      <c r="P273" s="9"/>
      <c r="Q273" s="9"/>
    </row>
    <row r="274" spans="2:17" x14ac:dyDescent="0.2">
      <c r="B274" s="7"/>
      <c r="C274" s="72"/>
      <c r="D274" s="9"/>
      <c r="E274" s="72"/>
      <c r="F274" s="9"/>
      <c r="G274" s="16"/>
      <c r="H274" s="9"/>
      <c r="I274" s="9"/>
      <c r="J274" s="9"/>
      <c r="K274" s="72"/>
      <c r="L274" s="9"/>
      <c r="M274" s="9"/>
      <c r="N274" s="9"/>
      <c r="O274" s="9"/>
      <c r="P274" s="9"/>
      <c r="Q274" s="9"/>
    </row>
    <row r="275" spans="2:17" x14ac:dyDescent="0.2">
      <c r="B275" s="7"/>
      <c r="C275" s="72"/>
      <c r="D275" s="9"/>
      <c r="E275" s="72"/>
      <c r="F275" s="9"/>
      <c r="G275" s="16"/>
      <c r="H275" s="9"/>
      <c r="I275" s="9"/>
      <c r="J275" s="9"/>
      <c r="K275" s="72"/>
      <c r="L275" s="9"/>
      <c r="M275" s="9"/>
      <c r="N275" s="9"/>
      <c r="O275" s="9"/>
      <c r="P275" s="9"/>
      <c r="Q275" s="9"/>
    </row>
    <row r="276" spans="2:17" x14ac:dyDescent="0.2">
      <c r="B276" s="7"/>
      <c r="C276" s="72"/>
      <c r="D276" s="9"/>
      <c r="E276" s="72"/>
      <c r="F276" s="9"/>
      <c r="G276" s="16"/>
      <c r="H276" s="9"/>
      <c r="I276" s="9"/>
      <c r="J276" s="9"/>
      <c r="K276" s="72"/>
      <c r="L276" s="9"/>
      <c r="M276" s="9"/>
      <c r="N276" s="9"/>
      <c r="O276" s="9"/>
      <c r="P276" s="9"/>
      <c r="Q276" s="9"/>
    </row>
    <row r="277" spans="2:17" x14ac:dyDescent="0.2">
      <c r="B277" s="7"/>
      <c r="C277" s="72"/>
      <c r="D277" s="9"/>
      <c r="E277" s="72"/>
      <c r="F277" s="9"/>
      <c r="G277" s="16"/>
      <c r="H277" s="9"/>
      <c r="I277" s="9"/>
      <c r="J277" s="9"/>
      <c r="K277" s="72"/>
      <c r="L277" s="9"/>
      <c r="M277" s="9"/>
      <c r="N277" s="9"/>
      <c r="O277" s="9"/>
      <c r="P277" s="9"/>
      <c r="Q277" s="9"/>
    </row>
    <row r="278" spans="2:17" x14ac:dyDescent="0.2">
      <c r="B278" s="7"/>
      <c r="C278" s="72"/>
      <c r="D278" s="9"/>
      <c r="E278" s="72"/>
      <c r="F278" s="9"/>
      <c r="G278" s="16"/>
      <c r="H278" s="9"/>
      <c r="I278" s="9"/>
      <c r="J278" s="9"/>
      <c r="K278" s="72"/>
      <c r="L278" s="9"/>
      <c r="M278" s="9"/>
      <c r="N278" s="9"/>
      <c r="O278" s="9"/>
      <c r="P278" s="9"/>
      <c r="Q278" s="9"/>
    </row>
    <row r="279" spans="2:17" x14ac:dyDescent="0.2">
      <c r="B279" s="7"/>
      <c r="C279" s="72"/>
      <c r="D279" s="9"/>
      <c r="E279" s="72"/>
      <c r="F279" s="9"/>
      <c r="G279" s="16"/>
      <c r="H279" s="9"/>
      <c r="I279" s="9"/>
      <c r="J279" s="9"/>
      <c r="K279" s="72"/>
      <c r="L279" s="9"/>
      <c r="M279" s="9"/>
      <c r="N279" s="9"/>
      <c r="O279" s="9"/>
      <c r="P279" s="9"/>
      <c r="Q279" s="9"/>
    </row>
    <row r="280" spans="2:17" x14ac:dyDescent="0.2">
      <c r="B280" s="7"/>
      <c r="C280" s="72"/>
      <c r="D280" s="9"/>
      <c r="E280" s="72"/>
      <c r="F280" s="9"/>
      <c r="G280" s="16"/>
      <c r="H280" s="9"/>
      <c r="I280" s="9"/>
      <c r="J280" s="9"/>
      <c r="K280" s="72"/>
      <c r="L280" s="9"/>
      <c r="M280" s="9"/>
      <c r="N280" s="9"/>
      <c r="O280" s="9"/>
      <c r="P280" s="9"/>
      <c r="Q280" s="9"/>
    </row>
    <row r="281" spans="2:17" x14ac:dyDescent="0.2">
      <c r="B281" s="7"/>
      <c r="C281" s="72"/>
      <c r="D281" s="9"/>
      <c r="E281" s="72"/>
      <c r="F281" s="9"/>
      <c r="G281" s="16"/>
      <c r="H281" s="9"/>
      <c r="I281" s="9"/>
      <c r="J281" s="9"/>
      <c r="K281" s="72"/>
      <c r="L281" s="9"/>
      <c r="M281" s="9"/>
      <c r="N281" s="9"/>
      <c r="O281" s="9"/>
      <c r="P281" s="9"/>
      <c r="Q281" s="9"/>
    </row>
    <row r="282" spans="2:17" x14ac:dyDescent="0.2">
      <c r="B282" s="7"/>
      <c r="C282" s="72"/>
      <c r="D282" s="9"/>
      <c r="E282" s="72"/>
      <c r="F282" s="9"/>
      <c r="G282" s="16"/>
      <c r="H282" s="9"/>
      <c r="I282" s="9"/>
      <c r="J282" s="9"/>
      <c r="K282" s="72"/>
      <c r="L282" s="9"/>
      <c r="M282" s="9"/>
      <c r="N282" s="9"/>
      <c r="O282" s="9"/>
      <c r="P282" s="9"/>
      <c r="Q282" s="9"/>
    </row>
    <row r="283" spans="2:17" x14ac:dyDescent="0.2">
      <c r="B283" s="7"/>
      <c r="C283" s="72"/>
      <c r="D283" s="9"/>
      <c r="E283" s="72"/>
      <c r="F283" s="9"/>
      <c r="G283" s="16"/>
      <c r="H283" s="9"/>
      <c r="I283" s="9"/>
      <c r="J283" s="9"/>
      <c r="K283" s="72"/>
      <c r="L283" s="9"/>
      <c r="M283" s="9"/>
      <c r="N283" s="9"/>
      <c r="O283" s="9"/>
      <c r="P283" s="9"/>
      <c r="Q283" s="9"/>
    </row>
    <row r="284" spans="2:17" x14ac:dyDescent="0.2">
      <c r="B284" s="7"/>
      <c r="C284" s="72"/>
      <c r="D284" s="9"/>
      <c r="E284" s="72"/>
      <c r="F284" s="9"/>
      <c r="G284" s="16"/>
      <c r="H284" s="9"/>
      <c r="I284" s="9"/>
      <c r="J284" s="9"/>
      <c r="K284" s="72"/>
      <c r="L284" s="9"/>
      <c r="M284" s="9"/>
      <c r="N284" s="9"/>
      <c r="O284" s="9"/>
      <c r="P284" s="9"/>
      <c r="Q284" s="9"/>
    </row>
    <row r="285" spans="2:17" x14ac:dyDescent="0.2">
      <c r="B285" s="7"/>
      <c r="C285" s="72"/>
      <c r="D285" s="9"/>
      <c r="E285" s="72"/>
      <c r="F285" s="9"/>
      <c r="G285" s="16"/>
      <c r="H285" s="9"/>
      <c r="I285" s="9"/>
      <c r="J285" s="9"/>
      <c r="K285" s="72"/>
      <c r="L285" s="9"/>
      <c r="M285" s="9"/>
      <c r="N285" s="9"/>
      <c r="O285" s="9"/>
      <c r="P285" s="9"/>
      <c r="Q285" s="9"/>
    </row>
    <row r="286" spans="2:17" x14ac:dyDescent="0.2">
      <c r="B286" s="7"/>
      <c r="C286" s="72"/>
      <c r="D286" s="9"/>
      <c r="E286" s="72"/>
      <c r="F286" s="9"/>
      <c r="G286" s="16"/>
      <c r="H286" s="9"/>
      <c r="I286" s="9"/>
      <c r="J286" s="9"/>
      <c r="K286" s="72"/>
      <c r="L286" s="9"/>
      <c r="M286" s="9"/>
      <c r="N286" s="9"/>
      <c r="O286" s="9"/>
      <c r="P286" s="9"/>
      <c r="Q286" s="9"/>
    </row>
    <row r="287" spans="2:17" x14ac:dyDescent="0.2">
      <c r="B287" s="7"/>
      <c r="C287" s="72"/>
      <c r="D287" s="9"/>
      <c r="E287" s="72"/>
      <c r="F287" s="9"/>
      <c r="G287" s="16"/>
      <c r="H287" s="9"/>
      <c r="I287" s="9"/>
      <c r="J287" s="9"/>
      <c r="K287" s="72"/>
      <c r="L287" s="9"/>
      <c r="M287" s="9"/>
      <c r="N287" s="9"/>
      <c r="O287" s="9"/>
      <c r="P287" s="9"/>
      <c r="Q287" s="9"/>
    </row>
    <row r="288" spans="2:17" x14ac:dyDescent="0.2">
      <c r="B288" s="7"/>
      <c r="C288" s="72"/>
      <c r="D288" s="9"/>
      <c r="E288" s="72"/>
      <c r="F288" s="9"/>
      <c r="G288" s="16"/>
      <c r="H288" s="9"/>
      <c r="I288" s="9"/>
      <c r="J288" s="9"/>
      <c r="K288" s="72"/>
      <c r="L288" s="9"/>
      <c r="M288" s="9"/>
      <c r="N288" s="9"/>
      <c r="O288" s="9"/>
      <c r="P288" s="9"/>
      <c r="Q288" s="9"/>
    </row>
    <row r="289" spans="2:17" x14ac:dyDescent="0.2">
      <c r="B289" s="7"/>
      <c r="C289" s="72"/>
      <c r="D289" s="9"/>
      <c r="E289" s="72"/>
      <c r="F289" s="9"/>
      <c r="G289" s="16"/>
      <c r="H289" s="9"/>
      <c r="I289" s="9"/>
      <c r="J289" s="9"/>
      <c r="K289" s="72"/>
      <c r="L289" s="9"/>
      <c r="M289" s="9"/>
      <c r="N289" s="9"/>
      <c r="O289" s="9"/>
      <c r="P289" s="9"/>
      <c r="Q289" s="9"/>
    </row>
    <row r="290" spans="2:17" x14ac:dyDescent="0.2">
      <c r="B290" s="7"/>
      <c r="C290" s="72"/>
      <c r="D290" s="9"/>
      <c r="E290" s="72"/>
      <c r="F290" s="9"/>
      <c r="G290" s="16"/>
      <c r="H290" s="9"/>
      <c r="I290" s="9"/>
      <c r="J290" s="9"/>
      <c r="K290" s="72"/>
      <c r="L290" s="9"/>
      <c r="M290" s="9"/>
      <c r="N290" s="9"/>
      <c r="O290" s="9"/>
      <c r="P290" s="9"/>
      <c r="Q290" s="9"/>
    </row>
    <row r="291" spans="2:17" x14ac:dyDescent="0.2">
      <c r="B291" s="7"/>
      <c r="C291" s="72"/>
      <c r="D291" s="9"/>
      <c r="E291" s="72"/>
      <c r="F291" s="9"/>
      <c r="G291" s="16"/>
      <c r="H291" s="9"/>
      <c r="I291" s="9"/>
      <c r="J291" s="9"/>
      <c r="K291" s="72"/>
      <c r="L291" s="9"/>
      <c r="M291" s="9"/>
      <c r="N291" s="9"/>
      <c r="O291" s="9"/>
      <c r="P291" s="9"/>
      <c r="Q291" s="9"/>
    </row>
    <row r="292" spans="2:17" x14ac:dyDescent="0.2">
      <c r="B292" s="7"/>
      <c r="C292" s="72"/>
      <c r="D292" s="9"/>
      <c r="E292" s="72"/>
      <c r="F292" s="9"/>
      <c r="G292" s="16"/>
      <c r="H292" s="9"/>
      <c r="I292" s="9"/>
      <c r="J292" s="9"/>
      <c r="K292" s="72"/>
      <c r="L292" s="9"/>
      <c r="M292" s="9"/>
      <c r="N292" s="9"/>
      <c r="O292" s="9"/>
      <c r="P292" s="9"/>
      <c r="Q292" s="9"/>
    </row>
    <row r="293" spans="2:17" x14ac:dyDescent="0.2">
      <c r="B293" s="7"/>
      <c r="C293" s="72"/>
      <c r="D293" s="9"/>
      <c r="E293" s="72"/>
      <c r="F293" s="9"/>
      <c r="G293" s="16"/>
      <c r="H293" s="9"/>
      <c r="I293" s="9"/>
      <c r="J293" s="9"/>
      <c r="K293" s="72"/>
      <c r="L293" s="9"/>
      <c r="M293" s="9"/>
      <c r="N293" s="9"/>
      <c r="O293" s="9"/>
      <c r="P293" s="9"/>
      <c r="Q293" s="9"/>
    </row>
    <row r="294" spans="2:17" x14ac:dyDescent="0.2">
      <c r="B294" s="7"/>
      <c r="C294" s="72"/>
      <c r="D294" s="9"/>
      <c r="E294" s="72"/>
      <c r="F294" s="9"/>
      <c r="G294" s="16"/>
      <c r="H294" s="9"/>
      <c r="I294" s="9"/>
      <c r="J294" s="9"/>
      <c r="K294" s="72"/>
      <c r="L294" s="9"/>
      <c r="M294" s="9"/>
      <c r="N294" s="9"/>
      <c r="O294" s="9"/>
      <c r="P294" s="9"/>
      <c r="Q294" s="9"/>
    </row>
    <row r="295" spans="2:17" x14ac:dyDescent="0.2">
      <c r="B295" s="7"/>
      <c r="C295" s="72"/>
      <c r="D295" s="9"/>
      <c r="E295" s="72"/>
      <c r="F295" s="9"/>
      <c r="G295" s="16"/>
      <c r="H295" s="9"/>
      <c r="I295" s="9"/>
      <c r="J295" s="9"/>
      <c r="K295" s="72"/>
      <c r="L295" s="9"/>
      <c r="M295" s="9"/>
      <c r="N295" s="9"/>
      <c r="O295" s="9"/>
      <c r="P295" s="9"/>
      <c r="Q295" s="9"/>
    </row>
    <row r="296" spans="2:17" x14ac:dyDescent="0.2">
      <c r="B296" s="7"/>
      <c r="C296" s="72"/>
      <c r="D296" s="9"/>
      <c r="E296" s="72"/>
      <c r="F296" s="9"/>
      <c r="G296" s="16"/>
      <c r="H296" s="9"/>
      <c r="I296" s="9"/>
      <c r="J296" s="9"/>
      <c r="K296" s="72"/>
      <c r="L296" s="9"/>
      <c r="M296" s="9"/>
      <c r="N296" s="9"/>
      <c r="O296" s="9"/>
      <c r="P296" s="9"/>
      <c r="Q296" s="9"/>
    </row>
    <row r="297" spans="2:17" x14ac:dyDescent="0.2">
      <c r="B297" s="7"/>
      <c r="C297" s="72"/>
      <c r="D297" s="9"/>
      <c r="E297" s="72"/>
      <c r="F297" s="9"/>
      <c r="G297" s="16"/>
      <c r="H297" s="9"/>
      <c r="I297" s="9"/>
      <c r="J297" s="9"/>
      <c r="K297" s="72"/>
      <c r="L297" s="9"/>
      <c r="M297" s="9"/>
      <c r="N297" s="9"/>
      <c r="O297" s="9"/>
      <c r="P297" s="9"/>
      <c r="Q297" s="9"/>
    </row>
    <row r="298" spans="2:17" x14ac:dyDescent="0.2">
      <c r="B298" s="7"/>
      <c r="C298" s="72"/>
      <c r="D298" s="9"/>
      <c r="E298" s="72"/>
      <c r="F298" s="9"/>
      <c r="G298" s="16"/>
      <c r="H298" s="9"/>
      <c r="I298" s="9"/>
      <c r="J298" s="9"/>
      <c r="K298" s="72"/>
      <c r="L298" s="9"/>
      <c r="M298" s="9"/>
      <c r="N298" s="9"/>
      <c r="O298" s="9"/>
      <c r="P298" s="9"/>
      <c r="Q298" s="9"/>
    </row>
    <row r="299" spans="2:17" x14ac:dyDescent="0.2">
      <c r="B299" s="7"/>
      <c r="C299" s="72"/>
      <c r="D299" s="9"/>
      <c r="E299" s="72"/>
      <c r="F299" s="9"/>
      <c r="G299" s="16"/>
      <c r="H299" s="9"/>
      <c r="I299" s="9"/>
      <c r="J299" s="9"/>
      <c r="K299" s="72"/>
      <c r="L299" s="9"/>
      <c r="M299" s="9"/>
      <c r="N299" s="9"/>
      <c r="O299" s="9"/>
      <c r="P299" s="9"/>
      <c r="Q299" s="9"/>
    </row>
    <row r="300" spans="2:17" x14ac:dyDescent="0.2">
      <c r="B300" s="7"/>
      <c r="C300" s="72"/>
      <c r="D300" s="9"/>
      <c r="E300" s="72"/>
      <c r="F300" s="9"/>
      <c r="G300" s="16"/>
      <c r="H300" s="9"/>
      <c r="I300" s="9"/>
      <c r="J300" s="9"/>
      <c r="K300" s="72"/>
      <c r="L300" s="9"/>
      <c r="M300" s="9"/>
      <c r="N300" s="9"/>
      <c r="O300" s="9"/>
      <c r="P300" s="9"/>
      <c r="Q300" s="9"/>
    </row>
    <row r="301" spans="2:17" x14ac:dyDescent="0.2">
      <c r="B301" s="7"/>
      <c r="C301" s="72"/>
      <c r="D301" s="9"/>
      <c r="E301" s="72"/>
      <c r="F301" s="9"/>
      <c r="G301" s="16"/>
      <c r="H301" s="9"/>
      <c r="I301" s="9"/>
      <c r="J301" s="9"/>
      <c r="K301" s="72"/>
      <c r="L301" s="9"/>
      <c r="M301" s="9"/>
      <c r="N301" s="9"/>
      <c r="O301" s="9"/>
      <c r="P301" s="9"/>
      <c r="Q301" s="9"/>
    </row>
    <row r="302" spans="2:17" x14ac:dyDescent="0.2">
      <c r="B302" s="7"/>
      <c r="C302" s="72"/>
      <c r="D302" s="9"/>
      <c r="E302" s="72"/>
      <c r="F302" s="9"/>
      <c r="G302" s="16"/>
      <c r="H302" s="9"/>
      <c r="I302" s="9"/>
      <c r="J302" s="9"/>
      <c r="K302" s="72"/>
      <c r="L302" s="9"/>
      <c r="M302" s="9"/>
      <c r="N302" s="9"/>
      <c r="O302" s="9"/>
      <c r="P302" s="9"/>
      <c r="Q302" s="9"/>
    </row>
    <row r="303" spans="2:17" x14ac:dyDescent="0.2">
      <c r="B303" s="7"/>
      <c r="C303" s="72"/>
      <c r="D303" s="9"/>
      <c r="E303" s="72"/>
      <c r="F303" s="9"/>
      <c r="G303" s="16"/>
      <c r="H303" s="9"/>
      <c r="I303" s="9"/>
      <c r="J303" s="9"/>
      <c r="K303" s="72"/>
      <c r="L303" s="9"/>
      <c r="M303" s="9"/>
      <c r="N303" s="9"/>
      <c r="O303" s="9"/>
      <c r="P303" s="9"/>
      <c r="Q303" s="9"/>
    </row>
    <row r="304" spans="2:17" x14ac:dyDescent="0.2">
      <c r="B304" s="7"/>
      <c r="C304" s="72"/>
      <c r="D304" s="9"/>
      <c r="E304" s="72"/>
      <c r="F304" s="9"/>
      <c r="G304" s="16"/>
      <c r="H304" s="9"/>
      <c r="I304" s="9"/>
      <c r="J304" s="9"/>
      <c r="K304" s="72"/>
      <c r="L304" s="9"/>
      <c r="M304" s="9"/>
      <c r="N304" s="9"/>
      <c r="O304" s="9"/>
      <c r="P304" s="9"/>
      <c r="Q304" s="9"/>
    </row>
    <row r="305" spans="2:17" x14ac:dyDescent="0.2">
      <c r="B305" s="7"/>
      <c r="C305" s="72"/>
      <c r="D305" s="9"/>
      <c r="E305" s="72"/>
      <c r="F305" s="9"/>
      <c r="G305" s="16"/>
      <c r="H305" s="9"/>
      <c r="I305" s="9"/>
      <c r="J305" s="9"/>
      <c r="K305" s="72"/>
      <c r="L305" s="9"/>
      <c r="M305" s="9"/>
      <c r="N305" s="9"/>
      <c r="O305" s="9"/>
      <c r="P305" s="9"/>
      <c r="Q305" s="9"/>
    </row>
    <row r="306" spans="2:17" x14ac:dyDescent="0.2">
      <c r="B306" s="7"/>
      <c r="C306" s="72"/>
      <c r="D306" s="9"/>
      <c r="E306" s="72"/>
      <c r="F306" s="9"/>
      <c r="G306" s="16"/>
      <c r="H306" s="9"/>
      <c r="I306" s="9"/>
      <c r="J306" s="9"/>
      <c r="K306" s="72"/>
      <c r="L306" s="9"/>
      <c r="M306" s="9"/>
      <c r="N306" s="9"/>
      <c r="O306" s="9"/>
      <c r="P306" s="9"/>
      <c r="Q306" s="9"/>
    </row>
    <row r="307" spans="2:17" x14ac:dyDescent="0.2">
      <c r="B307" s="7"/>
      <c r="C307" s="72"/>
      <c r="D307" s="9"/>
      <c r="E307" s="72"/>
      <c r="F307" s="9"/>
      <c r="G307" s="16"/>
      <c r="H307" s="9"/>
      <c r="I307" s="9"/>
      <c r="J307" s="9"/>
      <c r="K307" s="72"/>
      <c r="L307" s="9"/>
      <c r="M307" s="9"/>
      <c r="N307" s="9"/>
      <c r="O307" s="9"/>
      <c r="P307" s="9"/>
      <c r="Q307" s="9"/>
    </row>
    <row r="308" spans="2:17" x14ac:dyDescent="0.2">
      <c r="B308" s="7"/>
      <c r="C308" s="72"/>
      <c r="D308" s="9"/>
      <c r="E308" s="72"/>
      <c r="F308" s="9"/>
      <c r="G308" s="16"/>
      <c r="H308" s="9"/>
      <c r="I308" s="9"/>
      <c r="J308" s="9"/>
      <c r="K308" s="72"/>
      <c r="L308" s="9"/>
      <c r="M308" s="9"/>
      <c r="N308" s="9"/>
      <c r="O308" s="9"/>
      <c r="P308" s="9"/>
      <c r="Q308" s="9"/>
    </row>
    <row r="309" spans="2:17" x14ac:dyDescent="0.2">
      <c r="B309" s="7"/>
      <c r="C309" s="72"/>
      <c r="D309" s="9"/>
      <c r="E309" s="72"/>
      <c r="F309" s="9"/>
      <c r="G309" s="16"/>
      <c r="H309" s="9"/>
      <c r="I309" s="9"/>
      <c r="J309" s="9"/>
      <c r="K309" s="72"/>
      <c r="L309" s="9"/>
      <c r="M309" s="9"/>
      <c r="N309" s="9"/>
      <c r="O309" s="9"/>
      <c r="P309" s="9"/>
      <c r="Q309" s="9"/>
    </row>
    <row r="310" spans="2:17" x14ac:dyDescent="0.2">
      <c r="B310" s="7"/>
      <c r="C310" s="72"/>
      <c r="D310" s="9"/>
      <c r="E310" s="72"/>
      <c r="F310" s="9"/>
      <c r="G310" s="16"/>
      <c r="H310" s="9"/>
      <c r="I310" s="9"/>
      <c r="J310" s="9"/>
      <c r="K310" s="72"/>
      <c r="L310" s="9"/>
      <c r="M310" s="9"/>
      <c r="N310" s="9"/>
      <c r="O310" s="9"/>
      <c r="P310" s="9"/>
      <c r="Q310" s="9"/>
    </row>
    <row r="311" spans="2:17" x14ac:dyDescent="0.2">
      <c r="B311" s="7"/>
      <c r="C311" s="72"/>
      <c r="D311" s="9"/>
      <c r="E311" s="72"/>
      <c r="F311" s="9"/>
      <c r="G311" s="16"/>
      <c r="H311" s="9"/>
      <c r="I311" s="9"/>
      <c r="J311" s="9"/>
      <c r="K311" s="72"/>
      <c r="L311" s="9"/>
      <c r="M311" s="9"/>
      <c r="N311" s="9"/>
      <c r="O311" s="9"/>
      <c r="P311" s="9"/>
      <c r="Q311" s="9"/>
    </row>
    <row r="312" spans="2:17" x14ac:dyDescent="0.2">
      <c r="B312" s="7"/>
      <c r="C312" s="72"/>
      <c r="D312" s="9"/>
      <c r="E312" s="72"/>
      <c r="F312" s="9"/>
      <c r="G312" s="16"/>
      <c r="H312" s="9"/>
      <c r="I312" s="9"/>
      <c r="J312" s="9"/>
      <c r="K312" s="72"/>
      <c r="L312" s="9"/>
      <c r="M312" s="9"/>
      <c r="N312" s="9"/>
      <c r="O312" s="9"/>
      <c r="P312" s="9"/>
      <c r="Q312" s="9"/>
    </row>
    <row r="313" spans="2:17" x14ac:dyDescent="0.2">
      <c r="B313" s="7"/>
      <c r="C313" s="72"/>
      <c r="D313" s="9"/>
      <c r="E313" s="72"/>
      <c r="F313" s="9"/>
      <c r="G313" s="16"/>
      <c r="H313" s="9"/>
      <c r="I313" s="9"/>
      <c r="J313" s="9"/>
      <c r="K313" s="72"/>
      <c r="L313" s="9"/>
      <c r="M313" s="9"/>
      <c r="N313" s="9"/>
      <c r="O313" s="9"/>
      <c r="P313" s="9"/>
      <c r="Q313" s="9"/>
    </row>
    <row r="314" spans="2:17" x14ac:dyDescent="0.2">
      <c r="B314" s="7"/>
      <c r="C314" s="72"/>
      <c r="D314" s="9"/>
      <c r="E314" s="72"/>
      <c r="F314" s="9"/>
      <c r="G314" s="16"/>
      <c r="H314" s="9"/>
      <c r="I314" s="9"/>
      <c r="J314" s="9"/>
      <c r="K314" s="72"/>
      <c r="L314" s="9"/>
      <c r="M314" s="9"/>
      <c r="N314" s="9"/>
      <c r="O314" s="9"/>
      <c r="P314" s="9"/>
      <c r="Q314" s="9"/>
    </row>
    <row r="315" spans="2:17" x14ac:dyDescent="0.2">
      <c r="B315" s="7"/>
      <c r="C315" s="72"/>
      <c r="D315" s="9"/>
      <c r="E315" s="72"/>
      <c r="F315" s="9"/>
      <c r="G315" s="16"/>
      <c r="H315" s="9"/>
      <c r="I315" s="9"/>
      <c r="J315" s="9"/>
      <c r="K315" s="72"/>
      <c r="L315" s="9"/>
      <c r="M315" s="9"/>
      <c r="N315" s="9"/>
      <c r="O315" s="9"/>
      <c r="P315" s="9"/>
      <c r="Q315" s="9"/>
    </row>
    <row r="316" spans="2:17" x14ac:dyDescent="0.2">
      <c r="B316" s="7"/>
      <c r="C316" s="72"/>
      <c r="D316" s="9"/>
      <c r="E316" s="72"/>
      <c r="F316" s="9"/>
      <c r="G316" s="16"/>
      <c r="H316" s="9"/>
      <c r="I316" s="9"/>
      <c r="J316" s="9"/>
      <c r="K316" s="72"/>
      <c r="L316" s="9"/>
      <c r="M316" s="9"/>
      <c r="N316" s="9"/>
      <c r="O316" s="9"/>
      <c r="P316" s="9"/>
      <c r="Q316" s="9"/>
    </row>
    <row r="317" spans="2:17" x14ac:dyDescent="0.2">
      <c r="B317" s="7"/>
      <c r="C317" s="72"/>
      <c r="D317" s="9"/>
      <c r="E317" s="72"/>
      <c r="F317" s="9"/>
      <c r="G317" s="16"/>
      <c r="H317" s="9"/>
      <c r="I317" s="9"/>
      <c r="J317" s="9"/>
      <c r="K317" s="72"/>
      <c r="L317" s="9"/>
      <c r="M317" s="9"/>
      <c r="N317" s="9"/>
      <c r="O317" s="9"/>
      <c r="P317" s="9"/>
      <c r="Q317" s="9"/>
    </row>
    <row r="318" spans="2:17" x14ac:dyDescent="0.2">
      <c r="B318" s="7"/>
      <c r="C318" s="72"/>
      <c r="D318" s="9"/>
      <c r="E318" s="72"/>
      <c r="F318" s="9"/>
      <c r="G318" s="16"/>
      <c r="H318" s="9"/>
      <c r="I318" s="9"/>
      <c r="J318" s="9"/>
      <c r="K318" s="72"/>
      <c r="L318" s="9"/>
      <c r="M318" s="9"/>
      <c r="N318" s="9"/>
      <c r="O318" s="9"/>
      <c r="P318" s="9"/>
      <c r="Q318" s="9"/>
    </row>
    <row r="319" spans="2:17" x14ac:dyDescent="0.2">
      <c r="B319" s="7"/>
      <c r="C319" s="72"/>
      <c r="D319" s="9"/>
      <c r="E319" s="72"/>
      <c r="F319" s="9"/>
      <c r="G319" s="16"/>
      <c r="H319" s="9"/>
      <c r="I319" s="9"/>
      <c r="J319" s="9"/>
      <c r="K319" s="72"/>
      <c r="L319" s="9"/>
      <c r="M319" s="9"/>
      <c r="N319" s="9"/>
      <c r="O319" s="9"/>
      <c r="P319" s="9"/>
      <c r="Q319" s="9"/>
    </row>
    <row r="320" spans="2:17" x14ac:dyDescent="0.2">
      <c r="B320" s="7"/>
      <c r="C320" s="72"/>
      <c r="D320" s="9"/>
      <c r="E320" s="72"/>
      <c r="F320" s="9"/>
      <c r="G320" s="16"/>
      <c r="H320" s="9"/>
      <c r="I320" s="9"/>
      <c r="J320" s="9"/>
      <c r="K320" s="72"/>
      <c r="L320" s="9"/>
      <c r="M320" s="9"/>
      <c r="N320" s="9"/>
      <c r="O320" s="9"/>
      <c r="P320" s="9"/>
      <c r="Q320" s="9"/>
    </row>
    <row r="321" spans="2:17" x14ac:dyDescent="0.2">
      <c r="B321" s="7"/>
      <c r="C321" s="72"/>
      <c r="D321" s="9"/>
      <c r="E321" s="72"/>
      <c r="F321" s="9"/>
      <c r="G321" s="16"/>
      <c r="H321" s="9"/>
      <c r="I321" s="9"/>
      <c r="J321" s="9"/>
      <c r="K321" s="72"/>
      <c r="L321" s="9"/>
      <c r="M321" s="9"/>
      <c r="N321" s="9"/>
      <c r="O321" s="9"/>
      <c r="P321" s="9"/>
      <c r="Q321" s="9"/>
    </row>
    <row r="322" spans="2:17" x14ac:dyDescent="0.2">
      <c r="B322" s="7"/>
      <c r="C322" s="72"/>
      <c r="D322" s="9"/>
      <c r="E322" s="72"/>
      <c r="F322" s="9"/>
      <c r="G322" s="16"/>
      <c r="H322" s="9"/>
      <c r="I322" s="9"/>
      <c r="J322" s="9"/>
      <c r="K322" s="72"/>
      <c r="L322" s="9"/>
      <c r="M322" s="9"/>
      <c r="N322" s="9"/>
      <c r="O322" s="9"/>
      <c r="P322" s="9"/>
      <c r="Q322" s="9"/>
    </row>
    <row r="323" spans="2:17" x14ac:dyDescent="0.2">
      <c r="B323" s="7"/>
      <c r="C323" s="72"/>
      <c r="D323" s="9"/>
      <c r="E323" s="72"/>
      <c r="F323" s="9"/>
      <c r="G323" s="16"/>
      <c r="H323" s="9"/>
      <c r="I323" s="9"/>
      <c r="J323" s="9"/>
      <c r="K323" s="72"/>
      <c r="L323" s="9"/>
      <c r="M323" s="9"/>
      <c r="N323" s="9"/>
      <c r="O323" s="9"/>
      <c r="P323" s="9"/>
      <c r="Q323" s="9"/>
    </row>
    <row r="324" spans="2:17" x14ac:dyDescent="0.2">
      <c r="B324" s="7"/>
      <c r="C324" s="72"/>
      <c r="D324" s="9"/>
      <c r="E324" s="72"/>
      <c r="F324" s="9"/>
      <c r="G324" s="16"/>
      <c r="H324" s="9"/>
      <c r="I324" s="9"/>
      <c r="J324" s="9"/>
      <c r="K324" s="72"/>
      <c r="L324" s="9"/>
      <c r="M324" s="9"/>
      <c r="N324" s="9"/>
      <c r="O324" s="9"/>
      <c r="P324" s="9"/>
      <c r="Q324" s="9"/>
    </row>
    <row r="325" spans="2:17" x14ac:dyDescent="0.2">
      <c r="B325" s="7"/>
      <c r="C325" s="72"/>
      <c r="D325" s="9"/>
      <c r="E325" s="72"/>
      <c r="F325" s="9"/>
      <c r="G325" s="16"/>
      <c r="H325" s="9"/>
      <c r="I325" s="9"/>
      <c r="J325" s="9"/>
      <c r="K325" s="72"/>
      <c r="L325" s="9"/>
      <c r="M325" s="9"/>
      <c r="N325" s="9"/>
      <c r="O325" s="9"/>
      <c r="P325" s="9"/>
      <c r="Q325" s="9"/>
    </row>
    <row r="326" spans="2:17" x14ac:dyDescent="0.2">
      <c r="B326" s="7"/>
      <c r="C326" s="72"/>
      <c r="D326" s="9"/>
      <c r="E326" s="72"/>
      <c r="F326" s="9"/>
      <c r="G326" s="16"/>
      <c r="H326" s="9"/>
      <c r="I326" s="9"/>
      <c r="J326" s="9"/>
      <c r="K326" s="72"/>
      <c r="L326" s="9"/>
      <c r="M326" s="9"/>
      <c r="N326" s="9"/>
      <c r="O326" s="9"/>
      <c r="P326" s="9"/>
      <c r="Q326" s="9"/>
    </row>
    <row r="327" spans="2:17" x14ac:dyDescent="0.2">
      <c r="B327" s="7"/>
      <c r="C327" s="72"/>
      <c r="D327" s="9"/>
      <c r="E327" s="72"/>
      <c r="F327" s="9"/>
      <c r="G327" s="16"/>
      <c r="H327" s="9"/>
      <c r="I327" s="9"/>
      <c r="J327" s="9"/>
      <c r="K327" s="72"/>
      <c r="L327" s="9"/>
      <c r="M327" s="9"/>
      <c r="N327" s="9"/>
      <c r="O327" s="9"/>
      <c r="P327" s="9"/>
      <c r="Q327" s="9"/>
    </row>
    <row r="328" spans="2:17" x14ac:dyDescent="0.2">
      <c r="B328" s="7"/>
      <c r="C328" s="72"/>
      <c r="D328" s="9"/>
      <c r="E328" s="72"/>
      <c r="F328" s="9"/>
      <c r="G328" s="16"/>
      <c r="H328" s="9"/>
      <c r="I328" s="9"/>
      <c r="J328" s="9"/>
      <c r="K328" s="72"/>
      <c r="L328" s="9"/>
      <c r="M328" s="9"/>
      <c r="N328" s="9"/>
      <c r="O328" s="9"/>
      <c r="P328" s="9"/>
      <c r="Q328" s="9"/>
    </row>
    <row r="329" spans="2:17" x14ac:dyDescent="0.2">
      <c r="B329" s="7"/>
      <c r="C329" s="72"/>
      <c r="D329" s="9"/>
      <c r="E329" s="72"/>
      <c r="F329" s="9"/>
      <c r="G329" s="16"/>
      <c r="H329" s="9"/>
      <c r="I329" s="9"/>
      <c r="J329" s="9"/>
      <c r="K329" s="72"/>
      <c r="L329" s="9"/>
      <c r="M329" s="9"/>
      <c r="N329" s="9"/>
      <c r="O329" s="9"/>
      <c r="P329" s="9"/>
      <c r="Q329" s="9"/>
    </row>
    <row r="330" spans="2:17" x14ac:dyDescent="0.2">
      <c r="B330" s="7"/>
      <c r="C330" s="72"/>
      <c r="D330" s="9"/>
      <c r="E330" s="72"/>
      <c r="F330" s="9"/>
      <c r="G330" s="16"/>
      <c r="H330" s="9"/>
      <c r="I330" s="9"/>
      <c r="J330" s="9"/>
      <c r="K330" s="72"/>
      <c r="L330" s="9"/>
      <c r="M330" s="9"/>
      <c r="N330" s="9"/>
      <c r="O330" s="9"/>
      <c r="P330" s="9"/>
      <c r="Q330" s="9"/>
    </row>
    <row r="331" spans="2:17" x14ac:dyDescent="0.2">
      <c r="B331" s="7"/>
      <c r="C331" s="72"/>
      <c r="D331" s="9"/>
      <c r="E331" s="72"/>
      <c r="F331" s="9"/>
      <c r="G331" s="16"/>
      <c r="H331" s="9"/>
      <c r="I331" s="9"/>
      <c r="J331" s="9"/>
      <c r="K331" s="72"/>
      <c r="L331" s="9"/>
      <c r="M331" s="9"/>
      <c r="N331" s="9"/>
      <c r="O331" s="9"/>
      <c r="P331" s="9"/>
      <c r="Q331" s="9"/>
    </row>
    <row r="332" spans="2:17" x14ac:dyDescent="0.2">
      <c r="B332" s="7"/>
      <c r="C332" s="72"/>
      <c r="D332" s="9"/>
      <c r="E332" s="72"/>
      <c r="F332" s="9"/>
      <c r="G332" s="16"/>
      <c r="H332" s="9"/>
      <c r="I332" s="9"/>
      <c r="J332" s="9"/>
      <c r="K332" s="72"/>
      <c r="L332" s="9"/>
      <c r="M332" s="9"/>
      <c r="N332" s="9"/>
      <c r="O332" s="9"/>
      <c r="P332" s="9"/>
      <c r="Q332" s="9"/>
    </row>
    <row r="333" spans="2:17" x14ac:dyDescent="0.2">
      <c r="B333" s="7"/>
      <c r="C333" s="72"/>
      <c r="D333" s="9"/>
      <c r="E333" s="72"/>
      <c r="F333" s="9"/>
      <c r="G333" s="16"/>
      <c r="H333" s="9"/>
      <c r="I333" s="9"/>
      <c r="J333" s="9"/>
      <c r="K333" s="72"/>
      <c r="L333" s="9"/>
      <c r="M333" s="9"/>
      <c r="N333" s="9"/>
      <c r="O333" s="9"/>
      <c r="P333" s="9"/>
      <c r="Q333" s="9"/>
    </row>
    <row r="334" spans="2:17" x14ac:dyDescent="0.2">
      <c r="B334" s="7"/>
      <c r="C334" s="72"/>
      <c r="D334" s="9"/>
      <c r="E334" s="72"/>
      <c r="F334" s="9"/>
      <c r="G334" s="16"/>
      <c r="H334" s="9"/>
      <c r="I334" s="9"/>
      <c r="J334" s="9"/>
      <c r="K334" s="72"/>
      <c r="L334" s="9"/>
      <c r="M334" s="9"/>
      <c r="N334" s="9"/>
      <c r="O334" s="9"/>
      <c r="P334" s="9"/>
      <c r="Q334" s="9"/>
    </row>
    <row r="335" spans="2:17" x14ac:dyDescent="0.2">
      <c r="B335" s="7"/>
      <c r="C335" s="72"/>
      <c r="D335" s="9"/>
      <c r="E335" s="72"/>
      <c r="F335" s="9"/>
      <c r="G335" s="16"/>
      <c r="H335" s="9"/>
      <c r="I335" s="9"/>
      <c r="J335" s="9"/>
      <c r="K335" s="72"/>
      <c r="L335" s="9"/>
      <c r="M335" s="9"/>
      <c r="N335" s="9"/>
      <c r="O335" s="9"/>
      <c r="P335" s="9"/>
      <c r="Q335" s="9"/>
    </row>
    <row r="336" spans="2:17" x14ac:dyDescent="0.2">
      <c r="B336" s="7"/>
      <c r="C336" s="72"/>
      <c r="D336" s="9"/>
      <c r="E336" s="72"/>
      <c r="F336" s="9"/>
      <c r="G336" s="16"/>
      <c r="H336" s="9"/>
      <c r="I336" s="9"/>
      <c r="J336" s="9"/>
      <c r="K336" s="72"/>
      <c r="L336" s="9"/>
      <c r="M336" s="9"/>
      <c r="N336" s="9"/>
      <c r="O336" s="9"/>
      <c r="P336" s="9"/>
      <c r="Q336" s="9"/>
    </row>
    <row r="337" spans="2:17" x14ac:dyDescent="0.2">
      <c r="B337" s="7"/>
      <c r="C337" s="72"/>
      <c r="D337" s="9"/>
      <c r="E337" s="72"/>
      <c r="F337" s="9"/>
      <c r="G337" s="16"/>
      <c r="H337" s="9"/>
      <c r="I337" s="9"/>
      <c r="J337" s="9"/>
      <c r="K337" s="72"/>
      <c r="L337" s="9"/>
      <c r="M337" s="9"/>
      <c r="N337" s="9"/>
      <c r="O337" s="9"/>
      <c r="P337" s="9"/>
      <c r="Q337" s="9"/>
    </row>
    <row r="338" spans="2:17" x14ac:dyDescent="0.2">
      <c r="B338" s="7"/>
      <c r="C338" s="72"/>
      <c r="D338" s="9"/>
      <c r="E338" s="72"/>
      <c r="F338" s="9"/>
      <c r="G338" s="16"/>
      <c r="H338" s="9"/>
      <c r="I338" s="9"/>
      <c r="J338" s="9"/>
      <c r="K338" s="72"/>
      <c r="L338" s="9"/>
      <c r="M338" s="9"/>
      <c r="N338" s="9"/>
      <c r="O338" s="9"/>
      <c r="P338" s="9"/>
      <c r="Q338" s="9"/>
    </row>
    <row r="339" spans="2:17" x14ac:dyDescent="0.2">
      <c r="B339" s="7"/>
      <c r="C339" s="72"/>
      <c r="D339" s="9"/>
      <c r="E339" s="72"/>
      <c r="F339" s="9"/>
      <c r="G339" s="16"/>
      <c r="H339" s="9"/>
      <c r="I339" s="9"/>
      <c r="J339" s="9"/>
      <c r="K339" s="72"/>
      <c r="L339" s="9"/>
      <c r="M339" s="9"/>
      <c r="N339" s="9"/>
      <c r="O339" s="9"/>
      <c r="P339" s="9"/>
      <c r="Q339" s="9"/>
    </row>
    <row r="340" spans="2:17" x14ac:dyDescent="0.2">
      <c r="B340" s="7"/>
      <c r="C340" s="72"/>
      <c r="D340" s="9"/>
      <c r="E340" s="72"/>
      <c r="F340" s="9"/>
      <c r="G340" s="16"/>
      <c r="H340" s="9"/>
      <c r="I340" s="9"/>
      <c r="J340" s="9"/>
      <c r="K340" s="72"/>
      <c r="L340" s="9"/>
      <c r="M340" s="9"/>
      <c r="N340" s="9"/>
      <c r="O340" s="9"/>
      <c r="P340" s="9"/>
      <c r="Q340" s="9"/>
    </row>
    <row r="341" spans="2:17" x14ac:dyDescent="0.2">
      <c r="B341" s="7"/>
      <c r="C341" s="72"/>
      <c r="D341" s="9"/>
      <c r="E341" s="72"/>
      <c r="F341" s="9"/>
      <c r="G341" s="16"/>
      <c r="H341" s="9"/>
      <c r="I341" s="9"/>
      <c r="J341" s="9"/>
      <c r="K341" s="72"/>
      <c r="L341" s="9"/>
      <c r="M341" s="9"/>
      <c r="N341" s="9"/>
      <c r="O341" s="9"/>
      <c r="P341" s="9"/>
      <c r="Q341" s="9"/>
    </row>
    <row r="342" spans="2:17" x14ac:dyDescent="0.2">
      <c r="B342" s="7"/>
      <c r="C342" s="72"/>
      <c r="D342" s="9"/>
      <c r="E342" s="72"/>
      <c r="F342" s="9"/>
      <c r="G342" s="16"/>
      <c r="H342" s="9"/>
      <c r="I342" s="9"/>
      <c r="J342" s="9"/>
      <c r="K342" s="72"/>
      <c r="L342" s="9"/>
      <c r="M342" s="9"/>
      <c r="N342" s="9"/>
      <c r="O342" s="9"/>
      <c r="P342" s="9"/>
      <c r="Q342" s="9"/>
    </row>
    <row r="343" spans="2:17" x14ac:dyDescent="0.2">
      <c r="B343" s="7"/>
      <c r="C343" s="72"/>
      <c r="D343" s="9"/>
      <c r="E343" s="72"/>
      <c r="F343" s="9"/>
      <c r="G343" s="16"/>
      <c r="H343" s="9"/>
      <c r="I343" s="9"/>
      <c r="J343" s="9"/>
      <c r="K343" s="72"/>
      <c r="L343" s="9"/>
      <c r="M343" s="9"/>
      <c r="N343" s="9"/>
      <c r="O343" s="9"/>
      <c r="P343" s="9"/>
      <c r="Q343" s="9"/>
    </row>
    <row r="344" spans="2:17" x14ac:dyDescent="0.2">
      <c r="B344" s="7"/>
      <c r="C344" s="72"/>
      <c r="D344" s="9"/>
      <c r="E344" s="72"/>
      <c r="F344" s="9"/>
      <c r="G344" s="16"/>
      <c r="H344" s="9"/>
      <c r="I344" s="9"/>
      <c r="J344" s="9"/>
      <c r="K344" s="72"/>
      <c r="L344" s="9"/>
      <c r="M344" s="9"/>
      <c r="N344" s="9"/>
      <c r="O344" s="9"/>
      <c r="P344" s="9"/>
      <c r="Q344" s="9"/>
    </row>
    <row r="345" spans="2:17" x14ac:dyDescent="0.2">
      <c r="B345" s="7"/>
      <c r="C345" s="72"/>
      <c r="D345" s="9"/>
      <c r="E345" s="72"/>
      <c r="F345" s="9"/>
      <c r="G345" s="16"/>
      <c r="H345" s="9"/>
      <c r="I345" s="9"/>
      <c r="J345" s="9"/>
      <c r="K345" s="72"/>
      <c r="L345" s="9"/>
      <c r="M345" s="9"/>
      <c r="N345" s="9"/>
      <c r="O345" s="9"/>
      <c r="P345" s="9"/>
      <c r="Q345" s="9"/>
    </row>
    <row r="346" spans="2:17" x14ac:dyDescent="0.2">
      <c r="B346" s="7"/>
      <c r="C346" s="72"/>
      <c r="D346" s="9"/>
      <c r="E346" s="72"/>
      <c r="F346" s="9"/>
      <c r="G346" s="16"/>
      <c r="H346" s="9"/>
      <c r="I346" s="9"/>
      <c r="J346" s="9"/>
      <c r="K346" s="72"/>
      <c r="L346" s="9"/>
      <c r="M346" s="9"/>
      <c r="N346" s="9"/>
      <c r="O346" s="9"/>
      <c r="P346" s="9"/>
      <c r="Q346" s="9"/>
    </row>
    <row r="347" spans="2:17" x14ac:dyDescent="0.2">
      <c r="B347" s="7"/>
      <c r="C347" s="72"/>
      <c r="D347" s="9"/>
      <c r="E347" s="72"/>
      <c r="F347" s="9"/>
      <c r="G347" s="16"/>
      <c r="H347" s="9"/>
      <c r="I347" s="9"/>
      <c r="J347" s="9"/>
      <c r="K347" s="72"/>
      <c r="L347" s="9"/>
      <c r="M347" s="9"/>
      <c r="N347" s="9"/>
      <c r="O347" s="9"/>
      <c r="P347" s="9"/>
      <c r="Q347" s="9"/>
    </row>
    <row r="348" spans="2:17" x14ac:dyDescent="0.2">
      <c r="B348" s="7"/>
      <c r="C348" s="72"/>
      <c r="D348" s="9"/>
      <c r="E348" s="72"/>
      <c r="F348" s="9"/>
      <c r="G348" s="16"/>
      <c r="H348" s="9"/>
      <c r="I348" s="9"/>
      <c r="J348" s="9"/>
      <c r="K348" s="72"/>
      <c r="L348" s="9"/>
      <c r="M348" s="9"/>
      <c r="N348" s="9"/>
      <c r="O348" s="9"/>
      <c r="P348" s="9"/>
      <c r="Q348" s="9"/>
    </row>
    <row r="349" spans="2:17" x14ac:dyDescent="0.2">
      <c r="B349" s="7"/>
      <c r="C349" s="72"/>
      <c r="D349" s="9"/>
      <c r="E349" s="72"/>
      <c r="F349" s="9"/>
      <c r="G349" s="16"/>
      <c r="H349" s="9"/>
      <c r="I349" s="9"/>
      <c r="J349" s="9"/>
      <c r="K349" s="72"/>
      <c r="L349" s="9"/>
      <c r="M349" s="9"/>
      <c r="N349" s="9"/>
      <c r="O349" s="9"/>
      <c r="P349" s="9"/>
      <c r="Q349" s="9"/>
    </row>
    <row r="350" spans="2:17" x14ac:dyDescent="0.2">
      <c r="B350" s="7"/>
      <c r="C350" s="72"/>
      <c r="D350" s="9"/>
      <c r="E350" s="72"/>
      <c r="F350" s="9"/>
      <c r="G350" s="16"/>
      <c r="H350" s="9"/>
      <c r="I350" s="9"/>
      <c r="J350" s="9"/>
      <c r="K350" s="72"/>
      <c r="L350" s="9"/>
      <c r="M350" s="9"/>
      <c r="N350" s="9"/>
      <c r="O350" s="9"/>
      <c r="P350" s="9"/>
      <c r="Q350" s="9"/>
    </row>
    <row r="351" spans="2:17" x14ac:dyDescent="0.2">
      <c r="B351" s="7"/>
      <c r="C351" s="72"/>
      <c r="D351" s="9"/>
      <c r="E351" s="72"/>
      <c r="F351" s="9"/>
      <c r="G351" s="16"/>
      <c r="H351" s="9"/>
      <c r="I351" s="9"/>
      <c r="J351" s="9"/>
      <c r="K351" s="72"/>
      <c r="L351" s="9"/>
      <c r="M351" s="9"/>
      <c r="N351" s="9"/>
      <c r="O351" s="9"/>
      <c r="P351" s="9"/>
      <c r="Q351" s="9"/>
    </row>
    <row r="352" spans="2:17" x14ac:dyDescent="0.2">
      <c r="B352" s="7"/>
      <c r="C352" s="72"/>
      <c r="D352" s="9"/>
      <c r="E352" s="72"/>
      <c r="F352" s="9"/>
      <c r="G352" s="16"/>
      <c r="H352" s="9"/>
      <c r="I352" s="9"/>
      <c r="J352" s="9"/>
      <c r="K352" s="72"/>
      <c r="L352" s="9"/>
      <c r="M352" s="9"/>
      <c r="N352" s="9"/>
      <c r="O352" s="9"/>
      <c r="P352" s="9"/>
      <c r="Q352" s="9"/>
    </row>
    <row r="353" spans="2:17" x14ac:dyDescent="0.2">
      <c r="B353" s="7"/>
      <c r="C353" s="72"/>
      <c r="D353" s="9"/>
      <c r="E353" s="72"/>
      <c r="F353" s="9"/>
      <c r="G353" s="16"/>
      <c r="H353" s="9"/>
      <c r="I353" s="9"/>
      <c r="J353" s="9"/>
      <c r="K353" s="72"/>
      <c r="L353" s="9"/>
      <c r="M353" s="9"/>
      <c r="N353" s="9"/>
      <c r="O353" s="9"/>
      <c r="P353" s="9"/>
      <c r="Q353" s="9"/>
    </row>
    <row r="354" spans="2:17" x14ac:dyDescent="0.2">
      <c r="B354" s="7"/>
      <c r="C354" s="72"/>
      <c r="D354" s="9"/>
      <c r="E354" s="72"/>
      <c r="F354" s="9"/>
      <c r="G354" s="16"/>
      <c r="H354" s="9"/>
      <c r="I354" s="9"/>
      <c r="J354" s="9"/>
      <c r="K354" s="72"/>
      <c r="L354" s="9"/>
      <c r="M354" s="9"/>
      <c r="N354" s="9"/>
      <c r="O354" s="9"/>
      <c r="P354" s="9"/>
      <c r="Q354" s="9"/>
    </row>
    <row r="355" spans="2:17" x14ac:dyDescent="0.2">
      <c r="B355" s="7"/>
      <c r="C355" s="72"/>
      <c r="D355" s="9"/>
      <c r="E355" s="72"/>
      <c r="F355" s="9"/>
      <c r="G355" s="16"/>
      <c r="H355" s="9"/>
      <c r="I355" s="9"/>
      <c r="J355" s="9"/>
      <c r="K355" s="72"/>
      <c r="L355" s="9"/>
      <c r="M355" s="9"/>
      <c r="N355" s="9"/>
      <c r="O355" s="9"/>
      <c r="P355" s="9"/>
      <c r="Q355" s="9"/>
    </row>
    <row r="356" spans="2:17" x14ac:dyDescent="0.2">
      <c r="B356" s="7"/>
      <c r="C356" s="72"/>
      <c r="D356" s="9"/>
      <c r="E356" s="72"/>
      <c r="F356" s="9"/>
      <c r="G356" s="16"/>
      <c r="H356" s="9"/>
      <c r="I356" s="9"/>
      <c r="J356" s="9"/>
      <c r="K356" s="72"/>
      <c r="L356" s="9"/>
      <c r="M356" s="9"/>
      <c r="N356" s="9"/>
      <c r="O356" s="9"/>
      <c r="P356" s="9"/>
      <c r="Q356" s="9"/>
    </row>
    <row r="357" spans="2:17" x14ac:dyDescent="0.2">
      <c r="B357" s="7"/>
      <c r="C357" s="72"/>
      <c r="D357" s="9"/>
      <c r="E357" s="72"/>
      <c r="F357" s="9"/>
      <c r="G357" s="16"/>
      <c r="H357" s="9"/>
      <c r="I357" s="9"/>
      <c r="J357" s="9"/>
      <c r="K357" s="72"/>
      <c r="L357" s="9"/>
      <c r="M357" s="9"/>
      <c r="N357" s="9"/>
      <c r="O357" s="9"/>
      <c r="P357" s="9"/>
      <c r="Q357" s="9"/>
    </row>
    <row r="358" spans="2:17" x14ac:dyDescent="0.2">
      <c r="B358" s="7"/>
      <c r="C358" s="72"/>
      <c r="D358" s="9"/>
      <c r="E358" s="72"/>
      <c r="F358" s="9"/>
      <c r="G358" s="16"/>
      <c r="H358" s="9"/>
      <c r="I358" s="9"/>
      <c r="J358" s="9"/>
      <c r="K358" s="72"/>
      <c r="L358" s="9"/>
      <c r="M358" s="9"/>
      <c r="N358" s="9"/>
      <c r="O358" s="9"/>
      <c r="P358" s="9"/>
      <c r="Q358" s="9"/>
    </row>
    <row r="359" spans="2:17" x14ac:dyDescent="0.2">
      <c r="B359" s="7"/>
      <c r="C359" s="72"/>
      <c r="D359" s="9"/>
      <c r="E359" s="72"/>
      <c r="F359" s="9"/>
      <c r="G359" s="16"/>
      <c r="H359" s="9"/>
      <c r="I359" s="9"/>
      <c r="J359" s="9"/>
      <c r="K359" s="72"/>
      <c r="L359" s="9"/>
      <c r="M359" s="9"/>
      <c r="N359" s="9"/>
      <c r="O359" s="9"/>
      <c r="P359" s="9"/>
      <c r="Q359" s="9"/>
    </row>
    <row r="360" spans="2:17" x14ac:dyDescent="0.2">
      <c r="B360" s="7"/>
      <c r="C360" s="72"/>
      <c r="D360" s="9"/>
      <c r="E360" s="72"/>
      <c r="F360" s="9"/>
      <c r="G360" s="16"/>
      <c r="H360" s="9"/>
      <c r="I360" s="9"/>
      <c r="J360" s="9"/>
      <c r="K360" s="72"/>
      <c r="L360" s="9"/>
      <c r="M360" s="9"/>
      <c r="N360" s="9"/>
      <c r="O360" s="9"/>
      <c r="P360" s="9"/>
      <c r="Q360" s="9"/>
    </row>
    <row r="361" spans="2:17" x14ac:dyDescent="0.2">
      <c r="B361" s="7"/>
      <c r="C361" s="72"/>
      <c r="D361" s="9"/>
      <c r="E361" s="72"/>
      <c r="F361" s="9"/>
      <c r="G361" s="16"/>
      <c r="H361" s="9"/>
      <c r="I361" s="9"/>
      <c r="J361" s="9"/>
      <c r="K361" s="72"/>
      <c r="L361" s="9"/>
      <c r="M361" s="9"/>
      <c r="N361" s="9"/>
      <c r="O361" s="9"/>
      <c r="P361" s="9"/>
      <c r="Q361" s="9"/>
    </row>
    <row r="362" spans="2:17" x14ac:dyDescent="0.2">
      <c r="B362" s="7"/>
      <c r="C362" s="72"/>
      <c r="D362" s="9"/>
      <c r="E362" s="72"/>
      <c r="F362" s="9"/>
      <c r="G362" s="16"/>
      <c r="H362" s="9"/>
      <c r="I362" s="9"/>
      <c r="J362" s="9"/>
      <c r="K362" s="72"/>
      <c r="L362" s="9"/>
      <c r="M362" s="9"/>
      <c r="N362" s="9"/>
      <c r="O362" s="9"/>
      <c r="P362" s="9"/>
      <c r="Q362" s="9"/>
    </row>
    <row r="363" spans="2:17" x14ac:dyDescent="0.2">
      <c r="B363" s="7"/>
      <c r="C363" s="72"/>
      <c r="D363" s="9"/>
      <c r="E363" s="72"/>
      <c r="F363" s="9"/>
      <c r="G363" s="16"/>
      <c r="H363" s="9"/>
      <c r="I363" s="9"/>
      <c r="J363" s="9"/>
      <c r="K363" s="72"/>
      <c r="L363" s="9"/>
      <c r="M363" s="9"/>
      <c r="N363" s="9"/>
      <c r="O363" s="9"/>
      <c r="P363" s="9"/>
      <c r="Q363" s="9"/>
    </row>
    <row r="364" spans="2:17" x14ac:dyDescent="0.2">
      <c r="B364" s="7"/>
      <c r="C364" s="72"/>
      <c r="D364" s="9"/>
      <c r="E364" s="72"/>
      <c r="F364" s="9"/>
      <c r="G364" s="16"/>
      <c r="H364" s="9"/>
      <c r="I364" s="9"/>
      <c r="J364" s="9"/>
      <c r="K364" s="72"/>
      <c r="L364" s="9"/>
      <c r="M364" s="9"/>
      <c r="N364" s="9"/>
      <c r="O364" s="9"/>
      <c r="P364" s="9"/>
      <c r="Q364" s="9"/>
    </row>
    <row r="365" spans="2:17" x14ac:dyDescent="0.2">
      <c r="B365" s="7"/>
      <c r="C365" s="72"/>
      <c r="D365" s="9"/>
      <c r="E365" s="72"/>
      <c r="F365" s="9"/>
      <c r="G365" s="16"/>
      <c r="H365" s="9"/>
      <c r="I365" s="9"/>
      <c r="J365" s="9"/>
      <c r="K365" s="72"/>
      <c r="L365" s="9"/>
      <c r="M365" s="9"/>
      <c r="N365" s="9"/>
      <c r="O365" s="9"/>
      <c r="P365" s="9"/>
      <c r="Q365" s="9"/>
    </row>
    <row r="366" spans="2:17" x14ac:dyDescent="0.2">
      <c r="B366" s="7"/>
      <c r="C366" s="72"/>
      <c r="D366" s="9"/>
      <c r="E366" s="72"/>
      <c r="F366" s="9"/>
      <c r="G366" s="16"/>
      <c r="H366" s="9"/>
      <c r="I366" s="9"/>
      <c r="J366" s="9"/>
      <c r="K366" s="72"/>
      <c r="L366" s="9"/>
      <c r="M366" s="9"/>
      <c r="N366" s="9"/>
      <c r="O366" s="9"/>
      <c r="P366" s="9"/>
      <c r="Q366" s="9"/>
    </row>
    <row r="367" spans="2:17" x14ac:dyDescent="0.2">
      <c r="B367" s="7"/>
      <c r="C367" s="72"/>
      <c r="D367" s="9"/>
      <c r="E367" s="72"/>
      <c r="F367" s="9"/>
      <c r="G367" s="16"/>
      <c r="H367" s="9"/>
      <c r="I367" s="9"/>
      <c r="J367" s="9"/>
      <c r="K367" s="72"/>
      <c r="L367" s="9"/>
      <c r="M367" s="9"/>
      <c r="N367" s="9"/>
      <c r="O367" s="9"/>
      <c r="P367" s="9"/>
      <c r="Q367" s="9"/>
    </row>
    <row r="368" spans="2:17" x14ac:dyDescent="0.2">
      <c r="B368" s="7"/>
      <c r="C368" s="72"/>
      <c r="D368" s="9"/>
      <c r="E368" s="72"/>
      <c r="F368" s="9"/>
      <c r="G368" s="16"/>
      <c r="H368" s="9"/>
      <c r="I368" s="9"/>
      <c r="J368" s="9"/>
      <c r="K368" s="72"/>
      <c r="L368" s="9"/>
      <c r="M368" s="9"/>
      <c r="N368" s="9"/>
      <c r="O368" s="9"/>
      <c r="P368" s="9"/>
      <c r="Q368" s="9"/>
    </row>
    <row r="369" spans="2:17" x14ac:dyDescent="0.2">
      <c r="B369" s="7"/>
      <c r="C369" s="72"/>
      <c r="D369" s="9"/>
      <c r="E369" s="72"/>
      <c r="F369" s="9"/>
      <c r="G369" s="16"/>
      <c r="H369" s="9"/>
      <c r="I369" s="9"/>
      <c r="J369" s="9"/>
      <c r="K369" s="72"/>
      <c r="L369" s="9"/>
      <c r="M369" s="9"/>
      <c r="N369" s="9"/>
      <c r="O369" s="9"/>
      <c r="P369" s="9"/>
      <c r="Q369" s="9"/>
    </row>
    <row r="370" spans="2:17" x14ac:dyDescent="0.2">
      <c r="B370" s="7"/>
      <c r="C370" s="72"/>
      <c r="D370" s="9"/>
      <c r="E370" s="72"/>
      <c r="F370" s="9"/>
      <c r="G370" s="16"/>
      <c r="H370" s="9"/>
      <c r="I370" s="9"/>
      <c r="J370" s="9"/>
      <c r="K370" s="72"/>
      <c r="L370" s="9"/>
      <c r="M370" s="9"/>
      <c r="N370" s="9"/>
      <c r="O370" s="9"/>
      <c r="P370" s="9"/>
      <c r="Q370" s="9"/>
    </row>
    <row r="371" spans="2:17" x14ac:dyDescent="0.2">
      <c r="B371" s="7"/>
      <c r="C371" s="72"/>
      <c r="D371" s="9"/>
      <c r="E371" s="72"/>
      <c r="F371" s="9"/>
      <c r="G371" s="16"/>
      <c r="H371" s="9"/>
      <c r="I371" s="9"/>
      <c r="J371" s="9"/>
      <c r="K371" s="72"/>
      <c r="L371" s="9"/>
      <c r="M371" s="9"/>
      <c r="N371" s="9"/>
      <c r="O371" s="9"/>
      <c r="P371" s="9"/>
      <c r="Q371" s="9"/>
    </row>
    <row r="372" spans="2:17" x14ac:dyDescent="0.2">
      <c r="B372" s="7"/>
      <c r="C372" s="72"/>
      <c r="D372" s="9"/>
      <c r="E372" s="72"/>
      <c r="F372" s="9"/>
      <c r="G372" s="16"/>
      <c r="H372" s="9"/>
      <c r="I372" s="9"/>
      <c r="J372" s="9"/>
      <c r="K372" s="72"/>
      <c r="L372" s="9"/>
      <c r="M372" s="9"/>
      <c r="N372" s="9"/>
      <c r="O372" s="9"/>
      <c r="P372" s="9"/>
      <c r="Q372" s="9"/>
    </row>
    <row r="373" spans="2:17" x14ac:dyDescent="0.2">
      <c r="B373" s="7"/>
      <c r="C373" s="72"/>
      <c r="D373" s="9"/>
      <c r="E373" s="72"/>
      <c r="F373" s="9"/>
      <c r="G373" s="16"/>
      <c r="H373" s="9"/>
      <c r="I373" s="9"/>
      <c r="J373" s="9"/>
      <c r="K373" s="72"/>
      <c r="L373" s="9"/>
      <c r="M373" s="9"/>
      <c r="N373" s="9"/>
      <c r="O373" s="9"/>
      <c r="P373" s="9"/>
      <c r="Q373" s="9"/>
    </row>
    <row r="374" spans="2:17" x14ac:dyDescent="0.2">
      <c r="B374" s="7"/>
      <c r="C374" s="72"/>
      <c r="D374" s="9"/>
      <c r="E374" s="72"/>
      <c r="F374" s="9"/>
      <c r="G374" s="16"/>
      <c r="H374" s="9"/>
      <c r="I374" s="9"/>
      <c r="J374" s="9"/>
      <c r="K374" s="72"/>
      <c r="L374" s="9"/>
      <c r="M374" s="9"/>
      <c r="N374" s="9"/>
      <c r="O374" s="9"/>
      <c r="P374" s="9"/>
      <c r="Q374" s="9"/>
    </row>
    <row r="375" spans="2:17" x14ac:dyDescent="0.2">
      <c r="B375" s="7"/>
      <c r="C375" s="72"/>
      <c r="D375" s="9"/>
      <c r="E375" s="72"/>
      <c r="F375" s="9"/>
      <c r="G375" s="16"/>
      <c r="H375" s="9"/>
      <c r="I375" s="9"/>
      <c r="J375" s="9"/>
      <c r="K375" s="72"/>
      <c r="L375" s="9"/>
      <c r="M375" s="9"/>
      <c r="N375" s="9"/>
      <c r="O375" s="9"/>
      <c r="P375" s="9"/>
      <c r="Q375" s="9"/>
    </row>
    <row r="376" spans="2:17" x14ac:dyDescent="0.2">
      <c r="B376" s="7"/>
      <c r="C376" s="72"/>
      <c r="D376" s="9"/>
      <c r="E376" s="72"/>
      <c r="F376" s="9"/>
      <c r="G376" s="16"/>
      <c r="H376" s="9"/>
      <c r="I376" s="9"/>
      <c r="J376" s="9"/>
      <c r="K376" s="72"/>
      <c r="L376" s="9"/>
      <c r="M376" s="9"/>
      <c r="N376" s="9"/>
      <c r="O376" s="9"/>
      <c r="P376" s="9"/>
      <c r="Q376" s="9"/>
    </row>
    <row r="377" spans="2:17" x14ac:dyDescent="0.2">
      <c r="B377" s="7"/>
      <c r="C377" s="72"/>
      <c r="D377" s="9"/>
      <c r="E377" s="72"/>
      <c r="F377" s="9"/>
      <c r="G377" s="16"/>
      <c r="H377" s="9"/>
      <c r="I377" s="9"/>
      <c r="J377" s="9"/>
      <c r="K377" s="72"/>
      <c r="L377" s="9"/>
      <c r="M377" s="9"/>
      <c r="N377" s="9"/>
      <c r="O377" s="9"/>
      <c r="P377" s="9"/>
      <c r="Q377" s="9"/>
    </row>
    <row r="378" spans="2:17" x14ac:dyDescent="0.2">
      <c r="B378" s="7"/>
      <c r="C378" s="72"/>
      <c r="D378" s="9"/>
      <c r="E378" s="72"/>
      <c r="F378" s="9"/>
      <c r="G378" s="16"/>
      <c r="H378" s="9"/>
      <c r="I378" s="9"/>
      <c r="J378" s="9"/>
      <c r="K378" s="72"/>
      <c r="L378" s="9"/>
      <c r="M378" s="9"/>
      <c r="N378" s="9"/>
      <c r="O378" s="9"/>
      <c r="P378" s="9"/>
      <c r="Q378" s="9"/>
    </row>
    <row r="379" spans="2:17" x14ac:dyDescent="0.2">
      <c r="B379" s="7"/>
      <c r="C379" s="72"/>
      <c r="D379" s="9"/>
      <c r="E379" s="72"/>
      <c r="F379" s="9"/>
      <c r="G379" s="16"/>
      <c r="H379" s="9"/>
      <c r="I379" s="9"/>
      <c r="J379" s="9"/>
      <c r="K379" s="72"/>
      <c r="L379" s="9"/>
      <c r="M379" s="9"/>
      <c r="N379" s="9"/>
      <c r="O379" s="9"/>
      <c r="P379" s="9"/>
      <c r="Q379" s="9"/>
    </row>
    <row r="380" spans="2:17" x14ac:dyDescent="0.2">
      <c r="B380" s="7"/>
      <c r="C380" s="72"/>
      <c r="D380" s="9"/>
      <c r="E380" s="72"/>
      <c r="F380" s="9"/>
      <c r="G380" s="16"/>
      <c r="H380" s="9"/>
      <c r="I380" s="9"/>
      <c r="J380" s="9"/>
      <c r="K380" s="72"/>
      <c r="L380" s="9"/>
      <c r="M380" s="9"/>
      <c r="N380" s="9"/>
      <c r="O380" s="9"/>
      <c r="P380" s="9"/>
      <c r="Q380" s="9"/>
    </row>
    <row r="381" spans="2:17" x14ac:dyDescent="0.2">
      <c r="B381" s="7"/>
      <c r="C381" s="72"/>
      <c r="D381" s="9"/>
      <c r="E381" s="72"/>
      <c r="F381" s="9"/>
      <c r="G381" s="16"/>
      <c r="H381" s="9"/>
      <c r="I381" s="9"/>
      <c r="J381" s="9"/>
      <c r="K381" s="72"/>
      <c r="L381" s="9"/>
      <c r="M381" s="9"/>
      <c r="N381" s="9"/>
      <c r="O381" s="9"/>
      <c r="P381" s="9"/>
      <c r="Q381" s="9"/>
    </row>
    <row r="382" spans="2:17" x14ac:dyDescent="0.2">
      <c r="B382" s="7"/>
      <c r="C382" s="72"/>
      <c r="D382" s="9"/>
      <c r="E382" s="72"/>
      <c r="F382" s="9"/>
      <c r="G382" s="16"/>
      <c r="H382" s="9"/>
      <c r="I382" s="9"/>
      <c r="J382" s="9"/>
      <c r="K382" s="72"/>
      <c r="L382" s="9"/>
      <c r="M382" s="9"/>
      <c r="N382" s="9"/>
      <c r="O382" s="9"/>
      <c r="P382" s="9"/>
      <c r="Q382" s="9"/>
    </row>
    <row r="383" spans="2:17" x14ac:dyDescent="0.2">
      <c r="B383" s="7"/>
      <c r="C383" s="72"/>
      <c r="D383" s="9"/>
      <c r="E383" s="72"/>
      <c r="F383" s="9"/>
      <c r="G383" s="16"/>
      <c r="H383" s="9"/>
      <c r="I383" s="9"/>
      <c r="J383" s="9"/>
      <c r="K383" s="72"/>
      <c r="L383" s="9"/>
      <c r="M383" s="9"/>
      <c r="N383" s="9"/>
      <c r="O383" s="9"/>
      <c r="P383" s="9"/>
      <c r="Q383" s="9"/>
    </row>
    <row r="384" spans="2:17" x14ac:dyDescent="0.2">
      <c r="B384" s="7"/>
      <c r="C384" s="72"/>
      <c r="D384" s="9"/>
      <c r="E384" s="72"/>
      <c r="F384" s="9"/>
      <c r="G384" s="16"/>
      <c r="H384" s="9"/>
      <c r="I384" s="9"/>
      <c r="J384" s="9"/>
      <c r="K384" s="72"/>
      <c r="L384" s="9"/>
      <c r="M384" s="9"/>
      <c r="N384" s="9"/>
      <c r="O384" s="9"/>
      <c r="P384" s="9"/>
      <c r="Q384" s="9"/>
    </row>
    <row r="385" spans="2:17" x14ac:dyDescent="0.2">
      <c r="B385" s="7"/>
      <c r="C385" s="72"/>
      <c r="D385" s="9"/>
      <c r="E385" s="72"/>
      <c r="F385" s="9"/>
      <c r="G385" s="16"/>
      <c r="H385" s="9"/>
      <c r="I385" s="9"/>
      <c r="J385" s="9"/>
      <c r="K385" s="72"/>
      <c r="L385" s="9"/>
      <c r="M385" s="9"/>
      <c r="N385" s="9"/>
      <c r="O385" s="9"/>
      <c r="P385" s="9"/>
      <c r="Q385" s="9"/>
    </row>
    <row r="386" spans="2:17" x14ac:dyDescent="0.2">
      <c r="B386" s="7"/>
      <c r="C386" s="72"/>
      <c r="D386" s="9"/>
      <c r="E386" s="72"/>
      <c r="F386" s="9"/>
      <c r="G386" s="16"/>
      <c r="H386" s="9"/>
      <c r="I386" s="9"/>
      <c r="J386" s="9"/>
      <c r="K386" s="72"/>
      <c r="L386" s="9"/>
      <c r="M386" s="9"/>
      <c r="N386" s="9"/>
      <c r="O386" s="9"/>
      <c r="P386" s="9"/>
      <c r="Q386" s="9"/>
    </row>
    <row r="387" spans="2:17" x14ac:dyDescent="0.2">
      <c r="B387" s="7"/>
      <c r="C387" s="72"/>
      <c r="D387" s="9"/>
      <c r="E387" s="72"/>
      <c r="F387" s="9"/>
      <c r="G387" s="16"/>
      <c r="H387" s="9"/>
      <c r="I387" s="9"/>
      <c r="J387" s="9"/>
      <c r="K387" s="72"/>
      <c r="L387" s="9"/>
      <c r="M387" s="9"/>
      <c r="N387" s="9"/>
      <c r="O387" s="9"/>
      <c r="P387" s="9"/>
      <c r="Q387" s="9"/>
    </row>
    <row r="388" spans="2:17" x14ac:dyDescent="0.2">
      <c r="B388" s="7"/>
      <c r="C388" s="72"/>
      <c r="D388" s="9"/>
      <c r="E388" s="72"/>
      <c r="F388" s="9"/>
      <c r="G388" s="16"/>
      <c r="H388" s="9"/>
      <c r="I388" s="9"/>
      <c r="J388" s="9"/>
      <c r="K388" s="72"/>
      <c r="L388" s="9"/>
      <c r="M388" s="9"/>
      <c r="N388" s="9"/>
      <c r="O388" s="9"/>
      <c r="P388" s="9"/>
      <c r="Q388" s="9"/>
    </row>
    <row r="389" spans="2:17" x14ac:dyDescent="0.2">
      <c r="B389" s="7"/>
      <c r="C389" s="72"/>
      <c r="D389" s="9"/>
      <c r="E389" s="72"/>
      <c r="F389" s="9"/>
      <c r="G389" s="16"/>
      <c r="H389" s="9"/>
      <c r="I389" s="9"/>
      <c r="J389" s="9"/>
      <c r="K389" s="72"/>
      <c r="L389" s="9"/>
      <c r="M389" s="9"/>
      <c r="N389" s="9"/>
      <c r="O389" s="9"/>
      <c r="P389" s="9"/>
      <c r="Q389" s="9"/>
    </row>
    <row r="390" spans="2:17" x14ac:dyDescent="0.2">
      <c r="B390" s="7"/>
      <c r="C390" s="72"/>
      <c r="D390" s="9"/>
      <c r="E390" s="72"/>
      <c r="F390" s="9"/>
      <c r="G390" s="16"/>
      <c r="H390" s="9"/>
      <c r="I390" s="9"/>
      <c r="J390" s="9"/>
      <c r="K390" s="72"/>
      <c r="L390" s="9"/>
      <c r="M390" s="9"/>
      <c r="N390" s="9"/>
      <c r="O390" s="9"/>
      <c r="P390" s="9"/>
      <c r="Q390" s="9"/>
    </row>
    <row r="391" spans="2:17" x14ac:dyDescent="0.2">
      <c r="B391" s="7"/>
      <c r="C391" s="72"/>
      <c r="D391" s="9"/>
      <c r="E391" s="72"/>
      <c r="F391" s="9"/>
      <c r="G391" s="16"/>
      <c r="H391" s="9"/>
      <c r="I391" s="9"/>
      <c r="J391" s="9"/>
      <c r="K391" s="72"/>
      <c r="L391" s="9"/>
      <c r="M391" s="9"/>
      <c r="N391" s="9"/>
      <c r="O391" s="9"/>
      <c r="P391" s="9"/>
      <c r="Q391" s="9"/>
    </row>
    <row r="392" spans="2:17" x14ac:dyDescent="0.2">
      <c r="B392" s="7"/>
      <c r="C392" s="72"/>
      <c r="D392" s="9"/>
      <c r="E392" s="72"/>
      <c r="F392" s="9"/>
      <c r="G392" s="16"/>
      <c r="H392" s="9"/>
      <c r="I392" s="9"/>
      <c r="J392" s="9"/>
      <c r="K392" s="72"/>
      <c r="L392" s="9"/>
      <c r="M392" s="9"/>
      <c r="N392" s="9"/>
      <c r="O392" s="9"/>
      <c r="P392" s="9"/>
      <c r="Q392" s="9"/>
    </row>
    <row r="393" spans="2:17" x14ac:dyDescent="0.2">
      <c r="B393" s="7"/>
      <c r="C393" s="72"/>
      <c r="D393" s="9"/>
      <c r="E393" s="72"/>
      <c r="F393" s="9"/>
      <c r="G393" s="16"/>
      <c r="H393" s="9"/>
      <c r="I393" s="9"/>
      <c r="J393" s="9"/>
      <c r="K393" s="72"/>
      <c r="L393" s="9"/>
      <c r="M393" s="9"/>
      <c r="N393" s="9"/>
      <c r="O393" s="9"/>
      <c r="P393" s="9"/>
      <c r="Q393" s="9"/>
    </row>
    <row r="394" spans="2:17" x14ac:dyDescent="0.2">
      <c r="B394" s="7"/>
      <c r="C394" s="72"/>
      <c r="D394" s="9"/>
      <c r="E394" s="72"/>
      <c r="F394" s="9"/>
      <c r="G394" s="16"/>
      <c r="H394" s="9"/>
      <c r="I394" s="9"/>
      <c r="J394" s="9"/>
      <c r="K394" s="72"/>
      <c r="L394" s="9"/>
      <c r="M394" s="9"/>
      <c r="N394" s="9"/>
      <c r="O394" s="9"/>
      <c r="P394" s="9"/>
      <c r="Q394" s="9"/>
    </row>
    <row r="395" spans="2:17" x14ac:dyDescent="0.2">
      <c r="B395" s="7"/>
      <c r="C395" s="72"/>
      <c r="D395" s="9"/>
      <c r="E395" s="72"/>
      <c r="F395" s="9"/>
      <c r="G395" s="16"/>
      <c r="H395" s="9"/>
      <c r="I395" s="9"/>
      <c r="J395" s="9"/>
      <c r="K395" s="72"/>
      <c r="L395" s="9"/>
      <c r="M395" s="9"/>
      <c r="N395" s="9"/>
      <c r="O395" s="9"/>
      <c r="P395" s="9"/>
      <c r="Q395" s="9"/>
    </row>
    <row r="396" spans="2:17" x14ac:dyDescent="0.2">
      <c r="B396" s="7"/>
      <c r="C396" s="72"/>
      <c r="D396" s="9"/>
      <c r="E396" s="72"/>
      <c r="F396" s="9"/>
      <c r="G396" s="16"/>
      <c r="H396" s="9"/>
      <c r="I396" s="9"/>
      <c r="J396" s="9"/>
      <c r="K396" s="72"/>
      <c r="L396" s="9"/>
      <c r="M396" s="9"/>
      <c r="N396" s="9"/>
      <c r="O396" s="9"/>
      <c r="P396" s="9"/>
      <c r="Q396" s="9"/>
    </row>
    <row r="397" spans="2:17" x14ac:dyDescent="0.2">
      <c r="B397" s="7"/>
      <c r="C397" s="72"/>
      <c r="D397" s="9"/>
      <c r="E397" s="72"/>
      <c r="F397" s="9"/>
      <c r="G397" s="16"/>
      <c r="H397" s="9"/>
      <c r="I397" s="9"/>
      <c r="J397" s="9"/>
      <c r="K397" s="72"/>
      <c r="L397" s="9"/>
      <c r="M397" s="9"/>
      <c r="N397" s="9"/>
      <c r="O397" s="9"/>
      <c r="P397" s="9"/>
      <c r="Q397" s="9"/>
    </row>
    <row r="398" spans="2:17" x14ac:dyDescent="0.2">
      <c r="B398" s="7"/>
      <c r="C398" s="72"/>
      <c r="D398" s="9"/>
      <c r="E398" s="72"/>
      <c r="F398" s="9"/>
      <c r="G398" s="16"/>
      <c r="H398" s="9"/>
      <c r="I398" s="9"/>
      <c r="J398" s="9"/>
      <c r="K398" s="72"/>
      <c r="L398" s="9"/>
      <c r="M398" s="9"/>
      <c r="N398" s="9"/>
      <c r="O398" s="9"/>
      <c r="P398" s="9"/>
      <c r="Q398" s="9"/>
    </row>
    <row r="399" spans="2:17" x14ac:dyDescent="0.2">
      <c r="B399" s="7"/>
      <c r="C399" s="72"/>
      <c r="D399" s="9"/>
      <c r="E399" s="72"/>
      <c r="F399" s="9"/>
      <c r="G399" s="16"/>
      <c r="H399" s="9"/>
      <c r="I399" s="9"/>
      <c r="J399" s="9"/>
      <c r="K399" s="72"/>
      <c r="L399" s="9"/>
      <c r="M399" s="9"/>
      <c r="N399" s="9"/>
      <c r="O399" s="9"/>
      <c r="P399" s="9"/>
      <c r="Q399" s="9"/>
    </row>
    <row r="400" spans="2:17" x14ac:dyDescent="0.2">
      <c r="B400" s="7"/>
      <c r="C400" s="72"/>
      <c r="D400" s="9"/>
      <c r="E400" s="72"/>
      <c r="F400" s="9"/>
      <c r="G400" s="16"/>
      <c r="H400" s="9"/>
      <c r="I400" s="9"/>
      <c r="J400" s="9"/>
      <c r="K400" s="72"/>
      <c r="L400" s="9"/>
      <c r="M400" s="9"/>
      <c r="N400" s="9"/>
      <c r="O400" s="9"/>
      <c r="P400" s="9"/>
      <c r="Q400" s="9"/>
    </row>
    <row r="401" spans="2:17" x14ac:dyDescent="0.2">
      <c r="B401" s="7"/>
      <c r="C401" s="72"/>
      <c r="D401" s="9"/>
      <c r="E401" s="72"/>
      <c r="F401" s="9"/>
      <c r="G401" s="16"/>
      <c r="H401" s="9"/>
      <c r="I401" s="9"/>
      <c r="J401" s="9"/>
      <c r="K401" s="72"/>
      <c r="L401" s="9"/>
      <c r="M401" s="9"/>
      <c r="N401" s="9"/>
      <c r="O401" s="9"/>
      <c r="P401" s="9"/>
      <c r="Q401" s="9"/>
    </row>
    <row r="402" spans="2:17" x14ac:dyDescent="0.2">
      <c r="B402" s="7"/>
      <c r="C402" s="72"/>
      <c r="D402" s="9"/>
      <c r="E402" s="72"/>
      <c r="F402" s="9"/>
      <c r="G402" s="16"/>
      <c r="H402" s="9"/>
      <c r="I402" s="9"/>
      <c r="J402" s="9"/>
      <c r="K402" s="72"/>
      <c r="L402" s="9"/>
      <c r="M402" s="9"/>
      <c r="N402" s="9"/>
      <c r="O402" s="9"/>
      <c r="P402" s="9"/>
      <c r="Q402" s="9"/>
    </row>
    <row r="403" spans="2:17" x14ac:dyDescent="0.2">
      <c r="B403" s="7"/>
      <c r="C403" s="72"/>
      <c r="D403" s="9"/>
      <c r="E403" s="72"/>
      <c r="F403" s="9"/>
      <c r="G403" s="16"/>
      <c r="H403" s="9"/>
      <c r="I403" s="9"/>
      <c r="J403" s="9"/>
      <c r="K403" s="72"/>
      <c r="L403" s="9"/>
      <c r="M403" s="9"/>
      <c r="N403" s="9"/>
      <c r="O403" s="9"/>
      <c r="P403" s="9"/>
      <c r="Q403" s="9"/>
    </row>
    <row r="404" spans="2:17" x14ac:dyDescent="0.2">
      <c r="B404" s="7"/>
      <c r="C404" s="72"/>
      <c r="D404" s="9"/>
      <c r="E404" s="72"/>
      <c r="F404" s="9"/>
      <c r="G404" s="16"/>
      <c r="H404" s="9"/>
      <c r="I404" s="9"/>
      <c r="J404" s="9"/>
      <c r="K404" s="72"/>
      <c r="L404" s="9"/>
      <c r="M404" s="9"/>
      <c r="N404" s="9"/>
      <c r="O404" s="9"/>
      <c r="P404" s="9"/>
      <c r="Q404" s="9"/>
    </row>
    <row r="405" spans="2:17" x14ac:dyDescent="0.2">
      <c r="B405" s="7"/>
      <c r="C405" s="72"/>
      <c r="D405" s="9"/>
      <c r="E405" s="72"/>
      <c r="F405" s="9"/>
      <c r="G405" s="16"/>
      <c r="H405" s="9"/>
      <c r="I405" s="9"/>
      <c r="J405" s="9"/>
      <c r="K405" s="72"/>
      <c r="L405" s="9"/>
      <c r="M405" s="9"/>
      <c r="N405" s="9"/>
      <c r="O405" s="9"/>
      <c r="P405" s="9"/>
      <c r="Q405" s="9"/>
    </row>
    <row r="406" spans="2:17" x14ac:dyDescent="0.2">
      <c r="B406" s="7"/>
      <c r="C406" s="72"/>
      <c r="D406" s="9"/>
      <c r="E406" s="72"/>
      <c r="F406" s="9"/>
      <c r="G406" s="16"/>
      <c r="H406" s="9"/>
      <c r="I406" s="9"/>
      <c r="J406" s="9"/>
      <c r="K406" s="72"/>
      <c r="L406" s="9"/>
      <c r="M406" s="9"/>
      <c r="N406" s="9"/>
      <c r="O406" s="9"/>
      <c r="P406" s="9"/>
      <c r="Q406" s="9"/>
    </row>
    <row r="407" spans="2:17" x14ac:dyDescent="0.2">
      <c r="B407" s="7"/>
      <c r="C407" s="72"/>
      <c r="D407" s="9"/>
      <c r="E407" s="72"/>
      <c r="F407" s="9"/>
      <c r="G407" s="16"/>
      <c r="H407" s="9"/>
      <c r="I407" s="9"/>
      <c r="J407" s="9"/>
      <c r="K407" s="72"/>
      <c r="L407" s="9"/>
      <c r="M407" s="9"/>
      <c r="N407" s="9"/>
      <c r="O407" s="9"/>
      <c r="P407" s="9"/>
      <c r="Q407" s="9"/>
    </row>
    <row r="408" spans="2:17" x14ac:dyDescent="0.2">
      <c r="B408" s="7"/>
      <c r="C408" s="72"/>
      <c r="D408" s="9"/>
      <c r="E408" s="72"/>
      <c r="F408" s="9"/>
      <c r="G408" s="16"/>
      <c r="H408" s="9"/>
      <c r="I408" s="9"/>
      <c r="J408" s="9"/>
      <c r="K408" s="72"/>
      <c r="L408" s="9"/>
      <c r="M408" s="9"/>
      <c r="N408" s="9"/>
      <c r="O408" s="9"/>
      <c r="P408" s="9"/>
      <c r="Q408" s="9"/>
    </row>
    <row r="409" spans="2:17" x14ac:dyDescent="0.2">
      <c r="B409" s="7"/>
      <c r="C409" s="72"/>
      <c r="D409" s="9"/>
      <c r="E409" s="72"/>
      <c r="F409" s="9"/>
      <c r="G409" s="16"/>
      <c r="H409" s="9"/>
      <c r="I409" s="9"/>
      <c r="J409" s="9"/>
      <c r="K409" s="72"/>
      <c r="L409" s="9"/>
      <c r="M409" s="9"/>
      <c r="N409" s="9"/>
      <c r="O409" s="9"/>
      <c r="P409" s="9"/>
      <c r="Q409" s="9"/>
    </row>
    <row r="410" spans="2:17" x14ac:dyDescent="0.2">
      <c r="B410" s="7"/>
      <c r="C410" s="72"/>
      <c r="D410" s="9"/>
      <c r="E410" s="72"/>
      <c r="F410" s="9"/>
      <c r="G410" s="16"/>
      <c r="H410" s="9"/>
      <c r="I410" s="9"/>
      <c r="J410" s="9"/>
      <c r="K410" s="72"/>
      <c r="L410" s="9"/>
      <c r="M410" s="9"/>
      <c r="N410" s="9"/>
      <c r="O410" s="9"/>
      <c r="P410" s="9"/>
      <c r="Q410" s="9"/>
    </row>
    <row r="411" spans="2:17" x14ac:dyDescent="0.2">
      <c r="B411" s="7"/>
      <c r="C411" s="72"/>
      <c r="D411" s="9"/>
      <c r="E411" s="72"/>
      <c r="F411" s="9"/>
      <c r="G411" s="16"/>
      <c r="H411" s="9"/>
      <c r="I411" s="9"/>
      <c r="J411" s="9"/>
      <c r="K411" s="72"/>
      <c r="L411" s="9"/>
      <c r="M411" s="9"/>
      <c r="N411" s="9"/>
      <c r="O411" s="9"/>
      <c r="P411" s="9"/>
      <c r="Q411" s="9"/>
    </row>
    <row r="412" spans="2:17" x14ac:dyDescent="0.2">
      <c r="B412" s="7"/>
      <c r="C412" s="72"/>
      <c r="D412" s="9"/>
      <c r="E412" s="72"/>
      <c r="F412" s="9"/>
      <c r="G412" s="16"/>
      <c r="H412" s="9"/>
      <c r="I412" s="9"/>
      <c r="J412" s="9"/>
      <c r="K412" s="72"/>
      <c r="L412" s="9"/>
      <c r="M412" s="9"/>
      <c r="N412" s="9"/>
      <c r="O412" s="9"/>
      <c r="P412" s="9"/>
      <c r="Q412" s="9"/>
    </row>
    <row r="413" spans="2:17" x14ac:dyDescent="0.2">
      <c r="B413" s="7"/>
      <c r="C413" s="72"/>
      <c r="D413" s="9"/>
      <c r="E413" s="72"/>
      <c r="F413" s="9"/>
      <c r="G413" s="16"/>
      <c r="H413" s="9"/>
      <c r="I413" s="9"/>
      <c r="J413" s="9"/>
      <c r="K413" s="72"/>
      <c r="L413" s="9"/>
      <c r="M413" s="9"/>
      <c r="N413" s="9"/>
      <c r="O413" s="9"/>
      <c r="P413" s="9"/>
      <c r="Q413" s="9"/>
    </row>
    <row r="414" spans="2:17" x14ac:dyDescent="0.2">
      <c r="B414" s="7"/>
      <c r="C414" s="72"/>
      <c r="D414" s="9"/>
      <c r="E414" s="72"/>
      <c r="F414" s="9"/>
      <c r="G414" s="16"/>
      <c r="H414" s="9"/>
      <c r="I414" s="9"/>
      <c r="J414" s="9"/>
      <c r="K414" s="72"/>
      <c r="L414" s="9"/>
      <c r="M414" s="9"/>
      <c r="N414" s="9"/>
      <c r="O414" s="9"/>
      <c r="P414" s="9"/>
      <c r="Q414" s="9"/>
    </row>
    <row r="415" spans="2:17" x14ac:dyDescent="0.2">
      <c r="B415" s="7"/>
      <c r="C415" s="72"/>
      <c r="D415" s="9"/>
      <c r="E415" s="72"/>
      <c r="F415" s="9"/>
      <c r="G415" s="16"/>
      <c r="H415" s="9"/>
      <c r="I415" s="9"/>
      <c r="J415" s="9"/>
      <c r="K415" s="72"/>
      <c r="L415" s="9"/>
      <c r="M415" s="9"/>
      <c r="N415" s="9"/>
      <c r="O415" s="9"/>
      <c r="P415" s="9"/>
      <c r="Q415" s="9"/>
    </row>
    <row r="416" spans="2:17" x14ac:dyDescent="0.2">
      <c r="B416" s="7"/>
      <c r="C416" s="72"/>
      <c r="D416" s="9"/>
      <c r="E416" s="72"/>
      <c r="F416" s="9"/>
      <c r="G416" s="16"/>
      <c r="H416" s="9"/>
      <c r="I416" s="9"/>
      <c r="J416" s="9"/>
      <c r="K416" s="72"/>
      <c r="L416" s="9"/>
      <c r="M416" s="9"/>
      <c r="N416" s="9"/>
      <c r="O416" s="9"/>
      <c r="P416" s="9"/>
      <c r="Q416" s="9"/>
    </row>
    <row r="417" spans="2:17" x14ac:dyDescent="0.2">
      <c r="B417" s="7"/>
      <c r="C417" s="72"/>
      <c r="D417" s="9"/>
      <c r="E417" s="72"/>
      <c r="F417" s="9"/>
      <c r="G417" s="16"/>
      <c r="H417" s="9"/>
      <c r="I417" s="9"/>
      <c r="J417" s="9"/>
      <c r="K417" s="72"/>
      <c r="L417" s="9"/>
      <c r="M417" s="9"/>
      <c r="N417" s="9"/>
      <c r="O417" s="9"/>
      <c r="P417" s="9"/>
      <c r="Q417" s="9"/>
    </row>
    <row r="418" spans="2:17" x14ac:dyDescent="0.2">
      <c r="B418" s="7"/>
      <c r="C418" s="72"/>
      <c r="D418" s="9"/>
      <c r="E418" s="72"/>
      <c r="F418" s="9"/>
      <c r="G418" s="16"/>
      <c r="H418" s="9"/>
      <c r="I418" s="9"/>
      <c r="J418" s="9"/>
      <c r="K418" s="72"/>
      <c r="L418" s="9"/>
      <c r="M418" s="9"/>
      <c r="N418" s="9"/>
      <c r="O418" s="9"/>
      <c r="P418" s="9"/>
      <c r="Q418" s="9"/>
    </row>
    <row r="419" spans="2:17" x14ac:dyDescent="0.2">
      <c r="B419" s="7"/>
      <c r="C419" s="72"/>
      <c r="D419" s="9"/>
      <c r="E419" s="72"/>
      <c r="F419" s="9"/>
      <c r="G419" s="16"/>
      <c r="H419" s="9"/>
      <c r="I419" s="9"/>
      <c r="J419" s="9"/>
      <c r="K419" s="72"/>
      <c r="L419" s="9"/>
      <c r="M419" s="9"/>
      <c r="N419" s="9"/>
      <c r="O419" s="9"/>
      <c r="P419" s="9"/>
      <c r="Q419" s="9"/>
    </row>
    <row r="420" spans="2:17" x14ac:dyDescent="0.2">
      <c r="B420" s="7"/>
      <c r="C420" s="72"/>
      <c r="D420" s="9"/>
      <c r="E420" s="72"/>
      <c r="F420" s="9"/>
      <c r="G420" s="16"/>
      <c r="H420" s="9"/>
      <c r="I420" s="9"/>
      <c r="J420" s="9"/>
      <c r="K420" s="72"/>
      <c r="L420" s="9"/>
      <c r="M420" s="9"/>
      <c r="N420" s="9"/>
      <c r="O420" s="9"/>
      <c r="P420" s="9"/>
      <c r="Q420" s="9"/>
    </row>
    <row r="421" spans="2:17" x14ac:dyDescent="0.2">
      <c r="B421" s="7"/>
      <c r="C421" s="72"/>
      <c r="D421" s="9"/>
      <c r="E421" s="72"/>
      <c r="F421" s="9"/>
      <c r="G421" s="16"/>
      <c r="H421" s="9"/>
      <c r="I421" s="9"/>
      <c r="J421" s="9"/>
      <c r="K421" s="72"/>
      <c r="L421" s="9"/>
      <c r="M421" s="9"/>
      <c r="N421" s="9"/>
      <c r="O421" s="9"/>
      <c r="P421" s="9"/>
      <c r="Q421" s="9"/>
    </row>
    <row r="422" spans="2:17" x14ac:dyDescent="0.2">
      <c r="B422" s="7"/>
      <c r="C422" s="72"/>
      <c r="D422" s="9"/>
      <c r="E422" s="72"/>
      <c r="F422" s="9"/>
      <c r="G422" s="16"/>
      <c r="H422" s="9"/>
      <c r="I422" s="9"/>
      <c r="J422" s="9"/>
      <c r="K422" s="72"/>
      <c r="L422" s="9"/>
      <c r="M422" s="9"/>
      <c r="N422" s="9"/>
      <c r="O422" s="9"/>
      <c r="P422" s="9"/>
      <c r="Q422" s="9"/>
    </row>
    <row r="423" spans="2:17" x14ac:dyDescent="0.2">
      <c r="B423" s="7"/>
      <c r="C423" s="72"/>
      <c r="D423" s="9"/>
      <c r="E423" s="72"/>
      <c r="F423" s="9"/>
      <c r="G423" s="16"/>
      <c r="H423" s="9"/>
      <c r="I423" s="9"/>
      <c r="J423" s="9"/>
      <c r="K423" s="72"/>
      <c r="L423" s="9"/>
      <c r="M423" s="9"/>
      <c r="N423" s="9"/>
      <c r="O423" s="9"/>
      <c r="P423" s="9"/>
      <c r="Q423" s="9"/>
    </row>
    <row r="424" spans="2:17" x14ac:dyDescent="0.2">
      <c r="B424" s="7"/>
      <c r="C424" s="72"/>
      <c r="D424" s="9"/>
      <c r="E424" s="72"/>
      <c r="F424" s="9"/>
      <c r="G424" s="16"/>
      <c r="H424" s="9"/>
      <c r="I424" s="9"/>
      <c r="J424" s="9"/>
      <c r="K424" s="72"/>
      <c r="L424" s="9"/>
      <c r="M424" s="9"/>
      <c r="N424" s="9"/>
      <c r="O424" s="9"/>
      <c r="P424" s="9"/>
      <c r="Q424" s="9"/>
    </row>
    <row r="425" spans="2:17" x14ac:dyDescent="0.2">
      <c r="B425" s="7"/>
      <c r="C425" s="72"/>
      <c r="D425" s="9"/>
      <c r="E425" s="72"/>
      <c r="F425" s="9"/>
      <c r="G425" s="16"/>
      <c r="H425" s="9"/>
      <c r="I425" s="9"/>
      <c r="J425" s="9"/>
      <c r="K425" s="72"/>
      <c r="L425" s="9"/>
      <c r="M425" s="9"/>
      <c r="N425" s="9"/>
      <c r="O425" s="9"/>
      <c r="P425" s="9"/>
      <c r="Q425" s="9"/>
    </row>
    <row r="426" spans="2:17" x14ac:dyDescent="0.2">
      <c r="B426" s="7"/>
      <c r="C426" s="72"/>
      <c r="D426" s="9"/>
      <c r="E426" s="72"/>
      <c r="F426" s="9"/>
      <c r="G426" s="16"/>
      <c r="H426" s="9"/>
      <c r="I426" s="9"/>
      <c r="J426" s="9"/>
      <c r="K426" s="72"/>
      <c r="L426" s="9"/>
      <c r="M426" s="9"/>
      <c r="N426" s="9"/>
      <c r="O426" s="9"/>
      <c r="P426" s="9"/>
      <c r="Q426" s="9"/>
    </row>
    <row r="427" spans="2:17" x14ac:dyDescent="0.2">
      <c r="B427" s="7"/>
      <c r="C427" s="72"/>
      <c r="D427" s="9"/>
      <c r="E427" s="72"/>
      <c r="F427" s="9"/>
      <c r="G427" s="16"/>
      <c r="H427" s="9"/>
      <c r="I427" s="9"/>
      <c r="J427" s="9"/>
      <c r="K427" s="72"/>
      <c r="L427" s="9"/>
      <c r="M427" s="9"/>
      <c r="N427" s="9"/>
      <c r="O427" s="9"/>
      <c r="P427" s="9"/>
      <c r="Q427" s="9"/>
    </row>
    <row r="428" spans="2:17" x14ac:dyDescent="0.2">
      <c r="B428" s="7"/>
      <c r="C428" s="72"/>
      <c r="D428" s="9"/>
      <c r="E428" s="72"/>
      <c r="F428" s="9"/>
      <c r="G428" s="16"/>
      <c r="H428" s="9"/>
      <c r="I428" s="9"/>
      <c r="J428" s="9"/>
      <c r="K428" s="72"/>
      <c r="L428" s="9"/>
      <c r="M428" s="9"/>
      <c r="N428" s="9"/>
      <c r="O428" s="9"/>
      <c r="P428" s="9"/>
      <c r="Q428" s="9"/>
    </row>
    <row r="429" spans="2:17" x14ac:dyDescent="0.2">
      <c r="B429" s="7"/>
      <c r="C429" s="72"/>
      <c r="D429" s="9"/>
      <c r="E429" s="72"/>
      <c r="F429" s="9"/>
      <c r="G429" s="16"/>
      <c r="H429" s="9"/>
      <c r="I429" s="9"/>
      <c r="J429" s="9"/>
      <c r="K429" s="72"/>
      <c r="L429" s="9"/>
      <c r="M429" s="9"/>
      <c r="N429" s="9"/>
      <c r="O429" s="9"/>
      <c r="P429" s="9"/>
      <c r="Q429" s="9"/>
    </row>
    <row r="430" spans="2:17" x14ac:dyDescent="0.2">
      <c r="B430" s="7"/>
      <c r="C430" s="72"/>
      <c r="D430" s="9"/>
      <c r="E430" s="72"/>
      <c r="F430" s="9"/>
      <c r="G430" s="16"/>
      <c r="H430" s="9"/>
      <c r="I430" s="9"/>
      <c r="J430" s="9"/>
      <c r="K430" s="72"/>
      <c r="L430" s="9"/>
      <c r="M430" s="9"/>
      <c r="N430" s="9"/>
      <c r="O430" s="9"/>
      <c r="P430" s="9"/>
      <c r="Q430" s="9"/>
    </row>
    <row r="431" spans="2:17" x14ac:dyDescent="0.2">
      <c r="B431" s="7"/>
      <c r="C431" s="72"/>
      <c r="D431" s="9"/>
      <c r="E431" s="72"/>
      <c r="F431" s="9"/>
      <c r="G431" s="16"/>
      <c r="H431" s="9"/>
      <c r="I431" s="9"/>
      <c r="J431" s="9"/>
      <c r="K431" s="72"/>
      <c r="L431" s="9"/>
      <c r="M431" s="9"/>
      <c r="N431" s="9"/>
      <c r="O431" s="9"/>
      <c r="P431" s="9"/>
      <c r="Q431" s="9"/>
    </row>
    <row r="432" spans="2:17" x14ac:dyDescent="0.2">
      <c r="B432" s="7"/>
      <c r="C432" s="72"/>
      <c r="D432" s="9"/>
      <c r="E432" s="72"/>
      <c r="F432" s="9"/>
      <c r="G432" s="16"/>
      <c r="H432" s="9"/>
      <c r="I432" s="9"/>
      <c r="J432" s="9"/>
      <c r="K432" s="72"/>
      <c r="L432" s="9"/>
      <c r="M432" s="9"/>
      <c r="N432" s="9"/>
      <c r="O432" s="9"/>
      <c r="P432" s="9"/>
      <c r="Q432" s="9"/>
    </row>
    <row r="433" spans="2:17" x14ac:dyDescent="0.2">
      <c r="B433" s="7"/>
      <c r="C433" s="72"/>
      <c r="D433" s="9"/>
      <c r="E433" s="72"/>
      <c r="F433" s="9"/>
      <c r="G433" s="16"/>
      <c r="H433" s="9"/>
      <c r="I433" s="9"/>
      <c r="J433" s="9"/>
      <c r="K433" s="72"/>
      <c r="L433" s="9"/>
      <c r="M433" s="9"/>
      <c r="N433" s="9"/>
      <c r="O433" s="9"/>
      <c r="P433" s="9"/>
      <c r="Q433" s="9"/>
    </row>
    <row r="434" spans="2:17" x14ac:dyDescent="0.2">
      <c r="B434" s="7"/>
      <c r="C434" s="72"/>
      <c r="D434" s="9"/>
      <c r="E434" s="72"/>
      <c r="F434" s="9"/>
      <c r="G434" s="16"/>
      <c r="H434" s="9"/>
      <c r="I434" s="9"/>
      <c r="J434" s="9"/>
      <c r="K434" s="72"/>
      <c r="L434" s="9"/>
      <c r="M434" s="9"/>
      <c r="N434" s="9"/>
      <c r="O434" s="9"/>
      <c r="P434" s="9"/>
      <c r="Q434" s="9"/>
    </row>
    <row r="435" spans="2:17" x14ac:dyDescent="0.2">
      <c r="B435" s="7"/>
      <c r="C435" s="72"/>
      <c r="D435" s="9"/>
      <c r="E435" s="72"/>
      <c r="F435" s="9"/>
      <c r="G435" s="16"/>
      <c r="H435" s="9"/>
      <c r="I435" s="9"/>
      <c r="J435" s="9"/>
      <c r="K435" s="72"/>
      <c r="L435" s="9"/>
      <c r="M435" s="9"/>
      <c r="N435" s="9"/>
      <c r="O435" s="9"/>
      <c r="P435" s="9"/>
      <c r="Q435" s="9"/>
    </row>
    <row r="436" spans="2:17" x14ac:dyDescent="0.2">
      <c r="B436" s="7"/>
      <c r="C436" s="72"/>
      <c r="D436" s="9"/>
      <c r="E436" s="72"/>
      <c r="F436" s="9"/>
      <c r="G436" s="16"/>
      <c r="H436" s="9"/>
      <c r="I436" s="9"/>
      <c r="J436" s="9"/>
      <c r="K436" s="72"/>
      <c r="L436" s="9"/>
      <c r="M436" s="9"/>
      <c r="N436" s="9"/>
      <c r="O436" s="9"/>
      <c r="P436" s="9"/>
      <c r="Q436" s="9"/>
    </row>
    <row r="437" spans="2:17" x14ac:dyDescent="0.2">
      <c r="B437" s="7"/>
      <c r="C437" s="72"/>
      <c r="D437" s="9"/>
      <c r="E437" s="72"/>
      <c r="F437" s="9"/>
      <c r="G437" s="16"/>
      <c r="H437" s="9"/>
      <c r="I437" s="9"/>
      <c r="J437" s="9"/>
      <c r="K437" s="72"/>
      <c r="L437" s="9"/>
      <c r="M437" s="9"/>
      <c r="N437" s="9"/>
      <c r="O437" s="9"/>
      <c r="P437" s="9"/>
      <c r="Q437" s="9"/>
    </row>
    <row r="438" spans="2:17" x14ac:dyDescent="0.2">
      <c r="B438" s="7"/>
      <c r="C438" s="72"/>
      <c r="D438" s="9"/>
      <c r="E438" s="72"/>
      <c r="F438" s="9"/>
      <c r="G438" s="16"/>
      <c r="H438" s="9"/>
      <c r="I438" s="9"/>
      <c r="J438" s="9"/>
      <c r="K438" s="72"/>
      <c r="L438" s="9"/>
      <c r="M438" s="9"/>
      <c r="N438" s="9"/>
      <c r="O438" s="9"/>
      <c r="P438" s="9"/>
      <c r="Q438" s="9"/>
    </row>
    <row r="439" spans="2:17" x14ac:dyDescent="0.2">
      <c r="B439" s="7"/>
      <c r="C439" s="72"/>
      <c r="D439" s="9"/>
      <c r="E439" s="72"/>
      <c r="F439" s="9"/>
      <c r="G439" s="16"/>
      <c r="H439" s="9"/>
      <c r="I439" s="9"/>
      <c r="J439" s="9"/>
      <c r="K439" s="72"/>
      <c r="L439" s="9"/>
      <c r="M439" s="9"/>
      <c r="N439" s="9"/>
      <c r="O439" s="9"/>
      <c r="P439" s="9"/>
      <c r="Q439" s="9"/>
    </row>
    <row r="440" spans="2:17" x14ac:dyDescent="0.2">
      <c r="B440" s="7"/>
      <c r="C440" s="72"/>
      <c r="D440" s="9"/>
      <c r="E440" s="72"/>
      <c r="F440" s="9"/>
      <c r="G440" s="16"/>
      <c r="H440" s="9"/>
      <c r="I440" s="9"/>
      <c r="J440" s="9"/>
      <c r="K440" s="72"/>
      <c r="L440" s="9"/>
      <c r="M440" s="9"/>
      <c r="N440" s="9"/>
      <c r="O440" s="9"/>
      <c r="P440" s="9"/>
      <c r="Q440" s="9"/>
    </row>
    <row r="441" spans="2:17" x14ac:dyDescent="0.2">
      <c r="B441" s="7"/>
      <c r="C441" s="72"/>
      <c r="D441" s="9"/>
      <c r="E441" s="72"/>
      <c r="F441" s="9"/>
      <c r="G441" s="16"/>
      <c r="H441" s="9"/>
      <c r="I441" s="9"/>
      <c r="J441" s="9"/>
      <c r="K441" s="72"/>
      <c r="L441" s="9"/>
      <c r="M441" s="9"/>
      <c r="N441" s="9"/>
      <c r="O441" s="9"/>
      <c r="P441" s="9"/>
      <c r="Q441" s="9"/>
    </row>
    <row r="442" spans="2:17" x14ac:dyDescent="0.2">
      <c r="B442" s="7"/>
      <c r="C442" s="72"/>
      <c r="D442" s="9"/>
      <c r="E442" s="72"/>
      <c r="F442" s="9"/>
      <c r="G442" s="16"/>
      <c r="H442" s="9"/>
      <c r="I442" s="9"/>
      <c r="J442" s="9"/>
      <c r="K442" s="72"/>
      <c r="L442" s="9"/>
      <c r="M442" s="9"/>
      <c r="N442" s="9"/>
      <c r="O442" s="9"/>
      <c r="P442" s="9"/>
      <c r="Q442" s="9"/>
    </row>
    <row r="443" spans="2:17" x14ac:dyDescent="0.2">
      <c r="B443" s="7"/>
      <c r="C443" s="72"/>
      <c r="D443" s="9"/>
      <c r="E443" s="72"/>
      <c r="F443" s="9"/>
      <c r="G443" s="16"/>
      <c r="H443" s="9"/>
      <c r="I443" s="9"/>
      <c r="J443" s="9"/>
      <c r="K443" s="72"/>
      <c r="L443" s="9"/>
      <c r="M443" s="9"/>
      <c r="N443" s="9"/>
      <c r="O443" s="9"/>
      <c r="P443" s="9"/>
      <c r="Q443" s="9"/>
    </row>
    <row r="444" spans="2:17" x14ac:dyDescent="0.2">
      <c r="B444" s="7"/>
      <c r="C444" s="72"/>
      <c r="D444" s="9"/>
      <c r="E444" s="72"/>
      <c r="F444" s="9"/>
      <c r="G444" s="16"/>
      <c r="H444" s="9"/>
      <c r="I444" s="9"/>
      <c r="J444" s="9"/>
      <c r="K444" s="72"/>
      <c r="L444" s="9"/>
      <c r="M444" s="9"/>
      <c r="N444" s="9"/>
      <c r="O444" s="9"/>
      <c r="P444" s="9"/>
      <c r="Q444" s="9"/>
    </row>
    <row r="445" spans="2:17" x14ac:dyDescent="0.2">
      <c r="B445" s="7"/>
      <c r="C445" s="72"/>
      <c r="D445" s="9"/>
      <c r="E445" s="72"/>
      <c r="F445" s="9"/>
      <c r="G445" s="16"/>
      <c r="H445" s="9"/>
      <c r="I445" s="9"/>
      <c r="J445" s="9"/>
      <c r="K445" s="72"/>
      <c r="L445" s="9"/>
      <c r="M445" s="9"/>
      <c r="N445" s="9"/>
      <c r="O445" s="9"/>
      <c r="P445" s="9"/>
      <c r="Q445" s="9"/>
    </row>
    <row r="446" spans="2:17" x14ac:dyDescent="0.2">
      <c r="B446" s="7"/>
      <c r="C446" s="72"/>
      <c r="D446" s="9"/>
      <c r="E446" s="72"/>
      <c r="F446" s="9"/>
      <c r="G446" s="16"/>
      <c r="H446" s="9"/>
      <c r="I446" s="9"/>
      <c r="J446" s="9"/>
      <c r="K446" s="72"/>
      <c r="L446" s="9"/>
      <c r="M446" s="9"/>
      <c r="N446" s="9"/>
      <c r="O446" s="9"/>
      <c r="P446" s="9"/>
      <c r="Q446" s="9"/>
    </row>
    <row r="447" spans="2:17" x14ac:dyDescent="0.2">
      <c r="B447" s="7"/>
      <c r="C447" s="72"/>
      <c r="D447" s="9"/>
      <c r="E447" s="72"/>
      <c r="F447" s="9"/>
      <c r="G447" s="16"/>
      <c r="H447" s="9"/>
      <c r="I447" s="9"/>
      <c r="J447" s="9"/>
      <c r="K447" s="72"/>
      <c r="L447" s="9"/>
      <c r="M447" s="9"/>
      <c r="N447" s="9"/>
      <c r="O447" s="9"/>
      <c r="P447" s="9"/>
      <c r="Q447" s="9"/>
    </row>
    <row r="448" spans="2:17" x14ac:dyDescent="0.2">
      <c r="B448" s="7"/>
      <c r="C448" s="72"/>
      <c r="D448" s="9"/>
      <c r="E448" s="72"/>
      <c r="F448" s="9"/>
      <c r="G448" s="16"/>
      <c r="H448" s="9"/>
      <c r="I448" s="9"/>
      <c r="J448" s="9"/>
      <c r="K448" s="72"/>
      <c r="L448" s="9"/>
      <c r="M448" s="9"/>
      <c r="N448" s="9"/>
      <c r="O448" s="9"/>
      <c r="P448" s="9"/>
      <c r="Q448" s="9"/>
    </row>
    <row r="449" spans="2:17" x14ac:dyDescent="0.2">
      <c r="B449" s="7"/>
      <c r="C449" s="72"/>
      <c r="D449" s="9"/>
      <c r="E449" s="72"/>
      <c r="F449" s="9"/>
      <c r="G449" s="16"/>
      <c r="H449" s="9"/>
      <c r="I449" s="9"/>
      <c r="J449" s="9"/>
      <c r="K449" s="72"/>
      <c r="L449" s="9"/>
      <c r="M449" s="9"/>
      <c r="N449" s="9"/>
      <c r="O449" s="9"/>
      <c r="P449" s="9"/>
      <c r="Q449" s="9"/>
    </row>
    <row r="450" spans="2:17" x14ac:dyDescent="0.2">
      <c r="B450" s="7"/>
      <c r="C450" s="72"/>
      <c r="D450" s="9"/>
      <c r="E450" s="72"/>
      <c r="F450" s="9"/>
      <c r="G450" s="16"/>
      <c r="H450" s="9"/>
      <c r="I450" s="9"/>
      <c r="J450" s="9"/>
      <c r="K450" s="72"/>
      <c r="L450" s="9"/>
      <c r="M450" s="9"/>
      <c r="N450" s="9"/>
      <c r="O450" s="9"/>
      <c r="P450" s="9"/>
      <c r="Q450" s="9"/>
    </row>
    <row r="451" spans="2:17" x14ac:dyDescent="0.2">
      <c r="B451" s="7"/>
      <c r="C451" s="72"/>
      <c r="D451" s="9"/>
      <c r="E451" s="72"/>
      <c r="F451" s="9"/>
      <c r="G451" s="16"/>
      <c r="H451" s="9"/>
      <c r="I451" s="9"/>
      <c r="J451" s="9"/>
      <c r="K451" s="72"/>
      <c r="L451" s="9"/>
      <c r="M451" s="9"/>
      <c r="N451" s="9"/>
      <c r="O451" s="9"/>
      <c r="P451" s="9"/>
      <c r="Q451" s="9"/>
    </row>
    <row r="452" spans="2:17" x14ac:dyDescent="0.2">
      <c r="B452" s="7"/>
      <c r="C452" s="72"/>
      <c r="D452" s="9"/>
      <c r="E452" s="72"/>
      <c r="F452" s="9"/>
      <c r="G452" s="16"/>
      <c r="H452" s="9"/>
      <c r="I452" s="9"/>
      <c r="J452" s="9"/>
      <c r="K452" s="72"/>
      <c r="L452" s="9"/>
      <c r="M452" s="9"/>
      <c r="N452" s="9"/>
      <c r="O452" s="9"/>
      <c r="P452" s="9"/>
      <c r="Q452" s="9"/>
    </row>
    <row r="453" spans="2:17" x14ac:dyDescent="0.2">
      <c r="B453" s="7"/>
      <c r="C453" s="72"/>
      <c r="D453" s="9"/>
      <c r="E453" s="72"/>
      <c r="F453" s="9"/>
      <c r="G453" s="16"/>
      <c r="H453" s="9"/>
      <c r="I453" s="9"/>
      <c r="J453" s="9"/>
      <c r="K453" s="72"/>
      <c r="L453" s="9"/>
      <c r="M453" s="9"/>
      <c r="N453" s="9"/>
      <c r="O453" s="9"/>
      <c r="P453" s="9"/>
      <c r="Q453" s="9"/>
    </row>
    <row r="454" spans="2:17" x14ac:dyDescent="0.2">
      <c r="B454" s="7"/>
      <c r="C454" s="72"/>
      <c r="D454" s="9"/>
      <c r="E454" s="72"/>
      <c r="F454" s="9"/>
      <c r="G454" s="16"/>
      <c r="H454" s="9"/>
      <c r="I454" s="9"/>
      <c r="J454" s="9"/>
      <c r="K454" s="72"/>
      <c r="L454" s="9"/>
      <c r="M454" s="9"/>
      <c r="N454" s="9"/>
      <c r="O454" s="9"/>
      <c r="P454" s="9"/>
      <c r="Q454" s="9"/>
    </row>
    <row r="455" spans="2:17" x14ac:dyDescent="0.2">
      <c r="B455" s="7"/>
      <c r="C455" s="72"/>
      <c r="D455" s="9"/>
      <c r="E455" s="72"/>
      <c r="F455" s="9"/>
      <c r="G455" s="16"/>
      <c r="H455" s="9"/>
      <c r="I455" s="9"/>
      <c r="J455" s="9"/>
      <c r="K455" s="72"/>
      <c r="L455" s="9"/>
      <c r="M455" s="9"/>
      <c r="N455" s="9"/>
      <c r="O455" s="9"/>
      <c r="P455" s="9"/>
      <c r="Q455" s="9"/>
    </row>
    <row r="456" spans="2:17" x14ac:dyDescent="0.2">
      <c r="B456" s="7"/>
      <c r="C456" s="72"/>
      <c r="D456" s="9"/>
      <c r="E456" s="72"/>
      <c r="F456" s="9"/>
      <c r="G456" s="16"/>
      <c r="H456" s="9"/>
      <c r="I456" s="9"/>
      <c r="J456" s="9"/>
      <c r="K456" s="72"/>
      <c r="L456" s="9"/>
      <c r="M456" s="9"/>
      <c r="N456" s="9"/>
      <c r="O456" s="9"/>
      <c r="P456" s="9"/>
      <c r="Q456" s="9"/>
    </row>
    <row r="457" spans="2:17" x14ac:dyDescent="0.2">
      <c r="B457" s="7"/>
      <c r="C457" s="72"/>
      <c r="D457" s="9"/>
      <c r="E457" s="72"/>
      <c r="F457" s="9"/>
      <c r="G457" s="16"/>
      <c r="H457" s="9"/>
      <c r="I457" s="9"/>
      <c r="J457" s="9"/>
      <c r="K457" s="72"/>
      <c r="L457" s="9"/>
      <c r="M457" s="9"/>
      <c r="N457" s="9"/>
      <c r="O457" s="9"/>
      <c r="P457" s="9"/>
      <c r="Q457" s="9"/>
    </row>
    <row r="458" spans="2:17" x14ac:dyDescent="0.2">
      <c r="B458" s="7"/>
      <c r="C458" s="72"/>
      <c r="D458" s="9"/>
      <c r="E458" s="72"/>
      <c r="F458" s="9"/>
      <c r="G458" s="16"/>
      <c r="H458" s="9"/>
      <c r="I458" s="9"/>
      <c r="J458" s="9"/>
      <c r="K458" s="72"/>
      <c r="L458" s="9"/>
      <c r="M458" s="9"/>
      <c r="N458" s="9"/>
      <c r="O458" s="9"/>
      <c r="P458" s="9"/>
      <c r="Q458" s="9"/>
    </row>
    <row r="459" spans="2:17" x14ac:dyDescent="0.2">
      <c r="B459" s="7"/>
      <c r="C459" s="72"/>
      <c r="D459" s="9"/>
      <c r="E459" s="72"/>
      <c r="F459" s="9"/>
      <c r="G459" s="16"/>
      <c r="H459" s="9"/>
      <c r="I459" s="9"/>
      <c r="J459" s="9"/>
      <c r="K459" s="72"/>
      <c r="L459" s="9"/>
      <c r="M459" s="9"/>
      <c r="N459" s="9"/>
      <c r="O459" s="9"/>
      <c r="P459" s="9"/>
      <c r="Q459" s="9"/>
    </row>
    <row r="460" spans="2:17" x14ac:dyDescent="0.2">
      <c r="B460" s="7"/>
      <c r="C460" s="72"/>
      <c r="D460" s="9"/>
      <c r="E460" s="72"/>
      <c r="F460" s="9"/>
      <c r="G460" s="16"/>
      <c r="H460" s="9"/>
      <c r="I460" s="9"/>
      <c r="J460" s="9"/>
      <c r="K460" s="72"/>
      <c r="L460" s="9"/>
      <c r="M460" s="9"/>
      <c r="N460" s="9"/>
      <c r="O460" s="9"/>
      <c r="P460" s="9"/>
      <c r="Q460" s="9"/>
    </row>
    <row r="461" spans="2:17" x14ac:dyDescent="0.2">
      <c r="B461" s="7"/>
      <c r="C461" s="72"/>
      <c r="D461" s="9"/>
      <c r="E461" s="72"/>
      <c r="F461" s="9"/>
      <c r="G461" s="16"/>
      <c r="H461" s="9"/>
      <c r="I461" s="9"/>
      <c r="J461" s="9"/>
      <c r="K461" s="72"/>
      <c r="L461" s="9"/>
      <c r="M461" s="9"/>
      <c r="N461" s="9"/>
      <c r="O461" s="9"/>
      <c r="P461" s="9"/>
      <c r="Q461" s="9"/>
    </row>
    <row r="462" spans="2:17" x14ac:dyDescent="0.2">
      <c r="B462" s="7"/>
      <c r="C462" s="72"/>
      <c r="D462" s="9"/>
      <c r="E462" s="72"/>
      <c r="F462" s="9"/>
      <c r="G462" s="16"/>
      <c r="H462" s="9"/>
      <c r="I462" s="9"/>
      <c r="J462" s="9"/>
      <c r="K462" s="72"/>
      <c r="L462" s="9"/>
      <c r="M462" s="9"/>
      <c r="N462" s="9"/>
      <c r="O462" s="9"/>
      <c r="P462" s="9"/>
      <c r="Q462" s="9"/>
    </row>
    <row r="463" spans="2:17" x14ac:dyDescent="0.2">
      <c r="B463" s="7"/>
      <c r="C463" s="72"/>
      <c r="D463" s="9"/>
      <c r="E463" s="72"/>
      <c r="F463" s="9"/>
      <c r="G463" s="16"/>
      <c r="H463" s="9"/>
      <c r="I463" s="9"/>
      <c r="J463" s="9"/>
      <c r="K463" s="72"/>
      <c r="L463" s="9"/>
      <c r="M463" s="9"/>
      <c r="N463" s="9"/>
      <c r="O463" s="9"/>
      <c r="P463" s="9"/>
      <c r="Q463" s="9"/>
    </row>
    <row r="464" spans="2:17" x14ac:dyDescent="0.2">
      <c r="B464" s="7"/>
      <c r="C464" s="72"/>
      <c r="D464" s="9"/>
      <c r="E464" s="72"/>
      <c r="F464" s="9"/>
      <c r="G464" s="16"/>
      <c r="H464" s="9"/>
      <c r="I464" s="9"/>
      <c r="J464" s="9"/>
      <c r="K464" s="72"/>
      <c r="L464" s="9"/>
      <c r="M464" s="9"/>
      <c r="N464" s="9"/>
      <c r="O464" s="9"/>
      <c r="P464" s="9"/>
      <c r="Q464" s="9"/>
    </row>
    <row r="465" spans="2:17" x14ac:dyDescent="0.2">
      <c r="B465" s="7"/>
      <c r="C465" s="72"/>
      <c r="D465" s="9"/>
      <c r="E465" s="72"/>
      <c r="F465" s="9"/>
      <c r="G465" s="16"/>
      <c r="H465" s="9"/>
      <c r="I465" s="9"/>
      <c r="J465" s="9"/>
      <c r="K465" s="72"/>
      <c r="L465" s="9"/>
      <c r="M465" s="9"/>
      <c r="N465" s="9"/>
      <c r="O465" s="9"/>
      <c r="P465" s="9"/>
      <c r="Q465" s="9"/>
    </row>
    <row r="466" spans="2:17" x14ac:dyDescent="0.2">
      <c r="B466" s="7"/>
      <c r="C466" s="72"/>
      <c r="D466" s="9"/>
      <c r="E466" s="72"/>
      <c r="F466" s="9"/>
      <c r="G466" s="16"/>
      <c r="H466" s="9"/>
      <c r="I466" s="9"/>
      <c r="J466" s="9"/>
      <c r="K466" s="72"/>
      <c r="L466" s="9"/>
      <c r="M466" s="9"/>
      <c r="N466" s="9"/>
      <c r="O466" s="9"/>
      <c r="P466" s="9"/>
      <c r="Q466" s="9"/>
    </row>
    <row r="467" spans="2:17" x14ac:dyDescent="0.2">
      <c r="B467" s="7"/>
      <c r="C467" s="72"/>
      <c r="D467" s="9"/>
      <c r="E467" s="72"/>
      <c r="F467" s="9"/>
      <c r="G467" s="16"/>
      <c r="H467" s="9"/>
      <c r="I467" s="9"/>
      <c r="J467" s="9"/>
      <c r="K467" s="72"/>
      <c r="L467" s="9"/>
      <c r="M467" s="9"/>
      <c r="N467" s="9"/>
      <c r="O467" s="9"/>
      <c r="P467" s="9"/>
      <c r="Q467" s="9"/>
    </row>
    <row r="468" spans="2:17" x14ac:dyDescent="0.2">
      <c r="B468" s="7"/>
      <c r="C468" s="72"/>
      <c r="D468" s="9"/>
      <c r="E468" s="72"/>
      <c r="F468" s="9"/>
      <c r="G468" s="16"/>
      <c r="H468" s="9"/>
      <c r="I468" s="9"/>
      <c r="J468" s="9"/>
      <c r="K468" s="72"/>
      <c r="L468" s="9"/>
      <c r="M468" s="9"/>
      <c r="N468" s="9"/>
      <c r="O468" s="9"/>
      <c r="P468" s="9"/>
      <c r="Q468" s="9"/>
    </row>
    <row r="469" spans="2:17" x14ac:dyDescent="0.2">
      <c r="B469" s="7"/>
      <c r="C469" s="72"/>
      <c r="D469" s="9"/>
      <c r="E469" s="72"/>
      <c r="F469" s="9"/>
      <c r="G469" s="16"/>
      <c r="H469" s="9"/>
      <c r="I469" s="9"/>
      <c r="J469" s="9"/>
      <c r="K469" s="72"/>
      <c r="L469" s="9"/>
      <c r="M469" s="9"/>
      <c r="N469" s="9"/>
      <c r="O469" s="9"/>
      <c r="P469" s="9"/>
      <c r="Q469" s="9"/>
    </row>
    <row r="470" spans="2:17" x14ac:dyDescent="0.2">
      <c r="B470" s="7"/>
      <c r="C470" s="72"/>
      <c r="D470" s="9"/>
      <c r="E470" s="72"/>
      <c r="F470" s="9"/>
      <c r="G470" s="16"/>
      <c r="H470" s="9"/>
      <c r="I470" s="9"/>
      <c r="J470" s="9"/>
      <c r="K470" s="72"/>
      <c r="L470" s="9"/>
      <c r="M470" s="9"/>
      <c r="N470" s="9"/>
      <c r="O470" s="9"/>
      <c r="P470" s="9"/>
      <c r="Q470" s="9"/>
    </row>
    <row r="471" spans="2:17" x14ac:dyDescent="0.2">
      <c r="B471" s="7"/>
      <c r="C471" s="72"/>
      <c r="D471" s="9"/>
      <c r="E471" s="72"/>
      <c r="F471" s="9"/>
      <c r="G471" s="16"/>
      <c r="H471" s="9"/>
      <c r="I471" s="9"/>
      <c r="J471" s="9"/>
      <c r="K471" s="72"/>
      <c r="L471" s="9"/>
      <c r="M471" s="9"/>
      <c r="N471" s="9"/>
      <c r="O471" s="9"/>
      <c r="P471" s="9"/>
      <c r="Q471" s="9"/>
    </row>
    <row r="472" spans="2:17" x14ac:dyDescent="0.2">
      <c r="B472" s="7"/>
      <c r="C472" s="72"/>
      <c r="D472" s="9"/>
      <c r="E472" s="72"/>
      <c r="F472" s="9"/>
      <c r="G472" s="16"/>
      <c r="H472" s="9"/>
      <c r="I472" s="9"/>
      <c r="J472" s="9"/>
      <c r="K472" s="72"/>
      <c r="L472" s="9"/>
      <c r="M472" s="9"/>
      <c r="N472" s="9"/>
      <c r="O472" s="9"/>
      <c r="P472" s="9"/>
      <c r="Q472" s="9"/>
    </row>
    <row r="473" spans="2:17" x14ac:dyDescent="0.2">
      <c r="B473" s="7"/>
      <c r="C473" s="72"/>
      <c r="D473" s="9"/>
      <c r="E473" s="72"/>
      <c r="F473" s="9"/>
      <c r="G473" s="16"/>
      <c r="H473" s="9"/>
      <c r="I473" s="9"/>
      <c r="J473" s="9"/>
      <c r="K473" s="72"/>
      <c r="L473" s="9"/>
      <c r="M473" s="9"/>
      <c r="N473" s="9"/>
      <c r="O473" s="9"/>
      <c r="P473" s="9"/>
      <c r="Q473" s="9"/>
    </row>
    <row r="474" spans="2:17" x14ac:dyDescent="0.2">
      <c r="B474" s="7"/>
      <c r="C474" s="72"/>
      <c r="D474" s="9"/>
      <c r="E474" s="72"/>
      <c r="F474" s="9"/>
      <c r="G474" s="16"/>
      <c r="H474" s="9"/>
      <c r="I474" s="9"/>
      <c r="J474" s="9"/>
      <c r="K474" s="72"/>
      <c r="L474" s="9"/>
      <c r="M474" s="9"/>
      <c r="N474" s="9"/>
      <c r="O474" s="9"/>
      <c r="P474" s="9"/>
      <c r="Q474" s="9"/>
    </row>
    <row r="475" spans="2:17" x14ac:dyDescent="0.2">
      <c r="B475" s="7"/>
      <c r="C475" s="72"/>
      <c r="D475" s="9"/>
      <c r="E475" s="72"/>
      <c r="F475" s="9"/>
      <c r="G475" s="16"/>
      <c r="H475" s="9"/>
      <c r="I475" s="9"/>
      <c r="J475" s="9"/>
      <c r="K475" s="72"/>
      <c r="L475" s="9"/>
      <c r="M475" s="9"/>
      <c r="N475" s="9"/>
      <c r="O475" s="9"/>
      <c r="P475" s="9"/>
      <c r="Q475" s="9"/>
    </row>
    <row r="476" spans="2:17" x14ac:dyDescent="0.2">
      <c r="B476" s="7"/>
      <c r="C476" s="72"/>
      <c r="D476" s="9"/>
      <c r="E476" s="72"/>
      <c r="F476" s="9"/>
      <c r="G476" s="16"/>
      <c r="H476" s="9"/>
      <c r="I476" s="9"/>
      <c r="J476" s="9"/>
      <c r="K476" s="72"/>
      <c r="L476" s="9"/>
      <c r="M476" s="9"/>
      <c r="N476" s="9"/>
      <c r="O476" s="9"/>
      <c r="P476" s="9"/>
      <c r="Q476" s="9"/>
    </row>
    <row r="477" spans="2:17" x14ac:dyDescent="0.2">
      <c r="B477" s="7"/>
      <c r="C477" s="72"/>
      <c r="D477" s="9"/>
      <c r="E477" s="72"/>
      <c r="F477" s="9"/>
      <c r="G477" s="16"/>
      <c r="H477" s="9"/>
      <c r="I477" s="9"/>
      <c r="J477" s="9"/>
      <c r="K477" s="72"/>
      <c r="L477" s="9"/>
      <c r="M477" s="9"/>
      <c r="N477" s="9"/>
      <c r="O477" s="9"/>
      <c r="P477" s="9"/>
      <c r="Q477" s="9"/>
    </row>
    <row r="478" spans="2:17" x14ac:dyDescent="0.2">
      <c r="B478" s="7"/>
      <c r="C478" s="72"/>
      <c r="D478" s="9"/>
      <c r="E478" s="72"/>
      <c r="F478" s="9"/>
      <c r="G478" s="16"/>
      <c r="H478" s="9"/>
      <c r="I478" s="9"/>
      <c r="J478" s="9"/>
      <c r="K478" s="72"/>
      <c r="L478" s="9"/>
      <c r="M478" s="9"/>
      <c r="N478" s="9"/>
      <c r="O478" s="9"/>
      <c r="P478" s="9"/>
      <c r="Q478" s="9"/>
    </row>
    <row r="479" spans="2:17" x14ac:dyDescent="0.2">
      <c r="B479" s="7"/>
      <c r="C479" s="72"/>
      <c r="D479" s="9"/>
      <c r="E479" s="72"/>
      <c r="F479" s="9"/>
      <c r="G479" s="16"/>
      <c r="H479" s="9"/>
      <c r="I479" s="9"/>
      <c r="J479" s="9"/>
      <c r="K479" s="72"/>
      <c r="L479" s="9"/>
      <c r="M479" s="9"/>
      <c r="N479" s="9"/>
      <c r="O479" s="9"/>
      <c r="P479" s="9"/>
      <c r="Q479" s="9"/>
    </row>
    <row r="480" spans="2:17" x14ac:dyDescent="0.2">
      <c r="B480" s="7"/>
      <c r="C480" s="72"/>
      <c r="D480" s="9"/>
      <c r="E480" s="72"/>
      <c r="F480" s="9"/>
      <c r="G480" s="16"/>
      <c r="H480" s="9"/>
      <c r="I480" s="9"/>
      <c r="J480" s="9"/>
      <c r="K480" s="72"/>
      <c r="L480" s="9"/>
      <c r="M480" s="9"/>
      <c r="N480" s="9"/>
      <c r="O480" s="9"/>
      <c r="P480" s="9"/>
      <c r="Q480" s="9"/>
    </row>
    <row r="481" spans="2:17" x14ac:dyDescent="0.2">
      <c r="B481" s="7"/>
      <c r="C481" s="72"/>
      <c r="D481" s="9"/>
      <c r="E481" s="72"/>
      <c r="F481" s="9"/>
      <c r="G481" s="16"/>
      <c r="H481" s="9"/>
      <c r="I481" s="9"/>
      <c r="J481" s="9"/>
      <c r="K481" s="72"/>
      <c r="L481" s="9"/>
      <c r="M481" s="9"/>
      <c r="N481" s="9"/>
      <c r="O481" s="9"/>
      <c r="P481" s="9"/>
      <c r="Q481" s="9"/>
    </row>
    <row r="482" spans="2:17" x14ac:dyDescent="0.2">
      <c r="B482" s="7"/>
      <c r="C482" s="72"/>
      <c r="D482" s="9"/>
      <c r="E482" s="72"/>
      <c r="F482" s="9"/>
      <c r="G482" s="16"/>
      <c r="H482" s="9"/>
      <c r="I482" s="9"/>
      <c r="J482" s="9"/>
      <c r="K482" s="72"/>
      <c r="L482" s="9"/>
      <c r="M482" s="9"/>
      <c r="N482" s="9"/>
      <c r="O482" s="9"/>
      <c r="P482" s="9"/>
      <c r="Q482" s="9"/>
    </row>
    <row r="483" spans="2:17" x14ac:dyDescent="0.2">
      <c r="B483" s="7"/>
      <c r="C483" s="72"/>
      <c r="D483" s="9"/>
      <c r="E483" s="72"/>
      <c r="F483" s="9"/>
      <c r="G483" s="16"/>
      <c r="H483" s="9"/>
      <c r="I483" s="9"/>
      <c r="J483" s="9"/>
      <c r="K483" s="72"/>
      <c r="L483" s="9"/>
      <c r="M483" s="9"/>
      <c r="N483" s="9"/>
      <c r="O483" s="9"/>
      <c r="P483" s="9"/>
      <c r="Q483" s="9"/>
    </row>
    <row r="484" spans="2:17" x14ac:dyDescent="0.2">
      <c r="B484" s="7"/>
      <c r="C484" s="72"/>
      <c r="D484" s="9"/>
      <c r="E484" s="72"/>
      <c r="F484" s="9"/>
      <c r="G484" s="16"/>
      <c r="H484" s="9"/>
      <c r="I484" s="9"/>
      <c r="J484" s="9"/>
      <c r="K484" s="72"/>
      <c r="L484" s="9"/>
      <c r="M484" s="9"/>
      <c r="N484" s="9"/>
      <c r="O484" s="9"/>
      <c r="P484" s="9"/>
      <c r="Q484" s="9"/>
    </row>
    <row r="485" spans="2:17" x14ac:dyDescent="0.2">
      <c r="B485" s="7"/>
      <c r="C485" s="72"/>
      <c r="D485" s="9"/>
      <c r="E485" s="72"/>
      <c r="F485" s="9"/>
      <c r="G485" s="16"/>
      <c r="H485" s="9"/>
      <c r="I485" s="9"/>
      <c r="J485" s="9"/>
      <c r="K485" s="72"/>
      <c r="L485" s="9"/>
      <c r="M485" s="9"/>
      <c r="N485" s="9"/>
      <c r="O485" s="9"/>
      <c r="P485" s="9"/>
      <c r="Q485" s="9"/>
    </row>
    <row r="486" spans="2:17" x14ac:dyDescent="0.2">
      <c r="B486" s="7"/>
      <c r="C486" s="72"/>
      <c r="D486" s="9"/>
      <c r="E486" s="72"/>
      <c r="F486" s="9"/>
      <c r="G486" s="16"/>
      <c r="H486" s="9"/>
      <c r="I486" s="9"/>
      <c r="J486" s="9"/>
      <c r="K486" s="72"/>
      <c r="L486" s="9"/>
      <c r="M486" s="9"/>
      <c r="N486" s="9"/>
      <c r="O486" s="9"/>
      <c r="P486" s="9"/>
      <c r="Q486" s="9"/>
    </row>
    <row r="487" spans="2:17" x14ac:dyDescent="0.2">
      <c r="B487" s="7"/>
      <c r="C487" s="72"/>
      <c r="D487" s="9"/>
      <c r="E487" s="72"/>
      <c r="F487" s="9"/>
      <c r="G487" s="16"/>
      <c r="H487" s="9"/>
      <c r="I487" s="9"/>
      <c r="J487" s="9"/>
      <c r="K487" s="72"/>
      <c r="L487" s="9"/>
      <c r="M487" s="9"/>
      <c r="N487" s="9"/>
      <c r="O487" s="9"/>
      <c r="P487" s="9"/>
      <c r="Q487" s="9"/>
    </row>
    <row r="488" spans="2:17" x14ac:dyDescent="0.2">
      <c r="B488" s="7"/>
      <c r="C488" s="72"/>
      <c r="D488" s="9"/>
      <c r="E488" s="72"/>
      <c r="F488" s="9"/>
      <c r="G488" s="16"/>
      <c r="H488" s="9"/>
      <c r="I488" s="9"/>
      <c r="J488" s="9"/>
      <c r="K488" s="72"/>
      <c r="L488" s="9"/>
      <c r="M488" s="9"/>
      <c r="N488" s="9"/>
      <c r="O488" s="9"/>
      <c r="P488" s="9"/>
      <c r="Q488" s="9"/>
    </row>
    <row r="489" spans="2:17" x14ac:dyDescent="0.2">
      <c r="B489" s="7"/>
      <c r="C489" s="72"/>
      <c r="D489" s="9"/>
      <c r="E489" s="72"/>
      <c r="F489" s="9"/>
      <c r="G489" s="16"/>
      <c r="H489" s="9"/>
      <c r="I489" s="9"/>
      <c r="J489" s="9"/>
      <c r="K489" s="72"/>
      <c r="L489" s="9"/>
      <c r="M489" s="9"/>
      <c r="N489" s="9"/>
      <c r="O489" s="9"/>
      <c r="P489" s="9"/>
      <c r="Q489" s="9"/>
    </row>
    <row r="490" spans="2:17" x14ac:dyDescent="0.2">
      <c r="B490" s="7"/>
      <c r="C490" s="72"/>
      <c r="D490" s="9"/>
      <c r="E490" s="72"/>
      <c r="F490" s="9"/>
      <c r="G490" s="16"/>
      <c r="H490" s="9"/>
      <c r="I490" s="9"/>
      <c r="J490" s="9"/>
      <c r="K490" s="72"/>
      <c r="L490" s="9"/>
      <c r="M490" s="9"/>
      <c r="N490" s="9"/>
      <c r="O490" s="9"/>
      <c r="P490" s="9"/>
      <c r="Q490" s="9"/>
    </row>
    <row r="491" spans="2:17" x14ac:dyDescent="0.2">
      <c r="B491" s="7"/>
      <c r="C491" s="72"/>
      <c r="D491" s="9"/>
      <c r="E491" s="72"/>
      <c r="F491" s="9"/>
      <c r="G491" s="16"/>
      <c r="H491" s="9"/>
      <c r="I491" s="9"/>
      <c r="J491" s="9"/>
      <c r="K491" s="72"/>
      <c r="L491" s="9"/>
      <c r="M491" s="9"/>
      <c r="N491" s="9"/>
      <c r="O491" s="9"/>
      <c r="P491" s="9"/>
      <c r="Q491" s="9"/>
    </row>
    <row r="492" spans="2:17" x14ac:dyDescent="0.2">
      <c r="B492" s="7"/>
      <c r="C492" s="72"/>
      <c r="D492" s="9"/>
      <c r="E492" s="72"/>
      <c r="F492" s="9"/>
      <c r="G492" s="16"/>
      <c r="H492" s="9"/>
      <c r="I492" s="9"/>
      <c r="J492" s="9"/>
      <c r="K492" s="72"/>
      <c r="L492" s="9"/>
      <c r="M492" s="9"/>
      <c r="N492" s="9"/>
      <c r="O492" s="9"/>
      <c r="P492" s="9"/>
      <c r="Q492" s="9"/>
    </row>
    <row r="493" spans="2:17" x14ac:dyDescent="0.2">
      <c r="B493" s="7"/>
      <c r="C493" s="72"/>
      <c r="D493" s="9"/>
      <c r="E493" s="72"/>
      <c r="F493" s="9"/>
      <c r="G493" s="16"/>
      <c r="H493" s="9"/>
      <c r="I493" s="9"/>
      <c r="J493" s="9"/>
      <c r="K493" s="72"/>
      <c r="L493" s="9"/>
      <c r="M493" s="9"/>
      <c r="N493" s="9"/>
      <c r="O493" s="9"/>
      <c r="P493" s="9"/>
      <c r="Q493" s="9"/>
    </row>
    <row r="494" spans="2:17" x14ac:dyDescent="0.2">
      <c r="B494" s="7"/>
      <c r="C494" s="72"/>
      <c r="D494" s="9"/>
      <c r="E494" s="72"/>
      <c r="F494" s="9"/>
      <c r="G494" s="16"/>
      <c r="H494" s="9"/>
      <c r="I494" s="9"/>
      <c r="J494" s="9"/>
      <c r="K494" s="72"/>
      <c r="L494" s="9"/>
      <c r="M494" s="9"/>
      <c r="N494" s="9"/>
      <c r="O494" s="9"/>
      <c r="P494" s="9"/>
      <c r="Q494" s="9"/>
    </row>
    <row r="495" spans="2:17" x14ac:dyDescent="0.2">
      <c r="B495" s="7"/>
      <c r="C495" s="72"/>
      <c r="D495" s="9"/>
      <c r="E495" s="72"/>
      <c r="F495" s="9"/>
      <c r="G495" s="16"/>
      <c r="H495" s="9"/>
      <c r="I495" s="9"/>
      <c r="J495" s="9"/>
      <c r="K495" s="72"/>
      <c r="L495" s="9"/>
      <c r="M495" s="9"/>
      <c r="N495" s="9"/>
      <c r="O495" s="9"/>
      <c r="P495" s="9"/>
      <c r="Q495" s="9"/>
    </row>
    <row r="496" spans="2:17" x14ac:dyDescent="0.2">
      <c r="B496" s="7"/>
      <c r="C496" s="72"/>
      <c r="D496" s="9"/>
      <c r="E496" s="72"/>
      <c r="F496" s="9"/>
      <c r="G496" s="16"/>
      <c r="H496" s="9"/>
      <c r="I496" s="9"/>
      <c r="J496" s="9"/>
      <c r="K496" s="72"/>
      <c r="L496" s="9"/>
      <c r="M496" s="9"/>
      <c r="N496" s="9"/>
      <c r="O496" s="9"/>
      <c r="P496" s="9"/>
      <c r="Q496" s="9"/>
    </row>
    <row r="497" spans="2:17" x14ac:dyDescent="0.2">
      <c r="B497" s="7"/>
      <c r="C497" s="72"/>
      <c r="D497" s="9"/>
      <c r="E497" s="72"/>
      <c r="F497" s="9"/>
      <c r="G497" s="16"/>
      <c r="H497" s="9"/>
      <c r="I497" s="9"/>
      <c r="J497" s="9"/>
      <c r="K497" s="72"/>
      <c r="L497" s="9"/>
      <c r="M497" s="9"/>
      <c r="N497" s="9"/>
      <c r="O497" s="9"/>
      <c r="P497" s="9"/>
      <c r="Q497" s="9"/>
    </row>
    <row r="498" spans="2:17" x14ac:dyDescent="0.2">
      <c r="B498" s="7"/>
      <c r="C498" s="72"/>
      <c r="D498" s="9"/>
      <c r="E498" s="72"/>
      <c r="F498" s="9"/>
      <c r="G498" s="16"/>
      <c r="H498" s="9"/>
      <c r="I498" s="9"/>
      <c r="J498" s="9"/>
      <c r="K498" s="72"/>
      <c r="L498" s="9"/>
      <c r="M498" s="9"/>
      <c r="N498" s="9"/>
      <c r="O498" s="9"/>
      <c r="P498" s="9"/>
      <c r="Q498" s="9"/>
    </row>
    <row r="499" spans="2:17" x14ac:dyDescent="0.2">
      <c r="B499" s="7"/>
      <c r="C499" s="72"/>
      <c r="D499" s="9"/>
      <c r="E499" s="72"/>
      <c r="F499" s="9"/>
      <c r="G499" s="16"/>
      <c r="H499" s="9"/>
      <c r="I499" s="9"/>
      <c r="J499" s="9"/>
      <c r="K499" s="72"/>
      <c r="L499" s="9"/>
      <c r="M499" s="9"/>
      <c r="N499" s="9"/>
      <c r="O499" s="9"/>
      <c r="P499" s="9"/>
      <c r="Q499" s="9"/>
    </row>
    <row r="500" spans="2:17" x14ac:dyDescent="0.2">
      <c r="B500" s="7"/>
      <c r="C500" s="72"/>
      <c r="D500" s="9"/>
      <c r="E500" s="72"/>
      <c r="F500" s="9"/>
      <c r="G500" s="16"/>
      <c r="H500" s="9"/>
      <c r="I500" s="9"/>
      <c r="J500" s="9"/>
      <c r="K500" s="72"/>
      <c r="L500" s="9"/>
      <c r="M500" s="9"/>
      <c r="N500" s="9"/>
      <c r="O500" s="9"/>
      <c r="P500" s="9"/>
      <c r="Q500" s="9"/>
    </row>
    <row r="501" spans="2:17" x14ac:dyDescent="0.2">
      <c r="B501" s="7"/>
      <c r="C501" s="72"/>
      <c r="D501" s="9"/>
      <c r="E501" s="72"/>
      <c r="F501" s="9"/>
      <c r="G501" s="16"/>
      <c r="H501" s="9"/>
      <c r="I501" s="9"/>
      <c r="J501" s="9"/>
      <c r="K501" s="72"/>
      <c r="L501" s="9"/>
      <c r="M501" s="9"/>
      <c r="N501" s="9"/>
      <c r="O501" s="9"/>
      <c r="P501" s="9"/>
      <c r="Q501" s="9"/>
    </row>
    <row r="502" spans="2:17" x14ac:dyDescent="0.2">
      <c r="B502" s="7"/>
      <c r="C502" s="72"/>
      <c r="D502" s="9"/>
      <c r="E502" s="72"/>
      <c r="F502" s="9"/>
      <c r="G502" s="16"/>
      <c r="H502" s="9"/>
      <c r="I502" s="9"/>
      <c r="J502" s="9"/>
      <c r="K502" s="72"/>
      <c r="L502" s="9"/>
      <c r="M502" s="9"/>
      <c r="N502" s="9"/>
      <c r="O502" s="9"/>
      <c r="P502" s="9"/>
      <c r="Q502" s="9"/>
    </row>
    <row r="503" spans="2:17" x14ac:dyDescent="0.2">
      <c r="B503" s="7"/>
      <c r="C503" s="72"/>
      <c r="D503" s="9"/>
      <c r="E503" s="72"/>
      <c r="F503" s="9"/>
      <c r="G503" s="16"/>
      <c r="H503" s="9"/>
      <c r="I503" s="9"/>
      <c r="J503" s="9"/>
      <c r="K503" s="72"/>
      <c r="L503" s="9"/>
      <c r="M503" s="9"/>
      <c r="N503" s="9"/>
      <c r="O503" s="9"/>
      <c r="P503" s="9"/>
      <c r="Q503" s="9"/>
    </row>
    <row r="504" spans="2:17" x14ac:dyDescent="0.2">
      <c r="B504" s="7"/>
      <c r="C504" s="72"/>
      <c r="D504" s="9"/>
      <c r="E504" s="72"/>
      <c r="F504" s="9"/>
      <c r="G504" s="16"/>
      <c r="H504" s="9"/>
      <c r="I504" s="9"/>
      <c r="J504" s="9"/>
      <c r="K504" s="72"/>
      <c r="L504" s="9"/>
      <c r="M504" s="9"/>
      <c r="N504" s="9"/>
      <c r="O504" s="9"/>
      <c r="P504" s="9"/>
      <c r="Q504" s="9"/>
    </row>
    <row r="505" spans="2:17" x14ac:dyDescent="0.2">
      <c r="B505" s="7"/>
      <c r="C505" s="72"/>
      <c r="D505" s="9"/>
      <c r="E505" s="72"/>
      <c r="F505" s="9"/>
      <c r="G505" s="16"/>
      <c r="H505" s="9"/>
      <c r="I505" s="9"/>
      <c r="J505" s="9"/>
      <c r="K505" s="72"/>
      <c r="L505" s="9"/>
      <c r="M505" s="9"/>
      <c r="N505" s="9"/>
      <c r="O505" s="9"/>
      <c r="P505" s="9"/>
      <c r="Q505" s="9"/>
    </row>
    <row r="506" spans="2:17" x14ac:dyDescent="0.2">
      <c r="B506" s="7"/>
      <c r="C506" s="72"/>
      <c r="D506" s="9"/>
      <c r="E506" s="72"/>
      <c r="F506" s="9"/>
      <c r="G506" s="16"/>
      <c r="H506" s="9"/>
      <c r="I506" s="9"/>
      <c r="J506" s="9"/>
      <c r="K506" s="72"/>
      <c r="L506" s="9"/>
      <c r="M506" s="9"/>
      <c r="N506" s="9"/>
      <c r="O506" s="9"/>
      <c r="P506" s="9"/>
      <c r="Q506" s="9"/>
    </row>
    <row r="507" spans="2:17" x14ac:dyDescent="0.2">
      <c r="B507" s="7"/>
      <c r="C507" s="72"/>
      <c r="D507" s="9"/>
      <c r="E507" s="72"/>
      <c r="F507" s="9"/>
      <c r="G507" s="16"/>
      <c r="H507" s="9"/>
      <c r="I507" s="9"/>
      <c r="J507" s="9"/>
      <c r="K507" s="72"/>
      <c r="L507" s="9"/>
      <c r="M507" s="9"/>
      <c r="N507" s="9"/>
      <c r="O507" s="9"/>
      <c r="P507" s="9"/>
      <c r="Q507" s="9"/>
    </row>
    <row r="508" spans="2:17" x14ac:dyDescent="0.2">
      <c r="B508" s="7"/>
      <c r="C508" s="72"/>
      <c r="D508" s="9"/>
      <c r="E508" s="72"/>
      <c r="F508" s="9"/>
      <c r="G508" s="16"/>
      <c r="H508" s="9"/>
      <c r="I508" s="9"/>
      <c r="J508" s="9"/>
      <c r="K508" s="72"/>
      <c r="L508" s="9"/>
      <c r="M508" s="9"/>
      <c r="N508" s="9"/>
      <c r="O508" s="9"/>
      <c r="P508" s="9"/>
      <c r="Q508" s="9"/>
    </row>
    <row r="509" spans="2:17" x14ac:dyDescent="0.2">
      <c r="B509" s="7"/>
      <c r="C509" s="72"/>
      <c r="D509" s="9"/>
      <c r="E509" s="72"/>
      <c r="F509" s="9"/>
      <c r="G509" s="16"/>
      <c r="H509" s="9"/>
      <c r="I509" s="9"/>
      <c r="J509" s="9"/>
      <c r="K509" s="72"/>
      <c r="L509" s="9"/>
      <c r="M509" s="9"/>
      <c r="N509" s="9"/>
      <c r="O509" s="9"/>
      <c r="P509" s="9"/>
      <c r="Q509" s="9"/>
    </row>
    <row r="510" spans="2:17" x14ac:dyDescent="0.2">
      <c r="B510" s="7"/>
      <c r="C510" s="72"/>
      <c r="D510" s="9"/>
      <c r="E510" s="72"/>
      <c r="F510" s="9"/>
      <c r="G510" s="16"/>
      <c r="H510" s="9"/>
      <c r="I510" s="9"/>
      <c r="J510" s="9"/>
      <c r="K510" s="72"/>
      <c r="L510" s="9"/>
      <c r="M510" s="9"/>
      <c r="N510" s="9"/>
      <c r="O510" s="9"/>
      <c r="P510" s="9"/>
      <c r="Q510" s="9"/>
    </row>
    <row r="511" spans="2:17" x14ac:dyDescent="0.2">
      <c r="B511" s="7"/>
      <c r="C511" s="72"/>
      <c r="D511" s="9"/>
      <c r="E511" s="72"/>
      <c r="F511" s="9"/>
      <c r="G511" s="16"/>
      <c r="H511" s="9"/>
      <c r="I511" s="9"/>
      <c r="J511" s="9"/>
      <c r="K511" s="72"/>
      <c r="L511" s="9"/>
      <c r="M511" s="9"/>
      <c r="N511" s="9"/>
      <c r="O511" s="9"/>
      <c r="P511" s="9"/>
      <c r="Q511" s="9"/>
    </row>
    <row r="512" spans="2:17" x14ac:dyDescent="0.2">
      <c r="B512" s="7"/>
      <c r="C512" s="72"/>
      <c r="D512" s="9"/>
      <c r="E512" s="72"/>
      <c r="F512" s="9"/>
      <c r="G512" s="16"/>
      <c r="H512" s="9"/>
      <c r="I512" s="9"/>
      <c r="J512" s="9"/>
      <c r="K512" s="72"/>
      <c r="L512" s="9"/>
      <c r="M512" s="9"/>
      <c r="N512" s="9"/>
      <c r="O512" s="9"/>
      <c r="P512" s="9"/>
      <c r="Q512" s="9"/>
    </row>
    <row r="513" spans="2:17" x14ac:dyDescent="0.2">
      <c r="B513" s="7"/>
      <c r="C513" s="72"/>
      <c r="D513" s="9"/>
      <c r="E513" s="72"/>
      <c r="F513" s="9"/>
      <c r="G513" s="16"/>
      <c r="H513" s="9"/>
      <c r="I513" s="9"/>
      <c r="J513" s="9"/>
      <c r="K513" s="72"/>
      <c r="L513" s="9"/>
      <c r="M513" s="9"/>
      <c r="N513" s="9"/>
      <c r="O513" s="9"/>
      <c r="P513" s="9"/>
      <c r="Q513" s="9"/>
    </row>
    <row r="514" spans="2:17" x14ac:dyDescent="0.2">
      <c r="B514" s="7"/>
      <c r="C514" s="72"/>
      <c r="D514" s="9"/>
      <c r="E514" s="72"/>
      <c r="F514" s="9"/>
      <c r="G514" s="16"/>
      <c r="H514" s="9"/>
      <c r="I514" s="9"/>
      <c r="J514" s="9"/>
      <c r="K514" s="72"/>
      <c r="L514" s="9"/>
      <c r="M514" s="9"/>
      <c r="N514" s="9"/>
      <c r="O514" s="9"/>
      <c r="P514" s="9"/>
      <c r="Q514" s="9"/>
    </row>
    <row r="515" spans="2:17" x14ac:dyDescent="0.2">
      <c r="B515" s="7"/>
      <c r="C515" s="72"/>
      <c r="D515" s="9"/>
      <c r="E515" s="72"/>
      <c r="F515" s="9"/>
      <c r="G515" s="16"/>
      <c r="H515" s="9"/>
      <c r="I515" s="9"/>
      <c r="J515" s="9"/>
      <c r="K515" s="72"/>
      <c r="L515" s="9"/>
      <c r="M515" s="9"/>
      <c r="N515" s="9"/>
      <c r="O515" s="9"/>
      <c r="P515" s="9"/>
      <c r="Q515" s="9"/>
    </row>
    <row r="516" spans="2:17" x14ac:dyDescent="0.2">
      <c r="B516" s="7"/>
      <c r="C516" s="72"/>
      <c r="D516" s="9"/>
      <c r="E516" s="72"/>
      <c r="F516" s="9"/>
      <c r="G516" s="16"/>
      <c r="H516" s="9"/>
      <c r="I516" s="9"/>
      <c r="J516" s="9"/>
      <c r="K516" s="72"/>
      <c r="L516" s="9"/>
      <c r="M516" s="9"/>
      <c r="N516" s="9"/>
      <c r="O516" s="9"/>
      <c r="P516" s="9"/>
      <c r="Q516" s="9"/>
    </row>
    <row r="517" spans="2:17" x14ac:dyDescent="0.2">
      <c r="B517" s="7"/>
      <c r="C517" s="72"/>
      <c r="D517" s="9"/>
      <c r="E517" s="72"/>
      <c r="F517" s="9"/>
      <c r="G517" s="16"/>
      <c r="H517" s="9"/>
      <c r="I517" s="9"/>
      <c r="J517" s="9"/>
      <c r="K517" s="72"/>
      <c r="L517" s="9"/>
      <c r="M517" s="9"/>
      <c r="N517" s="9"/>
      <c r="O517" s="9"/>
      <c r="P517" s="9"/>
      <c r="Q517" s="9"/>
    </row>
    <row r="518" spans="2:17" x14ac:dyDescent="0.2">
      <c r="B518" s="7"/>
      <c r="C518" s="72"/>
      <c r="D518" s="9"/>
      <c r="E518" s="72"/>
      <c r="F518" s="9"/>
      <c r="G518" s="16"/>
      <c r="H518" s="9"/>
      <c r="I518" s="9"/>
      <c r="J518" s="9"/>
      <c r="K518" s="72"/>
      <c r="L518" s="9"/>
      <c r="M518" s="9"/>
      <c r="N518" s="9"/>
      <c r="O518" s="9"/>
      <c r="P518" s="9"/>
      <c r="Q518" s="9"/>
    </row>
    <row r="519" spans="2:17" x14ac:dyDescent="0.2">
      <c r="B519" s="7"/>
      <c r="C519" s="72"/>
      <c r="D519" s="9"/>
      <c r="E519" s="72"/>
      <c r="F519" s="9"/>
      <c r="G519" s="16"/>
      <c r="H519" s="9"/>
      <c r="I519" s="9"/>
      <c r="J519" s="9"/>
      <c r="K519" s="72"/>
      <c r="L519" s="9"/>
      <c r="M519" s="9"/>
      <c r="N519" s="9"/>
      <c r="O519" s="9"/>
      <c r="P519" s="9"/>
      <c r="Q519" s="9"/>
    </row>
    <row r="520" spans="2:17" x14ac:dyDescent="0.2">
      <c r="B520" s="7"/>
      <c r="C520" s="72"/>
      <c r="D520" s="9"/>
      <c r="E520" s="72"/>
      <c r="F520" s="9"/>
      <c r="G520" s="16"/>
      <c r="H520" s="9"/>
      <c r="I520" s="9"/>
      <c r="J520" s="9"/>
      <c r="K520" s="72"/>
      <c r="L520" s="9"/>
      <c r="M520" s="9"/>
      <c r="N520" s="9"/>
      <c r="O520" s="9"/>
      <c r="P520" s="9"/>
      <c r="Q520" s="9"/>
    </row>
    <row r="521" spans="2:17" x14ac:dyDescent="0.2">
      <c r="B521" s="7"/>
      <c r="C521" s="72"/>
      <c r="D521" s="9"/>
      <c r="E521" s="72"/>
      <c r="F521" s="9"/>
      <c r="G521" s="16"/>
      <c r="H521" s="9"/>
      <c r="I521" s="9"/>
      <c r="J521" s="9"/>
      <c r="K521" s="72"/>
      <c r="L521" s="9"/>
      <c r="M521" s="9"/>
      <c r="N521" s="9"/>
      <c r="O521" s="9"/>
      <c r="P521" s="9"/>
      <c r="Q521" s="9"/>
    </row>
    <row r="522" spans="2:17" x14ac:dyDescent="0.2">
      <c r="B522" s="7"/>
      <c r="C522" s="72"/>
      <c r="D522" s="9"/>
      <c r="E522" s="72"/>
      <c r="F522" s="9"/>
      <c r="G522" s="16"/>
      <c r="H522" s="9"/>
      <c r="I522" s="9"/>
      <c r="J522" s="9"/>
      <c r="K522" s="72"/>
      <c r="L522" s="9"/>
      <c r="M522" s="9"/>
      <c r="N522" s="9"/>
      <c r="O522" s="9"/>
      <c r="P522" s="9"/>
      <c r="Q522" s="9"/>
    </row>
    <row r="523" spans="2:17" x14ac:dyDescent="0.2">
      <c r="B523" s="7"/>
      <c r="C523" s="72"/>
      <c r="D523" s="9"/>
      <c r="E523" s="72"/>
      <c r="F523" s="9"/>
      <c r="G523" s="16"/>
      <c r="H523" s="9"/>
      <c r="I523" s="9"/>
      <c r="J523" s="9"/>
      <c r="K523" s="72"/>
      <c r="L523" s="9"/>
      <c r="M523" s="9"/>
      <c r="N523" s="9"/>
      <c r="O523" s="9"/>
      <c r="P523" s="9"/>
      <c r="Q523" s="9"/>
    </row>
    <row r="524" spans="2:17" x14ac:dyDescent="0.2">
      <c r="B524" s="7"/>
      <c r="C524" s="72"/>
      <c r="D524" s="9"/>
      <c r="E524" s="72"/>
      <c r="F524" s="9"/>
      <c r="G524" s="16"/>
      <c r="H524" s="9"/>
      <c r="I524" s="9"/>
      <c r="J524" s="9"/>
      <c r="K524" s="72"/>
      <c r="L524" s="9"/>
      <c r="M524" s="9"/>
      <c r="N524" s="9"/>
      <c r="O524" s="9"/>
      <c r="P524" s="9"/>
      <c r="Q524" s="9"/>
    </row>
    <row r="525" spans="2:17" x14ac:dyDescent="0.2">
      <c r="B525" s="7"/>
      <c r="C525" s="72"/>
      <c r="D525" s="9"/>
      <c r="E525" s="72"/>
      <c r="F525" s="9"/>
      <c r="G525" s="16"/>
      <c r="H525" s="9"/>
      <c r="I525" s="9"/>
      <c r="J525" s="9"/>
      <c r="K525" s="72"/>
      <c r="L525" s="9"/>
      <c r="M525" s="9"/>
      <c r="N525" s="9"/>
      <c r="O525" s="9"/>
      <c r="P525" s="9"/>
      <c r="Q525" s="9"/>
    </row>
    <row r="526" spans="2:17" x14ac:dyDescent="0.2">
      <c r="B526" s="7"/>
      <c r="C526" s="72"/>
      <c r="D526" s="9"/>
      <c r="E526" s="72"/>
      <c r="F526" s="9"/>
      <c r="G526" s="16"/>
      <c r="H526" s="9"/>
      <c r="I526" s="9"/>
      <c r="J526" s="9"/>
      <c r="K526" s="72"/>
      <c r="L526" s="9"/>
      <c r="M526" s="9"/>
      <c r="N526" s="9"/>
      <c r="O526" s="9"/>
      <c r="P526" s="9"/>
      <c r="Q526" s="9"/>
    </row>
    <row r="527" spans="2:17" x14ac:dyDescent="0.2">
      <c r="B527" s="7"/>
      <c r="C527" s="72"/>
      <c r="D527" s="9"/>
      <c r="E527" s="72"/>
      <c r="F527" s="9"/>
      <c r="G527" s="16"/>
      <c r="H527" s="9"/>
      <c r="I527" s="9"/>
      <c r="J527" s="9"/>
      <c r="K527" s="72"/>
      <c r="L527" s="9"/>
      <c r="M527" s="9"/>
      <c r="N527" s="9"/>
      <c r="O527" s="9"/>
      <c r="P527" s="9"/>
      <c r="Q527" s="9"/>
    </row>
    <row r="528" spans="2:17" x14ac:dyDescent="0.2">
      <c r="B528" s="7"/>
      <c r="C528" s="72"/>
      <c r="D528" s="9"/>
      <c r="E528" s="72"/>
      <c r="F528" s="9"/>
      <c r="G528" s="16"/>
      <c r="H528" s="9"/>
      <c r="I528" s="9"/>
      <c r="J528" s="9"/>
      <c r="K528" s="72"/>
      <c r="L528" s="9"/>
      <c r="M528" s="9"/>
      <c r="N528" s="9"/>
      <c r="O528" s="9"/>
      <c r="P528" s="9"/>
      <c r="Q528" s="9"/>
    </row>
    <row r="529" spans="2:17" x14ac:dyDescent="0.2">
      <c r="B529" s="7"/>
      <c r="C529" s="72"/>
      <c r="D529" s="9"/>
      <c r="E529" s="72"/>
      <c r="F529" s="9"/>
      <c r="G529" s="16"/>
      <c r="H529" s="9"/>
      <c r="I529" s="9"/>
      <c r="J529" s="9"/>
      <c r="K529" s="72"/>
      <c r="L529" s="9"/>
      <c r="M529" s="9"/>
      <c r="N529" s="9"/>
      <c r="O529" s="9"/>
      <c r="P529" s="9"/>
      <c r="Q529" s="9"/>
    </row>
    <row r="530" spans="2:17" x14ac:dyDescent="0.2">
      <c r="B530" s="7"/>
      <c r="C530" s="72"/>
      <c r="D530" s="9"/>
      <c r="E530" s="72"/>
      <c r="F530" s="9"/>
      <c r="G530" s="16"/>
      <c r="H530" s="9"/>
      <c r="I530" s="9"/>
      <c r="J530" s="9"/>
      <c r="K530" s="72"/>
      <c r="L530" s="9"/>
      <c r="M530" s="9"/>
      <c r="N530" s="9"/>
      <c r="O530" s="9"/>
      <c r="P530" s="9"/>
      <c r="Q530" s="9"/>
    </row>
    <row r="531" spans="2:17" x14ac:dyDescent="0.2">
      <c r="B531" s="7"/>
      <c r="C531" s="72"/>
      <c r="D531" s="9"/>
      <c r="E531" s="72"/>
      <c r="F531" s="9"/>
      <c r="G531" s="16"/>
      <c r="H531" s="9"/>
      <c r="I531" s="9"/>
      <c r="J531" s="9"/>
      <c r="K531" s="72"/>
      <c r="L531" s="9"/>
      <c r="M531" s="9"/>
      <c r="N531" s="9"/>
      <c r="O531" s="9"/>
      <c r="P531" s="9"/>
      <c r="Q531" s="9"/>
    </row>
    <row r="532" spans="2:17" x14ac:dyDescent="0.2">
      <c r="B532" s="7"/>
      <c r="C532" s="72"/>
      <c r="D532" s="9"/>
      <c r="E532" s="72"/>
      <c r="F532" s="9"/>
      <c r="G532" s="16"/>
      <c r="H532" s="9"/>
      <c r="I532" s="9"/>
      <c r="J532" s="9"/>
      <c r="K532" s="72"/>
      <c r="L532" s="9"/>
      <c r="M532" s="9"/>
      <c r="N532" s="9"/>
      <c r="O532" s="9"/>
      <c r="P532" s="9"/>
      <c r="Q532" s="9"/>
    </row>
    <row r="533" spans="2:17" x14ac:dyDescent="0.2">
      <c r="B533" s="7"/>
      <c r="C533" s="72"/>
      <c r="D533" s="9"/>
      <c r="E533" s="72"/>
      <c r="F533" s="9"/>
      <c r="G533" s="16"/>
      <c r="H533" s="9"/>
      <c r="I533" s="9"/>
      <c r="J533" s="9"/>
      <c r="K533" s="72"/>
      <c r="L533" s="9"/>
      <c r="M533" s="9"/>
      <c r="N533" s="9"/>
      <c r="O533" s="9"/>
      <c r="P533" s="9"/>
      <c r="Q533" s="9"/>
    </row>
    <row r="534" spans="2:17" x14ac:dyDescent="0.2">
      <c r="B534" s="7"/>
      <c r="C534" s="72"/>
      <c r="D534" s="9"/>
      <c r="E534" s="72"/>
      <c r="F534" s="9"/>
      <c r="G534" s="16"/>
      <c r="H534" s="9"/>
      <c r="I534" s="9"/>
      <c r="J534" s="9"/>
      <c r="K534" s="72"/>
      <c r="L534" s="9"/>
      <c r="M534" s="9"/>
      <c r="N534" s="9"/>
      <c r="O534" s="9"/>
      <c r="P534" s="9"/>
      <c r="Q534" s="9"/>
    </row>
    <row r="535" spans="2:17" x14ac:dyDescent="0.2">
      <c r="B535" s="7"/>
      <c r="C535" s="72"/>
      <c r="D535" s="9"/>
      <c r="E535" s="72"/>
      <c r="F535" s="9"/>
      <c r="G535" s="16"/>
      <c r="H535" s="9"/>
      <c r="I535" s="9"/>
      <c r="J535" s="9"/>
      <c r="K535" s="72"/>
      <c r="L535" s="9"/>
      <c r="M535" s="9"/>
      <c r="N535" s="9"/>
      <c r="O535" s="9"/>
      <c r="P535" s="9"/>
      <c r="Q535" s="9"/>
    </row>
    <row r="536" spans="2:17" x14ac:dyDescent="0.2">
      <c r="B536" s="7"/>
      <c r="C536" s="72"/>
      <c r="D536" s="9"/>
      <c r="E536" s="72"/>
      <c r="F536" s="9"/>
      <c r="G536" s="16"/>
      <c r="H536" s="9"/>
      <c r="I536" s="9"/>
      <c r="J536" s="9"/>
      <c r="K536" s="72"/>
      <c r="L536" s="9"/>
      <c r="M536" s="9"/>
      <c r="N536" s="9"/>
      <c r="O536" s="9"/>
      <c r="P536" s="9"/>
      <c r="Q536" s="9"/>
    </row>
    <row r="537" spans="2:17" x14ac:dyDescent="0.2">
      <c r="B537" s="7"/>
      <c r="C537" s="72"/>
      <c r="D537" s="9"/>
      <c r="E537" s="72"/>
      <c r="F537" s="9"/>
      <c r="G537" s="16"/>
      <c r="H537" s="9"/>
      <c r="I537" s="9"/>
      <c r="J537" s="9"/>
      <c r="K537" s="72"/>
      <c r="L537" s="9"/>
      <c r="M537" s="9"/>
      <c r="N537" s="9"/>
      <c r="O537" s="9"/>
      <c r="P537" s="9"/>
      <c r="Q537" s="9"/>
    </row>
    <row r="538" spans="2:17" x14ac:dyDescent="0.2">
      <c r="B538" s="7"/>
      <c r="C538" s="72"/>
      <c r="D538" s="9"/>
      <c r="E538" s="72"/>
      <c r="F538" s="9"/>
      <c r="G538" s="16"/>
      <c r="H538" s="9"/>
      <c r="I538" s="9"/>
      <c r="J538" s="9"/>
      <c r="K538" s="72"/>
      <c r="L538" s="9"/>
      <c r="M538" s="9"/>
      <c r="N538" s="9"/>
      <c r="O538" s="9"/>
      <c r="P538" s="9"/>
      <c r="Q538" s="9"/>
    </row>
    <row r="539" spans="2:17" x14ac:dyDescent="0.2">
      <c r="B539" s="7"/>
      <c r="C539" s="72"/>
      <c r="D539" s="9"/>
      <c r="E539" s="72"/>
      <c r="F539" s="9"/>
      <c r="G539" s="16"/>
      <c r="H539" s="9"/>
      <c r="I539" s="9"/>
      <c r="J539" s="9"/>
      <c r="K539" s="72"/>
      <c r="L539" s="9"/>
      <c r="M539" s="9"/>
      <c r="N539" s="9"/>
      <c r="O539" s="9"/>
      <c r="P539" s="9"/>
      <c r="Q539" s="9"/>
    </row>
    <row r="540" spans="2:17" x14ac:dyDescent="0.2">
      <c r="B540" s="7"/>
      <c r="C540" s="72"/>
      <c r="D540" s="9"/>
      <c r="E540" s="72"/>
      <c r="F540" s="9"/>
      <c r="G540" s="16"/>
      <c r="H540" s="9"/>
      <c r="I540" s="9"/>
      <c r="J540" s="9"/>
      <c r="K540" s="72"/>
      <c r="L540" s="9"/>
      <c r="M540" s="9"/>
      <c r="N540" s="9"/>
      <c r="O540" s="9"/>
      <c r="P540" s="9"/>
      <c r="Q540" s="9"/>
    </row>
    <row r="541" spans="2:17" x14ac:dyDescent="0.2">
      <c r="B541" s="7"/>
      <c r="C541" s="72"/>
      <c r="D541" s="9"/>
      <c r="E541" s="72"/>
      <c r="F541" s="9"/>
      <c r="G541" s="16"/>
      <c r="H541" s="9"/>
      <c r="I541" s="9"/>
      <c r="J541" s="9"/>
      <c r="K541" s="72"/>
      <c r="L541" s="9"/>
      <c r="M541" s="9"/>
      <c r="N541" s="9"/>
      <c r="O541" s="9"/>
      <c r="P541" s="9"/>
      <c r="Q541" s="9"/>
    </row>
    <row r="542" spans="2:17" x14ac:dyDescent="0.2">
      <c r="B542" s="7"/>
      <c r="C542" s="72"/>
      <c r="D542" s="9"/>
      <c r="E542" s="72"/>
      <c r="F542" s="9"/>
      <c r="G542" s="16"/>
      <c r="H542" s="9"/>
      <c r="I542" s="9"/>
      <c r="J542" s="9"/>
      <c r="K542" s="72"/>
      <c r="L542" s="9"/>
      <c r="M542" s="9"/>
      <c r="N542" s="9"/>
      <c r="O542" s="9"/>
      <c r="P542" s="9"/>
      <c r="Q542" s="9"/>
    </row>
    <row r="543" spans="2:17" x14ac:dyDescent="0.2">
      <c r="B543" s="7"/>
      <c r="C543" s="72"/>
      <c r="D543" s="9"/>
      <c r="E543" s="72"/>
      <c r="F543" s="9"/>
      <c r="G543" s="16"/>
      <c r="H543" s="9"/>
      <c r="I543" s="9"/>
      <c r="J543" s="9"/>
      <c r="K543" s="72"/>
      <c r="L543" s="9"/>
      <c r="M543" s="9"/>
      <c r="N543" s="9"/>
      <c r="O543" s="9"/>
      <c r="P543" s="9"/>
      <c r="Q543" s="9"/>
    </row>
    <row r="544" spans="2:17" x14ac:dyDescent="0.2">
      <c r="B544" s="7"/>
      <c r="C544" s="72"/>
      <c r="D544" s="9"/>
      <c r="E544" s="72"/>
      <c r="F544" s="9"/>
      <c r="G544" s="16"/>
      <c r="H544" s="9"/>
      <c r="I544" s="9"/>
      <c r="J544" s="9"/>
      <c r="K544" s="72"/>
      <c r="L544" s="9"/>
      <c r="M544" s="9"/>
      <c r="N544" s="9"/>
      <c r="O544" s="9"/>
      <c r="P544" s="9"/>
      <c r="Q544" s="9"/>
    </row>
    <row r="545" spans="2:17" x14ac:dyDescent="0.2">
      <c r="B545" s="7"/>
      <c r="C545" s="72"/>
      <c r="D545" s="9"/>
      <c r="E545" s="72"/>
      <c r="F545" s="9"/>
      <c r="G545" s="16"/>
      <c r="H545" s="9"/>
      <c r="I545" s="9"/>
      <c r="J545" s="9"/>
      <c r="K545" s="72"/>
      <c r="L545" s="9"/>
      <c r="M545" s="9"/>
      <c r="N545" s="9"/>
      <c r="O545" s="9"/>
      <c r="P545" s="9"/>
      <c r="Q545" s="9"/>
    </row>
    <row r="546" spans="2:17" x14ac:dyDescent="0.2">
      <c r="B546" s="7"/>
      <c r="C546" s="72"/>
      <c r="D546" s="9"/>
      <c r="E546" s="72"/>
      <c r="F546" s="9"/>
      <c r="G546" s="16"/>
      <c r="H546" s="9"/>
      <c r="I546" s="9"/>
      <c r="J546" s="9"/>
      <c r="K546" s="72"/>
      <c r="L546" s="9"/>
      <c r="M546" s="9"/>
      <c r="N546" s="9"/>
      <c r="O546" s="9"/>
      <c r="P546" s="9"/>
      <c r="Q546" s="9"/>
    </row>
    <row r="547" spans="2:17" x14ac:dyDescent="0.2">
      <c r="B547" s="7"/>
      <c r="C547" s="72"/>
      <c r="D547" s="9"/>
      <c r="E547" s="72"/>
      <c r="F547" s="9"/>
      <c r="G547" s="16"/>
      <c r="H547" s="9"/>
      <c r="I547" s="9"/>
      <c r="J547" s="9"/>
      <c r="K547" s="72"/>
      <c r="L547" s="9"/>
      <c r="M547" s="9"/>
      <c r="N547" s="9"/>
      <c r="O547" s="9"/>
      <c r="P547" s="9"/>
      <c r="Q547" s="9"/>
    </row>
    <row r="548" spans="2:17" x14ac:dyDescent="0.2">
      <c r="B548" s="7"/>
      <c r="C548" s="72"/>
      <c r="D548" s="9"/>
      <c r="E548" s="72"/>
      <c r="F548" s="9"/>
      <c r="G548" s="16"/>
      <c r="H548" s="9"/>
      <c r="I548" s="9"/>
      <c r="J548" s="9"/>
      <c r="K548" s="72"/>
      <c r="L548" s="9"/>
      <c r="M548" s="9"/>
      <c r="N548" s="9"/>
      <c r="O548" s="9"/>
      <c r="P548" s="9"/>
      <c r="Q548" s="9"/>
    </row>
    <row r="549" spans="2:17" x14ac:dyDescent="0.2">
      <c r="B549" s="7"/>
      <c r="C549" s="72"/>
      <c r="D549" s="9"/>
      <c r="E549" s="72"/>
      <c r="F549" s="9"/>
      <c r="G549" s="16"/>
      <c r="H549" s="9"/>
      <c r="I549" s="9"/>
      <c r="J549" s="9"/>
      <c r="K549" s="72"/>
      <c r="L549" s="9"/>
      <c r="M549" s="9"/>
      <c r="N549" s="9"/>
      <c r="O549" s="9"/>
      <c r="P549" s="9"/>
      <c r="Q549" s="9"/>
    </row>
    <row r="550" spans="2:17" x14ac:dyDescent="0.2">
      <c r="B550" s="7"/>
      <c r="C550" s="72"/>
      <c r="D550" s="9"/>
      <c r="E550" s="72"/>
      <c r="F550" s="9"/>
      <c r="G550" s="16"/>
      <c r="H550" s="9"/>
      <c r="I550" s="9"/>
      <c r="J550" s="9"/>
      <c r="K550" s="72"/>
      <c r="L550" s="9"/>
      <c r="M550" s="9"/>
      <c r="N550" s="9"/>
      <c r="O550" s="9"/>
      <c r="P550" s="9"/>
      <c r="Q550" s="9"/>
    </row>
    <row r="551" spans="2:17" x14ac:dyDescent="0.2">
      <c r="B551" s="7"/>
      <c r="C551" s="72"/>
      <c r="D551" s="9"/>
      <c r="E551" s="72"/>
      <c r="F551" s="9"/>
      <c r="G551" s="16"/>
      <c r="H551" s="9"/>
      <c r="I551" s="9"/>
      <c r="J551" s="9"/>
      <c r="K551" s="72"/>
      <c r="L551" s="9"/>
      <c r="M551" s="9"/>
      <c r="N551" s="9"/>
      <c r="O551" s="9"/>
      <c r="P551" s="9"/>
      <c r="Q551" s="9"/>
    </row>
    <row r="552" spans="2:17" x14ac:dyDescent="0.2">
      <c r="B552" s="7"/>
      <c r="C552" s="72"/>
      <c r="D552" s="9"/>
      <c r="E552" s="72"/>
      <c r="F552" s="9"/>
      <c r="G552" s="16"/>
      <c r="H552" s="9"/>
      <c r="I552" s="9"/>
      <c r="J552" s="9"/>
      <c r="K552" s="72"/>
      <c r="L552" s="9"/>
      <c r="M552" s="9"/>
      <c r="N552" s="9"/>
      <c r="O552" s="9"/>
      <c r="P552" s="9"/>
      <c r="Q552" s="9"/>
    </row>
    <row r="553" spans="2:17" x14ac:dyDescent="0.2">
      <c r="B553" s="7"/>
      <c r="C553" s="72"/>
      <c r="D553" s="9"/>
      <c r="E553" s="72"/>
      <c r="F553" s="9"/>
      <c r="G553" s="16"/>
      <c r="H553" s="9"/>
      <c r="I553" s="9"/>
      <c r="J553" s="9"/>
      <c r="K553" s="72"/>
      <c r="L553" s="9"/>
      <c r="M553" s="9"/>
      <c r="N553" s="9"/>
      <c r="O553" s="9"/>
      <c r="P553" s="9"/>
      <c r="Q553" s="9"/>
    </row>
    <row r="554" spans="2:17" x14ac:dyDescent="0.2">
      <c r="B554" s="7"/>
      <c r="C554" s="72"/>
      <c r="D554" s="9"/>
      <c r="E554" s="72"/>
      <c r="F554" s="9"/>
      <c r="G554" s="16"/>
      <c r="H554" s="9"/>
      <c r="I554" s="9"/>
      <c r="J554" s="9"/>
      <c r="K554" s="72"/>
      <c r="L554" s="9"/>
      <c r="M554" s="9"/>
      <c r="N554" s="9"/>
      <c r="O554" s="9"/>
      <c r="P554" s="9"/>
      <c r="Q554" s="9"/>
    </row>
    <row r="555" spans="2:17" x14ac:dyDescent="0.2">
      <c r="B555" s="7"/>
      <c r="C555" s="72"/>
      <c r="D555" s="9"/>
      <c r="E555" s="72"/>
      <c r="F555" s="9"/>
      <c r="G555" s="16"/>
      <c r="H555" s="9"/>
      <c r="I555" s="9"/>
      <c r="J555" s="9"/>
      <c r="K555" s="72"/>
      <c r="L555" s="9"/>
      <c r="M555" s="9"/>
      <c r="N555" s="9"/>
      <c r="O555" s="9"/>
      <c r="P555" s="9"/>
      <c r="Q555" s="9"/>
    </row>
    <row r="556" spans="2:17" x14ac:dyDescent="0.2">
      <c r="B556" s="7"/>
      <c r="C556" s="72"/>
      <c r="D556" s="9"/>
      <c r="E556" s="72"/>
      <c r="F556" s="9"/>
      <c r="G556" s="16"/>
      <c r="H556" s="9"/>
      <c r="I556" s="9"/>
      <c r="J556" s="9"/>
      <c r="K556" s="72"/>
      <c r="L556" s="9"/>
      <c r="M556" s="9"/>
      <c r="N556" s="9"/>
      <c r="O556" s="9"/>
      <c r="P556" s="9"/>
      <c r="Q556" s="9"/>
    </row>
    <row r="557" spans="2:17" x14ac:dyDescent="0.2">
      <c r="B557" s="7"/>
      <c r="C557" s="72"/>
      <c r="D557" s="9"/>
      <c r="E557" s="72"/>
      <c r="F557" s="9"/>
      <c r="G557" s="16"/>
      <c r="H557" s="9"/>
      <c r="I557" s="9"/>
      <c r="J557" s="9"/>
      <c r="K557" s="72"/>
      <c r="L557" s="9"/>
      <c r="M557" s="9"/>
      <c r="N557" s="9"/>
      <c r="O557" s="9"/>
      <c r="P557" s="9"/>
      <c r="Q557" s="9"/>
    </row>
    <row r="558" spans="2:17" x14ac:dyDescent="0.2">
      <c r="B558" s="7"/>
      <c r="C558" s="72"/>
      <c r="D558" s="9"/>
      <c r="E558" s="72"/>
      <c r="F558" s="9"/>
      <c r="G558" s="16"/>
      <c r="H558" s="9"/>
      <c r="I558" s="9"/>
      <c r="J558" s="9"/>
      <c r="K558" s="72"/>
      <c r="L558" s="9"/>
      <c r="M558" s="9"/>
      <c r="N558" s="9"/>
      <c r="O558" s="9"/>
      <c r="P558" s="9"/>
      <c r="Q558" s="9"/>
    </row>
    <row r="559" spans="2:17" x14ac:dyDescent="0.2">
      <c r="B559" s="7"/>
      <c r="C559" s="72"/>
      <c r="D559" s="9"/>
      <c r="E559" s="72"/>
      <c r="F559" s="9"/>
      <c r="G559" s="16"/>
      <c r="H559" s="9"/>
      <c r="I559" s="9"/>
      <c r="J559" s="9"/>
      <c r="K559" s="72"/>
      <c r="L559" s="9"/>
      <c r="M559" s="9"/>
      <c r="N559" s="9"/>
      <c r="O559" s="9"/>
      <c r="P559" s="9"/>
      <c r="Q559" s="9"/>
    </row>
    <row r="560" spans="2:17" x14ac:dyDescent="0.2">
      <c r="B560" s="7"/>
      <c r="C560" s="72"/>
      <c r="D560" s="9"/>
      <c r="E560" s="72"/>
      <c r="F560" s="9"/>
      <c r="G560" s="16"/>
      <c r="H560" s="9"/>
      <c r="I560" s="9"/>
      <c r="J560" s="9"/>
      <c r="K560" s="72"/>
      <c r="L560" s="9"/>
      <c r="M560" s="9"/>
      <c r="N560" s="9"/>
      <c r="O560" s="9"/>
      <c r="P560" s="9"/>
      <c r="Q560" s="9"/>
    </row>
    <row r="561" spans="2:17" x14ac:dyDescent="0.2">
      <c r="B561" s="7"/>
      <c r="C561" s="72"/>
      <c r="D561" s="9"/>
      <c r="E561" s="72"/>
      <c r="F561" s="9"/>
      <c r="G561" s="16"/>
      <c r="H561" s="9"/>
      <c r="I561" s="9"/>
      <c r="J561" s="9"/>
      <c r="K561" s="72"/>
      <c r="L561" s="9"/>
      <c r="M561" s="9"/>
      <c r="N561" s="9"/>
      <c r="O561" s="9"/>
      <c r="P561" s="9"/>
      <c r="Q561" s="9"/>
    </row>
    <row r="562" spans="2:17" x14ac:dyDescent="0.2">
      <c r="B562" s="7"/>
      <c r="C562" s="72"/>
      <c r="D562" s="9"/>
      <c r="E562" s="72"/>
      <c r="F562" s="9"/>
      <c r="G562" s="16"/>
      <c r="H562" s="9"/>
      <c r="I562" s="9"/>
      <c r="J562" s="9"/>
      <c r="K562" s="72"/>
      <c r="L562" s="9"/>
      <c r="M562" s="9"/>
      <c r="N562" s="9"/>
      <c r="O562" s="9"/>
      <c r="P562" s="9"/>
      <c r="Q562" s="9"/>
    </row>
    <row r="563" spans="2:17" x14ac:dyDescent="0.2">
      <c r="B563" s="7"/>
      <c r="C563" s="72"/>
      <c r="D563" s="9"/>
      <c r="E563" s="72"/>
      <c r="F563" s="9"/>
      <c r="G563" s="16"/>
      <c r="H563" s="9"/>
      <c r="I563" s="9"/>
      <c r="J563" s="9"/>
      <c r="K563" s="72"/>
      <c r="L563" s="9"/>
      <c r="M563" s="9"/>
      <c r="N563" s="9"/>
      <c r="O563" s="9"/>
      <c r="P563" s="9"/>
      <c r="Q563" s="9"/>
    </row>
    <row r="564" spans="2:17" x14ac:dyDescent="0.2">
      <c r="B564" s="7"/>
      <c r="C564" s="72"/>
      <c r="D564" s="9"/>
      <c r="E564" s="72"/>
      <c r="F564" s="9"/>
      <c r="G564" s="16"/>
      <c r="H564" s="9"/>
      <c r="I564" s="9"/>
      <c r="J564" s="9"/>
      <c r="K564" s="72"/>
      <c r="L564" s="9"/>
      <c r="M564" s="9"/>
      <c r="N564" s="9"/>
      <c r="O564" s="9"/>
      <c r="P564" s="9"/>
      <c r="Q564" s="9"/>
    </row>
    <row r="565" spans="2:17" x14ac:dyDescent="0.2">
      <c r="B565" s="7"/>
      <c r="C565" s="72"/>
      <c r="D565" s="9"/>
      <c r="E565" s="72"/>
      <c r="F565" s="9"/>
      <c r="G565" s="16"/>
      <c r="H565" s="9"/>
      <c r="I565" s="9"/>
      <c r="J565" s="9"/>
      <c r="K565" s="72"/>
      <c r="L565" s="9"/>
      <c r="M565" s="9"/>
      <c r="N565" s="9"/>
      <c r="O565" s="9"/>
      <c r="P565" s="9"/>
      <c r="Q565" s="9"/>
    </row>
    <row r="566" spans="2:17" x14ac:dyDescent="0.2">
      <c r="B566" s="7"/>
      <c r="C566" s="72"/>
      <c r="D566" s="9"/>
      <c r="E566" s="72"/>
      <c r="F566" s="9"/>
      <c r="G566" s="16"/>
      <c r="H566" s="9"/>
      <c r="I566" s="9"/>
      <c r="J566" s="9"/>
      <c r="K566" s="72"/>
      <c r="L566" s="9"/>
      <c r="M566" s="9"/>
      <c r="N566" s="9"/>
      <c r="O566" s="9"/>
      <c r="P566" s="9"/>
      <c r="Q566" s="9"/>
    </row>
    <row r="567" spans="2:17" x14ac:dyDescent="0.2">
      <c r="B567" s="7"/>
      <c r="C567" s="72"/>
      <c r="D567" s="9"/>
      <c r="E567" s="72"/>
      <c r="F567" s="9"/>
      <c r="G567" s="16"/>
      <c r="H567" s="9"/>
      <c r="I567" s="9"/>
      <c r="J567" s="9"/>
      <c r="K567" s="72"/>
      <c r="L567" s="9"/>
      <c r="M567" s="9"/>
      <c r="N567" s="9"/>
      <c r="O567" s="9"/>
      <c r="P567" s="9"/>
      <c r="Q567" s="9"/>
    </row>
    <row r="568" spans="2:17" x14ac:dyDescent="0.2">
      <c r="B568" s="7"/>
      <c r="C568" s="72"/>
      <c r="D568" s="9"/>
      <c r="E568" s="72"/>
      <c r="F568" s="9"/>
      <c r="G568" s="16"/>
      <c r="H568" s="9"/>
      <c r="I568" s="9"/>
      <c r="J568" s="9"/>
      <c r="K568" s="72"/>
      <c r="L568" s="9"/>
      <c r="M568" s="9"/>
      <c r="N568" s="9"/>
      <c r="O568" s="9"/>
      <c r="P568" s="9"/>
      <c r="Q568" s="9"/>
    </row>
    <row r="569" spans="2:17" x14ac:dyDescent="0.2">
      <c r="B569" s="7"/>
      <c r="C569" s="72"/>
      <c r="D569" s="9"/>
      <c r="E569" s="72"/>
      <c r="F569" s="9"/>
      <c r="G569" s="16"/>
      <c r="H569" s="9"/>
      <c r="I569" s="9"/>
      <c r="J569" s="9"/>
      <c r="K569" s="72"/>
      <c r="L569" s="9"/>
      <c r="M569" s="9"/>
      <c r="N569" s="9"/>
      <c r="O569" s="9"/>
      <c r="P569" s="9"/>
      <c r="Q569" s="9"/>
    </row>
    <row r="570" spans="2:17" x14ac:dyDescent="0.2">
      <c r="B570" s="7"/>
      <c r="C570" s="72"/>
      <c r="D570" s="9"/>
      <c r="E570" s="72"/>
      <c r="F570" s="9"/>
      <c r="G570" s="16"/>
      <c r="H570" s="9"/>
      <c r="I570" s="9"/>
      <c r="J570" s="9"/>
      <c r="K570" s="72"/>
      <c r="L570" s="9"/>
      <c r="M570" s="9"/>
      <c r="N570" s="9"/>
      <c r="O570" s="9"/>
      <c r="P570" s="9"/>
      <c r="Q570" s="9"/>
    </row>
    <row r="571" spans="2:17" x14ac:dyDescent="0.2">
      <c r="B571" s="7"/>
      <c r="C571" s="72"/>
      <c r="D571" s="9"/>
      <c r="E571" s="72"/>
      <c r="F571" s="9"/>
      <c r="G571" s="16"/>
      <c r="H571" s="9"/>
      <c r="I571" s="9"/>
      <c r="J571" s="9"/>
      <c r="K571" s="72"/>
      <c r="L571" s="9"/>
      <c r="M571" s="9"/>
      <c r="N571" s="9"/>
      <c r="O571" s="9"/>
      <c r="P571" s="9"/>
      <c r="Q571" s="9"/>
    </row>
    <row r="572" spans="2:17" x14ac:dyDescent="0.2">
      <c r="B572" s="7"/>
      <c r="C572" s="72"/>
      <c r="D572" s="9"/>
      <c r="E572" s="72"/>
      <c r="F572" s="9"/>
      <c r="G572" s="16"/>
      <c r="H572" s="9"/>
      <c r="I572" s="9"/>
      <c r="J572" s="9"/>
      <c r="K572" s="72"/>
      <c r="L572" s="9"/>
      <c r="M572" s="9"/>
      <c r="N572" s="9"/>
      <c r="O572" s="9"/>
      <c r="P572" s="9"/>
      <c r="Q572" s="9"/>
    </row>
    <row r="573" spans="2:17" x14ac:dyDescent="0.2">
      <c r="B573" s="7"/>
      <c r="C573" s="72"/>
      <c r="D573" s="9"/>
      <c r="E573" s="72"/>
      <c r="F573" s="9"/>
      <c r="G573" s="16"/>
      <c r="H573" s="9"/>
      <c r="I573" s="9"/>
      <c r="J573" s="9"/>
      <c r="K573" s="72"/>
      <c r="L573" s="9"/>
      <c r="M573" s="9"/>
      <c r="N573" s="9"/>
      <c r="O573" s="9"/>
      <c r="P573" s="9"/>
      <c r="Q573" s="9"/>
    </row>
    <row r="574" spans="2:17" x14ac:dyDescent="0.2">
      <c r="B574" s="7"/>
      <c r="C574" s="72"/>
      <c r="D574" s="9"/>
      <c r="E574" s="72"/>
      <c r="F574" s="9"/>
      <c r="G574" s="16"/>
      <c r="H574" s="9"/>
      <c r="I574" s="9"/>
      <c r="J574" s="9"/>
      <c r="K574" s="72"/>
      <c r="L574" s="9"/>
      <c r="M574" s="9"/>
      <c r="N574" s="9"/>
      <c r="O574" s="9"/>
      <c r="P574" s="9"/>
      <c r="Q574" s="9"/>
    </row>
    <row r="575" spans="2:17" x14ac:dyDescent="0.2">
      <c r="B575" s="7"/>
      <c r="C575" s="72"/>
      <c r="D575" s="9"/>
      <c r="E575" s="72"/>
      <c r="F575" s="9"/>
      <c r="G575" s="16"/>
      <c r="H575" s="9"/>
      <c r="I575" s="9"/>
      <c r="J575" s="9"/>
      <c r="K575" s="72"/>
      <c r="L575" s="9"/>
      <c r="M575" s="9"/>
      <c r="N575" s="9"/>
      <c r="O575" s="9"/>
      <c r="P575" s="9"/>
      <c r="Q575" s="9"/>
    </row>
    <row r="576" spans="2:17" x14ac:dyDescent="0.2">
      <c r="B576" s="7"/>
      <c r="C576" s="72"/>
      <c r="D576" s="9"/>
      <c r="E576" s="72"/>
      <c r="F576" s="9"/>
      <c r="G576" s="16"/>
      <c r="H576" s="9"/>
      <c r="I576" s="9"/>
      <c r="J576" s="9"/>
      <c r="K576" s="72"/>
      <c r="L576" s="9"/>
      <c r="M576" s="9"/>
      <c r="N576" s="9"/>
      <c r="O576" s="9"/>
      <c r="P576" s="9"/>
      <c r="Q576" s="9"/>
    </row>
    <row r="577" spans="2:17" x14ac:dyDescent="0.2">
      <c r="B577" s="7"/>
      <c r="C577" s="72"/>
      <c r="D577" s="9"/>
      <c r="E577" s="72"/>
      <c r="F577" s="9"/>
      <c r="G577" s="16"/>
      <c r="H577" s="9"/>
      <c r="I577" s="9"/>
      <c r="J577" s="9"/>
      <c r="K577" s="72"/>
      <c r="L577" s="9"/>
      <c r="M577" s="9"/>
      <c r="N577" s="9"/>
      <c r="O577" s="9"/>
      <c r="P577" s="9"/>
      <c r="Q577" s="9"/>
    </row>
    <row r="578" spans="2:17" x14ac:dyDescent="0.2">
      <c r="B578" s="7"/>
      <c r="C578" s="72"/>
      <c r="D578" s="9"/>
      <c r="E578" s="72"/>
      <c r="F578" s="9"/>
      <c r="G578" s="16"/>
      <c r="H578" s="9"/>
      <c r="I578" s="9"/>
      <c r="J578" s="9"/>
      <c r="K578" s="72"/>
      <c r="L578" s="9"/>
      <c r="M578" s="9"/>
      <c r="N578" s="9"/>
      <c r="O578" s="9"/>
      <c r="P578" s="9"/>
      <c r="Q578" s="9"/>
    </row>
    <row r="579" spans="2:17" x14ac:dyDescent="0.2">
      <c r="B579" s="7"/>
      <c r="C579" s="72"/>
      <c r="D579" s="9"/>
      <c r="E579" s="72"/>
      <c r="F579" s="9"/>
      <c r="G579" s="16"/>
      <c r="H579" s="9"/>
      <c r="I579" s="9"/>
      <c r="J579" s="9"/>
      <c r="K579" s="72"/>
      <c r="L579" s="9"/>
      <c r="M579" s="9"/>
      <c r="N579" s="9"/>
      <c r="O579" s="9"/>
      <c r="P579" s="9"/>
      <c r="Q579" s="9"/>
    </row>
    <row r="580" spans="2:17" x14ac:dyDescent="0.2">
      <c r="B580" s="7"/>
      <c r="C580" s="72"/>
      <c r="D580" s="9"/>
      <c r="E580" s="72"/>
      <c r="F580" s="9"/>
      <c r="G580" s="16"/>
      <c r="H580" s="9"/>
      <c r="I580" s="9"/>
      <c r="J580" s="9"/>
      <c r="K580" s="72"/>
      <c r="L580" s="9"/>
      <c r="M580" s="9"/>
      <c r="N580" s="9"/>
      <c r="O580" s="9"/>
      <c r="P580" s="9"/>
      <c r="Q580" s="9"/>
    </row>
    <row r="581" spans="2:17" x14ac:dyDescent="0.2">
      <c r="B581" s="7"/>
      <c r="C581" s="72"/>
      <c r="D581" s="9"/>
      <c r="E581" s="72"/>
      <c r="F581" s="9"/>
      <c r="G581" s="16"/>
      <c r="H581" s="9"/>
      <c r="I581" s="9"/>
      <c r="J581" s="9"/>
      <c r="K581" s="72"/>
      <c r="L581" s="9"/>
      <c r="M581" s="9"/>
      <c r="N581" s="9"/>
      <c r="O581" s="9"/>
      <c r="P581" s="9"/>
      <c r="Q581" s="9"/>
    </row>
    <row r="582" spans="2:17" x14ac:dyDescent="0.2">
      <c r="B582" s="7"/>
      <c r="C582" s="72"/>
      <c r="D582" s="9"/>
      <c r="E582" s="72"/>
      <c r="F582" s="9"/>
      <c r="G582" s="16"/>
      <c r="H582" s="9"/>
      <c r="I582" s="9"/>
      <c r="J582" s="9"/>
      <c r="K582" s="72"/>
      <c r="L582" s="9"/>
      <c r="M582" s="9"/>
      <c r="N582" s="9"/>
      <c r="O582" s="9"/>
      <c r="P582" s="9"/>
      <c r="Q582" s="9"/>
    </row>
    <row r="583" spans="2:17" x14ac:dyDescent="0.2">
      <c r="B583" s="7"/>
      <c r="C583" s="72"/>
      <c r="D583" s="9"/>
      <c r="E583" s="72"/>
      <c r="F583" s="9"/>
      <c r="G583" s="16"/>
      <c r="H583" s="9"/>
      <c r="I583" s="9"/>
      <c r="J583" s="9"/>
      <c r="K583" s="72"/>
      <c r="L583" s="9"/>
      <c r="M583" s="9"/>
      <c r="N583" s="9"/>
      <c r="O583" s="9"/>
      <c r="P583" s="9"/>
      <c r="Q583" s="9"/>
    </row>
    <row r="584" spans="2:17" x14ac:dyDescent="0.2">
      <c r="B584" s="7"/>
      <c r="C584" s="72"/>
      <c r="D584" s="9"/>
      <c r="E584" s="72"/>
      <c r="F584" s="9"/>
      <c r="G584" s="16"/>
      <c r="H584" s="9"/>
      <c r="I584" s="9"/>
      <c r="J584" s="9"/>
      <c r="K584" s="72"/>
      <c r="L584" s="9"/>
      <c r="M584" s="9"/>
      <c r="N584" s="9"/>
      <c r="O584" s="9"/>
      <c r="P584" s="9"/>
      <c r="Q584" s="9"/>
    </row>
    <row r="585" spans="2:17" x14ac:dyDescent="0.2">
      <c r="B585" s="7"/>
      <c r="C585" s="72"/>
      <c r="D585" s="9"/>
      <c r="E585" s="72"/>
      <c r="F585" s="9"/>
      <c r="G585" s="16"/>
      <c r="H585" s="9"/>
      <c r="I585" s="9"/>
      <c r="J585" s="9"/>
      <c r="K585" s="72"/>
      <c r="L585" s="9"/>
      <c r="M585" s="9"/>
      <c r="N585" s="9"/>
      <c r="O585" s="9"/>
      <c r="P585" s="9"/>
      <c r="Q585" s="9"/>
    </row>
    <row r="586" spans="2:17" x14ac:dyDescent="0.2">
      <c r="B586" s="7"/>
      <c r="C586" s="72"/>
      <c r="D586" s="9"/>
      <c r="E586" s="72"/>
      <c r="F586" s="9"/>
      <c r="G586" s="16"/>
      <c r="H586" s="9"/>
      <c r="I586" s="9"/>
      <c r="J586" s="9"/>
      <c r="K586" s="72"/>
      <c r="L586" s="9"/>
      <c r="M586" s="9"/>
      <c r="N586" s="9"/>
      <c r="O586" s="9"/>
      <c r="P586" s="9"/>
      <c r="Q586" s="9"/>
    </row>
    <row r="587" spans="2:17" x14ac:dyDescent="0.2">
      <c r="B587" s="7"/>
      <c r="C587" s="72"/>
      <c r="D587" s="9"/>
      <c r="E587" s="72"/>
      <c r="F587" s="9"/>
      <c r="G587" s="16"/>
      <c r="H587" s="9"/>
      <c r="I587" s="9"/>
      <c r="J587" s="9"/>
      <c r="K587" s="72"/>
      <c r="L587" s="9"/>
      <c r="M587" s="9"/>
      <c r="N587" s="9"/>
      <c r="O587" s="9"/>
      <c r="P587" s="9"/>
      <c r="Q587" s="9"/>
    </row>
    <row r="588" spans="2:17" x14ac:dyDescent="0.2">
      <c r="B588" s="7"/>
      <c r="C588" s="72"/>
      <c r="D588" s="9"/>
      <c r="E588" s="72"/>
      <c r="F588" s="9"/>
      <c r="G588" s="16"/>
      <c r="H588" s="9"/>
      <c r="I588" s="9"/>
      <c r="J588" s="9"/>
      <c r="K588" s="72"/>
      <c r="L588" s="9"/>
      <c r="M588" s="9"/>
      <c r="N588" s="9"/>
      <c r="O588" s="9"/>
      <c r="P588" s="9"/>
      <c r="Q588" s="9"/>
    </row>
    <row r="589" spans="2:17" x14ac:dyDescent="0.2">
      <c r="B589" s="7"/>
      <c r="C589" s="72"/>
      <c r="D589" s="9"/>
      <c r="E589" s="72"/>
      <c r="F589" s="9"/>
      <c r="G589" s="16"/>
      <c r="H589" s="9"/>
      <c r="I589" s="9"/>
      <c r="J589" s="9"/>
      <c r="K589" s="72"/>
      <c r="L589" s="9"/>
      <c r="M589" s="9"/>
      <c r="N589" s="9"/>
      <c r="O589" s="9"/>
      <c r="P589" s="9"/>
      <c r="Q589" s="9"/>
    </row>
    <row r="590" spans="2:17" x14ac:dyDescent="0.2">
      <c r="B590" s="7"/>
      <c r="C590" s="72"/>
      <c r="D590" s="9"/>
      <c r="E590" s="72"/>
      <c r="F590" s="9"/>
      <c r="G590" s="16"/>
      <c r="H590" s="9"/>
      <c r="I590" s="9"/>
      <c r="J590" s="9"/>
      <c r="K590" s="72"/>
      <c r="L590" s="9"/>
      <c r="M590" s="9"/>
      <c r="N590" s="9"/>
      <c r="O590" s="9"/>
      <c r="P590" s="9"/>
      <c r="Q590" s="9"/>
    </row>
    <row r="591" spans="2:17" x14ac:dyDescent="0.2">
      <c r="B591" s="7"/>
      <c r="C591" s="72"/>
      <c r="D591" s="9"/>
      <c r="E591" s="72"/>
      <c r="F591" s="9"/>
      <c r="G591" s="16"/>
      <c r="H591" s="9"/>
      <c r="I591" s="9"/>
      <c r="J591" s="9"/>
      <c r="K591" s="72"/>
      <c r="L591" s="9"/>
      <c r="M591" s="9"/>
      <c r="N591" s="9"/>
      <c r="O591" s="9"/>
      <c r="P591" s="9"/>
      <c r="Q591" s="9"/>
    </row>
    <row r="592" spans="2:17" x14ac:dyDescent="0.2">
      <c r="B592" s="7"/>
      <c r="C592" s="72"/>
      <c r="D592" s="9"/>
      <c r="E592" s="72"/>
      <c r="F592" s="9"/>
      <c r="G592" s="16"/>
      <c r="H592" s="9"/>
      <c r="I592" s="9"/>
      <c r="J592" s="9"/>
      <c r="K592" s="72"/>
      <c r="L592" s="9"/>
      <c r="M592" s="9"/>
      <c r="N592" s="9"/>
      <c r="O592" s="9"/>
      <c r="P592" s="9"/>
      <c r="Q592" s="9"/>
    </row>
    <row r="593" spans="2:17" x14ac:dyDescent="0.2">
      <c r="B593" s="7"/>
      <c r="C593" s="72"/>
      <c r="D593" s="9"/>
      <c r="E593" s="72"/>
      <c r="F593" s="9"/>
      <c r="G593" s="16"/>
      <c r="H593" s="9"/>
      <c r="I593" s="9"/>
      <c r="J593" s="9"/>
      <c r="K593" s="72"/>
      <c r="L593" s="9"/>
      <c r="M593" s="9"/>
      <c r="N593" s="9"/>
      <c r="O593" s="9"/>
      <c r="P593" s="9"/>
      <c r="Q593" s="9"/>
    </row>
    <row r="594" spans="2:17" x14ac:dyDescent="0.2">
      <c r="B594" s="7"/>
      <c r="C594" s="72"/>
      <c r="D594" s="9"/>
      <c r="E594" s="72"/>
      <c r="F594" s="9"/>
      <c r="G594" s="16"/>
      <c r="H594" s="9"/>
      <c r="I594" s="9"/>
      <c r="J594" s="9"/>
      <c r="K594" s="72"/>
      <c r="L594" s="9"/>
      <c r="M594" s="9"/>
      <c r="N594" s="9"/>
      <c r="O594" s="9"/>
      <c r="P594" s="9"/>
      <c r="Q594" s="9"/>
    </row>
    <row r="595" spans="2:17" x14ac:dyDescent="0.2">
      <c r="B595" s="7"/>
      <c r="C595" s="72"/>
      <c r="D595" s="9"/>
      <c r="E595" s="72"/>
      <c r="F595" s="9"/>
      <c r="G595" s="16"/>
      <c r="H595" s="9"/>
      <c r="I595" s="9"/>
      <c r="J595" s="9"/>
      <c r="K595" s="72"/>
      <c r="L595" s="9"/>
      <c r="M595" s="9"/>
      <c r="N595" s="9"/>
      <c r="O595" s="9"/>
      <c r="P595" s="9"/>
      <c r="Q595" s="9"/>
    </row>
    <row r="596" spans="2:17" x14ac:dyDescent="0.2">
      <c r="B596" s="7"/>
      <c r="C596" s="72"/>
      <c r="D596" s="9"/>
      <c r="E596" s="72"/>
      <c r="F596" s="9"/>
      <c r="G596" s="16"/>
      <c r="H596" s="9"/>
      <c r="I596" s="9"/>
      <c r="J596" s="9"/>
      <c r="K596" s="72"/>
      <c r="L596" s="9"/>
      <c r="M596" s="9"/>
      <c r="N596" s="9"/>
      <c r="O596" s="9"/>
      <c r="P596" s="9"/>
      <c r="Q596" s="9"/>
    </row>
    <row r="597" spans="2:17" x14ac:dyDescent="0.2">
      <c r="B597" s="7"/>
      <c r="C597" s="72"/>
      <c r="D597" s="9"/>
      <c r="E597" s="72"/>
      <c r="F597" s="9"/>
      <c r="G597" s="16"/>
      <c r="H597" s="9"/>
      <c r="I597" s="9"/>
      <c r="J597" s="9"/>
      <c r="K597" s="72"/>
      <c r="L597" s="9"/>
      <c r="M597" s="9"/>
      <c r="N597" s="9"/>
      <c r="O597" s="9"/>
      <c r="P597" s="9"/>
      <c r="Q597" s="9"/>
    </row>
    <row r="598" spans="2:17" x14ac:dyDescent="0.2">
      <c r="B598" s="7"/>
      <c r="C598" s="72"/>
      <c r="D598" s="9"/>
      <c r="E598" s="72"/>
      <c r="F598" s="9"/>
      <c r="G598" s="16"/>
      <c r="H598" s="9"/>
      <c r="I598" s="9"/>
      <c r="J598" s="9"/>
      <c r="K598" s="72"/>
      <c r="L598" s="9"/>
      <c r="M598" s="9"/>
      <c r="N598" s="9"/>
      <c r="O598" s="9"/>
      <c r="P598" s="9"/>
      <c r="Q598" s="9"/>
    </row>
    <row r="599" spans="2:17" x14ac:dyDescent="0.2">
      <c r="B599" s="7"/>
      <c r="C599" s="72"/>
      <c r="D599" s="9"/>
      <c r="E599" s="72"/>
      <c r="F599" s="9"/>
      <c r="G599" s="16"/>
      <c r="H599" s="9"/>
      <c r="I599" s="9"/>
      <c r="J599" s="9"/>
      <c r="K599" s="72"/>
      <c r="L599" s="9"/>
      <c r="M599" s="9"/>
      <c r="N599" s="9"/>
      <c r="O599" s="9"/>
      <c r="P599" s="9"/>
      <c r="Q599" s="9"/>
    </row>
    <row r="600" spans="2:17" x14ac:dyDescent="0.2">
      <c r="B600" s="7"/>
      <c r="C600" s="72"/>
      <c r="D600" s="9"/>
      <c r="E600" s="72"/>
      <c r="F600" s="9"/>
      <c r="G600" s="16"/>
      <c r="H600" s="9"/>
      <c r="I600" s="9"/>
      <c r="J600" s="9"/>
      <c r="K600" s="72"/>
      <c r="L600" s="9"/>
      <c r="M600" s="9"/>
      <c r="N600" s="9"/>
      <c r="O600" s="9"/>
      <c r="P600" s="9"/>
      <c r="Q600" s="9"/>
    </row>
    <row r="601" spans="2:17" x14ac:dyDescent="0.2">
      <c r="B601" s="7"/>
      <c r="C601" s="72"/>
      <c r="D601" s="9"/>
      <c r="E601" s="72"/>
      <c r="F601" s="9"/>
      <c r="G601" s="16"/>
      <c r="H601" s="9"/>
      <c r="I601" s="9"/>
      <c r="J601" s="9"/>
      <c r="K601" s="72"/>
      <c r="L601" s="9"/>
      <c r="M601" s="9"/>
      <c r="N601" s="9"/>
      <c r="O601" s="9"/>
      <c r="P601" s="9"/>
      <c r="Q601" s="9"/>
    </row>
    <row r="602" spans="2:17" x14ac:dyDescent="0.2">
      <c r="B602" s="7"/>
      <c r="C602" s="72"/>
      <c r="D602" s="9"/>
      <c r="E602" s="72"/>
      <c r="F602" s="9"/>
      <c r="G602" s="16"/>
      <c r="H602" s="9"/>
      <c r="I602" s="9"/>
      <c r="J602" s="9"/>
      <c r="K602" s="72"/>
      <c r="L602" s="9"/>
      <c r="M602" s="9"/>
      <c r="N602" s="9"/>
      <c r="O602" s="9"/>
      <c r="P602" s="9"/>
      <c r="Q602" s="9"/>
    </row>
    <row r="603" spans="2:17" x14ac:dyDescent="0.2">
      <c r="B603" s="7"/>
      <c r="C603" s="72"/>
      <c r="D603" s="9"/>
      <c r="E603" s="72"/>
      <c r="F603" s="9"/>
      <c r="G603" s="16"/>
      <c r="H603" s="9"/>
      <c r="I603" s="9"/>
      <c r="J603" s="9"/>
      <c r="K603" s="72"/>
      <c r="L603" s="9"/>
      <c r="M603" s="9"/>
      <c r="N603" s="9"/>
      <c r="O603" s="9"/>
      <c r="P603" s="9"/>
      <c r="Q603" s="9"/>
    </row>
    <row r="604" spans="2:17" x14ac:dyDescent="0.2">
      <c r="B604" s="7"/>
      <c r="C604" s="72"/>
      <c r="D604" s="9"/>
      <c r="E604" s="72"/>
      <c r="F604" s="9"/>
      <c r="G604" s="16"/>
      <c r="H604" s="9"/>
      <c r="I604" s="9"/>
      <c r="J604" s="9"/>
      <c r="K604" s="72"/>
      <c r="L604" s="9"/>
      <c r="M604" s="9"/>
      <c r="N604" s="9"/>
      <c r="O604" s="9"/>
      <c r="P604" s="9"/>
      <c r="Q604" s="9"/>
    </row>
    <row r="605" spans="2:17" x14ac:dyDescent="0.2">
      <c r="B605" s="7"/>
      <c r="C605" s="72"/>
      <c r="D605" s="9"/>
      <c r="E605" s="72"/>
      <c r="F605" s="9"/>
      <c r="G605" s="16"/>
      <c r="H605" s="9"/>
      <c r="I605" s="9"/>
      <c r="J605" s="9"/>
      <c r="K605" s="72"/>
      <c r="L605" s="9"/>
      <c r="M605" s="9"/>
      <c r="N605" s="9"/>
      <c r="O605" s="9"/>
      <c r="P605" s="9"/>
      <c r="Q605" s="9"/>
    </row>
    <row r="606" spans="2:17" x14ac:dyDescent="0.2">
      <c r="B606" s="7"/>
      <c r="C606" s="72"/>
      <c r="D606" s="9"/>
      <c r="E606" s="72"/>
      <c r="F606" s="9"/>
      <c r="G606" s="16"/>
      <c r="H606" s="9"/>
      <c r="I606" s="9"/>
      <c r="J606" s="9"/>
      <c r="K606" s="72"/>
      <c r="L606" s="9"/>
      <c r="M606" s="9"/>
      <c r="N606" s="9"/>
      <c r="O606" s="9"/>
      <c r="P606" s="9"/>
      <c r="Q606" s="9"/>
    </row>
    <row r="607" spans="2:17" x14ac:dyDescent="0.2">
      <c r="B607" s="7"/>
      <c r="C607" s="72"/>
      <c r="D607" s="9"/>
      <c r="E607" s="72"/>
      <c r="F607" s="9"/>
      <c r="G607" s="16"/>
      <c r="H607" s="9"/>
      <c r="I607" s="9"/>
      <c r="J607" s="9"/>
      <c r="K607" s="72"/>
      <c r="L607" s="9"/>
      <c r="M607" s="9"/>
      <c r="N607" s="9"/>
      <c r="O607" s="9"/>
      <c r="P607" s="9"/>
      <c r="Q607" s="9"/>
    </row>
    <row r="608" spans="2:17" x14ac:dyDescent="0.2">
      <c r="B608" s="7"/>
      <c r="C608" s="72"/>
      <c r="D608" s="9"/>
      <c r="E608" s="72"/>
      <c r="F608" s="9"/>
      <c r="G608" s="16"/>
      <c r="H608" s="9"/>
      <c r="I608" s="9"/>
      <c r="J608" s="9"/>
      <c r="K608" s="72"/>
      <c r="L608" s="9"/>
      <c r="M608" s="9"/>
      <c r="N608" s="9"/>
      <c r="O608" s="9"/>
      <c r="P608" s="9"/>
      <c r="Q608" s="9"/>
    </row>
    <row r="609" spans="2:17" x14ac:dyDescent="0.2">
      <c r="B609" s="7"/>
      <c r="C609" s="72"/>
      <c r="D609" s="9"/>
      <c r="E609" s="72"/>
      <c r="F609" s="9"/>
      <c r="G609" s="16"/>
      <c r="H609" s="9"/>
      <c r="I609" s="9"/>
      <c r="J609" s="9"/>
      <c r="K609" s="72"/>
      <c r="L609" s="9"/>
      <c r="M609" s="9"/>
      <c r="N609" s="9"/>
      <c r="O609" s="9"/>
      <c r="P609" s="9"/>
      <c r="Q609" s="9"/>
    </row>
    <row r="610" spans="2:17" x14ac:dyDescent="0.2">
      <c r="B610" s="7"/>
      <c r="C610" s="72"/>
      <c r="D610" s="9"/>
      <c r="E610" s="72"/>
      <c r="F610" s="9"/>
      <c r="G610" s="16"/>
      <c r="H610" s="9"/>
      <c r="I610" s="9"/>
      <c r="J610" s="9"/>
      <c r="K610" s="72"/>
      <c r="L610" s="9"/>
      <c r="M610" s="9"/>
      <c r="N610" s="9"/>
      <c r="O610" s="9"/>
      <c r="P610" s="9"/>
      <c r="Q610" s="9"/>
    </row>
    <row r="611" spans="2:17" x14ac:dyDescent="0.2">
      <c r="B611" s="7"/>
      <c r="C611" s="72"/>
      <c r="D611" s="9"/>
      <c r="E611" s="72"/>
      <c r="F611" s="9"/>
      <c r="G611" s="16"/>
      <c r="H611" s="9"/>
      <c r="I611" s="9"/>
      <c r="J611" s="9"/>
      <c r="K611" s="72"/>
      <c r="L611" s="9"/>
      <c r="M611" s="9"/>
      <c r="N611" s="9"/>
      <c r="O611" s="9"/>
      <c r="P611" s="9"/>
      <c r="Q611" s="9"/>
    </row>
    <row r="612" spans="2:17" x14ac:dyDescent="0.2">
      <c r="B612" s="7"/>
      <c r="C612" s="72"/>
      <c r="D612" s="9"/>
      <c r="E612" s="72"/>
      <c r="F612" s="9"/>
      <c r="G612" s="16"/>
      <c r="H612" s="9"/>
      <c r="I612" s="9"/>
      <c r="J612" s="9"/>
      <c r="K612" s="72"/>
      <c r="L612" s="9"/>
      <c r="M612" s="9"/>
      <c r="N612" s="9"/>
      <c r="O612" s="9"/>
      <c r="P612" s="9"/>
      <c r="Q612" s="9"/>
    </row>
    <row r="613" spans="2:17" x14ac:dyDescent="0.2">
      <c r="B613" s="7"/>
      <c r="C613" s="72"/>
      <c r="D613" s="9"/>
      <c r="E613" s="72"/>
      <c r="F613" s="9"/>
      <c r="G613" s="16"/>
      <c r="H613" s="9"/>
      <c r="I613" s="9"/>
      <c r="J613" s="9"/>
      <c r="K613" s="72"/>
      <c r="L613" s="9"/>
      <c r="M613" s="9"/>
      <c r="N613" s="9"/>
      <c r="O613" s="9"/>
      <c r="P613" s="9"/>
      <c r="Q613" s="9"/>
    </row>
    <row r="614" spans="2:17" x14ac:dyDescent="0.2">
      <c r="B614" s="7"/>
      <c r="C614" s="72"/>
      <c r="D614" s="9"/>
      <c r="E614" s="72"/>
      <c r="F614" s="9"/>
      <c r="G614" s="16"/>
      <c r="H614" s="9"/>
      <c r="I614" s="9"/>
      <c r="J614" s="9"/>
      <c r="K614" s="72"/>
      <c r="L614" s="9"/>
      <c r="M614" s="9"/>
      <c r="N614" s="9"/>
      <c r="O614" s="9"/>
      <c r="P614" s="9"/>
      <c r="Q614" s="9"/>
    </row>
    <row r="615" spans="2:17" x14ac:dyDescent="0.2">
      <c r="B615" s="7"/>
      <c r="C615" s="72"/>
      <c r="D615" s="9"/>
      <c r="E615" s="72"/>
      <c r="F615" s="9"/>
      <c r="G615" s="16"/>
      <c r="H615" s="9"/>
      <c r="I615" s="9"/>
      <c r="J615" s="9"/>
      <c r="K615" s="72"/>
      <c r="L615" s="9"/>
      <c r="M615" s="9"/>
      <c r="N615" s="9"/>
      <c r="O615" s="9"/>
      <c r="P615" s="9"/>
      <c r="Q615" s="9"/>
    </row>
    <row r="616" spans="2:17" x14ac:dyDescent="0.2">
      <c r="B616" s="7"/>
      <c r="C616" s="72"/>
      <c r="D616" s="9"/>
      <c r="E616" s="72"/>
      <c r="F616" s="9"/>
      <c r="G616" s="16"/>
      <c r="H616" s="9"/>
      <c r="I616" s="9"/>
      <c r="J616" s="9"/>
      <c r="K616" s="72"/>
      <c r="L616" s="9"/>
      <c r="M616" s="9"/>
      <c r="N616" s="9"/>
      <c r="O616" s="9"/>
      <c r="P616" s="9"/>
      <c r="Q616" s="9"/>
    </row>
    <row r="617" spans="2:17" x14ac:dyDescent="0.2">
      <c r="B617" s="7"/>
      <c r="C617" s="72"/>
      <c r="D617" s="9"/>
      <c r="E617" s="72"/>
      <c r="F617" s="9"/>
      <c r="G617" s="16"/>
      <c r="H617" s="9"/>
      <c r="I617" s="9"/>
      <c r="J617" s="9"/>
      <c r="K617" s="72"/>
      <c r="L617" s="9"/>
      <c r="M617" s="9"/>
      <c r="N617" s="9"/>
      <c r="O617" s="9"/>
      <c r="P617" s="9"/>
      <c r="Q617" s="9"/>
    </row>
    <row r="618" spans="2:17" x14ac:dyDescent="0.2">
      <c r="B618" s="7"/>
      <c r="C618" s="72"/>
      <c r="D618" s="9"/>
      <c r="E618" s="72"/>
      <c r="F618" s="9"/>
      <c r="G618" s="16"/>
      <c r="H618" s="9"/>
      <c r="I618" s="9"/>
      <c r="J618" s="9"/>
      <c r="K618" s="72"/>
      <c r="L618" s="9"/>
      <c r="M618" s="9"/>
      <c r="N618" s="9"/>
      <c r="O618" s="9"/>
      <c r="P618" s="9"/>
      <c r="Q618" s="9"/>
    </row>
    <row r="619" spans="2:17" x14ac:dyDescent="0.2">
      <c r="B619" s="7"/>
      <c r="C619" s="72"/>
      <c r="D619" s="9"/>
      <c r="E619" s="72"/>
      <c r="F619" s="9"/>
      <c r="G619" s="16"/>
      <c r="H619" s="9"/>
      <c r="I619" s="9"/>
      <c r="J619" s="9"/>
      <c r="K619" s="72"/>
      <c r="L619" s="9"/>
      <c r="M619" s="9"/>
      <c r="N619" s="9"/>
      <c r="O619" s="9"/>
      <c r="P619" s="9"/>
      <c r="Q619" s="9"/>
    </row>
    <row r="620" spans="2:17" x14ac:dyDescent="0.2">
      <c r="B620" s="7"/>
      <c r="C620" s="72"/>
      <c r="D620" s="9"/>
      <c r="E620" s="72"/>
      <c r="F620" s="9"/>
      <c r="G620" s="16"/>
      <c r="H620" s="9"/>
      <c r="I620" s="9"/>
      <c r="J620" s="9"/>
      <c r="K620" s="72"/>
      <c r="L620" s="9"/>
      <c r="M620" s="9"/>
      <c r="N620" s="9"/>
      <c r="O620" s="9"/>
      <c r="P620" s="9"/>
      <c r="Q620" s="9"/>
    </row>
    <row r="621" spans="2:17" x14ac:dyDescent="0.2">
      <c r="B621" s="7"/>
      <c r="C621" s="72"/>
      <c r="D621" s="9"/>
      <c r="E621" s="72"/>
      <c r="F621" s="9"/>
      <c r="G621" s="16"/>
      <c r="H621" s="9"/>
      <c r="I621" s="9"/>
      <c r="J621" s="9"/>
      <c r="K621" s="72"/>
      <c r="L621" s="9"/>
      <c r="M621" s="9"/>
      <c r="N621" s="9"/>
      <c r="O621" s="9"/>
      <c r="P621" s="9"/>
      <c r="Q621" s="9"/>
    </row>
    <row r="622" spans="2:17" x14ac:dyDescent="0.2">
      <c r="B622" s="7"/>
      <c r="C622" s="72"/>
      <c r="D622" s="9"/>
      <c r="E622" s="72"/>
      <c r="F622" s="9"/>
      <c r="G622" s="16"/>
      <c r="H622" s="9"/>
      <c r="I622" s="9"/>
      <c r="J622" s="9"/>
      <c r="K622" s="72"/>
      <c r="L622" s="9"/>
      <c r="M622" s="9"/>
      <c r="N622" s="9"/>
      <c r="O622" s="9"/>
      <c r="P622" s="9"/>
      <c r="Q622" s="9"/>
    </row>
    <row r="623" spans="2:17" x14ac:dyDescent="0.2">
      <c r="B623" s="7"/>
      <c r="C623" s="72"/>
      <c r="D623" s="9"/>
      <c r="E623" s="72"/>
      <c r="F623" s="9"/>
      <c r="G623" s="16"/>
      <c r="H623" s="9"/>
      <c r="I623" s="9"/>
      <c r="J623" s="9"/>
      <c r="K623" s="72"/>
      <c r="L623" s="9"/>
      <c r="M623" s="9"/>
      <c r="N623" s="9"/>
      <c r="O623" s="9"/>
      <c r="P623" s="9"/>
      <c r="Q623" s="9"/>
    </row>
    <row r="624" spans="2:17" x14ac:dyDescent="0.2">
      <c r="B624" s="7"/>
      <c r="C624" s="72"/>
      <c r="D624" s="9"/>
      <c r="E624" s="72"/>
      <c r="F624" s="9"/>
      <c r="G624" s="16"/>
      <c r="H624" s="9"/>
      <c r="I624" s="9"/>
      <c r="J624" s="9"/>
      <c r="K624" s="72"/>
      <c r="L624" s="9"/>
      <c r="M624" s="9"/>
      <c r="N624" s="9"/>
      <c r="O624" s="9"/>
      <c r="P624" s="9"/>
      <c r="Q624" s="9"/>
    </row>
    <row r="625" spans="2:17" x14ac:dyDescent="0.2">
      <c r="B625" s="7"/>
      <c r="C625" s="72"/>
      <c r="D625" s="9"/>
      <c r="E625" s="72"/>
      <c r="F625" s="9"/>
      <c r="G625" s="16"/>
      <c r="H625" s="9"/>
      <c r="I625" s="9"/>
      <c r="J625" s="9"/>
      <c r="K625" s="72"/>
      <c r="L625" s="9"/>
      <c r="M625" s="9"/>
      <c r="N625" s="9"/>
      <c r="O625" s="9"/>
      <c r="P625" s="9"/>
      <c r="Q625" s="9"/>
    </row>
    <row r="626" spans="2:17" x14ac:dyDescent="0.2">
      <c r="B626" s="7"/>
      <c r="C626" s="72"/>
      <c r="D626" s="9"/>
      <c r="E626" s="72"/>
      <c r="F626" s="9"/>
      <c r="G626" s="16"/>
      <c r="H626" s="9"/>
      <c r="I626" s="9"/>
      <c r="J626" s="9"/>
      <c r="K626" s="72"/>
      <c r="L626" s="9"/>
      <c r="M626" s="9"/>
      <c r="N626" s="9"/>
      <c r="O626" s="9"/>
      <c r="P626" s="9"/>
      <c r="Q626" s="9"/>
    </row>
    <row r="627" spans="2:17" x14ac:dyDescent="0.2">
      <c r="B627" s="7"/>
      <c r="C627" s="72"/>
      <c r="D627" s="9"/>
      <c r="E627" s="72"/>
      <c r="F627" s="9"/>
      <c r="G627" s="16"/>
      <c r="H627" s="9"/>
      <c r="I627" s="9"/>
      <c r="J627" s="9"/>
      <c r="K627" s="72"/>
      <c r="L627" s="9"/>
      <c r="M627" s="9"/>
      <c r="N627" s="9"/>
      <c r="O627" s="9"/>
      <c r="P627" s="9"/>
      <c r="Q627" s="9"/>
    </row>
    <row r="628" spans="2:17" x14ac:dyDescent="0.2">
      <c r="B628" s="7"/>
      <c r="C628" s="72"/>
      <c r="D628" s="9"/>
      <c r="E628" s="72"/>
      <c r="F628" s="9"/>
      <c r="G628" s="16"/>
      <c r="H628" s="9"/>
      <c r="I628" s="9"/>
      <c r="J628" s="9"/>
      <c r="K628" s="72"/>
      <c r="L628" s="9"/>
      <c r="M628" s="9"/>
      <c r="N628" s="9"/>
      <c r="O628" s="9"/>
      <c r="P628" s="9"/>
      <c r="Q628" s="9"/>
    </row>
    <row r="629" spans="2:17" x14ac:dyDescent="0.2">
      <c r="B629" s="7"/>
      <c r="C629" s="72"/>
      <c r="D629" s="9"/>
      <c r="E629" s="72"/>
      <c r="F629" s="9"/>
      <c r="G629" s="16"/>
      <c r="H629" s="9"/>
      <c r="I629" s="9"/>
      <c r="J629" s="9"/>
      <c r="K629" s="72"/>
      <c r="L629" s="9"/>
      <c r="M629" s="9"/>
      <c r="N629" s="9"/>
      <c r="O629" s="9"/>
      <c r="P629" s="9"/>
      <c r="Q629" s="9"/>
    </row>
    <row r="630" spans="2:17" x14ac:dyDescent="0.2">
      <c r="B630" s="7"/>
      <c r="C630" s="72"/>
      <c r="D630" s="9"/>
      <c r="E630" s="72"/>
      <c r="F630" s="9"/>
      <c r="G630" s="16"/>
      <c r="H630" s="9"/>
      <c r="I630" s="9"/>
      <c r="J630" s="9"/>
      <c r="K630" s="72"/>
      <c r="L630" s="9"/>
      <c r="M630" s="9"/>
      <c r="N630" s="9"/>
      <c r="O630" s="9"/>
      <c r="P630" s="9"/>
      <c r="Q630" s="9"/>
    </row>
    <row r="631" spans="2:17" x14ac:dyDescent="0.2">
      <c r="B631" s="7"/>
      <c r="C631" s="72"/>
      <c r="D631" s="9"/>
      <c r="E631" s="72"/>
      <c r="F631" s="9"/>
      <c r="G631" s="16"/>
      <c r="H631" s="9"/>
      <c r="I631" s="9"/>
      <c r="J631" s="9"/>
      <c r="K631" s="72"/>
      <c r="L631" s="9"/>
      <c r="M631" s="9"/>
      <c r="N631" s="9"/>
      <c r="O631" s="9"/>
      <c r="P631" s="9"/>
      <c r="Q631" s="9"/>
    </row>
    <row r="632" spans="2:17" x14ac:dyDescent="0.2">
      <c r="B632" s="7"/>
      <c r="C632" s="72"/>
      <c r="D632" s="9"/>
      <c r="E632" s="72"/>
      <c r="F632" s="9"/>
      <c r="G632" s="16"/>
      <c r="H632" s="9"/>
      <c r="I632" s="9"/>
      <c r="J632" s="9"/>
      <c r="K632" s="72"/>
      <c r="L632" s="9"/>
      <c r="M632" s="9"/>
      <c r="N632" s="9"/>
      <c r="O632" s="9"/>
      <c r="P632" s="9"/>
      <c r="Q632" s="9"/>
    </row>
    <row r="633" spans="2:17" x14ac:dyDescent="0.2">
      <c r="B633" s="7"/>
      <c r="C633" s="72"/>
      <c r="D633" s="9"/>
      <c r="E633" s="72"/>
      <c r="F633" s="9"/>
      <c r="G633" s="16"/>
      <c r="H633" s="9"/>
      <c r="I633" s="9"/>
      <c r="J633" s="9"/>
      <c r="K633" s="72"/>
      <c r="L633" s="9"/>
      <c r="M633" s="9"/>
      <c r="N633" s="9"/>
      <c r="O633" s="9"/>
      <c r="P633" s="9"/>
      <c r="Q633" s="9"/>
    </row>
    <row r="634" spans="2:17" x14ac:dyDescent="0.2">
      <c r="B634" s="7"/>
      <c r="C634" s="72"/>
      <c r="D634" s="9"/>
      <c r="E634" s="72"/>
      <c r="F634" s="9"/>
      <c r="G634" s="16"/>
      <c r="H634" s="9"/>
      <c r="I634" s="9"/>
      <c r="J634" s="9"/>
      <c r="K634" s="72"/>
      <c r="L634" s="9"/>
      <c r="M634" s="9"/>
      <c r="N634" s="9"/>
      <c r="O634" s="9"/>
      <c r="P634" s="9"/>
      <c r="Q634" s="9"/>
    </row>
    <row r="635" spans="2:17" x14ac:dyDescent="0.2">
      <c r="B635" s="7"/>
      <c r="C635" s="72"/>
      <c r="D635" s="9"/>
      <c r="E635" s="72"/>
      <c r="F635" s="9"/>
      <c r="G635" s="16"/>
      <c r="H635" s="9"/>
      <c r="I635" s="9"/>
      <c r="J635" s="9"/>
      <c r="K635" s="72"/>
      <c r="L635" s="9"/>
      <c r="M635" s="9"/>
      <c r="N635" s="9"/>
      <c r="O635" s="9"/>
      <c r="P635" s="9"/>
      <c r="Q635" s="9"/>
    </row>
    <row r="636" spans="2:17" x14ac:dyDescent="0.2">
      <c r="B636" s="7"/>
      <c r="C636" s="72"/>
      <c r="D636" s="9"/>
      <c r="E636" s="72"/>
      <c r="F636" s="9"/>
      <c r="G636" s="16"/>
      <c r="H636" s="9"/>
      <c r="I636" s="9"/>
      <c r="J636" s="9"/>
      <c r="K636" s="72"/>
      <c r="L636" s="9"/>
      <c r="M636" s="9"/>
      <c r="N636" s="9"/>
      <c r="O636" s="9"/>
      <c r="P636" s="9"/>
      <c r="Q636" s="9"/>
    </row>
    <row r="637" spans="2:17" x14ac:dyDescent="0.2">
      <c r="B637" s="7"/>
      <c r="C637" s="72"/>
      <c r="D637" s="9"/>
      <c r="E637" s="72"/>
      <c r="F637" s="9"/>
      <c r="G637" s="16"/>
      <c r="H637" s="9"/>
      <c r="I637" s="9"/>
      <c r="J637" s="9"/>
      <c r="K637" s="72"/>
      <c r="L637" s="9"/>
      <c r="M637" s="9"/>
      <c r="N637" s="9"/>
      <c r="O637" s="9"/>
      <c r="P637" s="9"/>
      <c r="Q637" s="9"/>
    </row>
    <row r="638" spans="2:17" x14ac:dyDescent="0.2">
      <c r="B638" s="7"/>
      <c r="C638" s="72"/>
      <c r="D638" s="9"/>
      <c r="E638" s="72"/>
      <c r="F638" s="9"/>
      <c r="G638" s="16"/>
      <c r="H638" s="9"/>
      <c r="I638" s="9"/>
      <c r="J638" s="9"/>
      <c r="K638" s="72"/>
      <c r="L638" s="9"/>
      <c r="M638" s="9"/>
      <c r="N638" s="9"/>
      <c r="O638" s="9"/>
      <c r="P638" s="9"/>
      <c r="Q638" s="9"/>
    </row>
    <row r="639" spans="2:17" x14ac:dyDescent="0.2">
      <c r="B639" s="7"/>
      <c r="C639" s="72"/>
      <c r="D639" s="9"/>
      <c r="E639" s="72"/>
      <c r="F639" s="9"/>
      <c r="G639" s="16"/>
      <c r="H639" s="9"/>
      <c r="I639" s="9"/>
      <c r="J639" s="9"/>
      <c r="K639" s="72"/>
      <c r="L639" s="9"/>
      <c r="M639" s="9"/>
      <c r="N639" s="9"/>
      <c r="O639" s="9"/>
      <c r="P639" s="9"/>
      <c r="Q639" s="9"/>
    </row>
    <row r="640" spans="2:17" x14ac:dyDescent="0.2">
      <c r="B640" s="7"/>
      <c r="C640" s="72"/>
      <c r="D640" s="9"/>
      <c r="E640" s="72"/>
      <c r="F640" s="9"/>
      <c r="G640" s="16"/>
      <c r="H640" s="9"/>
      <c r="I640" s="9"/>
      <c r="J640" s="9"/>
      <c r="K640" s="72"/>
      <c r="L640" s="9"/>
      <c r="M640" s="9"/>
      <c r="N640" s="9"/>
      <c r="O640" s="9"/>
      <c r="P640" s="9"/>
      <c r="Q640" s="9"/>
    </row>
    <row r="641" spans="2:17" x14ac:dyDescent="0.2">
      <c r="B641" s="7"/>
      <c r="C641" s="72"/>
      <c r="D641" s="9"/>
      <c r="E641" s="72"/>
      <c r="F641" s="9"/>
      <c r="G641" s="16"/>
      <c r="H641" s="9"/>
      <c r="I641" s="9"/>
      <c r="J641" s="9"/>
      <c r="K641" s="72"/>
      <c r="L641" s="9"/>
      <c r="M641" s="9"/>
      <c r="N641" s="9"/>
      <c r="O641" s="9"/>
      <c r="P641" s="9"/>
      <c r="Q641" s="9"/>
    </row>
    <row r="642" spans="2:17" x14ac:dyDescent="0.2">
      <c r="B642" s="7"/>
      <c r="C642" s="72"/>
      <c r="D642" s="9"/>
      <c r="E642" s="72"/>
      <c r="F642" s="9"/>
      <c r="G642" s="16"/>
      <c r="H642" s="9"/>
      <c r="I642" s="9"/>
      <c r="J642" s="9"/>
      <c r="K642" s="72"/>
      <c r="L642" s="9"/>
      <c r="M642" s="9"/>
      <c r="N642" s="9"/>
      <c r="O642" s="9"/>
      <c r="P642" s="9"/>
      <c r="Q642" s="9"/>
    </row>
    <row r="643" spans="2:17" x14ac:dyDescent="0.2">
      <c r="B643" s="7"/>
      <c r="C643" s="72"/>
      <c r="D643" s="9"/>
      <c r="E643" s="72"/>
      <c r="F643" s="9"/>
      <c r="G643" s="16"/>
      <c r="H643" s="9"/>
      <c r="I643" s="9"/>
      <c r="J643" s="9"/>
      <c r="K643" s="72"/>
      <c r="L643" s="9"/>
      <c r="M643" s="9"/>
      <c r="N643" s="9"/>
      <c r="O643" s="9"/>
      <c r="P643" s="9"/>
      <c r="Q643" s="9"/>
    </row>
    <row r="644" spans="2:17" x14ac:dyDescent="0.2">
      <c r="B644" s="7"/>
      <c r="C644" s="72"/>
      <c r="D644" s="9"/>
      <c r="E644" s="72"/>
      <c r="F644" s="9"/>
      <c r="G644" s="16"/>
      <c r="H644" s="9"/>
      <c r="I644" s="9"/>
      <c r="J644" s="9"/>
      <c r="K644" s="72"/>
      <c r="L644" s="9"/>
      <c r="M644" s="9"/>
      <c r="N644" s="9"/>
      <c r="O644" s="9"/>
      <c r="P644" s="9"/>
      <c r="Q644" s="9"/>
    </row>
    <row r="645" spans="2:17" x14ac:dyDescent="0.2">
      <c r="B645" s="7"/>
      <c r="C645" s="72"/>
      <c r="D645" s="9"/>
      <c r="E645" s="72"/>
      <c r="F645" s="9"/>
      <c r="G645" s="16"/>
      <c r="H645" s="9"/>
      <c r="I645" s="9"/>
      <c r="J645" s="9"/>
      <c r="K645" s="72"/>
      <c r="L645" s="9"/>
      <c r="M645" s="9"/>
      <c r="N645" s="9"/>
      <c r="O645" s="9"/>
      <c r="P645" s="9"/>
      <c r="Q645" s="9"/>
    </row>
    <row r="646" spans="2:17" x14ac:dyDescent="0.2">
      <c r="B646" s="7"/>
      <c r="C646" s="72"/>
      <c r="D646" s="9"/>
      <c r="E646" s="72"/>
      <c r="F646" s="9"/>
      <c r="G646" s="16"/>
      <c r="H646" s="9"/>
      <c r="I646" s="9"/>
      <c r="J646" s="9"/>
      <c r="K646" s="72"/>
      <c r="L646" s="9"/>
      <c r="M646" s="9"/>
      <c r="N646" s="9"/>
      <c r="O646" s="9"/>
      <c r="P646" s="9"/>
      <c r="Q646" s="9"/>
    </row>
    <row r="647" spans="2:17" x14ac:dyDescent="0.2">
      <c r="B647" s="7"/>
      <c r="C647" s="72"/>
      <c r="D647" s="9"/>
      <c r="E647" s="72"/>
      <c r="F647" s="9"/>
      <c r="G647" s="16"/>
      <c r="H647" s="9"/>
      <c r="I647" s="9"/>
      <c r="J647" s="9"/>
      <c r="K647" s="72"/>
      <c r="L647" s="9"/>
      <c r="M647" s="9"/>
      <c r="N647" s="9"/>
      <c r="O647" s="9"/>
      <c r="P647" s="9"/>
      <c r="Q647" s="9"/>
    </row>
    <row r="648" spans="2:17" x14ac:dyDescent="0.2">
      <c r="B648" s="7"/>
      <c r="C648" s="72"/>
      <c r="D648" s="9"/>
      <c r="E648" s="72"/>
      <c r="F648" s="9"/>
      <c r="G648" s="16"/>
      <c r="H648" s="9"/>
      <c r="I648" s="9"/>
      <c r="J648" s="9"/>
      <c r="K648" s="72"/>
      <c r="L648" s="9"/>
      <c r="M648" s="9"/>
      <c r="N648" s="9"/>
      <c r="O648" s="9"/>
      <c r="P648" s="9"/>
      <c r="Q648" s="9"/>
    </row>
    <row r="649" spans="2:17" x14ac:dyDescent="0.2">
      <c r="B649" s="7"/>
      <c r="C649" s="72"/>
      <c r="D649" s="9"/>
      <c r="E649" s="72"/>
      <c r="F649" s="9"/>
      <c r="G649" s="16"/>
      <c r="H649" s="9"/>
      <c r="I649" s="9"/>
      <c r="J649" s="9"/>
      <c r="K649" s="72"/>
      <c r="L649" s="9"/>
      <c r="M649" s="9"/>
      <c r="N649" s="9"/>
      <c r="O649" s="9"/>
      <c r="P649" s="9"/>
      <c r="Q649" s="9"/>
    </row>
    <row r="650" spans="2:17" x14ac:dyDescent="0.2">
      <c r="B650" s="7"/>
      <c r="C650" s="72"/>
      <c r="D650" s="9"/>
      <c r="E650" s="72"/>
      <c r="F650" s="9"/>
      <c r="G650" s="16"/>
      <c r="H650" s="9"/>
      <c r="I650" s="9"/>
      <c r="J650" s="9"/>
      <c r="K650" s="72"/>
      <c r="L650" s="9"/>
      <c r="M650" s="9"/>
      <c r="N650" s="9"/>
      <c r="O650" s="9"/>
      <c r="P650" s="9"/>
      <c r="Q650" s="9"/>
    </row>
    <row r="651" spans="2:17" x14ac:dyDescent="0.2">
      <c r="B651" s="7"/>
      <c r="C651" s="72"/>
      <c r="D651" s="9"/>
      <c r="E651" s="72"/>
      <c r="F651" s="9"/>
      <c r="G651" s="16"/>
      <c r="H651" s="9"/>
      <c r="I651" s="9"/>
      <c r="J651" s="9"/>
      <c r="K651" s="72"/>
      <c r="L651" s="9"/>
      <c r="M651" s="9"/>
      <c r="N651" s="9"/>
      <c r="O651" s="9"/>
      <c r="P651" s="9"/>
      <c r="Q651" s="9"/>
    </row>
    <row r="652" spans="2:17" x14ac:dyDescent="0.2">
      <c r="B652" s="7"/>
      <c r="C652" s="72"/>
      <c r="D652" s="9"/>
      <c r="E652" s="72"/>
      <c r="F652" s="9"/>
      <c r="G652" s="16"/>
      <c r="H652" s="9"/>
      <c r="I652" s="9"/>
      <c r="J652" s="9"/>
      <c r="K652" s="72"/>
      <c r="L652" s="9"/>
      <c r="M652" s="9"/>
      <c r="N652" s="9"/>
      <c r="O652" s="9"/>
      <c r="P652" s="9"/>
      <c r="Q652" s="9"/>
    </row>
    <row r="653" spans="2:17" x14ac:dyDescent="0.2">
      <c r="B653" s="7"/>
      <c r="C653" s="72"/>
      <c r="D653" s="9"/>
      <c r="E653" s="72"/>
      <c r="F653" s="9"/>
      <c r="G653" s="16"/>
      <c r="H653" s="9"/>
      <c r="I653" s="9"/>
      <c r="J653" s="9"/>
      <c r="K653" s="72"/>
      <c r="L653" s="9"/>
      <c r="M653" s="9"/>
      <c r="N653" s="9"/>
      <c r="O653" s="9"/>
      <c r="P653" s="9"/>
      <c r="Q653" s="9"/>
    </row>
    <row r="654" spans="2:17" x14ac:dyDescent="0.2">
      <c r="B654" s="7"/>
      <c r="C654" s="72"/>
      <c r="D654" s="9"/>
      <c r="E654" s="72"/>
      <c r="F654" s="9"/>
      <c r="G654" s="16"/>
      <c r="H654" s="9"/>
      <c r="I654" s="9"/>
      <c r="J654" s="9"/>
      <c r="K654" s="72"/>
      <c r="L654" s="9"/>
      <c r="M654" s="9"/>
      <c r="N654" s="9"/>
      <c r="O654" s="9"/>
      <c r="P654" s="9"/>
      <c r="Q654" s="9"/>
    </row>
    <row r="655" spans="2:17" x14ac:dyDescent="0.2">
      <c r="B655" s="7"/>
      <c r="C655" s="72"/>
      <c r="D655" s="9"/>
      <c r="E655" s="72"/>
      <c r="F655" s="9"/>
      <c r="G655" s="16"/>
      <c r="H655" s="9"/>
      <c r="I655" s="9"/>
      <c r="J655" s="9"/>
      <c r="K655" s="72"/>
      <c r="L655" s="9"/>
      <c r="M655" s="9"/>
      <c r="N655" s="9"/>
      <c r="O655" s="9"/>
      <c r="P655" s="9"/>
      <c r="Q655" s="9"/>
    </row>
    <row r="656" spans="2:17" x14ac:dyDescent="0.2">
      <c r="B656" s="7"/>
      <c r="C656" s="72"/>
      <c r="D656" s="9"/>
      <c r="E656" s="72"/>
      <c r="F656" s="9"/>
      <c r="G656" s="16"/>
      <c r="H656" s="9"/>
      <c r="I656" s="9"/>
      <c r="J656" s="9"/>
      <c r="K656" s="72"/>
      <c r="L656" s="9"/>
      <c r="M656" s="9"/>
      <c r="N656" s="9"/>
      <c r="O656" s="9"/>
      <c r="P656" s="9"/>
      <c r="Q656" s="9"/>
    </row>
    <row r="657" spans="2:17" x14ac:dyDescent="0.2">
      <c r="B657" s="7"/>
      <c r="C657" s="72"/>
      <c r="D657" s="9"/>
      <c r="E657" s="72"/>
      <c r="F657" s="9"/>
      <c r="G657" s="16"/>
      <c r="H657" s="9"/>
      <c r="I657" s="9"/>
      <c r="J657" s="9"/>
      <c r="K657" s="72"/>
      <c r="L657" s="9"/>
      <c r="M657" s="9"/>
      <c r="N657" s="9"/>
      <c r="O657" s="9"/>
      <c r="P657" s="9"/>
      <c r="Q657" s="9"/>
    </row>
    <row r="658" spans="2:17" x14ac:dyDescent="0.2">
      <c r="B658" s="7"/>
      <c r="C658" s="72"/>
      <c r="D658" s="9"/>
      <c r="E658" s="72"/>
      <c r="F658" s="9"/>
      <c r="G658" s="16"/>
      <c r="H658" s="9"/>
      <c r="I658" s="9"/>
      <c r="J658" s="9"/>
      <c r="K658" s="72"/>
      <c r="L658" s="9"/>
      <c r="M658" s="9"/>
      <c r="N658" s="9"/>
      <c r="O658" s="9"/>
      <c r="P658" s="9"/>
      <c r="Q658" s="9"/>
    </row>
    <row r="659" spans="2:17" x14ac:dyDescent="0.2">
      <c r="B659" s="7"/>
      <c r="C659" s="72"/>
      <c r="D659" s="9"/>
      <c r="E659" s="72"/>
      <c r="F659" s="9"/>
      <c r="G659" s="16"/>
      <c r="H659" s="9"/>
      <c r="I659" s="9"/>
      <c r="J659" s="9"/>
      <c r="K659" s="72"/>
      <c r="L659" s="9"/>
      <c r="M659" s="9"/>
      <c r="N659" s="9"/>
      <c r="O659" s="9"/>
      <c r="P659" s="9"/>
      <c r="Q659" s="9"/>
    </row>
    <row r="660" spans="2:17" x14ac:dyDescent="0.2">
      <c r="B660" s="7"/>
      <c r="C660" s="72"/>
      <c r="D660" s="9"/>
      <c r="E660" s="72"/>
      <c r="F660" s="9"/>
      <c r="G660" s="16"/>
      <c r="H660" s="9"/>
      <c r="I660" s="9"/>
      <c r="J660" s="9"/>
      <c r="K660" s="72"/>
      <c r="L660" s="9"/>
      <c r="M660" s="9"/>
      <c r="N660" s="9"/>
      <c r="O660" s="9"/>
      <c r="P660" s="9"/>
      <c r="Q660" s="9"/>
    </row>
    <row r="661" spans="2:17" x14ac:dyDescent="0.2">
      <c r="B661" s="7"/>
      <c r="C661" s="72"/>
      <c r="D661" s="9"/>
      <c r="E661" s="72"/>
      <c r="F661" s="9"/>
      <c r="G661" s="16"/>
      <c r="H661" s="9"/>
      <c r="I661" s="9"/>
      <c r="J661" s="9"/>
      <c r="K661" s="72"/>
      <c r="L661" s="9"/>
      <c r="M661" s="9"/>
      <c r="N661" s="9"/>
      <c r="O661" s="9"/>
      <c r="P661" s="9"/>
      <c r="Q661" s="9"/>
    </row>
    <row r="662" spans="2:17" x14ac:dyDescent="0.2">
      <c r="B662" s="7"/>
      <c r="C662" s="72"/>
      <c r="D662" s="9"/>
      <c r="E662" s="72"/>
      <c r="F662" s="9"/>
      <c r="G662" s="16"/>
      <c r="H662" s="9"/>
      <c r="I662" s="9"/>
      <c r="J662" s="9"/>
      <c r="K662" s="72"/>
      <c r="L662" s="9"/>
      <c r="M662" s="9"/>
      <c r="N662" s="9"/>
      <c r="O662" s="9"/>
      <c r="P662" s="9"/>
      <c r="Q662" s="9"/>
    </row>
    <row r="663" spans="2:17" x14ac:dyDescent="0.2">
      <c r="B663" s="7"/>
      <c r="C663" s="72"/>
      <c r="D663" s="9"/>
      <c r="E663" s="72"/>
      <c r="F663" s="9"/>
      <c r="G663" s="16"/>
      <c r="H663" s="9"/>
      <c r="I663" s="9"/>
      <c r="J663" s="9"/>
      <c r="K663" s="72"/>
      <c r="L663" s="9"/>
      <c r="M663" s="9"/>
      <c r="N663" s="9"/>
      <c r="O663" s="9"/>
      <c r="P663" s="9"/>
      <c r="Q663" s="9"/>
    </row>
    <row r="664" spans="2:17" x14ac:dyDescent="0.2">
      <c r="B664" s="7"/>
      <c r="C664" s="72"/>
      <c r="D664" s="9"/>
      <c r="E664" s="72"/>
      <c r="F664" s="9"/>
      <c r="G664" s="16"/>
      <c r="H664" s="9"/>
      <c r="I664" s="9"/>
      <c r="J664" s="9"/>
      <c r="K664" s="72"/>
      <c r="L664" s="9"/>
      <c r="M664" s="9"/>
      <c r="N664" s="9"/>
      <c r="O664" s="9"/>
      <c r="P664" s="9"/>
      <c r="Q664" s="9"/>
    </row>
    <row r="665" spans="2:17" x14ac:dyDescent="0.2">
      <c r="B665" s="7"/>
      <c r="C665" s="72"/>
      <c r="D665" s="9"/>
      <c r="E665" s="72"/>
      <c r="F665" s="9"/>
      <c r="G665" s="16"/>
      <c r="H665" s="9"/>
      <c r="I665" s="9"/>
      <c r="J665" s="9"/>
      <c r="K665" s="72"/>
      <c r="L665" s="9"/>
      <c r="M665" s="9"/>
      <c r="N665" s="9"/>
      <c r="O665" s="9"/>
      <c r="P665" s="9"/>
      <c r="Q665" s="9"/>
    </row>
    <row r="666" spans="2:17" x14ac:dyDescent="0.2">
      <c r="B666" s="7"/>
      <c r="C666" s="72"/>
      <c r="D666" s="9"/>
      <c r="E666" s="72"/>
      <c r="F666" s="9"/>
      <c r="G666" s="16"/>
      <c r="H666" s="9"/>
      <c r="I666" s="9"/>
      <c r="J666" s="9"/>
      <c r="K666" s="72"/>
      <c r="L666" s="9"/>
      <c r="M666" s="9"/>
      <c r="N666" s="9"/>
      <c r="O666" s="9"/>
      <c r="P666" s="9"/>
      <c r="Q666" s="9"/>
    </row>
    <row r="667" spans="2:17" x14ac:dyDescent="0.2">
      <c r="B667" s="7"/>
      <c r="C667" s="72"/>
      <c r="D667" s="9"/>
      <c r="E667" s="72"/>
      <c r="F667" s="9"/>
      <c r="G667" s="16"/>
      <c r="H667" s="9"/>
      <c r="I667" s="9"/>
      <c r="J667" s="9"/>
      <c r="K667" s="72"/>
      <c r="L667" s="9"/>
      <c r="M667" s="9"/>
      <c r="N667" s="9"/>
      <c r="O667" s="9"/>
      <c r="P667" s="9"/>
      <c r="Q667" s="9"/>
    </row>
    <row r="668" spans="2:17" x14ac:dyDescent="0.2">
      <c r="B668" s="7"/>
      <c r="C668" s="72"/>
      <c r="D668" s="9"/>
      <c r="E668" s="72"/>
      <c r="F668" s="9"/>
      <c r="G668" s="16"/>
      <c r="H668" s="9"/>
      <c r="I668" s="9"/>
      <c r="J668" s="9"/>
      <c r="K668" s="72"/>
      <c r="L668" s="9"/>
      <c r="M668" s="9"/>
      <c r="N668" s="9"/>
      <c r="O668" s="9"/>
      <c r="P668" s="9"/>
      <c r="Q668" s="9"/>
    </row>
    <row r="669" spans="2:17" x14ac:dyDescent="0.2">
      <c r="B669" s="7"/>
      <c r="C669" s="72"/>
      <c r="D669" s="9"/>
      <c r="E669" s="72"/>
      <c r="F669" s="9"/>
      <c r="G669" s="16"/>
      <c r="H669" s="9"/>
      <c r="I669" s="9"/>
      <c r="J669" s="9"/>
      <c r="K669" s="72"/>
      <c r="L669" s="9"/>
      <c r="M669" s="9"/>
      <c r="N669" s="9"/>
      <c r="O669" s="9"/>
      <c r="P669" s="9"/>
      <c r="Q669" s="9"/>
    </row>
    <row r="670" spans="2:17" x14ac:dyDescent="0.2">
      <c r="B670" s="7"/>
      <c r="C670" s="72"/>
      <c r="D670" s="9"/>
      <c r="E670" s="72"/>
      <c r="F670" s="9"/>
      <c r="G670" s="16"/>
      <c r="H670" s="9"/>
      <c r="I670" s="9"/>
      <c r="J670" s="9"/>
      <c r="K670" s="72"/>
      <c r="L670" s="9"/>
      <c r="M670" s="9"/>
      <c r="N670" s="9"/>
      <c r="O670" s="9"/>
      <c r="P670" s="9"/>
      <c r="Q670" s="9"/>
    </row>
    <row r="671" spans="2:17" x14ac:dyDescent="0.2">
      <c r="B671" s="7"/>
      <c r="C671" s="72"/>
      <c r="D671" s="9"/>
      <c r="E671" s="72"/>
      <c r="F671" s="9"/>
      <c r="G671" s="16"/>
      <c r="H671" s="9"/>
      <c r="I671" s="9"/>
      <c r="J671" s="9"/>
      <c r="K671" s="72"/>
      <c r="L671" s="9"/>
      <c r="M671" s="9"/>
      <c r="N671" s="9"/>
      <c r="O671" s="9"/>
      <c r="P671" s="9"/>
      <c r="Q671" s="9"/>
    </row>
    <row r="672" spans="2:17" x14ac:dyDescent="0.2">
      <c r="B672" s="7"/>
      <c r="C672" s="72"/>
      <c r="D672" s="9"/>
      <c r="E672" s="72"/>
      <c r="F672" s="9"/>
      <c r="G672" s="16"/>
      <c r="H672" s="9"/>
      <c r="I672" s="9"/>
      <c r="J672" s="9"/>
      <c r="K672" s="72"/>
      <c r="L672" s="9"/>
      <c r="M672" s="9"/>
      <c r="N672" s="9"/>
      <c r="O672" s="9"/>
      <c r="P672" s="9"/>
      <c r="Q672" s="9"/>
    </row>
    <row r="673" spans="2:17" x14ac:dyDescent="0.2">
      <c r="B673" s="7"/>
      <c r="C673" s="72"/>
      <c r="D673" s="9"/>
      <c r="E673" s="72"/>
      <c r="F673" s="9"/>
      <c r="G673" s="16"/>
      <c r="H673" s="9"/>
      <c r="I673" s="9"/>
      <c r="J673" s="9"/>
      <c r="K673" s="72"/>
      <c r="L673" s="9"/>
      <c r="M673" s="9"/>
      <c r="N673" s="9"/>
      <c r="O673" s="9"/>
      <c r="P673" s="9"/>
      <c r="Q673" s="9"/>
    </row>
    <row r="674" spans="2:17" x14ac:dyDescent="0.2">
      <c r="B674" s="7"/>
      <c r="C674" s="72"/>
      <c r="D674" s="9"/>
      <c r="E674" s="72"/>
      <c r="F674" s="9"/>
      <c r="G674" s="16"/>
      <c r="H674" s="9"/>
      <c r="I674" s="9"/>
      <c r="J674" s="9"/>
      <c r="K674" s="72"/>
      <c r="L674" s="9"/>
      <c r="M674" s="9"/>
      <c r="N674" s="9"/>
      <c r="O674" s="9"/>
      <c r="P674" s="9"/>
      <c r="Q674" s="9"/>
    </row>
    <row r="675" spans="2:17" x14ac:dyDescent="0.2">
      <c r="B675" s="7"/>
      <c r="C675" s="72"/>
      <c r="D675" s="9"/>
      <c r="E675" s="72"/>
      <c r="F675" s="9"/>
      <c r="G675" s="16"/>
      <c r="H675" s="9"/>
      <c r="I675" s="9"/>
      <c r="J675" s="9"/>
      <c r="K675" s="72"/>
      <c r="L675" s="9"/>
      <c r="M675" s="9"/>
      <c r="N675" s="9"/>
      <c r="O675" s="9"/>
      <c r="P675" s="9"/>
      <c r="Q675" s="9"/>
    </row>
    <row r="676" spans="2:17" x14ac:dyDescent="0.2">
      <c r="B676" s="7"/>
      <c r="C676" s="72"/>
      <c r="D676" s="9"/>
      <c r="E676" s="72"/>
      <c r="F676" s="9"/>
      <c r="G676" s="16"/>
      <c r="H676" s="9"/>
      <c r="I676" s="9"/>
      <c r="J676" s="9"/>
      <c r="K676" s="72"/>
      <c r="L676" s="9"/>
      <c r="M676" s="9"/>
      <c r="N676" s="9"/>
      <c r="O676" s="9"/>
      <c r="P676" s="9"/>
      <c r="Q676" s="9"/>
    </row>
    <row r="677" spans="2:17" x14ac:dyDescent="0.2">
      <c r="B677" s="7"/>
      <c r="C677" s="72"/>
      <c r="D677" s="9"/>
      <c r="E677" s="72"/>
      <c r="F677" s="9"/>
      <c r="G677" s="16"/>
      <c r="H677" s="9"/>
      <c r="I677" s="9"/>
      <c r="J677" s="9"/>
      <c r="K677" s="72"/>
      <c r="L677" s="9"/>
      <c r="M677" s="9"/>
      <c r="N677" s="9"/>
      <c r="O677" s="9"/>
      <c r="P677" s="9"/>
      <c r="Q677" s="9"/>
    </row>
    <row r="678" spans="2:17" x14ac:dyDescent="0.2">
      <c r="B678" s="7"/>
      <c r="C678" s="72"/>
      <c r="D678" s="9"/>
      <c r="E678" s="72"/>
      <c r="F678" s="9"/>
      <c r="G678" s="16"/>
      <c r="H678" s="9"/>
      <c r="I678" s="9"/>
      <c r="J678" s="9"/>
      <c r="K678" s="72"/>
      <c r="L678" s="9"/>
      <c r="M678" s="9"/>
      <c r="N678" s="9"/>
      <c r="O678" s="9"/>
      <c r="P678" s="9"/>
      <c r="Q678" s="9"/>
    </row>
    <row r="679" spans="2:17" x14ac:dyDescent="0.2">
      <c r="B679" s="7"/>
      <c r="C679" s="72"/>
      <c r="D679" s="9"/>
      <c r="E679" s="72"/>
      <c r="F679" s="9"/>
      <c r="G679" s="16"/>
      <c r="H679" s="9"/>
      <c r="I679" s="9"/>
      <c r="J679" s="9"/>
      <c r="K679" s="72"/>
      <c r="L679" s="9"/>
      <c r="M679" s="9"/>
      <c r="N679" s="9"/>
      <c r="O679" s="9"/>
      <c r="P679" s="9"/>
      <c r="Q679" s="9"/>
    </row>
    <row r="680" spans="2:17" x14ac:dyDescent="0.2">
      <c r="B680" s="7"/>
      <c r="C680" s="72"/>
      <c r="D680" s="9"/>
      <c r="E680" s="72"/>
      <c r="F680" s="9"/>
      <c r="G680" s="16"/>
      <c r="H680" s="9"/>
      <c r="I680" s="9"/>
      <c r="J680" s="9"/>
      <c r="K680" s="72"/>
      <c r="L680" s="9"/>
      <c r="M680" s="9"/>
      <c r="N680" s="9"/>
      <c r="O680" s="9"/>
      <c r="P680" s="9"/>
      <c r="Q680" s="9"/>
    </row>
    <row r="681" spans="2:17" x14ac:dyDescent="0.2">
      <c r="B681" s="7"/>
      <c r="C681" s="72"/>
      <c r="D681" s="9"/>
      <c r="E681" s="72"/>
      <c r="F681" s="9"/>
      <c r="G681" s="16"/>
      <c r="H681" s="9"/>
      <c r="I681" s="9"/>
      <c r="J681" s="9"/>
      <c r="K681" s="72"/>
      <c r="L681" s="9"/>
      <c r="M681" s="9"/>
      <c r="N681" s="9"/>
      <c r="O681" s="9"/>
      <c r="P681" s="9"/>
      <c r="Q681" s="9"/>
    </row>
    <row r="682" spans="2:17" x14ac:dyDescent="0.2">
      <c r="B682" s="7"/>
      <c r="C682" s="72"/>
      <c r="D682" s="9"/>
      <c r="E682" s="72"/>
      <c r="F682" s="9"/>
      <c r="G682" s="16"/>
      <c r="H682" s="9"/>
      <c r="I682" s="9"/>
      <c r="J682" s="9"/>
      <c r="K682" s="72"/>
      <c r="L682" s="9"/>
      <c r="M682" s="9"/>
      <c r="N682" s="9"/>
      <c r="O682" s="9"/>
      <c r="P682" s="9"/>
      <c r="Q682" s="9"/>
    </row>
    <row r="683" spans="2:17" x14ac:dyDescent="0.2">
      <c r="B683" s="7"/>
      <c r="C683" s="72"/>
      <c r="D683" s="9"/>
      <c r="E683" s="72"/>
      <c r="F683" s="9"/>
      <c r="G683" s="16"/>
      <c r="H683" s="9"/>
      <c r="I683" s="9"/>
      <c r="J683" s="9"/>
      <c r="K683" s="72"/>
      <c r="L683" s="9"/>
      <c r="M683" s="9"/>
      <c r="N683" s="9"/>
      <c r="O683" s="9"/>
      <c r="P683" s="9"/>
      <c r="Q683" s="9"/>
    </row>
    <row r="684" spans="2:17" x14ac:dyDescent="0.2">
      <c r="B684" s="7"/>
      <c r="C684" s="72"/>
      <c r="D684" s="9"/>
      <c r="E684" s="72"/>
      <c r="F684" s="9"/>
      <c r="G684" s="16"/>
      <c r="H684" s="9"/>
      <c r="I684" s="9"/>
      <c r="J684" s="9"/>
      <c r="K684" s="72"/>
      <c r="L684" s="9"/>
      <c r="M684" s="9"/>
      <c r="N684" s="9"/>
      <c r="O684" s="9"/>
      <c r="P684" s="9"/>
      <c r="Q684" s="9"/>
    </row>
    <row r="685" spans="2:17" x14ac:dyDescent="0.2">
      <c r="B685" s="7"/>
      <c r="C685" s="72"/>
      <c r="D685" s="9"/>
      <c r="E685" s="72"/>
      <c r="F685" s="9"/>
      <c r="G685" s="16"/>
      <c r="H685" s="9"/>
      <c r="I685" s="9"/>
      <c r="J685" s="9"/>
      <c r="K685" s="72"/>
      <c r="L685" s="9"/>
      <c r="M685" s="9"/>
      <c r="N685" s="9"/>
      <c r="O685" s="9"/>
      <c r="P685" s="9"/>
      <c r="Q685" s="9"/>
    </row>
    <row r="686" spans="2:17" x14ac:dyDescent="0.2">
      <c r="B686" s="7"/>
      <c r="C686" s="72"/>
      <c r="D686" s="9"/>
      <c r="E686" s="72"/>
      <c r="F686" s="9"/>
      <c r="G686" s="16"/>
      <c r="H686" s="9"/>
      <c r="I686" s="9"/>
      <c r="J686" s="9"/>
      <c r="K686" s="72"/>
      <c r="L686" s="9"/>
      <c r="M686" s="9"/>
      <c r="N686" s="9"/>
      <c r="O686" s="9"/>
      <c r="P686" s="9"/>
      <c r="Q686" s="9"/>
    </row>
    <row r="687" spans="2:17" x14ac:dyDescent="0.2">
      <c r="B687" s="7"/>
      <c r="C687" s="72"/>
      <c r="D687" s="9"/>
      <c r="E687" s="72"/>
      <c r="F687" s="9"/>
      <c r="G687" s="16"/>
      <c r="H687" s="9"/>
      <c r="I687" s="9"/>
      <c r="J687" s="9"/>
      <c r="K687" s="72"/>
      <c r="L687" s="9"/>
      <c r="M687" s="9"/>
      <c r="N687" s="9"/>
      <c r="O687" s="9"/>
      <c r="P687" s="9"/>
      <c r="Q687" s="9"/>
    </row>
    <row r="688" spans="2:17" x14ac:dyDescent="0.2">
      <c r="B688" s="7"/>
      <c r="C688" s="72"/>
      <c r="D688" s="9"/>
      <c r="E688" s="72"/>
      <c r="F688" s="9"/>
      <c r="G688" s="16"/>
      <c r="H688" s="9"/>
      <c r="I688" s="9"/>
      <c r="J688" s="9"/>
      <c r="K688" s="72"/>
      <c r="L688" s="9"/>
      <c r="M688" s="9"/>
      <c r="N688" s="9"/>
      <c r="O688" s="9"/>
      <c r="P688" s="9"/>
      <c r="Q688" s="9"/>
    </row>
    <row r="689" spans="2:17" x14ac:dyDescent="0.2">
      <c r="B689" s="7"/>
      <c r="C689" s="72"/>
      <c r="D689" s="9"/>
      <c r="E689" s="72"/>
      <c r="F689" s="9"/>
      <c r="G689" s="16"/>
      <c r="H689" s="9"/>
      <c r="I689" s="9"/>
      <c r="J689" s="9"/>
      <c r="K689" s="72"/>
      <c r="L689" s="9"/>
      <c r="M689" s="9"/>
      <c r="N689" s="9"/>
      <c r="O689" s="9"/>
      <c r="P689" s="9"/>
      <c r="Q689" s="9"/>
    </row>
    <row r="690" spans="2:17" x14ac:dyDescent="0.2">
      <c r="B690" s="7"/>
      <c r="C690" s="72"/>
      <c r="D690" s="9"/>
      <c r="E690" s="72"/>
      <c r="F690" s="9"/>
      <c r="G690" s="16"/>
      <c r="H690" s="9"/>
      <c r="I690" s="9"/>
      <c r="J690" s="9"/>
      <c r="K690" s="72"/>
      <c r="L690" s="9"/>
      <c r="M690" s="9"/>
      <c r="N690" s="9"/>
      <c r="O690" s="9"/>
      <c r="P690" s="9"/>
      <c r="Q690" s="9"/>
    </row>
    <row r="691" spans="2:17" x14ac:dyDescent="0.2">
      <c r="B691" s="7"/>
      <c r="C691" s="72"/>
      <c r="D691" s="9"/>
      <c r="E691" s="72"/>
      <c r="F691" s="9"/>
      <c r="G691" s="16"/>
      <c r="H691" s="9"/>
      <c r="I691" s="9"/>
      <c r="J691" s="9"/>
      <c r="K691" s="72"/>
      <c r="L691" s="9"/>
      <c r="M691" s="9"/>
      <c r="N691" s="9"/>
      <c r="O691" s="9"/>
      <c r="P691" s="9"/>
      <c r="Q691" s="9"/>
    </row>
    <row r="692" spans="2:17" x14ac:dyDescent="0.2">
      <c r="B692" s="7"/>
      <c r="C692" s="72"/>
      <c r="D692" s="9"/>
      <c r="E692" s="72"/>
      <c r="F692" s="9"/>
      <c r="G692" s="16"/>
      <c r="H692" s="9"/>
      <c r="I692" s="9"/>
      <c r="J692" s="9"/>
      <c r="K692" s="72"/>
      <c r="L692" s="9"/>
      <c r="M692" s="9"/>
      <c r="N692" s="9"/>
      <c r="O692" s="9"/>
      <c r="P692" s="9"/>
      <c r="Q692" s="9"/>
    </row>
    <row r="693" spans="2:17" x14ac:dyDescent="0.2">
      <c r="B693" s="7"/>
      <c r="C693" s="72"/>
      <c r="D693" s="9"/>
      <c r="E693" s="72"/>
      <c r="F693" s="9"/>
      <c r="G693" s="16"/>
      <c r="H693" s="9"/>
      <c r="I693" s="9"/>
      <c r="J693" s="9"/>
      <c r="K693" s="72"/>
      <c r="L693" s="9"/>
      <c r="M693" s="9"/>
      <c r="N693" s="9"/>
      <c r="O693" s="9"/>
      <c r="P693" s="9"/>
      <c r="Q693" s="9"/>
    </row>
    <row r="694" spans="2:17" x14ac:dyDescent="0.2">
      <c r="B694" s="7"/>
      <c r="C694" s="72"/>
      <c r="D694" s="9"/>
      <c r="E694" s="72"/>
      <c r="F694" s="9"/>
      <c r="G694" s="16"/>
      <c r="H694" s="9"/>
      <c r="I694" s="9"/>
      <c r="J694" s="9"/>
      <c r="K694" s="72"/>
      <c r="L694" s="9"/>
      <c r="M694" s="9"/>
      <c r="N694" s="9"/>
      <c r="O694" s="9"/>
      <c r="P694" s="9"/>
      <c r="Q694" s="9"/>
    </row>
    <row r="695" spans="2:17" x14ac:dyDescent="0.2">
      <c r="B695" s="7"/>
      <c r="C695" s="72"/>
      <c r="D695" s="9"/>
      <c r="E695" s="72"/>
      <c r="F695" s="9"/>
      <c r="G695" s="16"/>
      <c r="H695" s="9"/>
      <c r="I695" s="9"/>
      <c r="J695" s="9"/>
      <c r="K695" s="72"/>
      <c r="L695" s="9"/>
      <c r="M695" s="9"/>
      <c r="N695" s="9"/>
      <c r="O695" s="9"/>
      <c r="P695" s="9"/>
      <c r="Q695" s="9"/>
    </row>
    <row r="696" spans="2:17" x14ac:dyDescent="0.2">
      <c r="B696" s="7"/>
      <c r="C696" s="72"/>
      <c r="D696" s="9"/>
      <c r="E696" s="72"/>
      <c r="F696" s="9"/>
      <c r="G696" s="16"/>
      <c r="H696" s="9"/>
      <c r="I696" s="9"/>
      <c r="J696" s="9"/>
      <c r="K696" s="72"/>
      <c r="L696" s="9"/>
      <c r="M696" s="9"/>
      <c r="N696" s="9"/>
      <c r="O696" s="9"/>
      <c r="P696" s="9"/>
      <c r="Q696" s="9"/>
    </row>
    <row r="697" spans="2:17" x14ac:dyDescent="0.2">
      <c r="B697" s="7"/>
      <c r="C697" s="72"/>
      <c r="D697" s="9"/>
      <c r="E697" s="72"/>
      <c r="F697" s="9"/>
      <c r="G697" s="16"/>
      <c r="H697" s="9"/>
      <c r="I697" s="9"/>
      <c r="J697" s="9"/>
      <c r="K697" s="72"/>
      <c r="L697" s="9"/>
      <c r="M697" s="9"/>
      <c r="N697" s="9"/>
      <c r="O697" s="9"/>
      <c r="P697" s="9"/>
      <c r="Q697" s="9"/>
    </row>
    <row r="698" spans="2:17" x14ac:dyDescent="0.2">
      <c r="B698" s="7"/>
      <c r="C698" s="72"/>
      <c r="D698" s="9"/>
      <c r="E698" s="72"/>
      <c r="F698" s="9"/>
      <c r="G698" s="16"/>
      <c r="H698" s="9"/>
      <c r="I698" s="9"/>
      <c r="J698" s="9"/>
      <c r="K698" s="72"/>
      <c r="L698" s="9"/>
      <c r="M698" s="9"/>
      <c r="N698" s="9"/>
      <c r="O698" s="9"/>
      <c r="P698" s="9"/>
      <c r="Q698" s="9"/>
    </row>
    <row r="699" spans="2:17" x14ac:dyDescent="0.2">
      <c r="B699" s="7"/>
      <c r="C699" s="72"/>
      <c r="D699" s="9"/>
      <c r="E699" s="72"/>
      <c r="F699" s="9"/>
      <c r="G699" s="16"/>
      <c r="H699" s="9"/>
      <c r="I699" s="9"/>
      <c r="J699" s="9"/>
      <c r="K699" s="72"/>
      <c r="L699" s="9"/>
      <c r="M699" s="9"/>
      <c r="N699" s="9"/>
      <c r="O699" s="9"/>
      <c r="P699" s="9"/>
      <c r="Q699" s="9"/>
    </row>
    <row r="700" spans="2:17" x14ac:dyDescent="0.2">
      <c r="B700" s="7"/>
      <c r="C700" s="72"/>
      <c r="D700" s="9"/>
      <c r="E700" s="72"/>
      <c r="F700" s="9"/>
      <c r="G700" s="16"/>
      <c r="H700" s="9"/>
      <c r="I700" s="9"/>
      <c r="J700" s="9"/>
      <c r="K700" s="72"/>
      <c r="L700" s="9"/>
      <c r="M700" s="9"/>
      <c r="N700" s="9"/>
      <c r="O700" s="9"/>
      <c r="P700" s="9"/>
      <c r="Q700" s="9"/>
    </row>
    <row r="701" spans="2:17" x14ac:dyDescent="0.2">
      <c r="B701" s="7"/>
      <c r="C701" s="72"/>
      <c r="D701" s="9"/>
      <c r="E701" s="72"/>
      <c r="F701" s="9"/>
      <c r="G701" s="16"/>
      <c r="H701" s="9"/>
      <c r="I701" s="9"/>
      <c r="J701" s="9"/>
      <c r="K701" s="72"/>
      <c r="L701" s="9"/>
      <c r="M701" s="9"/>
      <c r="N701" s="9"/>
      <c r="O701" s="9"/>
      <c r="P701" s="9"/>
      <c r="Q701" s="9"/>
    </row>
    <row r="702" spans="2:17" x14ac:dyDescent="0.2">
      <c r="B702" s="7"/>
      <c r="C702" s="72"/>
      <c r="D702" s="9"/>
      <c r="E702" s="72"/>
      <c r="F702" s="9"/>
      <c r="G702" s="16"/>
      <c r="H702" s="9"/>
      <c r="I702" s="9"/>
      <c r="J702" s="9"/>
      <c r="K702" s="72"/>
      <c r="L702" s="9"/>
      <c r="M702" s="9"/>
      <c r="N702" s="9"/>
      <c r="O702" s="9"/>
      <c r="P702" s="9"/>
      <c r="Q702" s="9"/>
    </row>
    <row r="703" spans="2:17" x14ac:dyDescent="0.2">
      <c r="B703" s="7"/>
      <c r="C703" s="72"/>
      <c r="D703" s="9"/>
      <c r="E703" s="72"/>
      <c r="F703" s="9"/>
      <c r="G703" s="16"/>
      <c r="H703" s="9"/>
      <c r="I703" s="9"/>
      <c r="J703" s="9"/>
      <c r="K703" s="72"/>
      <c r="L703" s="9"/>
      <c r="M703" s="9"/>
      <c r="N703" s="9"/>
      <c r="O703" s="9"/>
      <c r="P703" s="9"/>
      <c r="Q703" s="9"/>
    </row>
    <row r="704" spans="2:17" x14ac:dyDescent="0.2">
      <c r="B704" s="7"/>
      <c r="C704" s="72"/>
      <c r="D704" s="9"/>
      <c r="E704" s="72"/>
      <c r="F704" s="9"/>
      <c r="G704" s="16"/>
      <c r="H704" s="9"/>
      <c r="I704" s="9"/>
      <c r="J704" s="9"/>
      <c r="K704" s="72"/>
      <c r="L704" s="9"/>
      <c r="M704" s="9"/>
      <c r="N704" s="9"/>
      <c r="O704" s="9"/>
      <c r="P704" s="9"/>
      <c r="Q704" s="9"/>
    </row>
    <row r="705" spans="2:17" x14ac:dyDescent="0.2">
      <c r="B705" s="7"/>
      <c r="C705" s="72"/>
      <c r="D705" s="9"/>
      <c r="E705" s="72"/>
      <c r="F705" s="9"/>
      <c r="G705" s="16"/>
      <c r="H705" s="9"/>
      <c r="I705" s="9"/>
      <c r="J705" s="9"/>
      <c r="K705" s="72"/>
      <c r="L705" s="9"/>
      <c r="M705" s="9"/>
      <c r="N705" s="9"/>
      <c r="O705" s="9"/>
      <c r="P705" s="9"/>
      <c r="Q705" s="9"/>
    </row>
    <row r="706" spans="2:17" x14ac:dyDescent="0.2">
      <c r="B706" s="7"/>
      <c r="C706" s="72"/>
      <c r="D706" s="9"/>
      <c r="E706" s="72"/>
      <c r="F706" s="9"/>
      <c r="G706" s="16"/>
      <c r="H706" s="9"/>
      <c r="I706" s="9"/>
      <c r="J706" s="9"/>
      <c r="K706" s="72"/>
      <c r="L706" s="9"/>
      <c r="M706" s="9"/>
      <c r="N706" s="9"/>
      <c r="O706" s="9"/>
      <c r="P706" s="9"/>
      <c r="Q706" s="9"/>
    </row>
    <row r="707" spans="2:17" x14ac:dyDescent="0.2">
      <c r="B707" s="7"/>
      <c r="C707" s="72"/>
      <c r="D707" s="9"/>
      <c r="E707" s="72"/>
      <c r="F707" s="9"/>
      <c r="G707" s="16"/>
      <c r="H707" s="9"/>
      <c r="I707" s="9"/>
      <c r="J707" s="9"/>
      <c r="K707" s="72"/>
      <c r="L707" s="9"/>
      <c r="M707" s="9"/>
      <c r="N707" s="9"/>
      <c r="O707" s="9"/>
      <c r="P707" s="9"/>
      <c r="Q707" s="9"/>
    </row>
    <row r="708" spans="2:17" x14ac:dyDescent="0.2">
      <c r="B708" s="7"/>
      <c r="C708" s="72"/>
      <c r="D708" s="9"/>
      <c r="E708" s="72"/>
      <c r="F708" s="9"/>
      <c r="G708" s="16"/>
      <c r="H708" s="9"/>
      <c r="I708" s="9"/>
      <c r="J708" s="9"/>
      <c r="K708" s="72"/>
      <c r="L708" s="9"/>
      <c r="M708" s="9"/>
      <c r="N708" s="9"/>
      <c r="O708" s="9"/>
      <c r="P708" s="9"/>
      <c r="Q708" s="9"/>
    </row>
    <row r="709" spans="2:17" x14ac:dyDescent="0.2">
      <c r="B709" s="7"/>
      <c r="C709" s="72"/>
      <c r="D709" s="9"/>
      <c r="E709" s="72"/>
      <c r="F709" s="9"/>
      <c r="G709" s="16"/>
      <c r="H709" s="9"/>
      <c r="I709" s="9"/>
      <c r="J709" s="9"/>
      <c r="K709" s="72"/>
      <c r="L709" s="9"/>
      <c r="M709" s="9"/>
      <c r="N709" s="9"/>
      <c r="O709" s="9"/>
      <c r="P709" s="9"/>
      <c r="Q709" s="9"/>
    </row>
    <row r="710" spans="2:17" x14ac:dyDescent="0.2">
      <c r="B710" s="7"/>
      <c r="C710" s="72"/>
      <c r="D710" s="9"/>
      <c r="E710" s="72"/>
      <c r="F710" s="9"/>
      <c r="G710" s="16"/>
      <c r="H710" s="9"/>
      <c r="I710" s="9"/>
      <c r="J710" s="9"/>
      <c r="K710" s="72"/>
      <c r="L710" s="9"/>
      <c r="M710" s="9"/>
      <c r="N710" s="9"/>
      <c r="O710" s="9"/>
      <c r="P710" s="9"/>
      <c r="Q710" s="9"/>
    </row>
    <row r="711" spans="2:17" x14ac:dyDescent="0.2">
      <c r="B711" s="7"/>
      <c r="C711" s="72"/>
      <c r="D711" s="9"/>
      <c r="E711" s="72"/>
      <c r="F711" s="9"/>
      <c r="G711" s="16"/>
      <c r="H711" s="9"/>
      <c r="I711" s="9"/>
      <c r="J711" s="9"/>
      <c r="K711" s="72"/>
      <c r="L711" s="9"/>
      <c r="M711" s="9"/>
      <c r="N711" s="9"/>
      <c r="O711" s="9"/>
      <c r="P711" s="9"/>
      <c r="Q711" s="9"/>
    </row>
    <row r="712" spans="2:17" x14ac:dyDescent="0.2">
      <c r="B712" s="7"/>
      <c r="C712" s="72"/>
      <c r="D712" s="9"/>
      <c r="E712" s="72"/>
      <c r="F712" s="9"/>
      <c r="G712" s="16"/>
      <c r="H712" s="9"/>
      <c r="I712" s="9"/>
      <c r="J712" s="9"/>
      <c r="K712" s="72"/>
      <c r="L712" s="9"/>
      <c r="M712" s="9"/>
      <c r="N712" s="9"/>
      <c r="O712" s="9"/>
      <c r="P712" s="9"/>
      <c r="Q712" s="9"/>
    </row>
    <row r="713" spans="2:17" x14ac:dyDescent="0.2">
      <c r="B713" s="7"/>
      <c r="C713" s="72"/>
      <c r="D713" s="9"/>
      <c r="E713" s="72"/>
      <c r="F713" s="9"/>
      <c r="G713" s="16"/>
      <c r="H713" s="9"/>
      <c r="I713" s="9"/>
      <c r="J713" s="9"/>
      <c r="K713" s="72"/>
      <c r="L713" s="9"/>
      <c r="M713" s="9"/>
      <c r="N713" s="9"/>
      <c r="O713" s="9"/>
      <c r="P713" s="9"/>
      <c r="Q713" s="9"/>
    </row>
    <row r="714" spans="2:17" x14ac:dyDescent="0.2">
      <c r="B714" s="7"/>
      <c r="C714" s="72"/>
      <c r="D714" s="9"/>
      <c r="E714" s="72"/>
      <c r="F714" s="9"/>
      <c r="G714" s="16"/>
      <c r="H714" s="9"/>
      <c r="I714" s="9"/>
      <c r="J714" s="9"/>
      <c r="K714" s="72"/>
      <c r="L714" s="9"/>
      <c r="M714" s="9"/>
      <c r="N714" s="9"/>
      <c r="O714" s="9"/>
      <c r="P714" s="9"/>
      <c r="Q714" s="9"/>
    </row>
    <row r="715" spans="2:17" x14ac:dyDescent="0.2">
      <c r="B715" s="7"/>
      <c r="C715" s="72"/>
      <c r="D715" s="9"/>
      <c r="E715" s="72"/>
      <c r="F715" s="9"/>
      <c r="G715" s="16"/>
      <c r="H715" s="9"/>
      <c r="I715" s="9"/>
      <c r="J715" s="9"/>
      <c r="K715" s="72"/>
      <c r="L715" s="9"/>
      <c r="M715" s="9"/>
      <c r="N715" s="9"/>
      <c r="O715" s="9"/>
      <c r="P715" s="9"/>
      <c r="Q715" s="9"/>
    </row>
    <row r="716" spans="2:17" x14ac:dyDescent="0.2">
      <c r="B716" s="7"/>
      <c r="C716" s="72"/>
      <c r="D716" s="9"/>
      <c r="E716" s="72"/>
      <c r="F716" s="9"/>
      <c r="G716" s="16"/>
      <c r="H716" s="9"/>
      <c r="I716" s="9"/>
      <c r="J716" s="9"/>
      <c r="K716" s="72"/>
      <c r="L716" s="9"/>
      <c r="M716" s="9"/>
      <c r="N716" s="9"/>
      <c r="O716" s="9"/>
      <c r="P716" s="9"/>
      <c r="Q716" s="9"/>
    </row>
    <row r="717" spans="2:17" x14ac:dyDescent="0.2">
      <c r="B717" s="7"/>
      <c r="C717" s="72"/>
      <c r="D717" s="9"/>
      <c r="E717" s="72"/>
      <c r="F717" s="9"/>
      <c r="G717" s="16"/>
      <c r="H717" s="9"/>
      <c r="I717" s="9"/>
      <c r="J717" s="9"/>
      <c r="K717" s="72"/>
      <c r="L717" s="9"/>
      <c r="M717" s="9"/>
      <c r="N717" s="9"/>
      <c r="O717" s="9"/>
      <c r="P717" s="9"/>
      <c r="Q717" s="9"/>
    </row>
    <row r="718" spans="2:17" x14ac:dyDescent="0.2">
      <c r="B718" s="7"/>
      <c r="C718" s="72"/>
      <c r="D718" s="9"/>
      <c r="E718" s="72"/>
      <c r="F718" s="9"/>
      <c r="G718" s="16"/>
      <c r="H718" s="9"/>
      <c r="I718" s="9"/>
      <c r="J718" s="9"/>
      <c r="K718" s="72"/>
      <c r="L718" s="9"/>
      <c r="M718" s="9"/>
      <c r="N718" s="9"/>
      <c r="O718" s="9"/>
      <c r="P718" s="9"/>
      <c r="Q718" s="9"/>
    </row>
    <row r="719" spans="2:17" x14ac:dyDescent="0.2">
      <c r="B719" s="7"/>
      <c r="C719" s="72"/>
      <c r="D719" s="9"/>
      <c r="E719" s="72"/>
      <c r="F719" s="9"/>
      <c r="G719" s="16"/>
      <c r="H719" s="9"/>
      <c r="I719" s="9"/>
      <c r="J719" s="9"/>
      <c r="K719" s="72"/>
      <c r="L719" s="9"/>
      <c r="M719" s="9"/>
      <c r="N719" s="9"/>
      <c r="O719" s="9"/>
      <c r="P719" s="9"/>
      <c r="Q719" s="9"/>
    </row>
    <row r="720" spans="2:17" x14ac:dyDescent="0.2">
      <c r="B720" s="7"/>
      <c r="C720" s="72"/>
      <c r="D720" s="9"/>
      <c r="E720" s="72"/>
      <c r="F720" s="9"/>
      <c r="G720" s="16"/>
      <c r="H720" s="9"/>
      <c r="I720" s="9"/>
      <c r="J720" s="9"/>
      <c r="K720" s="72"/>
      <c r="L720" s="9"/>
      <c r="M720" s="9"/>
      <c r="N720" s="9"/>
      <c r="O720" s="9"/>
      <c r="P720" s="9"/>
      <c r="Q720" s="9"/>
    </row>
    <row r="721" spans="2:17" x14ac:dyDescent="0.2">
      <c r="B721" s="7"/>
      <c r="C721" s="72"/>
      <c r="D721" s="9"/>
      <c r="E721" s="72"/>
      <c r="F721" s="9"/>
      <c r="G721" s="16"/>
      <c r="H721" s="9"/>
      <c r="I721" s="9"/>
      <c r="J721" s="9"/>
      <c r="K721" s="72"/>
      <c r="L721" s="9"/>
      <c r="M721" s="9"/>
      <c r="N721" s="9"/>
      <c r="O721" s="9"/>
      <c r="P721" s="9"/>
      <c r="Q721" s="9"/>
    </row>
    <row r="722" spans="2:17" x14ac:dyDescent="0.2">
      <c r="B722" s="7"/>
      <c r="C722" s="72"/>
      <c r="D722" s="9"/>
      <c r="E722" s="72"/>
      <c r="F722" s="9"/>
      <c r="G722" s="16"/>
      <c r="H722" s="9"/>
      <c r="I722" s="9"/>
      <c r="J722" s="9"/>
      <c r="K722" s="72"/>
      <c r="L722" s="9"/>
      <c r="M722" s="9"/>
      <c r="N722" s="9"/>
      <c r="O722" s="9"/>
      <c r="P722" s="9"/>
      <c r="Q722" s="9"/>
    </row>
    <row r="723" spans="2:17" x14ac:dyDescent="0.2">
      <c r="B723" s="7"/>
      <c r="C723" s="72"/>
      <c r="D723" s="9"/>
      <c r="E723" s="72"/>
      <c r="F723" s="9"/>
      <c r="G723" s="16"/>
      <c r="H723" s="9"/>
      <c r="I723" s="9"/>
      <c r="J723" s="9"/>
      <c r="K723" s="72"/>
      <c r="L723" s="9"/>
      <c r="M723" s="9"/>
      <c r="N723" s="9"/>
      <c r="O723" s="9"/>
      <c r="P723" s="9"/>
      <c r="Q723" s="9"/>
    </row>
    <row r="724" spans="2:17" x14ac:dyDescent="0.2">
      <c r="B724" s="7"/>
      <c r="C724" s="72"/>
      <c r="D724" s="9"/>
      <c r="E724" s="72"/>
      <c r="F724" s="9"/>
      <c r="G724" s="16"/>
      <c r="H724" s="9"/>
      <c r="I724" s="9"/>
      <c r="J724" s="9"/>
      <c r="K724" s="72"/>
      <c r="L724" s="9"/>
      <c r="M724" s="9"/>
      <c r="N724" s="9"/>
      <c r="O724" s="9"/>
      <c r="P724" s="9"/>
      <c r="Q724" s="9"/>
    </row>
    <row r="725" spans="2:17" x14ac:dyDescent="0.2">
      <c r="B725" s="7"/>
      <c r="C725" s="72"/>
      <c r="D725" s="9"/>
      <c r="E725" s="72"/>
      <c r="F725" s="9"/>
      <c r="G725" s="16"/>
      <c r="H725" s="9"/>
      <c r="I725" s="9"/>
      <c r="J725" s="9"/>
      <c r="K725" s="72"/>
      <c r="L725" s="9"/>
      <c r="M725" s="9"/>
      <c r="N725" s="9"/>
      <c r="O725" s="9"/>
      <c r="P725" s="9"/>
      <c r="Q725" s="9"/>
    </row>
    <row r="726" spans="2:17" x14ac:dyDescent="0.2">
      <c r="B726" s="7"/>
      <c r="C726" s="72"/>
      <c r="D726" s="9"/>
      <c r="E726" s="72"/>
      <c r="F726" s="9"/>
      <c r="G726" s="16"/>
      <c r="H726" s="9"/>
      <c r="I726" s="9"/>
      <c r="J726" s="9"/>
      <c r="K726" s="72"/>
      <c r="L726" s="9"/>
      <c r="M726" s="9"/>
      <c r="N726" s="9"/>
      <c r="O726" s="9"/>
      <c r="P726" s="9"/>
      <c r="Q726" s="9"/>
    </row>
    <row r="727" spans="2:17" x14ac:dyDescent="0.2">
      <c r="B727" s="7"/>
      <c r="C727" s="72"/>
      <c r="D727" s="9"/>
      <c r="E727" s="72"/>
      <c r="F727" s="9"/>
      <c r="G727" s="16"/>
      <c r="H727" s="9"/>
      <c r="I727" s="9"/>
      <c r="J727" s="9"/>
      <c r="K727" s="72"/>
      <c r="L727" s="9"/>
      <c r="M727" s="9"/>
      <c r="N727" s="9"/>
      <c r="O727" s="9"/>
      <c r="P727" s="9"/>
      <c r="Q727" s="9"/>
    </row>
    <row r="728" spans="2:17" x14ac:dyDescent="0.2">
      <c r="B728" s="7"/>
      <c r="C728" s="72"/>
      <c r="D728" s="9"/>
      <c r="E728" s="72"/>
      <c r="F728" s="9"/>
      <c r="G728" s="16"/>
      <c r="H728" s="9"/>
      <c r="I728" s="9"/>
      <c r="J728" s="9"/>
      <c r="K728" s="72"/>
      <c r="L728" s="9"/>
      <c r="M728" s="9"/>
      <c r="N728" s="9"/>
      <c r="O728" s="9"/>
      <c r="P728" s="9"/>
      <c r="Q728" s="9"/>
    </row>
    <row r="729" spans="2:17" x14ac:dyDescent="0.2">
      <c r="B729" s="7"/>
      <c r="C729" s="72"/>
      <c r="D729" s="9"/>
      <c r="E729" s="72"/>
      <c r="F729" s="9"/>
      <c r="G729" s="16"/>
      <c r="H729" s="9"/>
      <c r="I729" s="9"/>
      <c r="J729" s="9"/>
      <c r="K729" s="72"/>
      <c r="L729" s="9"/>
      <c r="M729" s="9"/>
      <c r="N729" s="9"/>
      <c r="O729" s="9"/>
      <c r="P729" s="9"/>
      <c r="Q729" s="9"/>
    </row>
    <row r="730" spans="2:17" x14ac:dyDescent="0.2">
      <c r="B730" s="7"/>
      <c r="C730" s="72"/>
      <c r="D730" s="9"/>
      <c r="E730" s="72"/>
      <c r="F730" s="9"/>
      <c r="G730" s="16"/>
      <c r="H730" s="9"/>
      <c r="I730" s="9"/>
      <c r="J730" s="9"/>
      <c r="K730" s="72"/>
      <c r="L730" s="9"/>
      <c r="M730" s="9"/>
      <c r="N730" s="9"/>
      <c r="O730" s="9"/>
      <c r="P730" s="9"/>
      <c r="Q730" s="9"/>
    </row>
    <row r="731" spans="2:17" x14ac:dyDescent="0.2">
      <c r="B731" s="7"/>
      <c r="C731" s="72"/>
      <c r="D731" s="9"/>
      <c r="E731" s="72"/>
      <c r="F731" s="9"/>
      <c r="G731" s="16"/>
      <c r="H731" s="9"/>
      <c r="I731" s="9"/>
      <c r="J731" s="9"/>
      <c r="K731" s="72"/>
      <c r="L731" s="9"/>
      <c r="M731" s="9"/>
      <c r="N731" s="9"/>
      <c r="O731" s="9"/>
      <c r="P731" s="9"/>
      <c r="Q731" s="9"/>
    </row>
    <row r="732" spans="2:17" x14ac:dyDescent="0.2">
      <c r="B732" s="7"/>
      <c r="C732" s="72"/>
      <c r="D732" s="9"/>
      <c r="E732" s="72"/>
      <c r="F732" s="9"/>
      <c r="G732" s="16"/>
      <c r="H732" s="9"/>
      <c r="I732" s="9"/>
      <c r="J732" s="9"/>
      <c r="K732" s="72"/>
      <c r="L732" s="9"/>
      <c r="M732" s="9"/>
      <c r="N732" s="9"/>
      <c r="O732" s="9"/>
      <c r="P732" s="9"/>
      <c r="Q732" s="9"/>
    </row>
    <row r="733" spans="2:17" x14ac:dyDescent="0.2">
      <c r="B733" s="7"/>
      <c r="C733" s="72"/>
      <c r="D733" s="9"/>
      <c r="E733" s="72"/>
      <c r="F733" s="9"/>
      <c r="G733" s="16"/>
      <c r="H733" s="9"/>
      <c r="I733" s="9"/>
      <c r="J733" s="9"/>
      <c r="K733" s="72"/>
      <c r="L733" s="9"/>
      <c r="M733" s="9"/>
      <c r="N733" s="9"/>
      <c r="O733" s="9"/>
      <c r="P733" s="9"/>
      <c r="Q733" s="9"/>
    </row>
    <row r="734" spans="2:17" x14ac:dyDescent="0.2">
      <c r="B734" s="7"/>
      <c r="C734" s="72"/>
      <c r="D734" s="9"/>
      <c r="E734" s="72"/>
      <c r="F734" s="9"/>
      <c r="G734" s="16"/>
      <c r="H734" s="9"/>
      <c r="I734" s="9"/>
      <c r="J734" s="9"/>
      <c r="K734" s="72"/>
      <c r="L734" s="9"/>
      <c r="M734" s="9"/>
      <c r="N734" s="9"/>
      <c r="O734" s="9"/>
      <c r="P734" s="9"/>
      <c r="Q734" s="9"/>
    </row>
    <row r="735" spans="2:17" x14ac:dyDescent="0.2">
      <c r="B735" s="7"/>
      <c r="C735" s="72"/>
      <c r="D735" s="9"/>
      <c r="E735" s="72"/>
      <c r="F735" s="9"/>
      <c r="G735" s="16"/>
      <c r="H735" s="9"/>
      <c r="I735" s="9"/>
      <c r="J735" s="9"/>
      <c r="K735" s="72"/>
      <c r="L735" s="9"/>
      <c r="M735" s="9"/>
      <c r="N735" s="9"/>
      <c r="O735" s="9"/>
      <c r="P735" s="9"/>
      <c r="Q735" s="9"/>
    </row>
    <row r="736" spans="2:17" x14ac:dyDescent="0.2">
      <c r="B736" s="7"/>
      <c r="C736" s="72"/>
      <c r="D736" s="9"/>
      <c r="E736" s="72"/>
      <c r="F736" s="9"/>
      <c r="G736" s="16"/>
      <c r="H736" s="9"/>
      <c r="I736" s="9"/>
      <c r="J736" s="9"/>
      <c r="K736" s="72"/>
      <c r="L736" s="9"/>
      <c r="M736" s="9"/>
      <c r="N736" s="9"/>
      <c r="O736" s="9"/>
      <c r="P736" s="9"/>
      <c r="Q736" s="9"/>
    </row>
    <row r="737" spans="2:17" x14ac:dyDescent="0.2">
      <c r="B737" s="7"/>
      <c r="C737" s="72"/>
      <c r="D737" s="9"/>
      <c r="E737" s="72"/>
      <c r="F737" s="9"/>
      <c r="G737" s="16"/>
      <c r="H737" s="9"/>
      <c r="I737" s="9"/>
      <c r="J737" s="9"/>
      <c r="K737" s="72"/>
      <c r="L737" s="9"/>
      <c r="M737" s="9"/>
      <c r="N737" s="9"/>
      <c r="O737" s="9"/>
      <c r="P737" s="9"/>
      <c r="Q737" s="9"/>
    </row>
    <row r="738" spans="2:17" x14ac:dyDescent="0.2">
      <c r="B738" s="7"/>
      <c r="C738" s="72"/>
      <c r="D738" s="9"/>
      <c r="E738" s="72"/>
      <c r="F738" s="9"/>
      <c r="G738" s="16"/>
      <c r="H738" s="9"/>
      <c r="I738" s="9"/>
      <c r="J738" s="9"/>
      <c r="K738" s="72"/>
      <c r="L738" s="9"/>
      <c r="M738" s="9"/>
      <c r="N738" s="9"/>
      <c r="O738" s="9"/>
      <c r="P738" s="9"/>
      <c r="Q738" s="9"/>
    </row>
    <row r="739" spans="2:17" x14ac:dyDescent="0.2">
      <c r="B739" s="7"/>
      <c r="C739" s="72"/>
      <c r="D739" s="9"/>
      <c r="E739" s="72"/>
      <c r="F739" s="9"/>
      <c r="G739" s="16"/>
      <c r="H739" s="9"/>
      <c r="I739" s="9"/>
      <c r="J739" s="9"/>
      <c r="K739" s="72"/>
      <c r="L739" s="9"/>
      <c r="M739" s="9"/>
      <c r="N739" s="9"/>
      <c r="O739" s="9"/>
      <c r="P739" s="9"/>
      <c r="Q739" s="9"/>
    </row>
    <row r="740" spans="2:17" x14ac:dyDescent="0.2">
      <c r="B740" s="7"/>
      <c r="C740" s="72"/>
      <c r="D740" s="9"/>
      <c r="E740" s="72"/>
      <c r="F740" s="9"/>
      <c r="G740" s="16"/>
      <c r="H740" s="9"/>
      <c r="I740" s="9"/>
      <c r="J740" s="9"/>
      <c r="K740" s="72"/>
      <c r="L740" s="9"/>
      <c r="M740" s="9"/>
      <c r="N740" s="9"/>
      <c r="O740" s="9"/>
      <c r="P740" s="9"/>
      <c r="Q740" s="9"/>
    </row>
    <row r="741" spans="2:17" x14ac:dyDescent="0.2">
      <c r="B741" s="7"/>
      <c r="C741" s="72"/>
      <c r="D741" s="9"/>
      <c r="E741" s="72"/>
      <c r="F741" s="9"/>
      <c r="G741" s="16"/>
      <c r="H741" s="9"/>
      <c r="I741" s="9"/>
      <c r="J741" s="9"/>
      <c r="K741" s="72"/>
      <c r="L741" s="9"/>
      <c r="M741" s="9"/>
      <c r="N741" s="9"/>
      <c r="O741" s="9"/>
      <c r="P741" s="9"/>
      <c r="Q741" s="9"/>
    </row>
    <row r="742" spans="2:17" x14ac:dyDescent="0.2">
      <c r="B742" s="7"/>
      <c r="C742" s="72"/>
      <c r="D742" s="9"/>
      <c r="E742" s="72"/>
      <c r="F742" s="9"/>
      <c r="G742" s="16"/>
      <c r="H742" s="9"/>
      <c r="I742" s="9"/>
      <c r="J742" s="9"/>
      <c r="K742" s="72"/>
      <c r="L742" s="9"/>
      <c r="M742" s="9"/>
      <c r="N742" s="9"/>
      <c r="O742" s="9"/>
      <c r="P742" s="9"/>
      <c r="Q742" s="9"/>
    </row>
    <row r="743" spans="2:17" x14ac:dyDescent="0.2">
      <c r="B743" s="7"/>
      <c r="C743" s="72"/>
      <c r="D743" s="9"/>
      <c r="E743" s="72"/>
      <c r="F743" s="9"/>
      <c r="G743" s="16"/>
      <c r="H743" s="9"/>
      <c r="I743" s="9"/>
      <c r="J743" s="9"/>
      <c r="K743" s="72"/>
      <c r="L743" s="9"/>
      <c r="M743" s="9"/>
      <c r="N743" s="9"/>
      <c r="O743" s="9"/>
      <c r="P743" s="9"/>
      <c r="Q743" s="9"/>
    </row>
    <row r="744" spans="2:17" x14ac:dyDescent="0.2">
      <c r="B744" s="7"/>
      <c r="C744" s="72"/>
      <c r="D744" s="9"/>
      <c r="E744" s="72"/>
      <c r="F744" s="9"/>
      <c r="G744" s="16"/>
      <c r="H744" s="9"/>
      <c r="I744" s="9"/>
      <c r="J744" s="9"/>
      <c r="K744" s="72"/>
      <c r="L744" s="9"/>
      <c r="M744" s="9"/>
      <c r="N744" s="9"/>
      <c r="O744" s="9"/>
      <c r="P744" s="9"/>
      <c r="Q744" s="9"/>
    </row>
    <row r="745" spans="2:17" x14ac:dyDescent="0.2">
      <c r="B745" s="7"/>
      <c r="C745" s="72"/>
      <c r="D745" s="9"/>
      <c r="E745" s="72"/>
      <c r="F745" s="9"/>
      <c r="G745" s="16"/>
      <c r="H745" s="9"/>
      <c r="I745" s="9"/>
      <c r="J745" s="9"/>
      <c r="K745" s="72"/>
      <c r="L745" s="9"/>
      <c r="M745" s="9"/>
      <c r="N745" s="9"/>
      <c r="O745" s="9"/>
      <c r="P745" s="9"/>
      <c r="Q745" s="9"/>
    </row>
    <row r="746" spans="2:17" x14ac:dyDescent="0.2">
      <c r="B746" s="7"/>
      <c r="C746" s="72"/>
      <c r="D746" s="9"/>
      <c r="E746" s="72"/>
      <c r="F746" s="9"/>
      <c r="G746" s="16"/>
      <c r="H746" s="9"/>
      <c r="I746" s="9"/>
      <c r="J746" s="9"/>
      <c r="K746" s="72"/>
      <c r="L746" s="9"/>
      <c r="M746" s="9"/>
      <c r="N746" s="9"/>
      <c r="O746" s="9"/>
      <c r="P746" s="9"/>
      <c r="Q746" s="9"/>
    </row>
    <row r="747" spans="2:17" x14ac:dyDescent="0.2">
      <c r="B747" s="7"/>
      <c r="C747" s="72"/>
      <c r="D747" s="9"/>
      <c r="E747" s="72"/>
      <c r="F747" s="9"/>
      <c r="G747" s="16"/>
      <c r="H747" s="9"/>
      <c r="I747" s="9"/>
      <c r="J747" s="9"/>
      <c r="K747" s="72"/>
      <c r="L747" s="9"/>
      <c r="M747" s="9"/>
      <c r="N747" s="9"/>
      <c r="O747" s="9"/>
      <c r="P747" s="9"/>
      <c r="Q747" s="9"/>
    </row>
    <row r="748" spans="2:17" x14ac:dyDescent="0.2">
      <c r="B748" s="7"/>
      <c r="C748" s="72"/>
      <c r="D748" s="9"/>
      <c r="E748" s="72"/>
      <c r="F748" s="9"/>
      <c r="G748" s="16"/>
      <c r="H748" s="9"/>
      <c r="I748" s="9"/>
      <c r="J748" s="9"/>
      <c r="K748" s="72"/>
      <c r="L748" s="9"/>
      <c r="M748" s="9"/>
      <c r="N748" s="9"/>
      <c r="O748" s="9"/>
      <c r="P748" s="9"/>
      <c r="Q748" s="9"/>
    </row>
    <row r="749" spans="2:17" x14ac:dyDescent="0.2">
      <c r="B749" s="7"/>
      <c r="C749" s="72"/>
      <c r="D749" s="9"/>
      <c r="E749" s="72"/>
      <c r="F749" s="9"/>
      <c r="G749" s="16"/>
      <c r="H749" s="9"/>
      <c r="I749" s="9"/>
      <c r="J749" s="9"/>
      <c r="K749" s="72"/>
      <c r="L749" s="9"/>
      <c r="M749" s="9"/>
      <c r="N749" s="9"/>
      <c r="O749" s="9"/>
      <c r="P749" s="9"/>
      <c r="Q749" s="9"/>
    </row>
    <row r="750" spans="2:17" x14ac:dyDescent="0.2">
      <c r="B750" s="7"/>
      <c r="C750" s="72"/>
      <c r="D750" s="9"/>
      <c r="E750" s="72"/>
      <c r="F750" s="9"/>
      <c r="G750" s="16"/>
      <c r="H750" s="9"/>
      <c r="I750" s="9"/>
      <c r="J750" s="9"/>
      <c r="K750" s="72"/>
      <c r="L750" s="9"/>
      <c r="M750" s="9"/>
      <c r="N750" s="9"/>
      <c r="O750" s="9"/>
      <c r="P750" s="9"/>
      <c r="Q750" s="9"/>
    </row>
    <row r="751" spans="2:17" x14ac:dyDescent="0.2">
      <c r="B751" s="7"/>
      <c r="C751" s="72"/>
      <c r="D751" s="9"/>
      <c r="E751" s="72"/>
      <c r="F751" s="9"/>
      <c r="G751" s="16"/>
      <c r="H751" s="9"/>
      <c r="I751" s="9"/>
      <c r="J751" s="9"/>
      <c r="K751" s="72"/>
      <c r="L751" s="9"/>
      <c r="M751" s="9"/>
      <c r="N751" s="9"/>
      <c r="O751" s="9"/>
      <c r="P751" s="9"/>
      <c r="Q751" s="9"/>
    </row>
    <row r="752" spans="2:17" x14ac:dyDescent="0.2">
      <c r="B752" s="7"/>
      <c r="C752" s="72"/>
      <c r="D752" s="9"/>
      <c r="E752" s="72"/>
      <c r="F752" s="9"/>
      <c r="G752" s="16"/>
      <c r="H752" s="9"/>
      <c r="I752" s="9"/>
      <c r="J752" s="9"/>
      <c r="K752" s="72"/>
      <c r="L752" s="9"/>
      <c r="M752" s="9"/>
      <c r="N752" s="9"/>
      <c r="O752" s="9"/>
      <c r="P752" s="9"/>
      <c r="Q752" s="9"/>
    </row>
    <row r="753" spans="2:17" x14ac:dyDescent="0.2">
      <c r="B753" s="7"/>
      <c r="C753" s="72"/>
      <c r="D753" s="9"/>
      <c r="E753" s="72"/>
      <c r="F753" s="9"/>
      <c r="G753" s="16"/>
      <c r="H753" s="9"/>
      <c r="I753" s="9"/>
      <c r="J753" s="9"/>
      <c r="K753" s="72"/>
      <c r="L753" s="9"/>
      <c r="M753" s="9"/>
      <c r="N753" s="9"/>
      <c r="O753" s="9"/>
      <c r="P753" s="9"/>
      <c r="Q753" s="9"/>
    </row>
    <row r="754" spans="2:17" x14ac:dyDescent="0.2">
      <c r="B754" s="7"/>
      <c r="C754" s="72"/>
      <c r="D754" s="9"/>
      <c r="E754" s="72"/>
      <c r="F754" s="9"/>
      <c r="G754" s="16"/>
      <c r="H754" s="9"/>
      <c r="I754" s="9"/>
      <c r="J754" s="9"/>
      <c r="K754" s="72"/>
      <c r="L754" s="9"/>
      <c r="M754" s="9"/>
      <c r="N754" s="9"/>
      <c r="O754" s="9"/>
      <c r="P754" s="9"/>
      <c r="Q754" s="9"/>
    </row>
    <row r="755" spans="2:17" x14ac:dyDescent="0.2">
      <c r="B755" s="7"/>
      <c r="C755" s="72"/>
      <c r="D755" s="9"/>
      <c r="E755" s="72"/>
      <c r="F755" s="9"/>
      <c r="G755" s="16"/>
      <c r="H755" s="9"/>
      <c r="I755" s="9"/>
      <c r="J755" s="9"/>
      <c r="K755" s="72"/>
      <c r="L755" s="9"/>
      <c r="M755" s="9"/>
      <c r="N755" s="9"/>
      <c r="O755" s="9"/>
      <c r="P755" s="9"/>
      <c r="Q755" s="9"/>
    </row>
    <row r="756" spans="2:17" x14ac:dyDescent="0.2">
      <c r="B756" s="7"/>
      <c r="C756" s="72"/>
      <c r="D756" s="9"/>
      <c r="E756" s="72"/>
      <c r="F756" s="9"/>
      <c r="G756" s="16"/>
      <c r="H756" s="9"/>
      <c r="I756" s="9"/>
      <c r="J756" s="9"/>
      <c r="K756" s="72"/>
      <c r="L756" s="9"/>
      <c r="M756" s="9"/>
      <c r="N756" s="9"/>
      <c r="O756" s="9"/>
      <c r="P756" s="9"/>
      <c r="Q756" s="9"/>
    </row>
    <row r="757" spans="2:17" x14ac:dyDescent="0.2">
      <c r="B757" s="7"/>
      <c r="C757" s="72"/>
      <c r="D757" s="9"/>
      <c r="E757" s="72"/>
      <c r="F757" s="9"/>
      <c r="G757" s="16"/>
      <c r="H757" s="9"/>
      <c r="I757" s="9"/>
      <c r="J757" s="9"/>
      <c r="K757" s="72"/>
      <c r="L757" s="9"/>
      <c r="M757" s="9"/>
      <c r="N757" s="9"/>
      <c r="O757" s="9"/>
      <c r="P757" s="9"/>
      <c r="Q757" s="9"/>
    </row>
    <row r="758" spans="2:17" x14ac:dyDescent="0.2">
      <c r="B758" s="7"/>
      <c r="C758" s="72"/>
      <c r="D758" s="9"/>
      <c r="E758" s="72"/>
      <c r="F758" s="9"/>
      <c r="G758" s="16"/>
      <c r="H758" s="9"/>
      <c r="I758" s="9"/>
      <c r="J758" s="9"/>
      <c r="K758" s="72"/>
      <c r="L758" s="9"/>
      <c r="M758" s="9"/>
      <c r="N758" s="9"/>
      <c r="O758" s="9"/>
      <c r="P758" s="9"/>
      <c r="Q758" s="9"/>
    </row>
    <row r="759" spans="2:17" x14ac:dyDescent="0.2">
      <c r="B759" s="7"/>
      <c r="C759" s="72"/>
      <c r="D759" s="9"/>
      <c r="E759" s="72"/>
      <c r="F759" s="9"/>
      <c r="G759" s="16"/>
      <c r="H759" s="9"/>
      <c r="I759" s="9"/>
      <c r="J759" s="9"/>
      <c r="K759" s="72"/>
      <c r="L759" s="9"/>
      <c r="M759" s="9"/>
      <c r="N759" s="9"/>
      <c r="O759" s="9"/>
      <c r="P759" s="9"/>
      <c r="Q759" s="9"/>
    </row>
    <row r="760" spans="2:17" x14ac:dyDescent="0.2">
      <c r="B760" s="7"/>
      <c r="C760" s="72"/>
      <c r="D760" s="9"/>
      <c r="E760" s="72"/>
      <c r="F760" s="9"/>
      <c r="G760" s="16"/>
      <c r="H760" s="9"/>
      <c r="I760" s="9"/>
      <c r="J760" s="9"/>
      <c r="K760" s="72"/>
      <c r="L760" s="9"/>
      <c r="M760" s="9"/>
      <c r="N760" s="9"/>
      <c r="O760" s="9"/>
      <c r="P760" s="9"/>
      <c r="Q760" s="9"/>
    </row>
    <row r="761" spans="2:17" x14ac:dyDescent="0.2">
      <c r="B761" s="7"/>
      <c r="C761" s="72"/>
      <c r="D761" s="9"/>
      <c r="E761" s="72"/>
      <c r="F761" s="9"/>
      <c r="G761" s="16"/>
      <c r="H761" s="9"/>
      <c r="I761" s="9"/>
      <c r="J761" s="9"/>
      <c r="K761" s="72"/>
      <c r="L761" s="9"/>
      <c r="M761" s="9"/>
      <c r="N761" s="9"/>
      <c r="O761" s="9"/>
      <c r="P761" s="9"/>
      <c r="Q761" s="9"/>
    </row>
    <row r="762" spans="2:17" x14ac:dyDescent="0.2">
      <c r="B762" s="7"/>
      <c r="C762" s="72"/>
      <c r="D762" s="9"/>
      <c r="E762" s="72"/>
      <c r="F762" s="9"/>
      <c r="G762" s="16"/>
      <c r="H762" s="9"/>
      <c r="I762" s="9"/>
      <c r="J762" s="9"/>
      <c r="K762" s="72"/>
      <c r="L762" s="9"/>
      <c r="M762" s="9"/>
      <c r="N762" s="9"/>
      <c r="O762" s="9"/>
      <c r="P762" s="9"/>
      <c r="Q762" s="9"/>
    </row>
    <row r="763" spans="2:17" x14ac:dyDescent="0.2">
      <c r="B763" s="7"/>
      <c r="C763" s="72"/>
      <c r="D763" s="9"/>
      <c r="E763" s="72"/>
      <c r="F763" s="9"/>
      <c r="G763" s="16"/>
      <c r="H763" s="9"/>
      <c r="I763" s="9"/>
      <c r="J763" s="9"/>
      <c r="K763" s="72"/>
      <c r="L763" s="9"/>
      <c r="M763" s="9"/>
      <c r="N763" s="9"/>
      <c r="O763" s="9"/>
      <c r="P763" s="9"/>
      <c r="Q763" s="9"/>
    </row>
    <row r="764" spans="2:17" x14ac:dyDescent="0.2">
      <c r="B764" s="7"/>
      <c r="C764" s="72"/>
      <c r="D764" s="9"/>
      <c r="E764" s="72"/>
      <c r="F764" s="9"/>
      <c r="G764" s="16"/>
      <c r="H764" s="9"/>
      <c r="I764" s="9"/>
      <c r="J764" s="9"/>
      <c r="K764" s="72"/>
      <c r="L764" s="9"/>
      <c r="M764" s="9"/>
      <c r="N764" s="9"/>
      <c r="O764" s="9"/>
      <c r="P764" s="9"/>
      <c r="Q764" s="9"/>
    </row>
    <row r="765" spans="2:17" x14ac:dyDescent="0.2">
      <c r="B765" s="7"/>
      <c r="C765" s="72"/>
      <c r="D765" s="9"/>
      <c r="E765" s="72"/>
      <c r="F765" s="9"/>
      <c r="G765" s="16"/>
      <c r="H765" s="9"/>
      <c r="I765" s="9"/>
      <c r="J765" s="9"/>
      <c r="K765" s="72"/>
      <c r="L765" s="9"/>
      <c r="M765" s="9"/>
      <c r="N765" s="9"/>
      <c r="O765" s="9"/>
      <c r="P765" s="9"/>
      <c r="Q765" s="9"/>
    </row>
    <row r="766" spans="2:17" x14ac:dyDescent="0.2">
      <c r="B766" s="7"/>
      <c r="C766" s="72"/>
      <c r="D766" s="9"/>
      <c r="E766" s="72"/>
      <c r="F766" s="9"/>
      <c r="G766" s="16"/>
      <c r="H766" s="9"/>
      <c r="I766" s="9"/>
      <c r="J766" s="9"/>
      <c r="K766" s="72"/>
      <c r="L766" s="9"/>
      <c r="M766" s="9"/>
      <c r="N766" s="9"/>
      <c r="O766" s="9"/>
      <c r="P766" s="9"/>
      <c r="Q766" s="9"/>
    </row>
    <row r="767" spans="2:17" x14ac:dyDescent="0.2">
      <c r="B767" s="7"/>
      <c r="C767" s="72"/>
      <c r="D767" s="9"/>
      <c r="E767" s="72"/>
      <c r="F767" s="9"/>
      <c r="G767" s="16"/>
      <c r="H767" s="9"/>
      <c r="I767" s="9"/>
      <c r="J767" s="9"/>
      <c r="K767" s="72"/>
      <c r="L767" s="9"/>
      <c r="M767" s="9"/>
      <c r="N767" s="9"/>
      <c r="O767" s="9"/>
      <c r="P767" s="9"/>
      <c r="Q767" s="9"/>
    </row>
    <row r="768" spans="2:17" x14ac:dyDescent="0.2">
      <c r="B768" s="7"/>
      <c r="C768" s="72"/>
      <c r="D768" s="9"/>
      <c r="E768" s="72"/>
      <c r="F768" s="9"/>
      <c r="G768" s="16"/>
      <c r="H768" s="9"/>
      <c r="I768" s="9"/>
      <c r="J768" s="9"/>
      <c r="K768" s="72"/>
      <c r="L768" s="9"/>
      <c r="M768" s="9"/>
      <c r="N768" s="9"/>
      <c r="O768" s="9"/>
      <c r="P768" s="9"/>
      <c r="Q768" s="9"/>
    </row>
    <row r="769" spans="2:17" x14ac:dyDescent="0.2">
      <c r="B769" s="7"/>
      <c r="C769" s="72"/>
      <c r="D769" s="9"/>
      <c r="E769" s="72"/>
      <c r="F769" s="9"/>
      <c r="G769" s="16"/>
      <c r="H769" s="9"/>
      <c r="I769" s="9"/>
      <c r="J769" s="9"/>
      <c r="K769" s="72"/>
      <c r="L769" s="9"/>
      <c r="M769" s="9"/>
      <c r="N769" s="9"/>
      <c r="O769" s="9"/>
      <c r="P769" s="9"/>
      <c r="Q769" s="9"/>
    </row>
    <row r="770" spans="2:17" x14ac:dyDescent="0.2">
      <c r="B770" s="7"/>
      <c r="C770" s="72"/>
      <c r="D770" s="9"/>
      <c r="E770" s="72"/>
      <c r="F770" s="9"/>
      <c r="G770" s="16"/>
      <c r="H770" s="9"/>
      <c r="I770" s="9"/>
      <c r="J770" s="9"/>
      <c r="K770" s="72"/>
      <c r="L770" s="9"/>
      <c r="M770" s="9"/>
      <c r="N770" s="9"/>
      <c r="O770" s="9"/>
      <c r="P770" s="9"/>
      <c r="Q770" s="9"/>
    </row>
    <row r="771" spans="2:17" x14ac:dyDescent="0.2">
      <c r="B771" s="7"/>
      <c r="C771" s="72"/>
      <c r="D771" s="9"/>
      <c r="E771" s="72"/>
      <c r="F771" s="9"/>
      <c r="G771" s="16"/>
      <c r="H771" s="9"/>
      <c r="I771" s="9"/>
      <c r="J771" s="9"/>
      <c r="K771" s="72"/>
      <c r="L771" s="9"/>
      <c r="M771" s="9"/>
      <c r="N771" s="9"/>
      <c r="O771" s="9"/>
      <c r="P771" s="9"/>
      <c r="Q771" s="9"/>
    </row>
    <row r="772" spans="2:17" x14ac:dyDescent="0.2">
      <c r="B772" s="7"/>
      <c r="C772" s="72"/>
      <c r="D772" s="9"/>
      <c r="E772" s="72"/>
      <c r="F772" s="9"/>
      <c r="G772" s="16"/>
      <c r="H772" s="9"/>
      <c r="I772" s="9"/>
      <c r="J772" s="9"/>
      <c r="K772" s="72"/>
      <c r="L772" s="9"/>
      <c r="M772" s="9"/>
      <c r="N772" s="9"/>
      <c r="O772" s="9"/>
      <c r="P772" s="9"/>
      <c r="Q772" s="9"/>
    </row>
    <row r="773" spans="2:17" x14ac:dyDescent="0.2">
      <c r="B773" s="7"/>
      <c r="C773" s="72"/>
      <c r="D773" s="9"/>
      <c r="E773" s="72"/>
      <c r="F773" s="9"/>
      <c r="G773" s="16"/>
      <c r="H773" s="9"/>
      <c r="I773" s="9"/>
      <c r="J773" s="9"/>
      <c r="K773" s="72"/>
      <c r="L773" s="9"/>
      <c r="M773" s="9"/>
      <c r="N773" s="9"/>
      <c r="O773" s="9"/>
      <c r="P773" s="9"/>
      <c r="Q773" s="9"/>
    </row>
    <row r="774" spans="2:17" x14ac:dyDescent="0.2">
      <c r="B774" s="7"/>
      <c r="C774" s="72"/>
      <c r="D774" s="9"/>
      <c r="E774" s="72"/>
      <c r="F774" s="9"/>
      <c r="G774" s="16"/>
      <c r="H774" s="9"/>
      <c r="I774" s="9"/>
      <c r="J774" s="9"/>
      <c r="K774" s="72"/>
      <c r="L774" s="9"/>
      <c r="M774" s="9"/>
      <c r="N774" s="9"/>
      <c r="O774" s="9"/>
      <c r="P774" s="9"/>
      <c r="Q774" s="9"/>
    </row>
    <row r="775" spans="2:17" x14ac:dyDescent="0.2">
      <c r="B775" s="7"/>
      <c r="C775" s="72"/>
      <c r="D775" s="9"/>
      <c r="E775" s="72"/>
      <c r="F775" s="9"/>
      <c r="G775" s="16"/>
      <c r="H775" s="9"/>
      <c r="I775" s="9"/>
      <c r="J775" s="9"/>
      <c r="K775" s="72"/>
      <c r="L775" s="9"/>
      <c r="M775" s="9"/>
      <c r="N775" s="9"/>
      <c r="O775" s="9"/>
      <c r="P775" s="9"/>
      <c r="Q775" s="9"/>
    </row>
    <row r="776" spans="2:17" x14ac:dyDescent="0.2">
      <c r="B776" s="7"/>
      <c r="C776" s="72"/>
      <c r="D776" s="9"/>
      <c r="E776" s="72"/>
      <c r="F776" s="9"/>
      <c r="G776" s="16"/>
      <c r="H776" s="9"/>
      <c r="I776" s="9"/>
      <c r="J776" s="9"/>
      <c r="K776" s="72"/>
      <c r="L776" s="9"/>
      <c r="M776" s="9"/>
      <c r="N776" s="9"/>
      <c r="O776" s="9"/>
      <c r="P776" s="9"/>
      <c r="Q776" s="9"/>
    </row>
    <row r="777" spans="2:17" x14ac:dyDescent="0.2">
      <c r="B777" s="7"/>
      <c r="C777" s="72"/>
      <c r="D777" s="9"/>
      <c r="E777" s="72"/>
      <c r="F777" s="9"/>
      <c r="G777" s="16"/>
      <c r="H777" s="9"/>
      <c r="I777" s="9"/>
      <c r="J777" s="9"/>
      <c r="K777" s="72"/>
      <c r="L777" s="9"/>
      <c r="M777" s="9"/>
      <c r="N777" s="9"/>
      <c r="O777" s="9"/>
      <c r="P777" s="9"/>
      <c r="Q777" s="9"/>
    </row>
    <row r="778" spans="2:17" x14ac:dyDescent="0.2">
      <c r="B778" s="7"/>
      <c r="C778" s="72"/>
      <c r="D778" s="9"/>
      <c r="E778" s="72"/>
      <c r="F778" s="9"/>
      <c r="G778" s="16"/>
      <c r="H778" s="9"/>
      <c r="I778" s="9"/>
      <c r="J778" s="9"/>
      <c r="K778" s="72"/>
      <c r="L778" s="9"/>
      <c r="M778" s="9"/>
      <c r="N778" s="9"/>
      <c r="O778" s="9"/>
      <c r="P778" s="9"/>
      <c r="Q778" s="9"/>
    </row>
    <row r="779" spans="2:17" x14ac:dyDescent="0.2">
      <c r="B779" s="7"/>
      <c r="C779" s="72"/>
      <c r="D779" s="9"/>
      <c r="E779" s="72"/>
      <c r="F779" s="9"/>
      <c r="G779" s="16"/>
      <c r="H779" s="9"/>
      <c r="I779" s="9"/>
      <c r="J779" s="9"/>
      <c r="K779" s="72"/>
      <c r="L779" s="9"/>
      <c r="M779" s="9"/>
      <c r="N779" s="9"/>
      <c r="O779" s="9"/>
      <c r="P779" s="9"/>
      <c r="Q779" s="9"/>
    </row>
    <row r="780" spans="2:17" x14ac:dyDescent="0.2">
      <c r="B780" s="7"/>
      <c r="C780" s="72"/>
      <c r="D780" s="9"/>
      <c r="E780" s="72"/>
      <c r="F780" s="9"/>
      <c r="G780" s="16"/>
      <c r="H780" s="9"/>
      <c r="I780" s="9"/>
      <c r="J780" s="9"/>
      <c r="K780" s="72"/>
      <c r="L780" s="9"/>
      <c r="M780" s="9"/>
      <c r="N780" s="9"/>
      <c r="O780" s="9"/>
      <c r="P780" s="9"/>
      <c r="Q780" s="9"/>
    </row>
    <row r="781" spans="2:17" x14ac:dyDescent="0.2">
      <c r="B781" s="7"/>
      <c r="C781" s="72"/>
      <c r="D781" s="9"/>
      <c r="E781" s="72"/>
      <c r="F781" s="9"/>
      <c r="G781" s="16"/>
      <c r="H781" s="9"/>
      <c r="I781" s="9"/>
      <c r="J781" s="9"/>
      <c r="K781" s="72"/>
      <c r="L781" s="9"/>
      <c r="M781" s="9"/>
      <c r="N781" s="9"/>
      <c r="O781" s="9"/>
      <c r="P781" s="9"/>
      <c r="Q781" s="9"/>
    </row>
    <row r="782" spans="2:17" x14ac:dyDescent="0.2">
      <c r="B782" s="7"/>
      <c r="C782" s="72"/>
      <c r="D782" s="9"/>
      <c r="E782" s="72"/>
      <c r="F782" s="9"/>
      <c r="G782" s="16"/>
      <c r="H782" s="9"/>
      <c r="I782" s="9"/>
      <c r="J782" s="9"/>
      <c r="K782" s="72"/>
      <c r="L782" s="9"/>
      <c r="M782" s="9"/>
      <c r="N782" s="9"/>
      <c r="O782" s="9"/>
      <c r="P782" s="9"/>
      <c r="Q782" s="9"/>
    </row>
    <row r="783" spans="2:17" x14ac:dyDescent="0.2">
      <c r="B783" s="7"/>
      <c r="C783" s="72"/>
      <c r="D783" s="9"/>
      <c r="E783" s="72"/>
      <c r="F783" s="9"/>
      <c r="G783" s="16"/>
      <c r="H783" s="9"/>
      <c r="I783" s="9"/>
      <c r="J783" s="9"/>
      <c r="K783" s="72"/>
      <c r="L783" s="9"/>
      <c r="M783" s="9"/>
      <c r="N783" s="9"/>
      <c r="O783" s="9"/>
      <c r="P783" s="9"/>
      <c r="Q783" s="9"/>
    </row>
    <row r="784" spans="2:17" x14ac:dyDescent="0.2">
      <c r="B784" s="7"/>
      <c r="C784" s="72"/>
      <c r="D784" s="9"/>
      <c r="E784" s="72"/>
      <c r="F784" s="9"/>
      <c r="G784" s="16"/>
      <c r="H784" s="9"/>
      <c r="I784" s="9"/>
      <c r="J784" s="9"/>
      <c r="K784" s="72"/>
      <c r="L784" s="9"/>
      <c r="M784" s="9"/>
      <c r="N784" s="9"/>
      <c r="O784" s="9"/>
      <c r="P784" s="9"/>
      <c r="Q784" s="9"/>
    </row>
    <row r="785" spans="2:17" x14ac:dyDescent="0.2">
      <c r="B785" s="7"/>
      <c r="C785" s="72"/>
      <c r="D785" s="9"/>
      <c r="E785" s="72"/>
      <c r="F785" s="9"/>
      <c r="G785" s="16"/>
      <c r="H785" s="9"/>
      <c r="I785" s="9"/>
      <c r="J785" s="9"/>
      <c r="K785" s="72"/>
      <c r="L785" s="9"/>
      <c r="M785" s="9"/>
      <c r="N785" s="9"/>
      <c r="O785" s="9"/>
      <c r="P785" s="9"/>
      <c r="Q785" s="9"/>
    </row>
    <row r="786" spans="2:17" x14ac:dyDescent="0.2">
      <c r="B786" s="7"/>
      <c r="C786" s="72"/>
      <c r="D786" s="9"/>
      <c r="E786" s="72"/>
      <c r="F786" s="9"/>
      <c r="G786" s="16"/>
      <c r="H786" s="9"/>
      <c r="I786" s="9"/>
      <c r="J786" s="9"/>
      <c r="K786" s="72"/>
      <c r="L786" s="9"/>
      <c r="M786" s="9"/>
      <c r="N786" s="9"/>
      <c r="O786" s="9"/>
      <c r="P786" s="9"/>
      <c r="Q786" s="9"/>
    </row>
    <row r="787" spans="2:17" x14ac:dyDescent="0.2">
      <c r="B787" s="7"/>
      <c r="C787" s="72"/>
      <c r="D787" s="9"/>
      <c r="E787" s="72"/>
      <c r="F787" s="9"/>
      <c r="G787" s="16"/>
      <c r="H787" s="9"/>
      <c r="I787" s="9"/>
      <c r="J787" s="9"/>
      <c r="K787" s="72"/>
      <c r="L787" s="9"/>
      <c r="M787" s="9"/>
      <c r="N787" s="9"/>
      <c r="O787" s="9"/>
      <c r="P787" s="9"/>
      <c r="Q787" s="9"/>
    </row>
    <row r="788" spans="2:17" x14ac:dyDescent="0.2">
      <c r="B788" s="7"/>
      <c r="C788" s="72"/>
      <c r="D788" s="9"/>
      <c r="E788" s="72"/>
      <c r="F788" s="9"/>
      <c r="G788" s="16"/>
      <c r="H788" s="9"/>
      <c r="I788" s="9"/>
      <c r="J788" s="9"/>
      <c r="K788" s="72"/>
      <c r="L788" s="9"/>
      <c r="M788" s="9"/>
      <c r="N788" s="9"/>
      <c r="O788" s="9"/>
      <c r="P788" s="9"/>
      <c r="Q788" s="9"/>
    </row>
    <row r="789" spans="2:17" x14ac:dyDescent="0.2">
      <c r="B789" s="7"/>
      <c r="C789" s="72"/>
      <c r="D789" s="9"/>
      <c r="E789" s="72"/>
      <c r="F789" s="9"/>
      <c r="G789" s="16"/>
      <c r="H789" s="9"/>
      <c r="I789" s="9"/>
      <c r="J789" s="9"/>
      <c r="K789" s="72"/>
      <c r="L789" s="9"/>
      <c r="M789" s="9"/>
      <c r="N789" s="9"/>
      <c r="O789" s="9"/>
      <c r="P789" s="9"/>
      <c r="Q789" s="9"/>
    </row>
    <row r="790" spans="2:17" x14ac:dyDescent="0.2">
      <c r="B790" s="7"/>
      <c r="C790" s="72"/>
      <c r="D790" s="9"/>
      <c r="E790" s="72"/>
      <c r="F790" s="9"/>
      <c r="G790" s="16"/>
      <c r="H790" s="9"/>
      <c r="I790" s="9"/>
      <c r="J790" s="9"/>
      <c r="K790" s="72"/>
      <c r="L790" s="9"/>
      <c r="M790" s="9"/>
      <c r="N790" s="9"/>
      <c r="O790" s="9"/>
      <c r="P790" s="9"/>
      <c r="Q790" s="9"/>
    </row>
    <row r="791" spans="2:17" x14ac:dyDescent="0.2">
      <c r="B791" s="7"/>
      <c r="C791" s="72"/>
      <c r="D791" s="9"/>
      <c r="E791" s="72"/>
      <c r="F791" s="9"/>
      <c r="G791" s="16"/>
      <c r="H791" s="9"/>
      <c r="I791" s="9"/>
      <c r="J791" s="9"/>
      <c r="K791" s="72"/>
      <c r="L791" s="9"/>
      <c r="M791" s="9"/>
      <c r="N791" s="9"/>
      <c r="O791" s="9"/>
      <c r="P791" s="9"/>
      <c r="Q791" s="9"/>
    </row>
    <row r="792" spans="2:17" x14ac:dyDescent="0.2">
      <c r="B792" s="7"/>
      <c r="C792" s="72"/>
      <c r="D792" s="9"/>
      <c r="E792" s="72"/>
      <c r="F792" s="9"/>
      <c r="G792" s="16"/>
      <c r="H792" s="9"/>
      <c r="I792" s="9"/>
      <c r="J792" s="9"/>
      <c r="K792" s="72"/>
      <c r="L792" s="9"/>
      <c r="M792" s="9"/>
      <c r="N792" s="9"/>
      <c r="O792" s="9"/>
      <c r="P792" s="9"/>
      <c r="Q792" s="9"/>
    </row>
    <row r="793" spans="2:17" x14ac:dyDescent="0.2">
      <c r="B793" s="7"/>
      <c r="C793" s="72"/>
      <c r="D793" s="9"/>
      <c r="E793" s="72"/>
      <c r="F793" s="9"/>
      <c r="G793" s="16"/>
      <c r="H793" s="9"/>
      <c r="I793" s="9"/>
      <c r="J793" s="9"/>
      <c r="K793" s="72"/>
      <c r="L793" s="9"/>
      <c r="M793" s="9"/>
      <c r="N793" s="9"/>
      <c r="O793" s="9"/>
      <c r="P793" s="9"/>
      <c r="Q793" s="9"/>
    </row>
    <row r="794" spans="2:17" x14ac:dyDescent="0.2">
      <c r="B794" s="7"/>
      <c r="C794" s="72"/>
      <c r="D794" s="9"/>
      <c r="E794" s="72"/>
      <c r="F794" s="9"/>
      <c r="G794" s="16"/>
      <c r="H794" s="9"/>
      <c r="I794" s="9"/>
      <c r="J794" s="9"/>
      <c r="K794" s="72"/>
      <c r="L794" s="9"/>
      <c r="M794" s="9"/>
      <c r="N794" s="9"/>
      <c r="O794" s="9"/>
      <c r="P794" s="9"/>
      <c r="Q794" s="9"/>
    </row>
    <row r="795" spans="2:17" x14ac:dyDescent="0.2">
      <c r="B795" s="7"/>
      <c r="C795" s="72"/>
      <c r="D795" s="9"/>
      <c r="E795" s="72"/>
      <c r="F795" s="9"/>
      <c r="G795" s="16"/>
      <c r="H795" s="9"/>
      <c r="I795" s="9"/>
      <c r="J795" s="9"/>
      <c r="K795" s="72"/>
      <c r="L795" s="9"/>
      <c r="M795" s="9"/>
      <c r="N795" s="9"/>
      <c r="O795" s="9"/>
      <c r="P795" s="9"/>
      <c r="Q795" s="9"/>
    </row>
    <row r="796" spans="2:17" x14ac:dyDescent="0.2">
      <c r="B796" s="7"/>
      <c r="C796" s="72"/>
      <c r="D796" s="9"/>
      <c r="E796" s="72"/>
      <c r="F796" s="9"/>
      <c r="G796" s="16"/>
      <c r="H796" s="9"/>
      <c r="I796" s="9"/>
      <c r="J796" s="9"/>
      <c r="K796" s="72"/>
      <c r="L796" s="9"/>
      <c r="M796" s="9"/>
      <c r="N796" s="9"/>
      <c r="O796" s="9"/>
      <c r="P796" s="9"/>
      <c r="Q796" s="9"/>
    </row>
    <row r="797" spans="2:17" x14ac:dyDescent="0.2">
      <c r="B797" s="7"/>
      <c r="C797" s="72"/>
      <c r="D797" s="9"/>
      <c r="E797" s="72"/>
      <c r="F797" s="9"/>
      <c r="G797" s="16"/>
      <c r="H797" s="9"/>
      <c r="I797" s="9"/>
      <c r="J797" s="9"/>
      <c r="K797" s="72"/>
      <c r="L797" s="9"/>
      <c r="M797" s="9"/>
      <c r="N797" s="9"/>
      <c r="O797" s="9"/>
      <c r="P797" s="9"/>
      <c r="Q797" s="9"/>
    </row>
    <row r="798" spans="2:17" x14ac:dyDescent="0.2">
      <c r="B798" s="7"/>
      <c r="C798" s="72"/>
      <c r="D798" s="9"/>
      <c r="E798" s="72"/>
      <c r="F798" s="9"/>
      <c r="G798" s="16"/>
      <c r="H798" s="9"/>
      <c r="I798" s="9"/>
      <c r="J798" s="9"/>
      <c r="K798" s="72"/>
      <c r="L798" s="9"/>
      <c r="M798" s="9"/>
      <c r="N798" s="9"/>
      <c r="O798" s="9"/>
      <c r="P798" s="9"/>
      <c r="Q798" s="9"/>
    </row>
    <row r="799" spans="2:17" x14ac:dyDescent="0.2">
      <c r="B799" s="7"/>
      <c r="C799" s="72"/>
      <c r="D799" s="9"/>
      <c r="E799" s="72"/>
      <c r="F799" s="9"/>
      <c r="G799" s="16"/>
      <c r="H799" s="9"/>
      <c r="I799" s="9"/>
      <c r="J799" s="9"/>
      <c r="K799" s="72"/>
      <c r="L799" s="9"/>
      <c r="M799" s="9"/>
      <c r="N799" s="9"/>
      <c r="O799" s="9"/>
      <c r="P799" s="9"/>
      <c r="Q799" s="9"/>
    </row>
    <row r="800" spans="2:17" x14ac:dyDescent="0.2">
      <c r="B800" s="7"/>
      <c r="C800" s="72"/>
      <c r="D800" s="9"/>
      <c r="E800" s="72"/>
      <c r="F800" s="9"/>
      <c r="G800" s="16"/>
      <c r="H800" s="9"/>
      <c r="I800" s="9"/>
      <c r="J800" s="9"/>
      <c r="K800" s="72"/>
      <c r="L800" s="9"/>
      <c r="M800" s="9"/>
      <c r="N800" s="9"/>
      <c r="O800" s="9"/>
      <c r="P800" s="9"/>
      <c r="Q800" s="9"/>
    </row>
    <row r="801" spans="2:17" x14ac:dyDescent="0.2">
      <c r="B801" s="7"/>
      <c r="C801" s="72"/>
      <c r="D801" s="9"/>
      <c r="E801" s="72"/>
      <c r="F801" s="9"/>
      <c r="G801" s="16"/>
      <c r="H801" s="9"/>
      <c r="I801" s="9"/>
      <c r="J801" s="9"/>
      <c r="K801" s="72"/>
      <c r="L801" s="9"/>
      <c r="M801" s="9"/>
      <c r="N801" s="9"/>
      <c r="O801" s="9"/>
      <c r="P801" s="9"/>
      <c r="Q801" s="9"/>
    </row>
    <row r="802" spans="2:17" x14ac:dyDescent="0.2">
      <c r="B802" s="7"/>
      <c r="C802" s="72"/>
      <c r="D802" s="9"/>
      <c r="E802" s="72"/>
      <c r="F802" s="9"/>
      <c r="G802" s="16"/>
      <c r="H802" s="9"/>
      <c r="I802" s="9"/>
      <c r="J802" s="9"/>
      <c r="K802" s="72"/>
      <c r="L802" s="9"/>
      <c r="M802" s="9"/>
      <c r="N802" s="9"/>
      <c r="O802" s="9"/>
      <c r="P802" s="9"/>
      <c r="Q802" s="9"/>
    </row>
    <row r="803" spans="2:17" x14ac:dyDescent="0.2">
      <c r="B803" s="7"/>
      <c r="C803" s="72"/>
      <c r="D803" s="9"/>
      <c r="E803" s="72"/>
      <c r="F803" s="9"/>
      <c r="G803" s="16"/>
      <c r="H803" s="9"/>
      <c r="I803" s="9"/>
      <c r="J803" s="9"/>
      <c r="K803" s="72"/>
      <c r="L803" s="9"/>
      <c r="M803" s="9"/>
      <c r="N803" s="9"/>
      <c r="O803" s="9"/>
      <c r="P803" s="9"/>
      <c r="Q803" s="9"/>
    </row>
    <row r="804" spans="2:17" x14ac:dyDescent="0.2">
      <c r="B804" s="7"/>
      <c r="C804" s="72"/>
      <c r="D804" s="9"/>
      <c r="E804" s="72"/>
      <c r="F804" s="9"/>
      <c r="G804" s="16"/>
      <c r="H804" s="9"/>
      <c r="I804" s="9"/>
      <c r="J804" s="9"/>
      <c r="K804" s="72"/>
      <c r="L804" s="9"/>
      <c r="M804" s="9"/>
      <c r="N804" s="9"/>
      <c r="O804" s="9"/>
      <c r="P804" s="9"/>
      <c r="Q804" s="9"/>
    </row>
    <row r="805" spans="2:17" x14ac:dyDescent="0.2">
      <c r="B805" s="7"/>
      <c r="C805" s="72"/>
      <c r="D805" s="9"/>
      <c r="E805" s="72"/>
      <c r="F805" s="9"/>
      <c r="G805" s="16"/>
      <c r="H805" s="9"/>
      <c r="I805" s="9"/>
      <c r="J805" s="9"/>
      <c r="K805" s="72"/>
      <c r="L805" s="9"/>
      <c r="M805" s="9"/>
      <c r="N805" s="9"/>
      <c r="O805" s="9"/>
      <c r="P805" s="9"/>
      <c r="Q805" s="9"/>
    </row>
    <row r="806" spans="2:17" x14ac:dyDescent="0.2">
      <c r="B806" s="7"/>
      <c r="C806" s="72"/>
      <c r="D806" s="9"/>
      <c r="E806" s="72"/>
      <c r="F806" s="9"/>
      <c r="G806" s="16"/>
      <c r="H806" s="9"/>
      <c r="I806" s="9"/>
      <c r="J806" s="9"/>
      <c r="K806" s="72"/>
      <c r="L806" s="9"/>
      <c r="M806" s="9"/>
      <c r="N806" s="9"/>
      <c r="O806" s="9"/>
      <c r="P806" s="9"/>
      <c r="Q806" s="9"/>
    </row>
    <row r="807" spans="2:17" x14ac:dyDescent="0.2">
      <c r="B807" s="7"/>
      <c r="C807" s="72"/>
      <c r="D807" s="9"/>
      <c r="E807" s="72"/>
      <c r="F807" s="9"/>
      <c r="G807" s="16"/>
      <c r="H807" s="9"/>
      <c r="I807" s="9"/>
      <c r="J807" s="9"/>
      <c r="K807" s="72"/>
      <c r="L807" s="9"/>
      <c r="M807" s="9"/>
      <c r="N807" s="9"/>
      <c r="O807" s="9"/>
      <c r="P807" s="9"/>
      <c r="Q807" s="9"/>
    </row>
    <row r="808" spans="2:17" x14ac:dyDescent="0.2">
      <c r="B808" s="7"/>
      <c r="C808" s="72"/>
      <c r="D808" s="9"/>
      <c r="E808" s="72"/>
      <c r="F808" s="9"/>
      <c r="G808" s="16"/>
      <c r="H808" s="9"/>
      <c r="I808" s="9"/>
      <c r="J808" s="9"/>
      <c r="K808" s="72"/>
      <c r="L808" s="9"/>
      <c r="M808" s="9"/>
      <c r="N808" s="9"/>
      <c r="O808" s="9"/>
      <c r="P808" s="9"/>
      <c r="Q808" s="9"/>
    </row>
    <row r="809" spans="2:17" x14ac:dyDescent="0.2">
      <c r="B809" s="7"/>
      <c r="C809" s="72"/>
      <c r="D809" s="9"/>
      <c r="E809" s="72"/>
      <c r="F809" s="9"/>
      <c r="G809" s="16"/>
      <c r="H809" s="9"/>
      <c r="I809" s="9"/>
      <c r="J809" s="9"/>
      <c r="K809" s="72"/>
      <c r="L809" s="9"/>
      <c r="M809" s="9"/>
      <c r="N809" s="9"/>
      <c r="O809" s="9"/>
      <c r="P809" s="9"/>
      <c r="Q809" s="9"/>
    </row>
    <row r="810" spans="2:17" x14ac:dyDescent="0.2">
      <c r="B810" s="7"/>
      <c r="C810" s="72"/>
      <c r="D810" s="9"/>
      <c r="E810" s="72"/>
      <c r="F810" s="9"/>
      <c r="G810" s="16"/>
      <c r="H810" s="9"/>
      <c r="I810" s="9"/>
      <c r="J810" s="9"/>
      <c r="K810" s="72"/>
      <c r="L810" s="9"/>
      <c r="M810" s="9"/>
      <c r="N810" s="9"/>
      <c r="O810" s="9"/>
      <c r="P810" s="9"/>
      <c r="Q810" s="9"/>
    </row>
    <row r="811" spans="2:17" x14ac:dyDescent="0.2">
      <c r="B811" s="7"/>
      <c r="C811" s="72"/>
      <c r="D811" s="9"/>
      <c r="E811" s="72"/>
      <c r="F811" s="9"/>
      <c r="G811" s="16"/>
      <c r="H811" s="9"/>
      <c r="I811" s="9"/>
      <c r="J811" s="9"/>
      <c r="K811" s="72"/>
      <c r="L811" s="9"/>
      <c r="M811" s="9"/>
      <c r="N811" s="9"/>
      <c r="O811" s="9"/>
      <c r="P811" s="9"/>
      <c r="Q811" s="9"/>
    </row>
    <row r="812" spans="2:17" x14ac:dyDescent="0.2">
      <c r="B812" s="7"/>
      <c r="C812" s="72"/>
      <c r="D812" s="9"/>
      <c r="E812" s="72"/>
      <c r="F812" s="9"/>
      <c r="G812" s="16"/>
      <c r="H812" s="9"/>
      <c r="I812" s="9"/>
      <c r="J812" s="9"/>
      <c r="K812" s="72"/>
      <c r="L812" s="9"/>
      <c r="M812" s="9"/>
      <c r="N812" s="9"/>
      <c r="O812" s="9"/>
      <c r="P812" s="9"/>
      <c r="Q812" s="9"/>
    </row>
    <row r="813" spans="2:17" x14ac:dyDescent="0.2">
      <c r="B813" s="7"/>
      <c r="C813" s="72"/>
      <c r="D813" s="9"/>
      <c r="E813" s="72"/>
      <c r="F813" s="9"/>
      <c r="G813" s="16"/>
      <c r="H813" s="9"/>
      <c r="I813" s="9"/>
      <c r="J813" s="9"/>
      <c r="K813" s="72"/>
      <c r="L813" s="9"/>
      <c r="M813" s="9"/>
      <c r="N813" s="9"/>
      <c r="O813" s="9"/>
      <c r="P813" s="9"/>
      <c r="Q813" s="9"/>
    </row>
    <row r="814" spans="2:17" x14ac:dyDescent="0.2">
      <c r="B814" s="7"/>
      <c r="C814" s="72"/>
      <c r="D814" s="9"/>
      <c r="E814" s="72"/>
      <c r="F814" s="9"/>
      <c r="G814" s="16"/>
      <c r="H814" s="9"/>
      <c r="I814" s="9"/>
      <c r="J814" s="9"/>
      <c r="K814" s="72"/>
      <c r="L814" s="9"/>
      <c r="M814" s="9"/>
      <c r="N814" s="9"/>
      <c r="O814" s="9"/>
      <c r="P814" s="9"/>
      <c r="Q814" s="9"/>
    </row>
    <row r="815" spans="2:17" x14ac:dyDescent="0.2">
      <c r="B815" s="7"/>
      <c r="C815" s="72"/>
      <c r="D815" s="9"/>
      <c r="E815" s="72"/>
      <c r="F815" s="9"/>
      <c r="G815" s="16"/>
      <c r="H815" s="9"/>
      <c r="I815" s="9"/>
      <c r="J815" s="9"/>
      <c r="K815" s="72"/>
      <c r="L815" s="9"/>
      <c r="M815" s="9"/>
      <c r="N815" s="9"/>
      <c r="O815" s="9"/>
      <c r="P815" s="9"/>
      <c r="Q815" s="9"/>
    </row>
    <row r="816" spans="2:17" x14ac:dyDescent="0.2">
      <c r="B816" s="7"/>
      <c r="C816" s="72"/>
      <c r="D816" s="9"/>
      <c r="E816" s="72"/>
      <c r="F816" s="9"/>
      <c r="G816" s="16"/>
      <c r="H816" s="9"/>
      <c r="I816" s="9"/>
      <c r="J816" s="9"/>
      <c r="K816" s="72"/>
      <c r="L816" s="9"/>
      <c r="M816" s="9"/>
      <c r="N816" s="9"/>
      <c r="O816" s="9"/>
      <c r="P816" s="9"/>
      <c r="Q816" s="9"/>
    </row>
    <row r="817" spans="2:17" x14ac:dyDescent="0.2">
      <c r="B817" s="7"/>
      <c r="C817" s="72"/>
      <c r="D817" s="9"/>
      <c r="E817" s="72"/>
      <c r="F817" s="9"/>
      <c r="G817" s="16"/>
      <c r="H817" s="9"/>
      <c r="I817" s="9"/>
      <c r="J817" s="9"/>
      <c r="K817" s="72"/>
      <c r="L817" s="9"/>
      <c r="M817" s="9"/>
      <c r="N817" s="9"/>
      <c r="O817" s="9"/>
      <c r="P817" s="9"/>
      <c r="Q817" s="9"/>
    </row>
    <row r="818" spans="2:17" x14ac:dyDescent="0.2">
      <c r="B818" s="7"/>
      <c r="C818" s="72"/>
      <c r="D818" s="9"/>
      <c r="E818" s="72"/>
      <c r="F818" s="9"/>
      <c r="G818" s="16"/>
      <c r="H818" s="9"/>
      <c r="I818" s="9"/>
      <c r="J818" s="9"/>
      <c r="K818" s="72"/>
      <c r="L818" s="9"/>
      <c r="M818" s="9"/>
      <c r="N818" s="9"/>
      <c r="O818" s="9"/>
      <c r="P818" s="9"/>
      <c r="Q818" s="9"/>
    </row>
    <row r="819" spans="2:17" x14ac:dyDescent="0.2">
      <c r="B819" s="7"/>
      <c r="C819" s="72"/>
      <c r="D819" s="9"/>
      <c r="E819" s="72"/>
      <c r="F819" s="9"/>
      <c r="G819" s="16"/>
      <c r="H819" s="9"/>
      <c r="I819" s="9"/>
      <c r="J819" s="9"/>
      <c r="K819" s="72"/>
      <c r="L819" s="9"/>
      <c r="M819" s="9"/>
      <c r="N819" s="9"/>
      <c r="O819" s="9"/>
      <c r="P819" s="9"/>
      <c r="Q819" s="9"/>
    </row>
    <row r="820" spans="2:17" x14ac:dyDescent="0.2">
      <c r="B820" s="7"/>
      <c r="C820" s="72"/>
      <c r="D820" s="9"/>
      <c r="E820" s="72"/>
      <c r="F820" s="9"/>
      <c r="G820" s="16"/>
      <c r="H820" s="9"/>
      <c r="I820" s="9"/>
      <c r="J820" s="9"/>
      <c r="K820" s="72"/>
      <c r="L820" s="9"/>
      <c r="M820" s="9"/>
      <c r="N820" s="9"/>
      <c r="O820" s="9"/>
      <c r="P820" s="9"/>
      <c r="Q820" s="9"/>
    </row>
    <row r="821" spans="2:17" x14ac:dyDescent="0.2">
      <c r="B821" s="7"/>
      <c r="C821" s="72"/>
      <c r="D821" s="9"/>
      <c r="E821" s="72"/>
      <c r="F821" s="9"/>
      <c r="G821" s="16"/>
      <c r="H821" s="9"/>
      <c r="I821" s="9"/>
      <c r="J821" s="9"/>
      <c r="K821" s="72"/>
      <c r="L821" s="9"/>
      <c r="M821" s="9"/>
      <c r="N821" s="9"/>
      <c r="O821" s="9"/>
      <c r="P821" s="9"/>
      <c r="Q821" s="9"/>
    </row>
    <row r="822" spans="2:17" x14ac:dyDescent="0.2">
      <c r="B822" s="7"/>
      <c r="C822" s="72"/>
      <c r="D822" s="9"/>
      <c r="E822" s="72"/>
      <c r="F822" s="9"/>
      <c r="G822" s="16"/>
      <c r="H822" s="9"/>
      <c r="I822" s="9"/>
      <c r="J822" s="9"/>
      <c r="K822" s="72"/>
      <c r="L822" s="9"/>
      <c r="M822" s="9"/>
      <c r="N822" s="9"/>
      <c r="O822" s="9"/>
      <c r="P822" s="9"/>
      <c r="Q822" s="9"/>
    </row>
    <row r="823" spans="2:17" x14ac:dyDescent="0.2">
      <c r="B823" s="7"/>
      <c r="C823" s="72"/>
      <c r="D823" s="9"/>
      <c r="E823" s="72"/>
      <c r="F823" s="9"/>
      <c r="G823" s="16"/>
      <c r="H823" s="9"/>
      <c r="I823" s="9"/>
      <c r="J823" s="9"/>
      <c r="K823" s="72"/>
      <c r="L823" s="9"/>
      <c r="M823" s="9"/>
      <c r="N823" s="9"/>
      <c r="O823" s="9"/>
      <c r="P823" s="9"/>
      <c r="Q823" s="9"/>
    </row>
    <row r="824" spans="2:17" x14ac:dyDescent="0.2">
      <c r="B824" s="7"/>
      <c r="C824" s="72"/>
      <c r="D824" s="9"/>
      <c r="E824" s="72"/>
      <c r="F824" s="9"/>
      <c r="G824" s="16"/>
      <c r="H824" s="9"/>
      <c r="I824" s="9"/>
      <c r="J824" s="9"/>
      <c r="K824" s="72"/>
      <c r="L824" s="9"/>
      <c r="M824" s="9"/>
      <c r="N824" s="9"/>
      <c r="O824" s="9"/>
      <c r="P824" s="9"/>
      <c r="Q824" s="9"/>
    </row>
    <row r="825" spans="2:17" x14ac:dyDescent="0.2">
      <c r="B825" s="7"/>
      <c r="C825" s="72"/>
      <c r="D825" s="9"/>
      <c r="E825" s="72"/>
      <c r="F825" s="9"/>
      <c r="G825" s="16"/>
      <c r="H825" s="9"/>
      <c r="I825" s="9"/>
      <c r="J825" s="9"/>
      <c r="K825" s="72"/>
      <c r="L825" s="9"/>
      <c r="M825" s="9"/>
      <c r="N825" s="9"/>
      <c r="O825" s="9"/>
      <c r="P825" s="9"/>
      <c r="Q825" s="9"/>
    </row>
    <row r="826" spans="2:17" x14ac:dyDescent="0.2">
      <c r="B826" s="7"/>
      <c r="C826" s="72"/>
      <c r="D826" s="9"/>
      <c r="E826" s="72"/>
      <c r="F826" s="9"/>
      <c r="G826" s="16"/>
      <c r="H826" s="9"/>
      <c r="I826" s="9"/>
      <c r="J826" s="9"/>
      <c r="K826" s="72"/>
      <c r="L826" s="9"/>
      <c r="M826" s="9"/>
      <c r="N826" s="9"/>
      <c r="O826" s="9"/>
      <c r="P826" s="9"/>
      <c r="Q826" s="9"/>
    </row>
    <row r="827" spans="2:17" x14ac:dyDescent="0.2">
      <c r="B827" s="7"/>
      <c r="C827" s="72"/>
      <c r="D827" s="9"/>
      <c r="E827" s="72"/>
      <c r="F827" s="9"/>
      <c r="G827" s="16"/>
      <c r="H827" s="9"/>
      <c r="I827" s="9"/>
      <c r="J827" s="9"/>
      <c r="K827" s="72"/>
      <c r="L827" s="9"/>
      <c r="M827" s="9"/>
      <c r="N827" s="9"/>
      <c r="O827" s="9"/>
      <c r="P827" s="9"/>
      <c r="Q827" s="9"/>
    </row>
    <row r="828" spans="2:17" x14ac:dyDescent="0.2">
      <c r="B828" s="7"/>
      <c r="C828" s="72"/>
      <c r="D828" s="9"/>
      <c r="E828" s="72"/>
      <c r="F828" s="9"/>
      <c r="G828" s="16"/>
      <c r="H828" s="9"/>
      <c r="I828" s="9"/>
      <c r="J828" s="9"/>
      <c r="K828" s="72"/>
      <c r="L828" s="9"/>
      <c r="M828" s="9"/>
      <c r="N828" s="9"/>
      <c r="O828" s="9"/>
      <c r="P828" s="9"/>
      <c r="Q828" s="9"/>
    </row>
    <row r="829" spans="2:17" x14ac:dyDescent="0.2">
      <c r="B829" s="7"/>
      <c r="C829" s="72"/>
      <c r="D829" s="9"/>
      <c r="E829" s="72"/>
      <c r="F829" s="9"/>
      <c r="G829" s="16"/>
      <c r="H829" s="9"/>
      <c r="I829" s="9"/>
      <c r="J829" s="9"/>
      <c r="K829" s="72"/>
      <c r="L829" s="9"/>
      <c r="M829" s="9"/>
      <c r="N829" s="9"/>
      <c r="O829" s="9"/>
      <c r="P829" s="9"/>
      <c r="Q829" s="9"/>
    </row>
    <row r="830" spans="2:17" x14ac:dyDescent="0.2">
      <c r="B830" s="7"/>
      <c r="C830" s="72"/>
      <c r="D830" s="9"/>
      <c r="E830" s="72"/>
      <c r="F830" s="9"/>
      <c r="G830" s="16"/>
      <c r="H830" s="9"/>
      <c r="I830" s="9"/>
      <c r="J830" s="9"/>
      <c r="K830" s="72"/>
      <c r="L830" s="9"/>
      <c r="M830" s="9"/>
      <c r="N830" s="9"/>
      <c r="O830" s="9"/>
      <c r="P830" s="9"/>
      <c r="Q830" s="9"/>
    </row>
    <row r="831" spans="2:17" x14ac:dyDescent="0.2">
      <c r="B831" s="7"/>
      <c r="C831" s="72"/>
      <c r="D831" s="9"/>
      <c r="E831" s="72"/>
      <c r="F831" s="9"/>
      <c r="G831" s="16"/>
      <c r="H831" s="9"/>
      <c r="I831" s="9"/>
      <c r="J831" s="9"/>
      <c r="K831" s="72"/>
      <c r="L831" s="9"/>
      <c r="M831" s="9"/>
      <c r="N831" s="9"/>
      <c r="O831" s="9"/>
      <c r="P831" s="9"/>
      <c r="Q831" s="9"/>
    </row>
    <row r="832" spans="2:17" x14ac:dyDescent="0.2">
      <c r="B832" s="7"/>
      <c r="C832" s="72"/>
      <c r="D832" s="9"/>
      <c r="E832" s="72"/>
      <c r="F832" s="9"/>
      <c r="G832" s="16"/>
      <c r="H832" s="9"/>
      <c r="I832" s="9"/>
      <c r="J832" s="9"/>
      <c r="K832" s="72"/>
      <c r="L832" s="9"/>
      <c r="M832" s="9"/>
      <c r="N832" s="9"/>
      <c r="O832" s="9"/>
      <c r="P832" s="9"/>
      <c r="Q832" s="9"/>
    </row>
    <row r="833" spans="2:17" x14ac:dyDescent="0.2">
      <c r="B833" s="7"/>
      <c r="C833" s="72"/>
      <c r="D833" s="9"/>
      <c r="E833" s="72"/>
      <c r="F833" s="9"/>
      <c r="G833" s="16"/>
      <c r="H833" s="9"/>
      <c r="I833" s="9"/>
      <c r="J833" s="9"/>
      <c r="K833" s="72"/>
      <c r="L833" s="9"/>
      <c r="M833" s="9"/>
      <c r="N833" s="9"/>
      <c r="O833" s="9"/>
      <c r="P833" s="9"/>
      <c r="Q833" s="9"/>
    </row>
    <row r="834" spans="2:17" x14ac:dyDescent="0.2">
      <c r="B834" s="7"/>
      <c r="C834" s="72"/>
      <c r="D834" s="9"/>
      <c r="E834" s="72"/>
      <c r="F834" s="9"/>
      <c r="G834" s="16"/>
      <c r="H834" s="9"/>
      <c r="I834" s="9"/>
      <c r="J834" s="9"/>
      <c r="K834" s="72"/>
      <c r="L834" s="9"/>
      <c r="M834" s="9"/>
      <c r="N834" s="9"/>
      <c r="O834" s="9"/>
      <c r="P834" s="9"/>
      <c r="Q834" s="9"/>
    </row>
    <row r="835" spans="2:17" x14ac:dyDescent="0.2">
      <c r="B835" s="7"/>
      <c r="C835" s="72"/>
      <c r="D835" s="9"/>
      <c r="E835" s="72"/>
      <c r="F835" s="9"/>
      <c r="G835" s="16"/>
      <c r="H835" s="9"/>
      <c r="I835" s="9"/>
      <c r="J835" s="9"/>
      <c r="K835" s="72"/>
      <c r="L835" s="9"/>
      <c r="M835" s="9"/>
      <c r="N835" s="9"/>
      <c r="O835" s="9"/>
      <c r="P835" s="9"/>
      <c r="Q835" s="9"/>
    </row>
    <row r="836" spans="2:17" x14ac:dyDescent="0.2">
      <c r="B836" s="7"/>
      <c r="C836" s="72"/>
      <c r="D836" s="9"/>
      <c r="E836" s="72"/>
      <c r="F836" s="9"/>
      <c r="G836" s="16"/>
      <c r="H836" s="9"/>
      <c r="I836" s="9"/>
      <c r="J836" s="9"/>
      <c r="K836" s="72"/>
      <c r="L836" s="9"/>
      <c r="M836" s="9"/>
      <c r="N836" s="9"/>
      <c r="O836" s="9"/>
      <c r="P836" s="9"/>
      <c r="Q836" s="9"/>
    </row>
    <row r="837" spans="2:17" x14ac:dyDescent="0.2">
      <c r="B837" s="7"/>
      <c r="C837" s="72"/>
      <c r="D837" s="9"/>
      <c r="E837" s="72"/>
      <c r="F837" s="9"/>
      <c r="G837" s="16"/>
      <c r="H837" s="9"/>
      <c r="I837" s="9"/>
      <c r="J837" s="9"/>
      <c r="K837" s="72"/>
      <c r="L837" s="9"/>
      <c r="M837" s="9"/>
      <c r="N837" s="9"/>
      <c r="O837" s="9"/>
      <c r="P837" s="9"/>
      <c r="Q837" s="9"/>
    </row>
    <row r="838" spans="2:17" x14ac:dyDescent="0.2">
      <c r="B838" s="7"/>
      <c r="C838" s="72"/>
      <c r="D838" s="9"/>
      <c r="E838" s="72"/>
      <c r="F838" s="9"/>
      <c r="G838" s="16"/>
      <c r="H838" s="9"/>
      <c r="I838" s="9"/>
      <c r="J838" s="9"/>
      <c r="K838" s="72"/>
      <c r="L838" s="9"/>
      <c r="M838" s="9"/>
      <c r="N838" s="9"/>
      <c r="O838" s="9"/>
      <c r="P838" s="9"/>
      <c r="Q838" s="9"/>
    </row>
    <row r="839" spans="2:17" x14ac:dyDescent="0.2">
      <c r="B839" s="7"/>
      <c r="C839" s="72"/>
      <c r="D839" s="9"/>
      <c r="E839" s="72"/>
      <c r="F839" s="9"/>
      <c r="G839" s="16"/>
      <c r="H839" s="9"/>
      <c r="I839" s="9"/>
      <c r="J839" s="9"/>
      <c r="K839" s="72"/>
      <c r="L839" s="9"/>
      <c r="M839" s="9"/>
      <c r="N839" s="9"/>
      <c r="O839" s="9"/>
      <c r="P839" s="9"/>
      <c r="Q839" s="9"/>
    </row>
    <row r="840" spans="2:17" x14ac:dyDescent="0.2">
      <c r="B840" s="7"/>
      <c r="C840" s="72"/>
      <c r="D840" s="9"/>
      <c r="E840" s="72"/>
      <c r="F840" s="9"/>
      <c r="G840" s="16"/>
      <c r="H840" s="9"/>
      <c r="I840" s="9"/>
      <c r="J840" s="9"/>
      <c r="K840" s="72"/>
      <c r="L840" s="9"/>
      <c r="M840" s="9"/>
      <c r="N840" s="9"/>
      <c r="O840" s="9"/>
      <c r="P840" s="9"/>
      <c r="Q840" s="9"/>
    </row>
    <row r="841" spans="2:17" x14ac:dyDescent="0.2">
      <c r="B841" s="7"/>
      <c r="C841" s="72"/>
      <c r="D841" s="9"/>
      <c r="E841" s="72"/>
      <c r="F841" s="9"/>
      <c r="G841" s="16"/>
      <c r="H841" s="9"/>
      <c r="I841" s="9"/>
      <c r="J841" s="9"/>
      <c r="K841" s="72"/>
      <c r="L841" s="9"/>
      <c r="M841" s="9"/>
      <c r="N841" s="9"/>
      <c r="O841" s="9"/>
      <c r="P841" s="9"/>
      <c r="Q841" s="9"/>
    </row>
    <row r="842" spans="2:17" x14ac:dyDescent="0.2">
      <c r="B842" s="7"/>
      <c r="C842" s="72"/>
      <c r="D842" s="9"/>
      <c r="E842" s="72"/>
      <c r="F842" s="9"/>
      <c r="G842" s="16"/>
      <c r="H842" s="9"/>
      <c r="I842" s="9"/>
      <c r="J842" s="9"/>
      <c r="K842" s="72"/>
      <c r="L842" s="9"/>
      <c r="M842" s="9"/>
      <c r="N842" s="9"/>
      <c r="O842" s="9"/>
      <c r="P842" s="9"/>
      <c r="Q842" s="9"/>
    </row>
    <row r="843" spans="2:17" x14ac:dyDescent="0.2">
      <c r="B843" s="7"/>
      <c r="C843" s="72"/>
      <c r="D843" s="9"/>
      <c r="E843" s="72"/>
      <c r="F843" s="9"/>
      <c r="G843" s="16"/>
      <c r="H843" s="9"/>
      <c r="I843" s="9"/>
      <c r="J843" s="9"/>
      <c r="K843" s="72"/>
      <c r="L843" s="9"/>
      <c r="M843" s="9"/>
      <c r="N843" s="9"/>
      <c r="O843" s="9"/>
      <c r="P843" s="9"/>
      <c r="Q843" s="9"/>
    </row>
    <row r="844" spans="2:17" x14ac:dyDescent="0.2">
      <c r="B844" s="7"/>
      <c r="C844" s="72"/>
      <c r="D844" s="9"/>
      <c r="E844" s="72"/>
      <c r="F844" s="9"/>
      <c r="G844" s="16"/>
      <c r="H844" s="9"/>
      <c r="I844" s="9"/>
      <c r="J844" s="9"/>
      <c r="K844" s="72"/>
      <c r="L844" s="9"/>
      <c r="M844" s="9"/>
      <c r="N844" s="9"/>
      <c r="O844" s="9"/>
      <c r="P844" s="9"/>
      <c r="Q844" s="9"/>
    </row>
    <row r="845" spans="2:17" x14ac:dyDescent="0.2">
      <c r="B845" s="7"/>
      <c r="C845" s="72"/>
      <c r="D845" s="9"/>
      <c r="E845" s="72"/>
      <c r="F845" s="9"/>
      <c r="G845" s="16"/>
      <c r="H845" s="9"/>
      <c r="I845" s="9"/>
      <c r="J845" s="9"/>
      <c r="K845" s="72"/>
      <c r="L845" s="9"/>
      <c r="M845" s="9"/>
      <c r="N845" s="9"/>
      <c r="O845" s="9"/>
      <c r="P845" s="9"/>
      <c r="Q845" s="9"/>
    </row>
    <row r="846" spans="2:17" x14ac:dyDescent="0.2">
      <c r="B846" s="7"/>
      <c r="C846" s="72"/>
      <c r="D846" s="9"/>
      <c r="E846" s="72"/>
      <c r="F846" s="9"/>
      <c r="G846" s="16"/>
      <c r="H846" s="9"/>
      <c r="I846" s="9"/>
      <c r="J846" s="9"/>
      <c r="K846" s="72"/>
      <c r="L846" s="9"/>
      <c r="M846" s="9"/>
      <c r="N846" s="9"/>
      <c r="O846" s="9"/>
      <c r="P846" s="9"/>
      <c r="Q846" s="9"/>
    </row>
    <row r="847" spans="2:17" x14ac:dyDescent="0.2">
      <c r="B847" s="7"/>
      <c r="C847" s="72"/>
      <c r="D847" s="9"/>
      <c r="E847" s="72"/>
      <c r="F847" s="9"/>
      <c r="G847" s="16"/>
      <c r="H847" s="9"/>
      <c r="I847" s="9"/>
      <c r="J847" s="9"/>
      <c r="K847" s="72"/>
      <c r="L847" s="9"/>
      <c r="M847" s="9"/>
      <c r="N847" s="9"/>
      <c r="O847" s="9"/>
      <c r="P847" s="9"/>
      <c r="Q847" s="9"/>
    </row>
    <row r="848" spans="2:17" x14ac:dyDescent="0.2">
      <c r="B848" s="7"/>
      <c r="C848" s="72"/>
      <c r="D848" s="9"/>
      <c r="E848" s="72"/>
      <c r="F848" s="9"/>
      <c r="G848" s="16"/>
      <c r="H848" s="9"/>
      <c r="I848" s="9"/>
      <c r="J848" s="9"/>
      <c r="K848" s="72"/>
      <c r="L848" s="9"/>
      <c r="M848" s="9"/>
      <c r="N848" s="9"/>
      <c r="O848" s="9"/>
      <c r="P848" s="9"/>
      <c r="Q848" s="9"/>
    </row>
    <row r="849" spans="2:17" x14ac:dyDescent="0.2">
      <c r="B849" s="7"/>
      <c r="C849" s="72"/>
      <c r="D849" s="9"/>
      <c r="E849" s="72"/>
      <c r="F849" s="9"/>
      <c r="G849" s="16"/>
      <c r="H849" s="9"/>
      <c r="I849" s="9"/>
      <c r="J849" s="9"/>
      <c r="K849" s="72"/>
      <c r="L849" s="9"/>
      <c r="M849" s="9"/>
      <c r="N849" s="9"/>
      <c r="O849" s="9"/>
      <c r="P849" s="9"/>
      <c r="Q849" s="9"/>
    </row>
    <row r="850" spans="2:17" x14ac:dyDescent="0.2">
      <c r="B850" s="7"/>
      <c r="C850" s="72"/>
      <c r="D850" s="9"/>
      <c r="E850" s="72"/>
      <c r="F850" s="9"/>
      <c r="G850" s="16"/>
      <c r="H850" s="9"/>
      <c r="I850" s="9"/>
      <c r="J850" s="9"/>
      <c r="K850" s="72"/>
      <c r="L850" s="9"/>
      <c r="M850" s="9"/>
      <c r="N850" s="9"/>
      <c r="O850" s="9"/>
      <c r="P850" s="9"/>
      <c r="Q850" s="9"/>
    </row>
    <row r="851" spans="2:17" x14ac:dyDescent="0.2">
      <c r="B851" s="7"/>
      <c r="C851" s="72"/>
      <c r="D851" s="9"/>
      <c r="E851" s="72"/>
      <c r="F851" s="9"/>
      <c r="G851" s="16"/>
      <c r="H851" s="9"/>
      <c r="I851" s="9"/>
      <c r="J851" s="9"/>
      <c r="K851" s="72"/>
      <c r="L851" s="9"/>
      <c r="M851" s="9"/>
      <c r="N851" s="9"/>
      <c r="O851" s="9"/>
      <c r="P851" s="9"/>
      <c r="Q851" s="9"/>
    </row>
    <row r="852" spans="2:17" x14ac:dyDescent="0.2">
      <c r="B852" s="7"/>
      <c r="C852" s="72"/>
      <c r="D852" s="9"/>
      <c r="E852" s="72"/>
      <c r="F852" s="9"/>
      <c r="G852" s="16"/>
      <c r="H852" s="9"/>
      <c r="I852" s="9"/>
      <c r="J852" s="9"/>
      <c r="K852" s="72"/>
      <c r="L852" s="9"/>
      <c r="M852" s="9"/>
      <c r="N852" s="9"/>
      <c r="O852" s="9"/>
      <c r="P852" s="9"/>
      <c r="Q852" s="9"/>
    </row>
    <row r="853" spans="2:17" x14ac:dyDescent="0.2">
      <c r="B853" s="7"/>
      <c r="C853" s="72"/>
      <c r="D853" s="9"/>
      <c r="E853" s="72"/>
      <c r="F853" s="9"/>
      <c r="G853" s="16"/>
      <c r="H853" s="9"/>
      <c r="I853" s="9"/>
      <c r="J853" s="9"/>
      <c r="K853" s="72"/>
      <c r="L853" s="9"/>
      <c r="M853" s="9"/>
      <c r="N853" s="9"/>
      <c r="O853" s="9"/>
      <c r="P853" s="9"/>
      <c r="Q853" s="9"/>
    </row>
    <row r="854" spans="2:17" x14ac:dyDescent="0.2">
      <c r="B854" s="7"/>
      <c r="C854" s="72"/>
      <c r="D854" s="9"/>
      <c r="E854" s="72"/>
      <c r="F854" s="9"/>
      <c r="G854" s="16"/>
      <c r="H854" s="9"/>
      <c r="I854" s="9"/>
      <c r="J854" s="9"/>
      <c r="K854" s="72"/>
      <c r="L854" s="9"/>
      <c r="M854" s="9"/>
      <c r="N854" s="9"/>
      <c r="O854" s="9"/>
      <c r="P854" s="9"/>
      <c r="Q854" s="9"/>
    </row>
    <row r="855" spans="2:17" x14ac:dyDescent="0.2">
      <c r="B855" s="7"/>
      <c r="C855" s="72"/>
      <c r="D855" s="9"/>
      <c r="E855" s="72"/>
      <c r="F855" s="9"/>
      <c r="G855" s="16"/>
      <c r="H855" s="9"/>
      <c r="I855" s="9"/>
      <c r="J855" s="9"/>
      <c r="K855" s="72"/>
      <c r="L855" s="9"/>
      <c r="M855" s="9"/>
      <c r="N855" s="9"/>
      <c r="O855" s="9"/>
      <c r="P855" s="9"/>
      <c r="Q855" s="9"/>
    </row>
    <row r="856" spans="2:17" x14ac:dyDescent="0.2">
      <c r="B856" s="7"/>
      <c r="C856" s="72"/>
      <c r="D856" s="9"/>
      <c r="E856" s="72"/>
      <c r="F856" s="9"/>
      <c r="G856" s="16"/>
      <c r="H856" s="9"/>
      <c r="I856" s="9"/>
      <c r="J856" s="9"/>
      <c r="K856" s="72"/>
      <c r="L856" s="9"/>
      <c r="M856" s="9"/>
      <c r="N856" s="9"/>
      <c r="O856" s="9"/>
      <c r="P856" s="9"/>
      <c r="Q856" s="9"/>
    </row>
    <row r="857" spans="2:17" x14ac:dyDescent="0.2">
      <c r="B857" s="7"/>
      <c r="C857" s="72"/>
      <c r="D857" s="9"/>
      <c r="E857" s="72"/>
      <c r="F857" s="9"/>
      <c r="G857" s="16"/>
      <c r="H857" s="9"/>
      <c r="I857" s="9"/>
      <c r="J857" s="9"/>
      <c r="K857" s="72"/>
      <c r="L857" s="9"/>
      <c r="M857" s="9"/>
      <c r="N857" s="9"/>
      <c r="O857" s="9"/>
      <c r="P857" s="9"/>
      <c r="Q857" s="9"/>
    </row>
    <row r="858" spans="2:17" x14ac:dyDescent="0.2">
      <c r="B858" s="7"/>
      <c r="C858" s="72"/>
      <c r="D858" s="9"/>
      <c r="E858" s="72"/>
      <c r="F858" s="9"/>
      <c r="G858" s="16"/>
      <c r="H858" s="9"/>
      <c r="I858" s="9"/>
      <c r="J858" s="9"/>
      <c r="K858" s="72"/>
      <c r="L858" s="9"/>
      <c r="M858" s="9"/>
      <c r="N858" s="9"/>
      <c r="O858" s="9"/>
      <c r="P858" s="9"/>
      <c r="Q858" s="9"/>
    </row>
    <row r="859" spans="2:17" x14ac:dyDescent="0.2">
      <c r="B859" s="7"/>
      <c r="C859" s="72"/>
      <c r="D859" s="9"/>
      <c r="E859" s="72"/>
      <c r="F859" s="9"/>
      <c r="G859" s="16"/>
      <c r="H859" s="9"/>
      <c r="I859" s="9"/>
      <c r="J859" s="9"/>
      <c r="K859" s="72"/>
      <c r="L859" s="9"/>
      <c r="M859" s="9"/>
      <c r="N859" s="9"/>
      <c r="O859" s="9"/>
      <c r="P859" s="9"/>
      <c r="Q859" s="9"/>
    </row>
    <row r="860" spans="2:17" x14ac:dyDescent="0.2">
      <c r="B860" s="7"/>
      <c r="C860" s="72"/>
      <c r="D860" s="9"/>
      <c r="E860" s="72"/>
      <c r="F860" s="9"/>
      <c r="G860" s="16"/>
      <c r="H860" s="9"/>
      <c r="I860" s="9"/>
      <c r="J860" s="9"/>
      <c r="K860" s="72"/>
      <c r="L860" s="9"/>
      <c r="M860" s="9"/>
      <c r="N860" s="9"/>
      <c r="O860" s="9"/>
      <c r="P860" s="9"/>
      <c r="Q860" s="9"/>
    </row>
    <row r="861" spans="2:17" x14ac:dyDescent="0.2">
      <c r="B861" s="7"/>
      <c r="C861" s="72"/>
      <c r="D861" s="9"/>
      <c r="E861" s="72"/>
      <c r="F861" s="9"/>
      <c r="G861" s="16"/>
      <c r="H861" s="9"/>
      <c r="I861" s="9"/>
      <c r="J861" s="9"/>
      <c r="K861" s="72"/>
      <c r="L861" s="9"/>
      <c r="M861" s="9"/>
      <c r="N861" s="9"/>
      <c r="O861" s="9"/>
      <c r="P861" s="9"/>
      <c r="Q861" s="9"/>
    </row>
    <row r="862" spans="2:17" x14ac:dyDescent="0.2">
      <c r="B862" s="7"/>
      <c r="C862" s="72"/>
      <c r="D862" s="9"/>
      <c r="E862" s="72"/>
      <c r="F862" s="9"/>
      <c r="G862" s="16"/>
      <c r="H862" s="9"/>
      <c r="I862" s="9"/>
      <c r="J862" s="9"/>
      <c r="K862" s="72"/>
      <c r="L862" s="9"/>
      <c r="M862" s="9"/>
      <c r="N862" s="9"/>
      <c r="O862" s="9"/>
      <c r="P862" s="9"/>
      <c r="Q862" s="9"/>
    </row>
    <row r="863" spans="2:17" x14ac:dyDescent="0.2">
      <c r="B863" s="7"/>
      <c r="C863" s="72"/>
      <c r="D863" s="9"/>
      <c r="E863" s="72"/>
      <c r="F863" s="9"/>
      <c r="G863" s="16"/>
      <c r="H863" s="9"/>
      <c r="I863" s="9"/>
      <c r="J863" s="9"/>
      <c r="K863" s="72"/>
      <c r="L863" s="9"/>
      <c r="M863" s="9"/>
      <c r="N863" s="9"/>
      <c r="O863" s="9"/>
      <c r="P863" s="9"/>
      <c r="Q863" s="9"/>
    </row>
    <row r="864" spans="2:17" x14ac:dyDescent="0.2">
      <c r="B864" s="7"/>
      <c r="C864" s="72"/>
      <c r="D864" s="9"/>
      <c r="E864" s="72"/>
      <c r="F864" s="9"/>
      <c r="G864" s="16"/>
      <c r="H864" s="9"/>
      <c r="I864" s="9"/>
      <c r="J864" s="9"/>
      <c r="K864" s="72"/>
      <c r="L864" s="9"/>
      <c r="M864" s="9"/>
      <c r="N864" s="9"/>
      <c r="O864" s="9"/>
      <c r="P864" s="9"/>
      <c r="Q864" s="9"/>
    </row>
    <row r="865" spans="2:17" x14ac:dyDescent="0.2">
      <c r="B865" s="7"/>
      <c r="C865" s="72"/>
      <c r="D865" s="9"/>
      <c r="E865" s="72"/>
      <c r="F865" s="9"/>
      <c r="G865" s="16"/>
      <c r="H865" s="9"/>
      <c r="I865" s="9"/>
      <c r="J865" s="9"/>
      <c r="K865" s="72"/>
      <c r="L865" s="9"/>
      <c r="M865" s="9"/>
      <c r="N865" s="9"/>
      <c r="O865" s="9"/>
      <c r="P865" s="9"/>
      <c r="Q865" s="9"/>
    </row>
    <row r="866" spans="2:17" x14ac:dyDescent="0.2">
      <c r="B866" s="7"/>
      <c r="C866" s="72"/>
      <c r="D866" s="9"/>
      <c r="E866" s="72"/>
      <c r="F866" s="9"/>
      <c r="G866" s="16"/>
      <c r="H866" s="9"/>
      <c r="I866" s="9"/>
      <c r="J866" s="9"/>
      <c r="K866" s="72"/>
      <c r="L866" s="9"/>
      <c r="M866" s="9"/>
      <c r="N866" s="9"/>
      <c r="O866" s="9"/>
      <c r="P866" s="9"/>
      <c r="Q866" s="9"/>
    </row>
    <row r="867" spans="2:17" x14ac:dyDescent="0.2">
      <c r="B867" s="7"/>
      <c r="C867" s="72"/>
      <c r="D867" s="9"/>
      <c r="E867" s="72"/>
      <c r="F867" s="9"/>
      <c r="G867" s="16"/>
      <c r="H867" s="9"/>
      <c r="I867" s="9"/>
      <c r="J867" s="9"/>
      <c r="K867" s="72"/>
      <c r="L867" s="9"/>
      <c r="M867" s="9"/>
      <c r="N867" s="9"/>
      <c r="O867" s="9"/>
      <c r="P867" s="9"/>
      <c r="Q867" s="9"/>
    </row>
    <row r="868" spans="2:17" x14ac:dyDescent="0.2">
      <c r="B868" s="7"/>
      <c r="C868" s="72"/>
      <c r="D868" s="9"/>
      <c r="E868" s="72"/>
      <c r="F868" s="9"/>
      <c r="G868" s="16"/>
      <c r="H868" s="9"/>
      <c r="I868" s="9"/>
      <c r="J868" s="9"/>
      <c r="K868" s="72"/>
      <c r="L868" s="9"/>
      <c r="M868" s="9"/>
      <c r="N868" s="9"/>
      <c r="O868" s="9"/>
      <c r="P868" s="9"/>
      <c r="Q868" s="9"/>
    </row>
    <row r="869" spans="2:17" x14ac:dyDescent="0.2">
      <c r="B869" s="7"/>
      <c r="C869" s="72"/>
      <c r="D869" s="9"/>
      <c r="E869" s="72"/>
      <c r="F869" s="9"/>
      <c r="G869" s="16"/>
      <c r="H869" s="9"/>
      <c r="I869" s="9"/>
      <c r="J869" s="9"/>
      <c r="K869" s="72"/>
      <c r="L869" s="9"/>
      <c r="M869" s="9"/>
      <c r="N869" s="9"/>
      <c r="O869" s="9"/>
      <c r="P869" s="9"/>
      <c r="Q869" s="9"/>
    </row>
    <row r="870" spans="2:17" x14ac:dyDescent="0.2">
      <c r="B870" s="7"/>
      <c r="C870" s="72"/>
      <c r="D870" s="9"/>
      <c r="E870" s="72"/>
      <c r="F870" s="9"/>
      <c r="G870" s="16"/>
      <c r="H870" s="9"/>
      <c r="I870" s="9"/>
      <c r="J870" s="9"/>
      <c r="K870" s="72"/>
      <c r="L870" s="9"/>
      <c r="M870" s="9"/>
      <c r="N870" s="9"/>
      <c r="O870" s="9"/>
      <c r="P870" s="9"/>
      <c r="Q870" s="9"/>
    </row>
    <row r="871" spans="2:17" x14ac:dyDescent="0.2">
      <c r="B871" s="7"/>
      <c r="C871" s="72"/>
      <c r="D871" s="9"/>
      <c r="E871" s="72"/>
      <c r="F871" s="9"/>
      <c r="G871" s="16"/>
      <c r="H871" s="9"/>
      <c r="I871" s="9"/>
      <c r="J871" s="9"/>
      <c r="K871" s="72"/>
      <c r="L871" s="9"/>
      <c r="M871" s="9"/>
      <c r="N871" s="9"/>
      <c r="O871" s="9"/>
      <c r="P871" s="9"/>
      <c r="Q871" s="9"/>
    </row>
    <row r="872" spans="2:17" x14ac:dyDescent="0.2">
      <c r="B872" s="7"/>
      <c r="C872" s="72"/>
      <c r="D872" s="9"/>
      <c r="E872" s="72"/>
      <c r="F872" s="9"/>
      <c r="G872" s="16"/>
      <c r="H872" s="9"/>
      <c r="I872" s="9"/>
      <c r="J872" s="9"/>
      <c r="K872" s="72"/>
      <c r="L872" s="9"/>
      <c r="M872" s="9"/>
      <c r="N872" s="9"/>
      <c r="O872" s="9"/>
      <c r="P872" s="9"/>
      <c r="Q872" s="9"/>
    </row>
    <row r="873" spans="2:17" x14ac:dyDescent="0.2">
      <c r="B873" s="7"/>
      <c r="C873" s="72"/>
      <c r="D873" s="9"/>
      <c r="E873" s="72"/>
      <c r="F873" s="9"/>
      <c r="G873" s="16"/>
      <c r="H873" s="9"/>
      <c r="I873" s="9"/>
      <c r="J873" s="9"/>
      <c r="K873" s="72"/>
      <c r="L873" s="9"/>
      <c r="M873" s="9"/>
      <c r="N873" s="9"/>
      <c r="O873" s="9"/>
      <c r="P873" s="9"/>
      <c r="Q873" s="9"/>
    </row>
    <row r="874" spans="2:17" x14ac:dyDescent="0.2">
      <c r="B874" s="7"/>
      <c r="C874" s="72"/>
      <c r="D874" s="9"/>
      <c r="E874" s="72"/>
      <c r="F874" s="9"/>
      <c r="G874" s="16"/>
      <c r="H874" s="9"/>
      <c r="I874" s="9"/>
      <c r="J874" s="9"/>
      <c r="K874" s="72"/>
      <c r="L874" s="9"/>
      <c r="M874" s="9"/>
      <c r="N874" s="9"/>
      <c r="O874" s="9"/>
      <c r="P874" s="9"/>
      <c r="Q874" s="9"/>
    </row>
    <row r="875" spans="2:17" x14ac:dyDescent="0.2">
      <c r="B875" s="7"/>
      <c r="C875" s="72"/>
      <c r="D875" s="9"/>
      <c r="E875" s="72"/>
      <c r="F875" s="9"/>
      <c r="G875" s="16"/>
      <c r="H875" s="9"/>
      <c r="I875" s="9"/>
      <c r="J875" s="9"/>
      <c r="K875" s="72"/>
      <c r="L875" s="9"/>
      <c r="M875" s="9"/>
      <c r="N875" s="9"/>
      <c r="O875" s="9"/>
      <c r="P875" s="9"/>
      <c r="Q875" s="9"/>
    </row>
    <row r="876" spans="2:17" x14ac:dyDescent="0.2">
      <c r="B876" s="7"/>
      <c r="C876" s="72"/>
      <c r="D876" s="9"/>
      <c r="E876" s="72"/>
      <c r="F876" s="9"/>
      <c r="G876" s="16"/>
      <c r="H876" s="9"/>
      <c r="I876" s="9"/>
      <c r="J876" s="9"/>
      <c r="K876" s="72"/>
      <c r="L876" s="9"/>
      <c r="M876" s="9"/>
      <c r="N876" s="9"/>
      <c r="O876" s="9"/>
      <c r="P876" s="9"/>
      <c r="Q876" s="9"/>
    </row>
    <row r="877" spans="2:17" x14ac:dyDescent="0.2">
      <c r="B877" s="7"/>
      <c r="C877" s="72"/>
      <c r="D877" s="9"/>
      <c r="E877" s="72"/>
      <c r="F877" s="9"/>
      <c r="G877" s="16"/>
      <c r="H877" s="9"/>
      <c r="I877" s="9"/>
      <c r="J877" s="9"/>
      <c r="K877" s="72"/>
      <c r="L877" s="9"/>
      <c r="M877" s="9"/>
      <c r="N877" s="9"/>
      <c r="O877" s="9"/>
      <c r="P877" s="9"/>
      <c r="Q877" s="9"/>
    </row>
    <row r="878" spans="2:17" x14ac:dyDescent="0.2">
      <c r="B878" s="7"/>
      <c r="C878" s="72"/>
      <c r="D878" s="9"/>
      <c r="E878" s="72"/>
      <c r="F878" s="9"/>
      <c r="G878" s="16"/>
      <c r="H878" s="9"/>
      <c r="I878" s="9"/>
      <c r="J878" s="9"/>
      <c r="K878" s="72"/>
      <c r="L878" s="9"/>
      <c r="M878" s="9"/>
      <c r="N878" s="9"/>
      <c r="O878" s="9"/>
      <c r="P878" s="9"/>
      <c r="Q878" s="9"/>
    </row>
    <row r="879" spans="2:17" x14ac:dyDescent="0.2">
      <c r="B879" s="7"/>
      <c r="C879" s="72"/>
      <c r="D879" s="9"/>
      <c r="E879" s="72"/>
      <c r="F879" s="9"/>
      <c r="G879" s="16"/>
      <c r="H879" s="9"/>
      <c r="I879" s="9"/>
      <c r="J879" s="9"/>
      <c r="K879" s="72"/>
      <c r="L879" s="9"/>
      <c r="M879" s="9"/>
      <c r="N879" s="9"/>
      <c r="O879" s="9"/>
      <c r="P879" s="9"/>
      <c r="Q879" s="9"/>
    </row>
    <row r="880" spans="2:17" x14ac:dyDescent="0.2">
      <c r="B880" s="7"/>
      <c r="C880" s="72"/>
      <c r="D880" s="9"/>
      <c r="E880" s="72"/>
      <c r="F880" s="9"/>
      <c r="G880" s="16"/>
      <c r="H880" s="9"/>
      <c r="I880" s="9"/>
      <c r="J880" s="9"/>
      <c r="K880" s="72"/>
      <c r="L880" s="9"/>
      <c r="M880" s="9"/>
      <c r="N880" s="9"/>
      <c r="O880" s="9"/>
      <c r="P880" s="9"/>
      <c r="Q880" s="9"/>
    </row>
    <row r="881" spans="2:17" x14ac:dyDescent="0.2">
      <c r="B881" s="7"/>
      <c r="C881" s="72"/>
      <c r="D881" s="9"/>
      <c r="E881" s="72"/>
      <c r="F881" s="9"/>
      <c r="G881" s="16"/>
      <c r="H881" s="9"/>
      <c r="I881" s="9"/>
      <c r="J881" s="9"/>
      <c r="K881" s="72"/>
      <c r="L881" s="9"/>
      <c r="M881" s="9"/>
      <c r="N881" s="9"/>
      <c r="O881" s="9"/>
      <c r="P881" s="9"/>
      <c r="Q881" s="9"/>
    </row>
    <row r="882" spans="2:17" x14ac:dyDescent="0.2">
      <c r="B882" s="7"/>
      <c r="C882" s="72"/>
      <c r="D882" s="9"/>
      <c r="E882" s="72"/>
      <c r="F882" s="9"/>
      <c r="G882" s="16"/>
      <c r="H882" s="9"/>
      <c r="I882" s="9"/>
      <c r="J882" s="9"/>
      <c r="K882" s="72"/>
      <c r="L882" s="9"/>
      <c r="M882" s="9"/>
      <c r="N882" s="9"/>
      <c r="O882" s="9"/>
      <c r="P882" s="9"/>
      <c r="Q882" s="9"/>
    </row>
    <row r="883" spans="2:17" x14ac:dyDescent="0.2">
      <c r="B883" s="7"/>
      <c r="C883" s="72"/>
      <c r="D883" s="9"/>
      <c r="E883" s="72"/>
      <c r="F883" s="9"/>
      <c r="G883" s="16"/>
      <c r="H883" s="9"/>
      <c r="I883" s="9"/>
      <c r="J883" s="9"/>
      <c r="K883" s="72"/>
      <c r="L883" s="9"/>
      <c r="M883" s="9"/>
      <c r="N883" s="9"/>
      <c r="O883" s="9"/>
      <c r="P883" s="9"/>
      <c r="Q883" s="9"/>
    </row>
    <row r="884" spans="2:17" x14ac:dyDescent="0.2">
      <c r="B884" s="7"/>
      <c r="C884" s="72"/>
      <c r="D884" s="9"/>
      <c r="E884" s="72"/>
      <c r="F884" s="9"/>
      <c r="G884" s="16"/>
      <c r="H884" s="9"/>
      <c r="I884" s="9"/>
      <c r="J884" s="9"/>
      <c r="K884" s="72"/>
      <c r="L884" s="9"/>
      <c r="M884" s="9"/>
      <c r="N884" s="9"/>
      <c r="O884" s="9"/>
      <c r="P884" s="9"/>
      <c r="Q884" s="9"/>
    </row>
    <row r="885" spans="2:17" x14ac:dyDescent="0.2">
      <c r="B885" s="7"/>
      <c r="C885" s="72"/>
      <c r="D885" s="9"/>
      <c r="E885" s="72"/>
      <c r="F885" s="9"/>
      <c r="G885" s="16"/>
      <c r="H885" s="9"/>
      <c r="I885" s="9"/>
      <c r="J885" s="9"/>
      <c r="K885" s="72"/>
      <c r="L885" s="9"/>
      <c r="M885" s="9"/>
      <c r="N885" s="9"/>
      <c r="O885" s="9"/>
      <c r="P885" s="9"/>
      <c r="Q885" s="9"/>
    </row>
    <row r="886" spans="2:17" x14ac:dyDescent="0.2">
      <c r="B886" s="7"/>
      <c r="C886" s="72"/>
      <c r="D886" s="9"/>
      <c r="E886" s="72"/>
      <c r="F886" s="9"/>
      <c r="G886" s="16"/>
      <c r="H886" s="9"/>
      <c r="I886" s="9"/>
      <c r="J886" s="9"/>
      <c r="K886" s="72"/>
      <c r="L886" s="9"/>
      <c r="M886" s="9"/>
      <c r="N886" s="9"/>
      <c r="O886" s="9"/>
      <c r="P886" s="9"/>
      <c r="Q886" s="9"/>
    </row>
    <row r="887" spans="2:17" x14ac:dyDescent="0.2">
      <c r="B887" s="7"/>
      <c r="C887" s="72"/>
      <c r="D887" s="9"/>
      <c r="E887" s="72"/>
      <c r="F887" s="9"/>
      <c r="G887" s="16"/>
      <c r="H887" s="9"/>
      <c r="I887" s="9"/>
      <c r="J887" s="9"/>
      <c r="K887" s="72"/>
      <c r="L887" s="9"/>
      <c r="M887" s="9"/>
      <c r="N887" s="9"/>
      <c r="O887" s="9"/>
      <c r="P887" s="9"/>
      <c r="Q887" s="9"/>
    </row>
    <row r="888" spans="2:17" x14ac:dyDescent="0.2">
      <c r="B888" s="7"/>
      <c r="C888" s="72"/>
      <c r="D888" s="9"/>
      <c r="E888" s="72"/>
      <c r="F888" s="9"/>
      <c r="G888" s="16"/>
      <c r="H888" s="9"/>
      <c r="I888" s="9"/>
      <c r="J888" s="9"/>
      <c r="K888" s="72"/>
      <c r="L888" s="9"/>
      <c r="M888" s="9"/>
      <c r="N888" s="9"/>
      <c r="O888" s="9"/>
      <c r="P888" s="9"/>
      <c r="Q888" s="9"/>
    </row>
    <row r="889" spans="2:17" x14ac:dyDescent="0.2">
      <c r="B889" s="7"/>
      <c r="C889" s="72"/>
      <c r="D889" s="9"/>
      <c r="E889" s="72"/>
      <c r="F889" s="9"/>
      <c r="G889" s="16"/>
      <c r="H889" s="9"/>
      <c r="I889" s="9"/>
      <c r="J889" s="9"/>
      <c r="K889" s="72"/>
      <c r="L889" s="9"/>
      <c r="M889" s="9"/>
      <c r="N889" s="9"/>
      <c r="O889" s="9"/>
      <c r="P889" s="9"/>
      <c r="Q889" s="9"/>
    </row>
    <row r="890" spans="2:17" x14ac:dyDescent="0.2">
      <c r="B890" s="7"/>
      <c r="C890" s="72"/>
      <c r="D890" s="9"/>
      <c r="E890" s="72"/>
      <c r="F890" s="9"/>
      <c r="G890" s="16"/>
      <c r="H890" s="9"/>
      <c r="I890" s="9"/>
      <c r="J890" s="9"/>
      <c r="K890" s="72"/>
      <c r="L890" s="9"/>
      <c r="M890" s="9"/>
      <c r="N890" s="9"/>
      <c r="O890" s="9"/>
      <c r="P890" s="9"/>
      <c r="Q890" s="9"/>
    </row>
    <row r="891" spans="2:17" x14ac:dyDescent="0.2">
      <c r="B891" s="7"/>
      <c r="C891" s="72"/>
      <c r="D891" s="9"/>
      <c r="E891" s="72"/>
      <c r="F891" s="9"/>
      <c r="G891" s="16"/>
      <c r="H891" s="9"/>
      <c r="I891" s="9"/>
      <c r="J891" s="9"/>
      <c r="K891" s="72"/>
      <c r="L891" s="9"/>
      <c r="M891" s="9"/>
      <c r="N891" s="9"/>
      <c r="O891" s="9"/>
      <c r="P891" s="9"/>
      <c r="Q891" s="9"/>
    </row>
    <row r="892" spans="2:17" x14ac:dyDescent="0.2">
      <c r="B892" s="7"/>
      <c r="C892" s="72"/>
      <c r="D892" s="9"/>
      <c r="E892" s="72"/>
      <c r="F892" s="9"/>
      <c r="G892" s="16"/>
      <c r="H892" s="9"/>
      <c r="I892" s="9"/>
      <c r="J892" s="9"/>
      <c r="K892" s="72"/>
      <c r="L892" s="9"/>
      <c r="M892" s="9"/>
      <c r="N892" s="9"/>
      <c r="O892" s="9"/>
      <c r="P892" s="9"/>
      <c r="Q892" s="9"/>
    </row>
    <row r="893" spans="2:17" x14ac:dyDescent="0.2">
      <c r="B893" s="7"/>
      <c r="C893" s="72"/>
      <c r="D893" s="9"/>
      <c r="E893" s="72"/>
      <c r="F893" s="9"/>
      <c r="G893" s="16"/>
      <c r="H893" s="9"/>
      <c r="I893" s="9"/>
      <c r="J893" s="9"/>
      <c r="K893" s="72"/>
      <c r="L893" s="9"/>
      <c r="M893" s="9"/>
      <c r="N893" s="9"/>
      <c r="O893" s="9"/>
      <c r="P893" s="9"/>
      <c r="Q893" s="9"/>
    </row>
    <row r="894" spans="2:17" x14ac:dyDescent="0.2">
      <c r="B894" s="7"/>
      <c r="C894" s="72"/>
      <c r="D894" s="9"/>
      <c r="E894" s="72"/>
      <c r="F894" s="9"/>
      <c r="G894" s="16"/>
      <c r="H894" s="9"/>
      <c r="I894" s="9"/>
      <c r="J894" s="9"/>
      <c r="K894" s="72"/>
      <c r="L894" s="9"/>
      <c r="M894" s="9"/>
      <c r="N894" s="9"/>
      <c r="O894" s="9"/>
      <c r="P894" s="9"/>
      <c r="Q894" s="9"/>
    </row>
    <row r="895" spans="2:17" x14ac:dyDescent="0.2">
      <c r="B895" s="7"/>
      <c r="C895" s="72"/>
      <c r="D895" s="9"/>
      <c r="E895" s="72"/>
      <c r="F895" s="9"/>
      <c r="G895" s="16"/>
      <c r="H895" s="9"/>
      <c r="I895" s="9"/>
      <c r="J895" s="9"/>
      <c r="K895" s="72"/>
      <c r="L895" s="9"/>
      <c r="M895" s="9"/>
      <c r="N895" s="9"/>
      <c r="O895" s="9"/>
      <c r="P895" s="9"/>
      <c r="Q895" s="9"/>
    </row>
    <row r="896" spans="2:17" x14ac:dyDescent="0.2">
      <c r="B896" s="7"/>
      <c r="C896" s="72"/>
      <c r="D896" s="9"/>
      <c r="E896" s="72"/>
      <c r="F896" s="9"/>
      <c r="G896" s="16"/>
      <c r="H896" s="9"/>
      <c r="I896" s="9"/>
      <c r="J896" s="9"/>
      <c r="K896" s="72"/>
      <c r="L896" s="9"/>
      <c r="M896" s="9"/>
      <c r="N896" s="9"/>
      <c r="O896" s="9"/>
      <c r="P896" s="9"/>
      <c r="Q896" s="9"/>
    </row>
    <row r="897" spans="2:17" x14ac:dyDescent="0.2">
      <c r="B897" s="7"/>
      <c r="C897" s="72"/>
      <c r="D897" s="9"/>
      <c r="E897" s="72"/>
      <c r="F897" s="9"/>
      <c r="G897" s="16"/>
      <c r="H897" s="9"/>
      <c r="I897" s="9"/>
      <c r="J897" s="9"/>
      <c r="K897" s="72"/>
      <c r="L897" s="9"/>
      <c r="M897" s="9"/>
      <c r="N897" s="9"/>
      <c r="O897" s="9"/>
      <c r="P897" s="9"/>
      <c r="Q897" s="9"/>
    </row>
    <row r="898" spans="2:17" x14ac:dyDescent="0.2">
      <c r="B898" s="7"/>
      <c r="C898" s="72"/>
      <c r="D898" s="9"/>
      <c r="E898" s="72"/>
      <c r="F898" s="9"/>
      <c r="G898" s="16"/>
      <c r="H898" s="9"/>
      <c r="I898" s="9"/>
      <c r="J898" s="9"/>
      <c r="K898" s="72"/>
      <c r="L898" s="9"/>
      <c r="M898" s="9"/>
      <c r="N898" s="9"/>
      <c r="O898" s="9"/>
      <c r="P898" s="9"/>
      <c r="Q898" s="9"/>
    </row>
    <row r="899" spans="2:17" x14ac:dyDescent="0.2">
      <c r="B899" s="7"/>
      <c r="C899" s="72"/>
      <c r="D899" s="9"/>
      <c r="E899" s="72"/>
      <c r="F899" s="9"/>
      <c r="G899" s="16"/>
      <c r="H899" s="9"/>
      <c r="I899" s="9"/>
      <c r="J899" s="9"/>
      <c r="K899" s="72"/>
      <c r="L899" s="9"/>
      <c r="M899" s="9"/>
      <c r="N899" s="9"/>
      <c r="O899" s="9"/>
      <c r="P899" s="9"/>
      <c r="Q899" s="9"/>
    </row>
    <row r="900" spans="2:17" x14ac:dyDescent="0.2">
      <c r="B900" s="7"/>
      <c r="C900" s="72"/>
      <c r="D900" s="9"/>
      <c r="E900" s="72"/>
      <c r="F900" s="9"/>
      <c r="G900" s="16"/>
      <c r="H900" s="9"/>
      <c r="I900" s="9"/>
      <c r="J900" s="9"/>
      <c r="K900" s="72"/>
      <c r="L900" s="9"/>
      <c r="M900" s="9"/>
      <c r="N900" s="9"/>
      <c r="O900" s="9"/>
      <c r="P900" s="9"/>
      <c r="Q900" s="9"/>
    </row>
    <row r="901" spans="2:17" x14ac:dyDescent="0.2">
      <c r="B901" s="7"/>
      <c r="C901" s="72"/>
      <c r="D901" s="9"/>
      <c r="E901" s="72"/>
      <c r="F901" s="9"/>
      <c r="G901" s="16"/>
      <c r="H901" s="9"/>
      <c r="I901" s="9"/>
      <c r="J901" s="9"/>
      <c r="K901" s="72"/>
      <c r="L901" s="9"/>
      <c r="M901" s="9"/>
      <c r="N901" s="9"/>
      <c r="O901" s="9"/>
      <c r="P901" s="9"/>
      <c r="Q901" s="9"/>
    </row>
    <row r="902" spans="2:17" x14ac:dyDescent="0.2">
      <c r="B902" s="7"/>
      <c r="C902" s="72"/>
      <c r="D902" s="9"/>
      <c r="E902" s="72"/>
      <c r="F902" s="9"/>
      <c r="G902" s="16"/>
      <c r="H902" s="9"/>
      <c r="I902" s="9"/>
      <c r="J902" s="9"/>
      <c r="K902" s="72"/>
      <c r="L902" s="9"/>
      <c r="M902" s="9"/>
      <c r="N902" s="9"/>
      <c r="O902" s="9"/>
      <c r="P902" s="9"/>
      <c r="Q902" s="9"/>
    </row>
    <row r="903" spans="2:17" x14ac:dyDescent="0.2">
      <c r="B903" s="7"/>
      <c r="C903" s="72"/>
      <c r="D903" s="9"/>
      <c r="E903" s="72"/>
      <c r="F903" s="9"/>
      <c r="G903" s="16"/>
      <c r="H903" s="9"/>
      <c r="I903" s="9"/>
      <c r="J903" s="9"/>
      <c r="K903" s="72"/>
      <c r="L903" s="9"/>
      <c r="M903" s="9"/>
      <c r="N903" s="9"/>
      <c r="O903" s="9"/>
      <c r="P903" s="9"/>
      <c r="Q903" s="9"/>
    </row>
    <row r="904" spans="2:17" x14ac:dyDescent="0.2">
      <c r="B904" s="7"/>
      <c r="C904" s="72"/>
      <c r="D904" s="9"/>
      <c r="E904" s="72"/>
      <c r="F904" s="9"/>
      <c r="G904" s="16"/>
      <c r="H904" s="9"/>
      <c r="I904" s="9"/>
      <c r="J904" s="9"/>
      <c r="K904" s="72"/>
      <c r="L904" s="9"/>
      <c r="M904" s="9"/>
      <c r="N904" s="9"/>
      <c r="O904" s="9"/>
      <c r="P904" s="9"/>
      <c r="Q904" s="9"/>
    </row>
    <row r="905" spans="2:17" x14ac:dyDescent="0.2">
      <c r="B905" s="7"/>
      <c r="C905" s="72"/>
      <c r="D905" s="9"/>
      <c r="E905" s="72"/>
      <c r="F905" s="9"/>
      <c r="G905" s="16"/>
      <c r="H905" s="9"/>
      <c r="I905" s="9"/>
      <c r="J905" s="9"/>
      <c r="K905" s="72"/>
      <c r="L905" s="9"/>
      <c r="M905" s="9"/>
      <c r="N905" s="9"/>
      <c r="O905" s="9"/>
      <c r="P905" s="9"/>
      <c r="Q905" s="9"/>
    </row>
    <row r="906" spans="2:17" x14ac:dyDescent="0.2">
      <c r="B906" s="7"/>
      <c r="C906" s="72"/>
      <c r="D906" s="9"/>
      <c r="E906" s="72"/>
      <c r="F906" s="9"/>
      <c r="G906" s="16"/>
      <c r="H906" s="9"/>
      <c r="I906" s="9"/>
      <c r="J906" s="9"/>
      <c r="K906" s="72"/>
      <c r="L906" s="9"/>
      <c r="M906" s="9"/>
      <c r="N906" s="9"/>
      <c r="O906" s="9"/>
      <c r="P906" s="9"/>
      <c r="Q906" s="9"/>
    </row>
    <row r="907" spans="2:17" x14ac:dyDescent="0.2">
      <c r="B907" s="7"/>
      <c r="C907" s="72"/>
      <c r="D907" s="9"/>
      <c r="E907" s="72"/>
      <c r="F907" s="9"/>
      <c r="G907" s="16"/>
      <c r="H907" s="9"/>
      <c r="I907" s="9"/>
      <c r="J907" s="9"/>
      <c r="K907" s="72"/>
      <c r="L907" s="9"/>
      <c r="M907" s="9"/>
      <c r="N907" s="9"/>
      <c r="O907" s="9"/>
      <c r="P907" s="9"/>
      <c r="Q907" s="9"/>
    </row>
    <row r="908" spans="2:17" x14ac:dyDescent="0.2">
      <c r="B908" s="7"/>
      <c r="C908" s="72"/>
      <c r="D908" s="9"/>
      <c r="E908" s="72"/>
      <c r="F908" s="9"/>
      <c r="G908" s="16"/>
      <c r="H908" s="9"/>
      <c r="I908" s="9"/>
      <c r="J908" s="9"/>
      <c r="K908" s="72"/>
      <c r="L908" s="9"/>
      <c r="M908" s="9"/>
      <c r="N908" s="9"/>
      <c r="O908" s="9"/>
      <c r="P908" s="9"/>
      <c r="Q908" s="9"/>
    </row>
    <row r="909" spans="2:17" x14ac:dyDescent="0.2">
      <c r="B909" s="7"/>
      <c r="C909" s="72"/>
      <c r="D909" s="9"/>
      <c r="E909" s="72"/>
      <c r="F909" s="9"/>
      <c r="G909" s="16"/>
      <c r="H909" s="9"/>
      <c r="I909" s="9"/>
      <c r="J909" s="9"/>
      <c r="K909" s="72"/>
      <c r="L909" s="9"/>
      <c r="M909" s="9"/>
      <c r="N909" s="9"/>
      <c r="O909" s="9"/>
      <c r="P909" s="9"/>
      <c r="Q909" s="9"/>
    </row>
    <row r="910" spans="2:17" x14ac:dyDescent="0.2">
      <c r="B910" s="7"/>
      <c r="C910" s="72"/>
      <c r="D910" s="9"/>
      <c r="E910" s="72"/>
      <c r="F910" s="9"/>
      <c r="G910" s="16"/>
      <c r="H910" s="9"/>
      <c r="I910" s="9"/>
      <c r="J910" s="9"/>
      <c r="K910" s="72"/>
      <c r="L910" s="9"/>
      <c r="M910" s="9"/>
      <c r="N910" s="9"/>
      <c r="O910" s="9"/>
      <c r="P910" s="9"/>
      <c r="Q910" s="9"/>
    </row>
    <row r="911" spans="2:17" x14ac:dyDescent="0.2">
      <c r="B911" s="7"/>
      <c r="C911" s="72"/>
      <c r="D911" s="9"/>
      <c r="E911" s="72"/>
      <c r="F911" s="9"/>
      <c r="G911" s="16"/>
      <c r="H911" s="9"/>
      <c r="I911" s="9"/>
      <c r="J911" s="9"/>
      <c r="K911" s="72"/>
      <c r="L911" s="9"/>
      <c r="M911" s="9"/>
      <c r="N911" s="9"/>
      <c r="O911" s="9"/>
      <c r="P911" s="9"/>
      <c r="Q911" s="9"/>
    </row>
    <row r="912" spans="2:17" x14ac:dyDescent="0.2">
      <c r="B912" s="7"/>
      <c r="C912" s="72"/>
      <c r="D912" s="9"/>
      <c r="E912" s="72"/>
      <c r="F912" s="9"/>
      <c r="G912" s="16"/>
      <c r="H912" s="9"/>
      <c r="I912" s="9"/>
      <c r="J912" s="9"/>
      <c r="K912" s="72"/>
      <c r="L912" s="9"/>
      <c r="M912" s="9"/>
      <c r="N912" s="9"/>
      <c r="O912" s="9"/>
      <c r="P912" s="9"/>
      <c r="Q912" s="9"/>
    </row>
    <row r="913" spans="2:17" x14ac:dyDescent="0.2">
      <c r="B913" s="7"/>
      <c r="C913" s="72"/>
      <c r="D913" s="9"/>
      <c r="E913" s="72"/>
      <c r="F913" s="9"/>
      <c r="G913" s="16"/>
      <c r="H913" s="9"/>
      <c r="I913" s="9"/>
      <c r="J913" s="9"/>
      <c r="K913" s="72"/>
      <c r="L913" s="9"/>
      <c r="M913" s="9"/>
      <c r="N913" s="9"/>
      <c r="O913" s="9"/>
      <c r="P913" s="9"/>
      <c r="Q913" s="9"/>
    </row>
    <row r="914" spans="2:17" x14ac:dyDescent="0.2">
      <c r="B914" s="7"/>
      <c r="C914" s="72"/>
      <c r="D914" s="9"/>
      <c r="E914" s="72"/>
      <c r="F914" s="9"/>
      <c r="G914" s="16"/>
      <c r="H914" s="9"/>
      <c r="I914" s="9"/>
      <c r="J914" s="9"/>
      <c r="K914" s="72"/>
      <c r="L914" s="9"/>
      <c r="M914" s="9"/>
      <c r="N914" s="9"/>
      <c r="O914" s="9"/>
      <c r="P914" s="9"/>
      <c r="Q914" s="9"/>
    </row>
    <row r="915" spans="2:17" x14ac:dyDescent="0.2">
      <c r="B915" s="7"/>
      <c r="C915" s="72"/>
      <c r="D915" s="9"/>
      <c r="E915" s="72"/>
      <c r="F915" s="9"/>
      <c r="G915" s="16"/>
      <c r="H915" s="9"/>
      <c r="I915" s="9"/>
      <c r="J915" s="9"/>
      <c r="K915" s="72"/>
      <c r="L915" s="9"/>
      <c r="M915" s="9"/>
      <c r="N915" s="9"/>
      <c r="O915" s="9"/>
      <c r="P915" s="9"/>
      <c r="Q915" s="9"/>
    </row>
    <row r="916" spans="2:17" x14ac:dyDescent="0.2">
      <c r="B916" s="7"/>
      <c r="C916" s="72"/>
      <c r="D916" s="9"/>
      <c r="E916" s="72"/>
      <c r="F916" s="9"/>
      <c r="G916" s="16"/>
      <c r="H916" s="9"/>
      <c r="I916" s="9"/>
      <c r="J916" s="9"/>
      <c r="K916" s="72"/>
      <c r="L916" s="9"/>
      <c r="M916" s="9"/>
      <c r="N916" s="9"/>
      <c r="O916" s="9"/>
      <c r="P916" s="9"/>
      <c r="Q916" s="9"/>
    </row>
    <row r="917" spans="2:17" x14ac:dyDescent="0.2">
      <c r="B917" s="7"/>
      <c r="C917" s="72"/>
      <c r="D917" s="9"/>
      <c r="E917" s="72"/>
      <c r="F917" s="9"/>
      <c r="G917" s="16"/>
      <c r="H917" s="9"/>
      <c r="I917" s="9"/>
      <c r="J917" s="9"/>
      <c r="K917" s="72"/>
      <c r="L917" s="9"/>
      <c r="M917" s="9"/>
      <c r="N917" s="9"/>
      <c r="O917" s="9"/>
      <c r="P917" s="9"/>
      <c r="Q917" s="9"/>
    </row>
    <row r="918" spans="2:17" x14ac:dyDescent="0.2">
      <c r="B918" s="7"/>
      <c r="C918" s="72"/>
      <c r="D918" s="9"/>
      <c r="E918" s="72"/>
      <c r="F918" s="9"/>
      <c r="G918" s="16"/>
      <c r="H918" s="9"/>
      <c r="I918" s="9"/>
      <c r="J918" s="9"/>
      <c r="K918" s="72"/>
      <c r="L918" s="9"/>
      <c r="M918" s="9"/>
      <c r="N918" s="9"/>
      <c r="O918" s="9"/>
      <c r="P918" s="9"/>
      <c r="Q918" s="9"/>
    </row>
    <row r="919" spans="2:17" x14ac:dyDescent="0.2">
      <c r="B919" s="7"/>
      <c r="C919" s="72"/>
      <c r="D919" s="9"/>
      <c r="E919" s="72"/>
      <c r="F919" s="9"/>
      <c r="G919" s="16"/>
      <c r="H919" s="9"/>
      <c r="I919" s="9"/>
      <c r="J919" s="9"/>
      <c r="K919" s="72"/>
      <c r="L919" s="9"/>
      <c r="M919" s="9"/>
      <c r="N919" s="9"/>
      <c r="O919" s="9"/>
      <c r="P919" s="9"/>
      <c r="Q919" s="9"/>
    </row>
    <row r="920" spans="2:17" x14ac:dyDescent="0.2">
      <c r="B920" s="7"/>
      <c r="C920" s="72"/>
      <c r="D920" s="9"/>
      <c r="E920" s="72"/>
      <c r="F920" s="9"/>
      <c r="G920" s="16"/>
      <c r="H920" s="9"/>
      <c r="I920" s="9"/>
      <c r="J920" s="9"/>
      <c r="K920" s="72"/>
      <c r="L920" s="9"/>
      <c r="M920" s="9"/>
      <c r="N920" s="9"/>
      <c r="O920" s="9"/>
      <c r="P920" s="9"/>
      <c r="Q920" s="9"/>
    </row>
    <row r="921" spans="2:17" x14ac:dyDescent="0.2">
      <c r="B921" s="7"/>
      <c r="C921" s="72"/>
      <c r="D921" s="9"/>
      <c r="E921" s="72"/>
      <c r="F921" s="9"/>
      <c r="G921" s="16"/>
      <c r="H921" s="9"/>
      <c r="I921" s="9"/>
      <c r="J921" s="9"/>
      <c r="K921" s="72"/>
      <c r="L921" s="9"/>
      <c r="M921" s="9"/>
      <c r="N921" s="9"/>
      <c r="O921" s="9"/>
      <c r="P921" s="9"/>
      <c r="Q921" s="9"/>
    </row>
    <row r="922" spans="2:17" x14ac:dyDescent="0.2">
      <c r="B922" s="7"/>
      <c r="C922" s="72"/>
      <c r="D922" s="9"/>
      <c r="E922" s="72"/>
      <c r="F922" s="9"/>
      <c r="G922" s="16"/>
      <c r="H922" s="9"/>
      <c r="I922" s="9"/>
      <c r="J922" s="9"/>
      <c r="K922" s="72"/>
      <c r="L922" s="9"/>
      <c r="M922" s="9"/>
      <c r="N922" s="9"/>
      <c r="O922" s="9"/>
      <c r="P922" s="9"/>
      <c r="Q922" s="9"/>
    </row>
    <row r="923" spans="2:17" x14ac:dyDescent="0.2">
      <c r="B923" s="7"/>
      <c r="C923" s="72"/>
      <c r="D923" s="9"/>
      <c r="E923" s="72"/>
      <c r="F923" s="9"/>
      <c r="G923" s="16"/>
      <c r="H923" s="9"/>
      <c r="I923" s="9"/>
      <c r="J923" s="9"/>
      <c r="K923" s="72"/>
      <c r="L923" s="9"/>
      <c r="M923" s="9"/>
      <c r="N923" s="9"/>
      <c r="O923" s="9"/>
      <c r="P923" s="9"/>
      <c r="Q923" s="9"/>
    </row>
    <row r="924" spans="2:17" x14ac:dyDescent="0.2">
      <c r="B924" s="7"/>
      <c r="C924" s="72"/>
      <c r="D924" s="9"/>
      <c r="E924" s="72"/>
      <c r="F924" s="9"/>
      <c r="G924" s="16"/>
      <c r="H924" s="9"/>
      <c r="I924" s="9"/>
      <c r="J924" s="9"/>
      <c r="K924" s="72"/>
      <c r="L924" s="9"/>
      <c r="M924" s="9"/>
      <c r="N924" s="9"/>
      <c r="O924" s="9"/>
      <c r="P924" s="9"/>
      <c r="Q924" s="9"/>
    </row>
    <row r="925" spans="2:17" x14ac:dyDescent="0.2">
      <c r="B925" s="7"/>
      <c r="C925" s="72"/>
      <c r="D925" s="9"/>
      <c r="E925" s="72"/>
      <c r="F925" s="9"/>
      <c r="G925" s="16"/>
      <c r="H925" s="9"/>
      <c r="I925" s="9"/>
      <c r="J925" s="9"/>
      <c r="K925" s="72"/>
      <c r="L925" s="9"/>
      <c r="M925" s="9"/>
      <c r="N925" s="9"/>
      <c r="O925" s="9"/>
      <c r="P925" s="9"/>
      <c r="Q925" s="9"/>
    </row>
    <row r="926" spans="2:17" x14ac:dyDescent="0.2">
      <c r="B926" s="7"/>
      <c r="C926" s="72"/>
      <c r="D926" s="9"/>
      <c r="E926" s="72"/>
      <c r="F926" s="9"/>
      <c r="G926" s="16"/>
      <c r="H926" s="9"/>
      <c r="I926" s="9"/>
      <c r="J926" s="9"/>
      <c r="K926" s="72"/>
      <c r="L926" s="9"/>
      <c r="M926" s="9"/>
      <c r="N926" s="9"/>
      <c r="O926" s="9"/>
      <c r="P926" s="9"/>
      <c r="Q926" s="9"/>
    </row>
    <row r="927" spans="2:17" x14ac:dyDescent="0.2">
      <c r="B927" s="7"/>
      <c r="C927" s="72"/>
      <c r="D927" s="9"/>
      <c r="E927" s="72"/>
      <c r="F927" s="9"/>
      <c r="G927" s="16"/>
      <c r="H927" s="9"/>
      <c r="I927" s="9"/>
      <c r="J927" s="9"/>
      <c r="K927" s="72"/>
      <c r="L927" s="9"/>
      <c r="M927" s="9"/>
      <c r="N927" s="9"/>
      <c r="O927" s="9"/>
      <c r="P927" s="9"/>
      <c r="Q927" s="9"/>
    </row>
    <row r="928" spans="2:17" x14ac:dyDescent="0.2">
      <c r="B928" s="7"/>
      <c r="C928" s="72"/>
      <c r="D928" s="9"/>
      <c r="E928" s="72"/>
      <c r="F928" s="9"/>
      <c r="G928" s="16"/>
      <c r="H928" s="9"/>
      <c r="I928" s="9"/>
      <c r="J928" s="9"/>
      <c r="K928" s="72"/>
      <c r="L928" s="9"/>
      <c r="M928" s="9"/>
      <c r="N928" s="9"/>
      <c r="O928" s="9"/>
      <c r="P928" s="9"/>
      <c r="Q928" s="9"/>
    </row>
    <row r="929" spans="2:17" x14ac:dyDescent="0.2">
      <c r="B929" s="7"/>
      <c r="C929" s="72"/>
      <c r="D929" s="9"/>
      <c r="E929" s="72"/>
      <c r="F929" s="9"/>
      <c r="G929" s="16"/>
      <c r="H929" s="9"/>
      <c r="I929" s="9"/>
      <c r="J929" s="9"/>
      <c r="K929" s="72"/>
      <c r="L929" s="9"/>
      <c r="M929" s="9"/>
      <c r="N929" s="9"/>
      <c r="O929" s="9"/>
      <c r="P929" s="9"/>
      <c r="Q929" s="9"/>
    </row>
    <row r="930" spans="2:17" x14ac:dyDescent="0.2">
      <c r="B930" s="7"/>
      <c r="C930" s="72"/>
      <c r="D930" s="9"/>
      <c r="E930" s="72"/>
      <c r="F930" s="9"/>
      <c r="G930" s="16"/>
      <c r="H930" s="9"/>
      <c r="I930" s="9"/>
      <c r="J930" s="9"/>
      <c r="K930" s="72"/>
      <c r="L930" s="9"/>
      <c r="M930" s="9"/>
      <c r="N930" s="9"/>
      <c r="O930" s="9"/>
      <c r="P930" s="9"/>
      <c r="Q930" s="9"/>
    </row>
    <row r="931" spans="2:17" x14ac:dyDescent="0.2">
      <c r="B931" s="7"/>
      <c r="C931" s="72"/>
      <c r="D931" s="9"/>
      <c r="E931" s="72"/>
      <c r="F931" s="9"/>
      <c r="G931" s="16"/>
      <c r="H931" s="9"/>
      <c r="I931" s="9"/>
      <c r="J931" s="9"/>
      <c r="K931" s="72"/>
      <c r="L931" s="9"/>
      <c r="M931" s="9"/>
      <c r="N931" s="9"/>
      <c r="O931" s="9"/>
      <c r="P931" s="9"/>
      <c r="Q931" s="9"/>
    </row>
    <row r="932" spans="2:17" x14ac:dyDescent="0.2">
      <c r="B932" s="7"/>
      <c r="C932" s="72"/>
      <c r="D932" s="9"/>
      <c r="E932" s="72"/>
      <c r="F932" s="9"/>
      <c r="G932" s="16"/>
      <c r="H932" s="9"/>
      <c r="I932" s="9"/>
      <c r="J932" s="9"/>
      <c r="K932" s="72"/>
      <c r="L932" s="9"/>
      <c r="M932" s="9"/>
      <c r="N932" s="9"/>
      <c r="O932" s="9"/>
      <c r="P932" s="9"/>
      <c r="Q932" s="9"/>
    </row>
    <row r="933" spans="2:17" x14ac:dyDescent="0.2">
      <c r="B933" s="7"/>
      <c r="C933" s="72"/>
      <c r="D933" s="9"/>
      <c r="E933" s="72"/>
      <c r="F933" s="9"/>
      <c r="G933" s="16"/>
      <c r="H933" s="9"/>
      <c r="I933" s="9"/>
      <c r="J933" s="9"/>
      <c r="K933" s="72"/>
      <c r="L933" s="9"/>
      <c r="M933" s="9"/>
      <c r="N933" s="9"/>
      <c r="O933" s="9"/>
      <c r="P933" s="9"/>
      <c r="Q933" s="9"/>
    </row>
    <row r="934" spans="2:17" x14ac:dyDescent="0.2">
      <c r="B934" s="7"/>
      <c r="C934" s="72"/>
      <c r="D934" s="9"/>
      <c r="E934" s="72"/>
      <c r="F934" s="9"/>
      <c r="G934" s="16"/>
      <c r="H934" s="9"/>
      <c r="I934" s="9"/>
      <c r="J934" s="9"/>
      <c r="K934" s="72"/>
      <c r="L934" s="9"/>
      <c r="M934" s="9"/>
      <c r="N934" s="9"/>
      <c r="O934" s="9"/>
      <c r="P934" s="9"/>
      <c r="Q934" s="9"/>
    </row>
    <row r="935" spans="2:17" x14ac:dyDescent="0.2">
      <c r="B935" s="7"/>
      <c r="C935" s="72"/>
      <c r="D935" s="9"/>
      <c r="E935" s="72"/>
      <c r="F935" s="9"/>
      <c r="G935" s="16"/>
      <c r="H935" s="9"/>
      <c r="I935" s="9"/>
      <c r="J935" s="9"/>
      <c r="K935" s="72"/>
      <c r="L935" s="9"/>
      <c r="M935" s="9"/>
      <c r="N935" s="9"/>
      <c r="O935" s="9"/>
      <c r="P935" s="9"/>
      <c r="Q935" s="9"/>
    </row>
    <row r="936" spans="2:17" x14ac:dyDescent="0.2">
      <c r="B936" s="7"/>
      <c r="C936" s="72"/>
      <c r="D936" s="9"/>
      <c r="E936" s="72"/>
      <c r="F936" s="9"/>
      <c r="G936" s="16"/>
      <c r="H936" s="9"/>
      <c r="I936" s="9"/>
      <c r="J936" s="9"/>
      <c r="K936" s="72"/>
      <c r="L936" s="9"/>
      <c r="M936" s="9"/>
      <c r="N936" s="9"/>
      <c r="O936" s="9"/>
      <c r="P936" s="9"/>
      <c r="Q936" s="9"/>
    </row>
    <row r="937" spans="2:17" x14ac:dyDescent="0.2">
      <c r="B937" s="7"/>
      <c r="C937" s="72"/>
      <c r="D937" s="9"/>
      <c r="E937" s="72"/>
      <c r="F937" s="9"/>
      <c r="G937" s="16"/>
      <c r="H937" s="9"/>
      <c r="I937" s="9"/>
      <c r="J937" s="9"/>
      <c r="K937" s="72"/>
      <c r="L937" s="9"/>
      <c r="M937" s="9"/>
      <c r="N937" s="9"/>
      <c r="O937" s="9"/>
      <c r="P937" s="9"/>
      <c r="Q937" s="9"/>
    </row>
    <row r="938" spans="2:17" x14ac:dyDescent="0.2">
      <c r="B938" s="7"/>
      <c r="C938" s="72"/>
      <c r="D938" s="9"/>
      <c r="E938" s="72"/>
      <c r="F938" s="9"/>
      <c r="G938" s="16"/>
      <c r="H938" s="9"/>
      <c r="I938" s="9"/>
      <c r="J938" s="9"/>
      <c r="K938" s="72"/>
      <c r="L938" s="9"/>
      <c r="M938" s="9"/>
      <c r="N938" s="9"/>
      <c r="O938" s="9"/>
      <c r="P938" s="9"/>
      <c r="Q938" s="9"/>
    </row>
    <row r="939" spans="2:17" x14ac:dyDescent="0.2">
      <c r="B939" s="7"/>
      <c r="C939" s="72"/>
      <c r="D939" s="9"/>
      <c r="E939" s="72"/>
      <c r="F939" s="9"/>
      <c r="G939" s="16"/>
      <c r="H939" s="9"/>
      <c r="I939" s="9"/>
      <c r="J939" s="9"/>
      <c r="K939" s="72"/>
      <c r="L939" s="9"/>
      <c r="M939" s="9"/>
      <c r="N939" s="9"/>
      <c r="O939" s="9"/>
      <c r="P939" s="9"/>
      <c r="Q939" s="9"/>
    </row>
    <row r="940" spans="2:17" x14ac:dyDescent="0.2">
      <c r="B940" s="7"/>
      <c r="C940" s="72"/>
      <c r="D940" s="9"/>
      <c r="E940" s="72"/>
      <c r="F940" s="9"/>
      <c r="G940" s="16"/>
      <c r="H940" s="9"/>
      <c r="I940" s="9"/>
      <c r="J940" s="9"/>
      <c r="K940" s="72"/>
      <c r="L940" s="9"/>
      <c r="M940" s="9"/>
      <c r="N940" s="9"/>
      <c r="O940" s="9"/>
      <c r="P940" s="9"/>
      <c r="Q940" s="9"/>
    </row>
    <row r="941" spans="2:17" x14ac:dyDescent="0.2">
      <c r="B941" s="7"/>
      <c r="C941" s="72"/>
      <c r="D941" s="9"/>
      <c r="E941" s="72"/>
      <c r="F941" s="9"/>
      <c r="G941" s="16"/>
      <c r="H941" s="9"/>
      <c r="I941" s="9"/>
      <c r="J941" s="9"/>
      <c r="K941" s="72"/>
      <c r="L941" s="9"/>
      <c r="M941" s="9"/>
      <c r="N941" s="9"/>
      <c r="O941" s="9"/>
      <c r="P941" s="9"/>
      <c r="Q941" s="9"/>
    </row>
    <row r="942" spans="2:17" x14ac:dyDescent="0.2">
      <c r="B942" s="7"/>
      <c r="C942" s="72"/>
      <c r="D942" s="9"/>
      <c r="E942" s="72"/>
      <c r="F942" s="9"/>
      <c r="G942" s="16"/>
      <c r="H942" s="9"/>
      <c r="I942" s="9"/>
      <c r="J942" s="9"/>
      <c r="K942" s="72"/>
      <c r="L942" s="9"/>
      <c r="M942" s="9"/>
      <c r="N942" s="9"/>
      <c r="O942" s="9"/>
      <c r="P942" s="9"/>
      <c r="Q942" s="9"/>
    </row>
    <row r="943" spans="2:17" x14ac:dyDescent="0.2">
      <c r="B943" s="7"/>
      <c r="C943" s="72"/>
      <c r="D943" s="9"/>
      <c r="E943" s="72"/>
      <c r="F943" s="9"/>
      <c r="G943" s="16"/>
      <c r="H943" s="9"/>
      <c r="I943" s="9"/>
      <c r="J943" s="9"/>
      <c r="K943" s="72"/>
      <c r="L943" s="9"/>
      <c r="M943" s="9"/>
      <c r="N943" s="9"/>
      <c r="O943" s="9"/>
      <c r="P943" s="9"/>
      <c r="Q943" s="9"/>
    </row>
    <row r="944" spans="2:17" x14ac:dyDescent="0.2">
      <c r="B944" s="7"/>
      <c r="C944" s="72"/>
      <c r="D944" s="9"/>
      <c r="E944" s="72"/>
      <c r="F944" s="9"/>
      <c r="G944" s="16"/>
      <c r="H944" s="9"/>
      <c r="I944" s="9"/>
      <c r="J944" s="9"/>
      <c r="K944" s="72"/>
      <c r="L944" s="9"/>
      <c r="M944" s="9"/>
      <c r="N944" s="9"/>
      <c r="O944" s="9"/>
      <c r="P944" s="9"/>
      <c r="Q944" s="9"/>
    </row>
    <row r="945" spans="2:17" x14ac:dyDescent="0.2">
      <c r="B945" s="7"/>
      <c r="C945" s="72"/>
      <c r="D945" s="9"/>
      <c r="E945" s="72"/>
      <c r="F945" s="9"/>
      <c r="G945" s="16"/>
      <c r="H945" s="9"/>
      <c r="I945" s="9"/>
      <c r="J945" s="9"/>
      <c r="K945" s="72"/>
      <c r="L945" s="9"/>
      <c r="M945" s="9"/>
      <c r="N945" s="9"/>
      <c r="O945" s="9"/>
      <c r="P945" s="9"/>
      <c r="Q945" s="9"/>
    </row>
    <row r="946" spans="2:17" x14ac:dyDescent="0.2">
      <c r="B946" s="7"/>
      <c r="C946" s="72"/>
      <c r="D946" s="9"/>
      <c r="E946" s="72"/>
      <c r="F946" s="9"/>
      <c r="G946" s="16"/>
      <c r="H946" s="9"/>
      <c r="I946" s="9"/>
      <c r="J946" s="9"/>
      <c r="K946" s="72"/>
      <c r="L946" s="9"/>
      <c r="M946" s="9"/>
      <c r="N946" s="9"/>
      <c r="O946" s="9"/>
      <c r="P946" s="9"/>
      <c r="Q946" s="9"/>
    </row>
    <row r="947" spans="2:17" x14ac:dyDescent="0.2">
      <c r="B947" s="7"/>
      <c r="C947" s="72"/>
      <c r="D947" s="9"/>
      <c r="E947" s="72"/>
      <c r="F947" s="9"/>
      <c r="G947" s="16"/>
      <c r="H947" s="9"/>
      <c r="I947" s="9"/>
      <c r="J947" s="9"/>
      <c r="K947" s="72"/>
      <c r="L947" s="9"/>
      <c r="M947" s="9"/>
      <c r="N947" s="9"/>
      <c r="O947" s="9"/>
      <c r="P947" s="9"/>
      <c r="Q947" s="9"/>
    </row>
    <row r="948" spans="2:17" x14ac:dyDescent="0.2">
      <c r="B948" s="7"/>
      <c r="C948" s="72"/>
      <c r="D948" s="9"/>
      <c r="E948" s="72"/>
      <c r="F948" s="9"/>
      <c r="G948" s="16"/>
      <c r="H948" s="9"/>
      <c r="I948" s="9"/>
      <c r="J948" s="9"/>
      <c r="K948" s="72"/>
      <c r="L948" s="9"/>
      <c r="M948" s="9"/>
      <c r="N948" s="9"/>
      <c r="O948" s="9"/>
      <c r="P948" s="9"/>
      <c r="Q948" s="9"/>
    </row>
    <row r="949" spans="2:17" x14ac:dyDescent="0.2">
      <c r="B949" s="7"/>
      <c r="C949" s="72"/>
      <c r="D949" s="9"/>
      <c r="E949" s="72"/>
      <c r="F949" s="9"/>
      <c r="G949" s="16"/>
      <c r="H949" s="9"/>
      <c r="I949" s="9"/>
      <c r="J949" s="9"/>
      <c r="K949" s="72"/>
      <c r="L949" s="9"/>
      <c r="M949" s="9"/>
      <c r="N949" s="9"/>
      <c r="O949" s="9"/>
      <c r="P949" s="9"/>
      <c r="Q949" s="9"/>
    </row>
    <row r="950" spans="2:17" x14ac:dyDescent="0.2">
      <c r="B950" s="7"/>
      <c r="C950" s="72"/>
      <c r="D950" s="9"/>
      <c r="E950" s="72"/>
      <c r="F950" s="9"/>
      <c r="G950" s="16"/>
      <c r="H950" s="9"/>
      <c r="I950" s="9"/>
      <c r="J950" s="9"/>
      <c r="K950" s="72"/>
      <c r="L950" s="9"/>
      <c r="M950" s="9"/>
      <c r="N950" s="9"/>
      <c r="O950" s="9"/>
      <c r="P950" s="9"/>
      <c r="Q950" s="9"/>
    </row>
    <row r="951" spans="2:17" x14ac:dyDescent="0.2">
      <c r="B951" s="7"/>
      <c r="C951" s="72"/>
      <c r="D951" s="9"/>
      <c r="E951" s="72"/>
      <c r="F951" s="9"/>
      <c r="G951" s="16"/>
      <c r="H951" s="9"/>
      <c r="I951" s="9"/>
      <c r="J951" s="9"/>
      <c r="K951" s="72"/>
      <c r="L951" s="9"/>
      <c r="M951" s="9"/>
      <c r="N951" s="9"/>
      <c r="O951" s="9"/>
      <c r="P951" s="9"/>
      <c r="Q951" s="9"/>
    </row>
    <row r="952" spans="2:17" x14ac:dyDescent="0.2">
      <c r="B952" s="7"/>
      <c r="C952" s="72"/>
      <c r="D952" s="9"/>
      <c r="E952" s="72"/>
      <c r="F952" s="9"/>
      <c r="G952" s="16"/>
      <c r="H952" s="9"/>
      <c r="I952" s="9"/>
      <c r="J952" s="9"/>
      <c r="K952" s="72"/>
      <c r="L952" s="9"/>
      <c r="M952" s="9"/>
      <c r="N952" s="9"/>
      <c r="O952" s="9"/>
      <c r="P952" s="9"/>
      <c r="Q952" s="9"/>
    </row>
    <row r="953" spans="2:17" x14ac:dyDescent="0.2">
      <c r="B953" s="7"/>
      <c r="C953" s="72"/>
      <c r="D953" s="9"/>
      <c r="E953" s="72"/>
      <c r="F953" s="9"/>
      <c r="G953" s="16"/>
      <c r="H953" s="9"/>
      <c r="I953" s="9"/>
      <c r="J953" s="9"/>
      <c r="K953" s="72"/>
      <c r="L953" s="9"/>
      <c r="M953" s="9"/>
      <c r="N953" s="9"/>
      <c r="O953" s="9"/>
      <c r="P953" s="9"/>
      <c r="Q953" s="9"/>
    </row>
    <row r="954" spans="2:17" x14ac:dyDescent="0.2">
      <c r="B954" s="7"/>
      <c r="C954" s="72"/>
      <c r="D954" s="9"/>
      <c r="E954" s="72"/>
      <c r="F954" s="9"/>
      <c r="G954" s="16"/>
      <c r="H954" s="9"/>
      <c r="I954" s="9"/>
      <c r="J954" s="9"/>
      <c r="K954" s="72"/>
      <c r="L954" s="9"/>
      <c r="M954" s="9"/>
      <c r="N954" s="9"/>
      <c r="O954" s="9"/>
      <c r="P954" s="9"/>
      <c r="Q954" s="9"/>
    </row>
    <row r="955" spans="2:17" x14ac:dyDescent="0.2">
      <c r="B955" s="7"/>
      <c r="C955" s="72"/>
      <c r="D955" s="9"/>
      <c r="E955" s="72"/>
      <c r="F955" s="9"/>
      <c r="G955" s="16"/>
      <c r="H955" s="9"/>
      <c r="I955" s="9"/>
      <c r="J955" s="9"/>
      <c r="K955" s="72"/>
      <c r="L955" s="9"/>
      <c r="M955" s="9"/>
      <c r="N955" s="9"/>
      <c r="O955" s="9"/>
      <c r="P955" s="9"/>
      <c r="Q955" s="9"/>
    </row>
    <row r="956" spans="2:17" x14ac:dyDescent="0.2">
      <c r="B956" s="7"/>
      <c r="C956" s="72"/>
      <c r="D956" s="9"/>
      <c r="E956" s="72"/>
      <c r="F956" s="9"/>
      <c r="G956" s="16"/>
      <c r="H956" s="9"/>
      <c r="I956" s="9"/>
      <c r="J956" s="9"/>
      <c r="K956" s="72"/>
      <c r="L956" s="9"/>
      <c r="M956" s="9"/>
      <c r="N956" s="9"/>
      <c r="O956" s="9"/>
      <c r="P956" s="9"/>
      <c r="Q956" s="9"/>
    </row>
    <row r="957" spans="2:17" x14ac:dyDescent="0.2">
      <c r="B957" s="7"/>
      <c r="C957" s="72"/>
      <c r="D957" s="9"/>
      <c r="E957" s="72"/>
      <c r="F957" s="9"/>
      <c r="G957" s="16"/>
      <c r="H957" s="9"/>
      <c r="I957" s="9"/>
      <c r="J957" s="9"/>
      <c r="K957" s="72"/>
      <c r="L957" s="9"/>
      <c r="M957" s="9"/>
      <c r="N957" s="9"/>
      <c r="O957" s="9"/>
      <c r="P957" s="9"/>
      <c r="Q957" s="9"/>
    </row>
    <row r="958" spans="2:17" x14ac:dyDescent="0.2">
      <c r="B958" s="7"/>
      <c r="C958" s="72"/>
      <c r="D958" s="9"/>
      <c r="E958" s="72"/>
      <c r="F958" s="9"/>
      <c r="G958" s="16"/>
      <c r="H958" s="9"/>
      <c r="I958" s="9"/>
      <c r="J958" s="9"/>
      <c r="K958" s="72"/>
      <c r="L958" s="9"/>
      <c r="M958" s="9"/>
      <c r="N958" s="9"/>
      <c r="O958" s="9"/>
      <c r="P958" s="9"/>
      <c r="Q958" s="9"/>
    </row>
    <row r="959" spans="2:17" x14ac:dyDescent="0.2">
      <c r="B959" s="7"/>
      <c r="C959" s="72"/>
      <c r="D959" s="9"/>
      <c r="E959" s="72"/>
      <c r="F959" s="9"/>
      <c r="G959" s="16"/>
      <c r="H959" s="9"/>
      <c r="I959" s="9"/>
      <c r="J959" s="9"/>
      <c r="K959" s="72"/>
      <c r="L959" s="9"/>
      <c r="M959" s="9"/>
      <c r="N959" s="9"/>
      <c r="O959" s="9"/>
      <c r="P959" s="9"/>
      <c r="Q959" s="9"/>
    </row>
    <row r="960" spans="2:17" x14ac:dyDescent="0.2">
      <c r="B960" s="7"/>
      <c r="C960" s="72"/>
      <c r="D960" s="9"/>
      <c r="E960" s="72"/>
      <c r="F960" s="9"/>
      <c r="G960" s="16"/>
      <c r="H960" s="9"/>
      <c r="I960" s="9"/>
      <c r="J960" s="9"/>
      <c r="K960" s="72"/>
      <c r="L960" s="9"/>
      <c r="M960" s="9"/>
      <c r="N960" s="9"/>
      <c r="O960" s="9"/>
      <c r="P960" s="9"/>
      <c r="Q960" s="9"/>
    </row>
    <row r="961" spans="2:17" x14ac:dyDescent="0.2">
      <c r="B961" s="7"/>
      <c r="C961" s="72"/>
      <c r="D961" s="9"/>
      <c r="E961" s="72"/>
      <c r="F961" s="9"/>
      <c r="G961" s="16"/>
      <c r="H961" s="9"/>
      <c r="I961" s="9"/>
      <c r="J961" s="9"/>
      <c r="K961" s="72"/>
      <c r="L961" s="9"/>
      <c r="M961" s="9"/>
      <c r="N961" s="9"/>
      <c r="O961" s="9"/>
      <c r="P961" s="9"/>
      <c r="Q961" s="9"/>
    </row>
    <row r="962" spans="2:17" x14ac:dyDescent="0.2">
      <c r="B962" s="7"/>
      <c r="C962" s="72"/>
      <c r="D962" s="9"/>
      <c r="E962" s="72"/>
      <c r="F962" s="9"/>
      <c r="G962" s="16"/>
      <c r="H962" s="9"/>
      <c r="I962" s="9"/>
      <c r="J962" s="9"/>
      <c r="K962" s="72"/>
      <c r="L962" s="9"/>
      <c r="M962" s="9"/>
      <c r="N962" s="9"/>
      <c r="O962" s="9"/>
      <c r="P962" s="9"/>
      <c r="Q962" s="9"/>
    </row>
    <row r="963" spans="2:17" x14ac:dyDescent="0.2">
      <c r="B963" s="7"/>
      <c r="C963" s="72"/>
      <c r="D963" s="9"/>
      <c r="E963" s="72"/>
      <c r="F963" s="9"/>
      <c r="G963" s="16"/>
      <c r="H963" s="9"/>
      <c r="I963" s="9"/>
      <c r="J963" s="9"/>
      <c r="K963" s="72"/>
      <c r="L963" s="9"/>
      <c r="M963" s="9"/>
      <c r="N963" s="9"/>
      <c r="O963" s="9"/>
      <c r="P963" s="9"/>
      <c r="Q963" s="9"/>
    </row>
    <row r="964" spans="2:17" x14ac:dyDescent="0.2">
      <c r="B964" s="7"/>
      <c r="C964" s="72"/>
      <c r="D964" s="9"/>
      <c r="E964" s="72"/>
      <c r="F964" s="9"/>
      <c r="G964" s="16"/>
      <c r="H964" s="9"/>
      <c r="I964" s="9"/>
      <c r="J964" s="9"/>
      <c r="K964" s="72"/>
      <c r="L964" s="9"/>
      <c r="M964" s="9"/>
      <c r="N964" s="9"/>
      <c r="O964" s="9"/>
      <c r="P964" s="9"/>
      <c r="Q964" s="9"/>
    </row>
    <row r="965" spans="2:17" x14ac:dyDescent="0.2">
      <c r="B965" s="7"/>
      <c r="C965" s="72"/>
      <c r="D965" s="9"/>
      <c r="E965" s="72"/>
      <c r="F965" s="9"/>
      <c r="G965" s="16"/>
      <c r="H965" s="9"/>
      <c r="I965" s="9"/>
      <c r="J965" s="9"/>
      <c r="K965" s="72"/>
      <c r="L965" s="9"/>
      <c r="M965" s="9"/>
      <c r="N965" s="9"/>
      <c r="O965" s="9"/>
      <c r="P965" s="9"/>
      <c r="Q965" s="9"/>
    </row>
    <row r="966" spans="2:17" x14ac:dyDescent="0.2">
      <c r="B966" s="7"/>
      <c r="C966" s="72"/>
      <c r="D966" s="9"/>
      <c r="E966" s="72"/>
      <c r="F966" s="9"/>
      <c r="G966" s="16"/>
      <c r="H966" s="9"/>
      <c r="I966" s="9"/>
      <c r="J966" s="9"/>
      <c r="K966" s="72"/>
      <c r="L966" s="9"/>
      <c r="M966" s="9"/>
      <c r="N966" s="9"/>
      <c r="O966" s="9"/>
      <c r="P966" s="9"/>
      <c r="Q966" s="9"/>
    </row>
    <row r="967" spans="2:17" x14ac:dyDescent="0.2">
      <c r="B967" s="7"/>
      <c r="C967" s="72"/>
      <c r="D967" s="9"/>
      <c r="E967" s="72"/>
      <c r="F967" s="9"/>
      <c r="G967" s="16"/>
      <c r="H967" s="9"/>
      <c r="I967" s="9"/>
      <c r="J967" s="9"/>
      <c r="K967" s="72"/>
      <c r="L967" s="9"/>
      <c r="M967" s="9"/>
      <c r="N967" s="9"/>
      <c r="O967" s="9"/>
      <c r="P967" s="9"/>
      <c r="Q967" s="9"/>
    </row>
    <row r="968" spans="2:17" x14ac:dyDescent="0.2">
      <c r="B968" s="7"/>
      <c r="C968" s="72"/>
      <c r="D968" s="9"/>
      <c r="E968" s="72"/>
      <c r="F968" s="9"/>
      <c r="G968" s="16"/>
      <c r="H968" s="9"/>
      <c r="I968" s="9"/>
      <c r="J968" s="9"/>
      <c r="K968" s="72"/>
      <c r="L968" s="9"/>
      <c r="M968" s="9"/>
      <c r="N968" s="9"/>
      <c r="O968" s="9"/>
      <c r="P968" s="9"/>
      <c r="Q968" s="9"/>
    </row>
    <row r="969" spans="2:17" x14ac:dyDescent="0.2">
      <c r="B969" s="7"/>
      <c r="C969" s="72"/>
      <c r="D969" s="9"/>
      <c r="E969" s="72"/>
      <c r="F969" s="9"/>
      <c r="G969" s="16"/>
      <c r="H969" s="9"/>
      <c r="I969" s="9"/>
      <c r="J969" s="9"/>
      <c r="K969" s="72"/>
      <c r="L969" s="9"/>
      <c r="M969" s="9"/>
      <c r="N969" s="9"/>
      <c r="O969" s="9"/>
      <c r="P969" s="9"/>
      <c r="Q969" s="9"/>
    </row>
    <row r="970" spans="2:17" x14ac:dyDescent="0.2">
      <c r="B970" s="7"/>
      <c r="C970" s="72"/>
      <c r="D970" s="9"/>
      <c r="E970" s="72"/>
      <c r="F970" s="9"/>
      <c r="G970" s="16"/>
      <c r="H970" s="9"/>
      <c r="I970" s="9"/>
      <c r="J970" s="9"/>
      <c r="K970" s="72"/>
      <c r="L970" s="9"/>
      <c r="M970" s="9"/>
      <c r="N970" s="9"/>
      <c r="O970" s="9"/>
      <c r="P970" s="9"/>
      <c r="Q970" s="9"/>
    </row>
    <row r="971" spans="2:17" x14ac:dyDescent="0.2">
      <c r="B971" s="7"/>
      <c r="C971" s="72"/>
      <c r="D971" s="9"/>
      <c r="E971" s="72"/>
      <c r="F971" s="9"/>
      <c r="G971" s="16"/>
      <c r="H971" s="9"/>
      <c r="I971" s="9"/>
      <c r="J971" s="9"/>
      <c r="K971" s="72"/>
      <c r="L971" s="9"/>
      <c r="M971" s="9"/>
      <c r="N971" s="9"/>
      <c r="O971" s="9"/>
      <c r="P971" s="9"/>
      <c r="Q971" s="9"/>
    </row>
    <row r="972" spans="2:17" x14ac:dyDescent="0.2">
      <c r="B972" s="7"/>
      <c r="C972" s="72"/>
      <c r="D972" s="9"/>
      <c r="E972" s="72"/>
      <c r="F972" s="9"/>
      <c r="G972" s="16"/>
      <c r="H972" s="9"/>
      <c r="I972" s="9"/>
      <c r="J972" s="9"/>
      <c r="K972" s="72"/>
      <c r="L972" s="9"/>
      <c r="M972" s="9"/>
      <c r="N972" s="9"/>
      <c r="O972" s="9"/>
      <c r="P972" s="9"/>
      <c r="Q972" s="9"/>
    </row>
    <row r="973" spans="2:17" x14ac:dyDescent="0.2">
      <c r="B973" s="7"/>
      <c r="C973" s="72"/>
      <c r="D973" s="9"/>
      <c r="E973" s="72"/>
      <c r="F973" s="9"/>
      <c r="G973" s="16"/>
      <c r="H973" s="9"/>
      <c r="I973" s="9"/>
      <c r="J973" s="9"/>
      <c r="K973" s="72"/>
      <c r="L973" s="9"/>
      <c r="M973" s="9"/>
      <c r="N973" s="9"/>
      <c r="O973" s="9"/>
      <c r="P973" s="9"/>
      <c r="Q973" s="9"/>
    </row>
    <row r="974" spans="2:17" x14ac:dyDescent="0.2">
      <c r="B974" s="7"/>
      <c r="C974" s="72"/>
      <c r="D974" s="9"/>
      <c r="E974" s="72"/>
      <c r="F974" s="9"/>
      <c r="G974" s="16"/>
      <c r="H974" s="9"/>
      <c r="I974" s="9"/>
      <c r="J974" s="9"/>
      <c r="K974" s="72"/>
      <c r="L974" s="9"/>
      <c r="M974" s="9"/>
      <c r="N974" s="9"/>
      <c r="O974" s="9"/>
      <c r="P974" s="9"/>
      <c r="Q974" s="9"/>
    </row>
    <row r="975" spans="2:17" x14ac:dyDescent="0.2">
      <c r="B975" s="7"/>
      <c r="C975" s="72"/>
      <c r="D975" s="9"/>
      <c r="E975" s="72"/>
      <c r="F975" s="9"/>
      <c r="G975" s="16"/>
      <c r="H975" s="9"/>
      <c r="I975" s="9"/>
      <c r="J975" s="9"/>
      <c r="K975" s="72"/>
      <c r="L975" s="9"/>
      <c r="M975" s="9"/>
      <c r="N975" s="9"/>
      <c r="O975" s="9"/>
      <c r="P975" s="9"/>
      <c r="Q975" s="9"/>
    </row>
    <row r="976" spans="2:17" x14ac:dyDescent="0.2">
      <c r="B976" s="7"/>
      <c r="C976" s="72"/>
      <c r="D976" s="9"/>
      <c r="E976" s="72"/>
      <c r="F976" s="9"/>
      <c r="G976" s="16"/>
      <c r="H976" s="9"/>
      <c r="I976" s="9"/>
      <c r="J976" s="9"/>
      <c r="K976" s="72"/>
      <c r="L976" s="9"/>
      <c r="M976" s="9"/>
      <c r="N976" s="9"/>
      <c r="O976" s="9"/>
      <c r="P976" s="9"/>
      <c r="Q976" s="9"/>
    </row>
    <row r="977" spans="2:17" x14ac:dyDescent="0.2">
      <c r="B977" s="7"/>
      <c r="C977" s="72"/>
      <c r="D977" s="9"/>
      <c r="E977" s="72"/>
      <c r="F977" s="9"/>
      <c r="G977" s="16"/>
      <c r="H977" s="9"/>
      <c r="I977" s="9"/>
      <c r="J977" s="9"/>
      <c r="K977" s="72"/>
      <c r="L977" s="9"/>
      <c r="M977" s="9"/>
      <c r="N977" s="9"/>
      <c r="O977" s="9"/>
      <c r="P977" s="9"/>
      <c r="Q977" s="9"/>
    </row>
    <row r="978" spans="2:17" x14ac:dyDescent="0.2">
      <c r="B978" s="7"/>
      <c r="C978" s="72"/>
      <c r="D978" s="9"/>
      <c r="E978" s="72"/>
      <c r="F978" s="9"/>
      <c r="G978" s="16"/>
      <c r="H978" s="9"/>
      <c r="I978" s="9"/>
      <c r="J978" s="9"/>
      <c r="K978" s="72"/>
      <c r="L978" s="9"/>
      <c r="M978" s="9"/>
      <c r="N978" s="9"/>
      <c r="O978" s="9"/>
      <c r="P978" s="9"/>
      <c r="Q978" s="9"/>
    </row>
    <row r="979" spans="2:17" x14ac:dyDescent="0.2">
      <c r="B979" s="7"/>
      <c r="C979" s="72"/>
      <c r="D979" s="9"/>
      <c r="E979" s="72"/>
      <c r="F979" s="9"/>
      <c r="G979" s="16"/>
      <c r="H979" s="9"/>
      <c r="I979" s="9"/>
      <c r="J979" s="9"/>
      <c r="K979" s="72"/>
      <c r="L979" s="9"/>
      <c r="M979" s="9"/>
      <c r="N979" s="9"/>
      <c r="O979" s="9"/>
      <c r="P979" s="9"/>
      <c r="Q979" s="9"/>
    </row>
    <row r="980" spans="2:17" x14ac:dyDescent="0.2">
      <c r="B980" s="7"/>
      <c r="C980" s="72"/>
      <c r="D980" s="9"/>
      <c r="E980" s="72"/>
      <c r="F980" s="9"/>
      <c r="G980" s="16"/>
      <c r="H980" s="9"/>
      <c r="I980" s="9"/>
      <c r="J980" s="9"/>
      <c r="K980" s="72"/>
      <c r="L980" s="9"/>
      <c r="M980" s="9"/>
      <c r="N980" s="9"/>
      <c r="O980" s="9"/>
      <c r="P980" s="9"/>
      <c r="Q980" s="9"/>
    </row>
    <row r="981" spans="2:17" x14ac:dyDescent="0.2">
      <c r="B981" s="7"/>
      <c r="C981" s="72"/>
      <c r="D981" s="9"/>
      <c r="E981" s="72"/>
      <c r="F981" s="9"/>
      <c r="G981" s="16"/>
      <c r="H981" s="9"/>
      <c r="I981" s="9"/>
      <c r="J981" s="9"/>
      <c r="K981" s="72"/>
      <c r="L981" s="9"/>
      <c r="M981" s="9"/>
      <c r="N981" s="9"/>
      <c r="O981" s="9"/>
      <c r="P981" s="9"/>
      <c r="Q981" s="9"/>
    </row>
    <row r="982" spans="2:17" x14ac:dyDescent="0.2">
      <c r="B982" s="7"/>
      <c r="C982" s="72"/>
      <c r="D982" s="9"/>
      <c r="E982" s="72"/>
      <c r="F982" s="9"/>
      <c r="G982" s="16"/>
      <c r="H982" s="9"/>
      <c r="I982" s="9"/>
      <c r="J982" s="9"/>
      <c r="K982" s="72"/>
      <c r="L982" s="9"/>
      <c r="M982" s="9"/>
      <c r="N982" s="9"/>
      <c r="O982" s="9"/>
      <c r="P982" s="9"/>
      <c r="Q982" s="9"/>
    </row>
    <row r="983" spans="2:17" x14ac:dyDescent="0.2">
      <c r="B983" s="7"/>
      <c r="C983" s="72"/>
      <c r="D983" s="9"/>
      <c r="E983" s="72"/>
      <c r="F983" s="9"/>
      <c r="G983" s="16"/>
      <c r="H983" s="9"/>
      <c r="I983" s="9"/>
      <c r="J983" s="9"/>
      <c r="K983" s="72"/>
      <c r="L983" s="9"/>
      <c r="M983" s="9"/>
      <c r="N983" s="9"/>
      <c r="O983" s="9"/>
      <c r="P983" s="9"/>
      <c r="Q983" s="9"/>
    </row>
    <row r="984" spans="2:17" x14ac:dyDescent="0.2">
      <c r="B984" s="7"/>
      <c r="C984" s="72"/>
      <c r="D984" s="9"/>
      <c r="E984" s="72"/>
      <c r="F984" s="9"/>
      <c r="G984" s="16"/>
      <c r="H984" s="9"/>
      <c r="I984" s="9"/>
      <c r="J984" s="9"/>
      <c r="K984" s="72"/>
      <c r="L984" s="9"/>
      <c r="M984" s="9"/>
      <c r="N984" s="9"/>
      <c r="O984" s="9"/>
      <c r="P984" s="9"/>
      <c r="Q984" s="9"/>
    </row>
    <row r="985" spans="2:17" x14ac:dyDescent="0.2">
      <c r="B985" s="7"/>
      <c r="C985" s="72"/>
      <c r="D985" s="9"/>
      <c r="E985" s="72"/>
      <c r="F985" s="9"/>
      <c r="G985" s="16"/>
      <c r="H985" s="9"/>
      <c r="I985" s="9"/>
      <c r="J985" s="9"/>
      <c r="K985" s="72"/>
      <c r="L985" s="9"/>
      <c r="M985" s="9"/>
      <c r="N985" s="9"/>
      <c r="O985" s="9"/>
      <c r="P985" s="9"/>
      <c r="Q985" s="9"/>
    </row>
    <row r="986" spans="2:17" x14ac:dyDescent="0.2">
      <c r="B986" s="7"/>
      <c r="C986" s="72"/>
      <c r="D986" s="9"/>
      <c r="E986" s="72"/>
      <c r="F986" s="9"/>
      <c r="G986" s="16"/>
      <c r="H986" s="9"/>
      <c r="I986" s="9"/>
      <c r="J986" s="9"/>
      <c r="K986" s="72"/>
      <c r="L986" s="9"/>
      <c r="M986" s="9"/>
      <c r="N986" s="9"/>
      <c r="O986" s="9"/>
      <c r="P986" s="9"/>
      <c r="Q986" s="9"/>
    </row>
    <row r="987" spans="2:17" x14ac:dyDescent="0.2">
      <c r="B987" s="7"/>
      <c r="C987" s="72"/>
      <c r="D987" s="9"/>
      <c r="E987" s="72"/>
      <c r="F987" s="9"/>
      <c r="G987" s="16"/>
      <c r="H987" s="9"/>
      <c r="I987" s="9"/>
      <c r="J987" s="9"/>
      <c r="K987" s="72"/>
      <c r="L987" s="9"/>
      <c r="M987" s="9"/>
      <c r="N987" s="9"/>
      <c r="O987" s="9"/>
      <c r="P987" s="9"/>
      <c r="Q987" s="9"/>
    </row>
    <row r="988" spans="2:17" x14ac:dyDescent="0.2">
      <c r="B988" s="7"/>
      <c r="C988" s="72"/>
      <c r="D988" s="9"/>
      <c r="E988" s="72"/>
      <c r="F988" s="9"/>
      <c r="G988" s="16"/>
      <c r="H988" s="9"/>
      <c r="I988" s="9"/>
      <c r="J988" s="9"/>
      <c r="K988" s="72"/>
      <c r="L988" s="9"/>
      <c r="M988" s="9"/>
      <c r="N988" s="9"/>
      <c r="O988" s="9"/>
      <c r="P988" s="9"/>
      <c r="Q988" s="9"/>
    </row>
    <row r="989" spans="2:17" x14ac:dyDescent="0.2">
      <c r="B989" s="7"/>
      <c r="C989" s="72"/>
      <c r="D989" s="9"/>
      <c r="E989" s="72"/>
      <c r="F989" s="9"/>
      <c r="G989" s="16"/>
      <c r="H989" s="9"/>
      <c r="I989" s="9"/>
      <c r="J989" s="9"/>
      <c r="K989" s="72"/>
      <c r="L989" s="9"/>
      <c r="M989" s="9"/>
      <c r="N989" s="9"/>
      <c r="O989" s="9"/>
      <c r="P989" s="9"/>
      <c r="Q989" s="9"/>
    </row>
    <row r="990" spans="2:17" x14ac:dyDescent="0.2">
      <c r="B990" s="7"/>
      <c r="C990" s="72"/>
      <c r="D990" s="9"/>
      <c r="E990" s="72"/>
      <c r="F990" s="9"/>
      <c r="G990" s="16"/>
      <c r="H990" s="9"/>
      <c r="I990" s="9"/>
      <c r="J990" s="9"/>
      <c r="K990" s="72"/>
      <c r="L990" s="9"/>
      <c r="M990" s="9"/>
      <c r="N990" s="9"/>
      <c r="O990" s="9"/>
      <c r="P990" s="9"/>
      <c r="Q990" s="9"/>
    </row>
    <row r="991" spans="2:17" x14ac:dyDescent="0.2">
      <c r="B991" s="7"/>
      <c r="C991" s="72"/>
      <c r="D991" s="9"/>
      <c r="E991" s="72"/>
      <c r="F991" s="9"/>
      <c r="G991" s="16"/>
      <c r="H991" s="9"/>
      <c r="I991" s="9"/>
      <c r="J991" s="9"/>
      <c r="K991" s="72"/>
      <c r="L991" s="9"/>
      <c r="M991" s="9"/>
      <c r="N991" s="9"/>
      <c r="O991" s="9"/>
      <c r="P991" s="9"/>
      <c r="Q991" s="9"/>
    </row>
    <row r="992" spans="2:17" x14ac:dyDescent="0.2">
      <c r="B992" s="7"/>
      <c r="C992" s="72"/>
      <c r="D992" s="9"/>
      <c r="E992" s="72"/>
      <c r="F992" s="9"/>
      <c r="G992" s="16"/>
      <c r="H992" s="9"/>
      <c r="I992" s="9"/>
      <c r="J992" s="9"/>
      <c r="K992" s="72"/>
      <c r="L992" s="9"/>
      <c r="M992" s="9"/>
      <c r="N992" s="9"/>
      <c r="O992" s="9"/>
      <c r="P992" s="9"/>
      <c r="Q992" s="9"/>
    </row>
    <row r="993" spans="2:17" x14ac:dyDescent="0.2">
      <c r="B993" s="7"/>
      <c r="C993" s="72"/>
      <c r="D993" s="9"/>
      <c r="E993" s="72"/>
      <c r="F993" s="9"/>
      <c r="G993" s="16"/>
      <c r="H993" s="9"/>
      <c r="I993" s="9"/>
      <c r="J993" s="9"/>
      <c r="K993" s="72"/>
      <c r="L993" s="9"/>
      <c r="M993" s="9"/>
      <c r="N993" s="9"/>
      <c r="O993" s="9"/>
      <c r="P993" s="9"/>
      <c r="Q993" s="9"/>
    </row>
    <row r="994" spans="2:17" x14ac:dyDescent="0.2">
      <c r="B994" s="7"/>
      <c r="C994" s="72"/>
      <c r="D994" s="9"/>
      <c r="E994" s="72"/>
      <c r="F994" s="9"/>
      <c r="G994" s="16"/>
      <c r="H994" s="9"/>
      <c r="I994" s="9"/>
      <c r="J994" s="9"/>
      <c r="K994" s="72"/>
      <c r="L994" s="9"/>
      <c r="M994" s="9"/>
      <c r="N994" s="9"/>
      <c r="O994" s="9"/>
      <c r="P994" s="9"/>
      <c r="Q994" s="9"/>
    </row>
    <row r="995" spans="2:17" x14ac:dyDescent="0.2">
      <c r="B995" s="7"/>
      <c r="C995" s="72"/>
      <c r="D995" s="9"/>
      <c r="E995" s="72"/>
      <c r="F995" s="9"/>
      <c r="G995" s="16"/>
      <c r="H995" s="9"/>
      <c r="I995" s="9"/>
      <c r="J995" s="9"/>
      <c r="K995" s="72"/>
      <c r="L995" s="9"/>
      <c r="M995" s="9"/>
      <c r="N995" s="9"/>
      <c r="O995" s="9"/>
      <c r="P995" s="9"/>
      <c r="Q995" s="9"/>
    </row>
    <row r="996" spans="2:17" x14ac:dyDescent="0.2">
      <c r="B996" s="7"/>
      <c r="C996" s="72"/>
      <c r="D996" s="9"/>
      <c r="E996" s="72"/>
      <c r="F996" s="9"/>
      <c r="G996" s="16"/>
      <c r="H996" s="9"/>
      <c r="I996" s="9"/>
      <c r="J996" s="9"/>
      <c r="K996" s="72"/>
      <c r="L996" s="9"/>
      <c r="M996" s="9"/>
      <c r="N996" s="9"/>
      <c r="O996" s="9"/>
      <c r="P996" s="9"/>
      <c r="Q996" s="9"/>
    </row>
    <row r="997" spans="2:17" x14ac:dyDescent="0.2">
      <c r="B997" s="7"/>
      <c r="C997" s="72"/>
      <c r="D997" s="9"/>
      <c r="E997" s="72"/>
      <c r="F997" s="9"/>
      <c r="G997" s="16"/>
      <c r="H997" s="9"/>
      <c r="I997" s="9"/>
      <c r="J997" s="9"/>
      <c r="K997" s="72"/>
      <c r="L997" s="9"/>
      <c r="M997" s="9"/>
      <c r="N997" s="9"/>
      <c r="O997" s="9"/>
      <c r="P997" s="9"/>
      <c r="Q997" s="9"/>
    </row>
    <row r="998" spans="2:17" x14ac:dyDescent="0.2">
      <c r="B998" s="7"/>
      <c r="C998" s="72"/>
      <c r="D998" s="9"/>
      <c r="E998" s="72"/>
      <c r="F998" s="9"/>
      <c r="G998" s="16"/>
      <c r="H998" s="9"/>
      <c r="I998" s="9"/>
      <c r="J998" s="9"/>
      <c r="K998" s="72"/>
      <c r="L998" s="9"/>
      <c r="M998" s="9"/>
      <c r="N998" s="9"/>
      <c r="O998" s="9"/>
      <c r="P998" s="9"/>
      <c r="Q998" s="9"/>
    </row>
    <row r="999" spans="2:17" x14ac:dyDescent="0.2">
      <c r="B999" s="7"/>
      <c r="C999" s="72"/>
      <c r="D999" s="9"/>
      <c r="E999" s="72"/>
      <c r="F999" s="9"/>
      <c r="G999" s="16"/>
      <c r="H999" s="9"/>
      <c r="I999" s="9"/>
      <c r="J999" s="9"/>
      <c r="K999" s="72"/>
      <c r="L999" s="9"/>
      <c r="M999" s="9"/>
      <c r="N999" s="9"/>
      <c r="O999" s="9"/>
      <c r="P999" s="9"/>
      <c r="Q999" s="9"/>
    </row>
    <row r="1000" spans="2:17" x14ac:dyDescent="0.2">
      <c r="B1000" s="7"/>
      <c r="C1000" s="72"/>
      <c r="D1000" s="9"/>
      <c r="E1000" s="72"/>
      <c r="F1000" s="9"/>
      <c r="G1000" s="16"/>
      <c r="H1000" s="9"/>
      <c r="I1000" s="9"/>
      <c r="J1000" s="9"/>
      <c r="K1000" s="72"/>
      <c r="L1000" s="9"/>
      <c r="M1000" s="9"/>
      <c r="N1000" s="9"/>
      <c r="O1000" s="9"/>
      <c r="P1000" s="9"/>
      <c r="Q1000" s="9"/>
    </row>
    <row r="1001" spans="2:17" x14ac:dyDescent="0.2">
      <c r="B1001" s="7"/>
      <c r="C1001" s="72"/>
      <c r="D1001" s="9"/>
      <c r="E1001" s="72"/>
      <c r="F1001" s="9"/>
      <c r="G1001" s="16"/>
      <c r="H1001" s="9"/>
      <c r="I1001" s="9"/>
      <c r="J1001" s="9"/>
      <c r="K1001" s="72"/>
      <c r="L1001" s="9"/>
      <c r="M1001" s="9"/>
      <c r="N1001" s="9"/>
      <c r="O1001" s="9"/>
      <c r="P1001" s="9"/>
      <c r="Q1001" s="9"/>
    </row>
    <row r="1002" spans="2:17" x14ac:dyDescent="0.2">
      <c r="B1002" s="7"/>
      <c r="C1002" s="72"/>
      <c r="D1002" s="9"/>
      <c r="E1002" s="72"/>
      <c r="F1002" s="9"/>
      <c r="G1002" s="16"/>
      <c r="H1002" s="9"/>
      <c r="I1002" s="9"/>
      <c r="J1002" s="9"/>
      <c r="K1002" s="72"/>
      <c r="L1002" s="9"/>
      <c r="M1002" s="9"/>
      <c r="N1002" s="9"/>
      <c r="O1002" s="9"/>
      <c r="P1002" s="9"/>
      <c r="Q1002" s="9"/>
    </row>
    <row r="1003" spans="2:17" x14ac:dyDescent="0.2">
      <c r="B1003" s="7"/>
      <c r="C1003" s="72"/>
      <c r="D1003" s="9"/>
      <c r="E1003" s="72"/>
      <c r="F1003" s="9"/>
      <c r="G1003" s="16"/>
      <c r="H1003" s="9"/>
      <c r="I1003" s="9"/>
      <c r="J1003" s="9"/>
      <c r="K1003" s="72"/>
      <c r="L1003" s="9"/>
      <c r="M1003" s="9"/>
      <c r="N1003" s="9"/>
      <c r="O1003" s="9"/>
      <c r="P1003" s="9"/>
      <c r="Q1003" s="9"/>
    </row>
    <row r="1004" spans="2:17" x14ac:dyDescent="0.2">
      <c r="B1004" s="7"/>
      <c r="C1004" s="72"/>
      <c r="D1004" s="9"/>
      <c r="E1004" s="72"/>
      <c r="F1004" s="9"/>
      <c r="G1004" s="16"/>
      <c r="H1004" s="9"/>
      <c r="I1004" s="9"/>
      <c r="J1004" s="9"/>
      <c r="K1004" s="72"/>
      <c r="L1004" s="9"/>
      <c r="M1004" s="9"/>
      <c r="N1004" s="9"/>
      <c r="O1004" s="9"/>
      <c r="P1004" s="9"/>
      <c r="Q1004" s="9"/>
    </row>
    <row r="1005" spans="2:17" x14ac:dyDescent="0.2">
      <c r="B1005" s="7"/>
      <c r="C1005" s="72"/>
      <c r="D1005" s="9"/>
      <c r="E1005" s="72"/>
      <c r="F1005" s="9"/>
      <c r="G1005" s="16"/>
      <c r="H1005" s="9"/>
      <c r="I1005" s="9"/>
      <c r="J1005" s="9"/>
      <c r="K1005" s="72"/>
      <c r="L1005" s="9"/>
      <c r="M1005" s="9"/>
      <c r="N1005" s="9"/>
      <c r="O1005" s="9"/>
      <c r="P1005" s="9"/>
      <c r="Q1005" s="9"/>
    </row>
    <row r="1006" spans="2:17" x14ac:dyDescent="0.2">
      <c r="B1006" s="7"/>
      <c r="C1006" s="72"/>
      <c r="D1006" s="9"/>
      <c r="E1006" s="72"/>
      <c r="F1006" s="9"/>
      <c r="G1006" s="16"/>
      <c r="H1006" s="9"/>
      <c r="I1006" s="9"/>
      <c r="J1006" s="9"/>
      <c r="K1006" s="72"/>
      <c r="L1006" s="9"/>
      <c r="M1006" s="9"/>
      <c r="N1006" s="9"/>
      <c r="O1006" s="9"/>
      <c r="P1006" s="9"/>
      <c r="Q1006" s="9"/>
    </row>
    <row r="1007" spans="2:17" x14ac:dyDescent="0.2">
      <c r="B1007" s="7"/>
      <c r="C1007" s="72"/>
      <c r="D1007" s="9"/>
      <c r="E1007" s="72"/>
      <c r="F1007" s="9"/>
      <c r="G1007" s="16"/>
      <c r="H1007" s="9"/>
      <c r="I1007" s="9"/>
      <c r="J1007" s="9"/>
      <c r="K1007" s="72"/>
      <c r="L1007" s="9"/>
      <c r="M1007" s="9"/>
      <c r="N1007" s="9"/>
      <c r="O1007" s="9"/>
      <c r="P1007" s="9"/>
      <c r="Q1007" s="9"/>
    </row>
    <row r="1008" spans="2:17" x14ac:dyDescent="0.2">
      <c r="B1008" s="7"/>
      <c r="C1008" s="72"/>
      <c r="D1008" s="9"/>
      <c r="E1008" s="72"/>
      <c r="F1008" s="9"/>
      <c r="G1008" s="16"/>
      <c r="H1008" s="9"/>
      <c r="I1008" s="9"/>
      <c r="J1008" s="9"/>
      <c r="K1008" s="72"/>
      <c r="L1008" s="9"/>
      <c r="M1008" s="9"/>
      <c r="N1008" s="9"/>
      <c r="O1008" s="9"/>
      <c r="P1008" s="9"/>
      <c r="Q1008" s="9"/>
    </row>
    <row r="1009" spans="2:17" x14ac:dyDescent="0.2">
      <c r="B1009" s="7"/>
      <c r="C1009" s="72"/>
      <c r="D1009" s="9"/>
      <c r="E1009" s="72"/>
      <c r="F1009" s="9"/>
      <c r="G1009" s="16"/>
      <c r="H1009" s="9"/>
      <c r="I1009" s="9"/>
      <c r="J1009" s="9"/>
      <c r="K1009" s="72"/>
      <c r="L1009" s="9"/>
      <c r="M1009" s="9"/>
      <c r="N1009" s="9"/>
      <c r="O1009" s="9"/>
      <c r="P1009" s="9"/>
      <c r="Q1009" s="9"/>
    </row>
    <row r="1010" spans="2:17" x14ac:dyDescent="0.2">
      <c r="B1010" s="7"/>
      <c r="C1010" s="72"/>
      <c r="D1010" s="9"/>
      <c r="E1010" s="72"/>
      <c r="F1010" s="9"/>
      <c r="G1010" s="16"/>
      <c r="H1010" s="9"/>
      <c r="I1010" s="9"/>
      <c r="J1010" s="9"/>
      <c r="K1010" s="72"/>
      <c r="L1010" s="9"/>
      <c r="M1010" s="9"/>
      <c r="N1010" s="9"/>
      <c r="O1010" s="9"/>
      <c r="P1010" s="9"/>
      <c r="Q1010" s="9"/>
    </row>
    <row r="1011" spans="2:17" x14ac:dyDescent="0.2">
      <c r="B1011" s="7"/>
      <c r="C1011" s="72"/>
      <c r="D1011" s="9"/>
      <c r="E1011" s="72"/>
      <c r="F1011" s="9"/>
      <c r="G1011" s="16"/>
      <c r="H1011" s="9"/>
      <c r="I1011" s="9"/>
      <c r="J1011" s="9"/>
      <c r="K1011" s="72"/>
      <c r="L1011" s="9"/>
      <c r="M1011" s="9"/>
      <c r="N1011" s="9"/>
      <c r="O1011" s="9"/>
      <c r="P1011" s="9"/>
      <c r="Q1011" s="9"/>
    </row>
    <row r="1012" spans="2:17" x14ac:dyDescent="0.2">
      <c r="B1012" s="7"/>
      <c r="C1012" s="72"/>
      <c r="D1012" s="9"/>
      <c r="E1012" s="72"/>
      <c r="F1012" s="9"/>
      <c r="G1012" s="16"/>
      <c r="H1012" s="9"/>
      <c r="I1012" s="9"/>
      <c r="J1012" s="9"/>
      <c r="K1012" s="72"/>
      <c r="L1012" s="9"/>
      <c r="M1012" s="9"/>
      <c r="N1012" s="9"/>
      <c r="O1012" s="9"/>
      <c r="P1012" s="9"/>
      <c r="Q1012" s="9"/>
    </row>
    <row r="1013" spans="2:17" x14ac:dyDescent="0.2">
      <c r="B1013" s="7"/>
      <c r="C1013" s="72"/>
      <c r="D1013" s="9"/>
      <c r="E1013" s="72"/>
      <c r="F1013" s="9"/>
      <c r="G1013" s="16"/>
      <c r="H1013" s="9"/>
      <c r="I1013" s="9"/>
      <c r="J1013" s="9"/>
      <c r="K1013" s="72"/>
      <c r="L1013" s="9"/>
      <c r="M1013" s="9"/>
      <c r="N1013" s="9"/>
      <c r="O1013" s="9"/>
      <c r="P1013" s="9"/>
      <c r="Q1013" s="9"/>
    </row>
    <row r="1014" spans="2:17" x14ac:dyDescent="0.2">
      <c r="B1014" s="7"/>
      <c r="C1014" s="72"/>
      <c r="D1014" s="9"/>
      <c r="E1014" s="72"/>
      <c r="F1014" s="9"/>
      <c r="G1014" s="16"/>
      <c r="H1014" s="9"/>
      <c r="I1014" s="9"/>
      <c r="J1014" s="9"/>
      <c r="K1014" s="72"/>
      <c r="L1014" s="9"/>
      <c r="M1014" s="9"/>
      <c r="N1014" s="9"/>
      <c r="O1014" s="9"/>
      <c r="P1014" s="9"/>
      <c r="Q1014" s="9"/>
    </row>
    <row r="1015" spans="2:17" x14ac:dyDescent="0.2">
      <c r="B1015" s="7"/>
      <c r="C1015" s="72"/>
      <c r="D1015" s="9"/>
      <c r="E1015" s="72"/>
      <c r="F1015" s="9"/>
      <c r="G1015" s="16"/>
      <c r="H1015" s="9"/>
      <c r="I1015" s="9"/>
      <c r="J1015" s="9"/>
      <c r="K1015" s="72"/>
      <c r="L1015" s="9"/>
      <c r="M1015" s="9"/>
      <c r="N1015" s="9"/>
      <c r="O1015" s="9"/>
      <c r="P1015" s="9"/>
      <c r="Q1015" s="9"/>
    </row>
    <row r="1016" spans="2:17" x14ac:dyDescent="0.2">
      <c r="B1016" s="7"/>
      <c r="C1016" s="72"/>
      <c r="D1016" s="9"/>
      <c r="E1016" s="72"/>
      <c r="F1016" s="9"/>
      <c r="G1016" s="16"/>
      <c r="H1016" s="9"/>
      <c r="I1016" s="9"/>
      <c r="J1016" s="9"/>
      <c r="K1016" s="72"/>
      <c r="L1016" s="9"/>
      <c r="M1016" s="9"/>
      <c r="N1016" s="9"/>
      <c r="O1016" s="9"/>
      <c r="P1016" s="9"/>
      <c r="Q1016" s="9"/>
    </row>
    <row r="1017" spans="2:17" x14ac:dyDescent="0.2">
      <c r="B1017" s="7"/>
      <c r="C1017" s="72"/>
      <c r="D1017" s="9"/>
      <c r="E1017" s="72"/>
      <c r="F1017" s="9"/>
      <c r="G1017" s="16"/>
      <c r="H1017" s="9"/>
      <c r="I1017" s="9"/>
      <c r="J1017" s="9"/>
      <c r="K1017" s="72"/>
      <c r="L1017" s="9"/>
      <c r="M1017" s="9"/>
      <c r="N1017" s="9"/>
      <c r="O1017" s="9"/>
      <c r="P1017" s="9"/>
      <c r="Q1017" s="9"/>
    </row>
    <row r="1018" spans="2:17" x14ac:dyDescent="0.2">
      <c r="B1018" s="7"/>
      <c r="C1018" s="72"/>
      <c r="D1018" s="9"/>
      <c r="E1018" s="72"/>
      <c r="F1018" s="9"/>
      <c r="G1018" s="16"/>
      <c r="H1018" s="9"/>
      <c r="I1018" s="9"/>
      <c r="J1018" s="9"/>
      <c r="K1018" s="72"/>
      <c r="L1018" s="9"/>
      <c r="M1018" s="9"/>
      <c r="N1018" s="9"/>
      <c r="O1018" s="9"/>
      <c r="P1018" s="9"/>
      <c r="Q1018" s="9"/>
    </row>
    <row r="1019" spans="2:17" x14ac:dyDescent="0.2">
      <c r="B1019" s="7"/>
      <c r="C1019" s="72"/>
      <c r="D1019" s="9"/>
      <c r="E1019" s="72"/>
      <c r="F1019" s="9"/>
      <c r="G1019" s="16"/>
      <c r="H1019" s="9"/>
      <c r="I1019" s="9"/>
      <c r="J1019" s="9"/>
      <c r="K1019" s="72"/>
      <c r="L1019" s="9"/>
      <c r="M1019" s="9"/>
      <c r="N1019" s="9"/>
      <c r="O1019" s="9"/>
      <c r="P1019" s="9"/>
      <c r="Q1019" s="9"/>
    </row>
    <row r="1020" spans="2:17" x14ac:dyDescent="0.2">
      <c r="B1020" s="7"/>
      <c r="C1020" s="72"/>
      <c r="D1020" s="9"/>
      <c r="E1020" s="72"/>
      <c r="F1020" s="9"/>
      <c r="G1020" s="16"/>
      <c r="H1020" s="9"/>
      <c r="I1020" s="9"/>
      <c r="J1020" s="9"/>
      <c r="K1020" s="72"/>
      <c r="L1020" s="9"/>
      <c r="M1020" s="9"/>
      <c r="N1020" s="9"/>
      <c r="O1020" s="9"/>
      <c r="P1020" s="9"/>
      <c r="Q1020" s="9"/>
    </row>
    <row r="1021" spans="2:17" x14ac:dyDescent="0.2">
      <c r="B1021" s="7"/>
      <c r="C1021" s="72"/>
      <c r="D1021" s="9"/>
      <c r="E1021" s="72"/>
      <c r="F1021" s="9"/>
      <c r="G1021" s="16"/>
      <c r="H1021" s="9"/>
      <c r="I1021" s="9"/>
      <c r="J1021" s="9"/>
      <c r="K1021" s="72"/>
      <c r="L1021" s="9"/>
      <c r="M1021" s="9"/>
      <c r="N1021" s="9"/>
      <c r="O1021" s="9"/>
      <c r="P1021" s="9"/>
      <c r="Q1021" s="9"/>
    </row>
    <row r="1022" spans="2:17" x14ac:dyDescent="0.2">
      <c r="B1022" s="7"/>
      <c r="C1022" s="72"/>
      <c r="D1022" s="9"/>
      <c r="E1022" s="72"/>
      <c r="F1022" s="9"/>
      <c r="G1022" s="16"/>
      <c r="H1022" s="9"/>
      <c r="I1022" s="9"/>
      <c r="J1022" s="9"/>
      <c r="K1022" s="72"/>
      <c r="L1022" s="9"/>
      <c r="M1022" s="9"/>
      <c r="N1022" s="9"/>
      <c r="O1022" s="9"/>
      <c r="P1022" s="9"/>
      <c r="Q1022" s="9"/>
    </row>
    <row r="1023" spans="2:17" x14ac:dyDescent="0.2">
      <c r="B1023" s="7"/>
      <c r="C1023" s="72"/>
      <c r="D1023" s="9"/>
      <c r="E1023" s="72"/>
      <c r="F1023" s="9"/>
      <c r="G1023" s="16"/>
      <c r="H1023" s="9"/>
      <c r="I1023" s="9"/>
      <c r="J1023" s="9"/>
      <c r="K1023" s="72"/>
      <c r="L1023" s="9"/>
      <c r="M1023" s="9"/>
      <c r="N1023" s="9"/>
      <c r="O1023" s="9"/>
      <c r="P1023" s="9"/>
      <c r="Q1023" s="9"/>
    </row>
    <row r="1024" spans="2:17" x14ac:dyDescent="0.2">
      <c r="B1024" s="7"/>
      <c r="C1024" s="72"/>
      <c r="D1024" s="9"/>
      <c r="E1024" s="72"/>
      <c r="F1024" s="9"/>
      <c r="G1024" s="16"/>
      <c r="H1024" s="9"/>
      <c r="I1024" s="9"/>
      <c r="J1024" s="9"/>
      <c r="K1024" s="72"/>
      <c r="L1024" s="9"/>
      <c r="M1024" s="9"/>
      <c r="N1024" s="9"/>
      <c r="O1024" s="9"/>
      <c r="P1024" s="9"/>
      <c r="Q1024" s="9"/>
    </row>
    <row r="1025" spans="2:17" x14ac:dyDescent="0.2">
      <c r="B1025" s="7"/>
      <c r="C1025" s="72"/>
      <c r="D1025" s="9"/>
      <c r="E1025" s="72"/>
      <c r="F1025" s="9"/>
      <c r="G1025" s="16"/>
      <c r="H1025" s="9"/>
      <c r="I1025" s="9"/>
      <c r="J1025" s="9"/>
      <c r="K1025" s="72"/>
      <c r="L1025" s="9"/>
      <c r="M1025" s="9"/>
      <c r="N1025" s="9"/>
      <c r="O1025" s="9"/>
      <c r="P1025" s="9"/>
      <c r="Q1025" s="9"/>
    </row>
    <row r="1026" spans="2:17" x14ac:dyDescent="0.2">
      <c r="B1026" s="7"/>
      <c r="C1026" s="72"/>
      <c r="D1026" s="9"/>
      <c r="E1026" s="72"/>
      <c r="F1026" s="9"/>
      <c r="G1026" s="16"/>
      <c r="H1026" s="9"/>
      <c r="I1026" s="9"/>
      <c r="J1026" s="9"/>
      <c r="K1026" s="72"/>
      <c r="L1026" s="9"/>
      <c r="M1026" s="9"/>
      <c r="N1026" s="9"/>
      <c r="O1026" s="9"/>
      <c r="P1026" s="9"/>
      <c r="Q1026" s="9"/>
    </row>
    <row r="1027" spans="2:17" x14ac:dyDescent="0.2">
      <c r="B1027" s="7"/>
      <c r="C1027" s="72"/>
      <c r="D1027" s="9"/>
      <c r="E1027" s="72"/>
      <c r="F1027" s="9"/>
      <c r="G1027" s="16"/>
      <c r="H1027" s="9"/>
      <c r="I1027" s="9"/>
      <c r="J1027" s="9"/>
      <c r="K1027" s="72"/>
      <c r="L1027" s="9"/>
      <c r="M1027" s="9"/>
      <c r="N1027" s="9"/>
      <c r="O1027" s="9"/>
      <c r="P1027" s="9"/>
      <c r="Q1027" s="9"/>
    </row>
    <row r="1028" spans="2:17" x14ac:dyDescent="0.2">
      <c r="B1028" s="7"/>
      <c r="C1028" s="72"/>
      <c r="D1028" s="9"/>
      <c r="E1028" s="72"/>
      <c r="F1028" s="9"/>
      <c r="G1028" s="16"/>
      <c r="H1028" s="9"/>
      <c r="I1028" s="9"/>
      <c r="J1028" s="9"/>
      <c r="K1028" s="72"/>
      <c r="L1028" s="9"/>
      <c r="M1028" s="9"/>
      <c r="N1028" s="9"/>
      <c r="O1028" s="9"/>
      <c r="P1028" s="9"/>
      <c r="Q1028" s="9"/>
    </row>
    <row r="1029" spans="2:17" x14ac:dyDescent="0.2">
      <c r="B1029" s="7"/>
      <c r="C1029" s="72"/>
      <c r="D1029" s="9"/>
      <c r="E1029" s="72"/>
      <c r="F1029" s="9"/>
      <c r="G1029" s="16"/>
      <c r="H1029" s="9"/>
      <c r="I1029" s="9"/>
      <c r="J1029" s="9"/>
      <c r="K1029" s="72"/>
      <c r="L1029" s="9"/>
      <c r="M1029" s="9"/>
      <c r="N1029" s="9"/>
      <c r="O1029" s="9"/>
      <c r="P1029" s="9"/>
      <c r="Q1029" s="9"/>
    </row>
    <row r="1030" spans="2:17" x14ac:dyDescent="0.2">
      <c r="B1030" s="7"/>
      <c r="C1030" s="72"/>
      <c r="D1030" s="9"/>
      <c r="E1030" s="72"/>
      <c r="F1030" s="9"/>
      <c r="G1030" s="16"/>
      <c r="H1030" s="9"/>
      <c r="I1030" s="9"/>
      <c r="J1030" s="9"/>
      <c r="K1030" s="72"/>
      <c r="L1030" s="9"/>
      <c r="M1030" s="9"/>
      <c r="N1030" s="9"/>
      <c r="O1030" s="9"/>
      <c r="P1030" s="9"/>
      <c r="Q1030" s="9"/>
    </row>
    <row r="1031" spans="2:17" x14ac:dyDescent="0.2">
      <c r="B1031" s="7"/>
      <c r="C1031" s="72"/>
      <c r="D1031" s="9"/>
      <c r="E1031" s="72"/>
      <c r="F1031" s="9"/>
      <c r="G1031" s="16"/>
      <c r="H1031" s="9"/>
      <c r="I1031" s="9"/>
      <c r="J1031" s="9"/>
      <c r="K1031" s="72"/>
      <c r="L1031" s="9"/>
      <c r="M1031" s="9"/>
      <c r="N1031" s="9"/>
      <c r="O1031" s="9"/>
      <c r="P1031" s="9"/>
      <c r="Q1031" s="9"/>
    </row>
    <row r="1032" spans="2:17" x14ac:dyDescent="0.2">
      <c r="B1032" s="7"/>
      <c r="C1032" s="72"/>
      <c r="D1032" s="9"/>
      <c r="E1032" s="72"/>
      <c r="F1032" s="9"/>
      <c r="G1032" s="16"/>
      <c r="H1032" s="9"/>
      <c r="I1032" s="9"/>
      <c r="J1032" s="9"/>
      <c r="K1032" s="72"/>
      <c r="L1032" s="9"/>
      <c r="M1032" s="9"/>
      <c r="N1032" s="9"/>
      <c r="O1032" s="9"/>
      <c r="P1032" s="9"/>
      <c r="Q1032" s="9"/>
    </row>
    <row r="1033" spans="2:17" x14ac:dyDescent="0.2">
      <c r="B1033" s="7"/>
      <c r="C1033" s="72"/>
      <c r="D1033" s="9"/>
      <c r="E1033" s="72"/>
      <c r="F1033" s="9"/>
      <c r="G1033" s="16"/>
      <c r="H1033" s="9"/>
      <c r="I1033" s="9"/>
      <c r="J1033" s="9"/>
      <c r="K1033" s="72"/>
      <c r="L1033" s="9"/>
      <c r="M1033" s="9"/>
      <c r="N1033" s="9"/>
      <c r="O1033" s="9"/>
      <c r="P1033" s="9"/>
      <c r="Q1033" s="9"/>
    </row>
    <row r="1034" spans="2:17" x14ac:dyDescent="0.2">
      <c r="B1034" s="7"/>
      <c r="C1034" s="72"/>
      <c r="D1034" s="9"/>
      <c r="E1034" s="72"/>
      <c r="F1034" s="9"/>
      <c r="G1034" s="16"/>
      <c r="H1034" s="9"/>
      <c r="I1034" s="9"/>
      <c r="J1034" s="9"/>
      <c r="K1034" s="72"/>
      <c r="L1034" s="9"/>
      <c r="M1034" s="9"/>
      <c r="N1034" s="9"/>
      <c r="O1034" s="9"/>
      <c r="P1034" s="9"/>
      <c r="Q1034" s="9"/>
    </row>
    <row r="1035" spans="2:17" x14ac:dyDescent="0.2">
      <c r="B1035" s="7"/>
      <c r="C1035" s="72"/>
      <c r="D1035" s="9"/>
      <c r="E1035" s="72"/>
      <c r="F1035" s="9"/>
      <c r="G1035" s="16"/>
      <c r="H1035" s="9"/>
      <c r="I1035" s="9"/>
      <c r="J1035" s="9"/>
      <c r="K1035" s="72"/>
      <c r="L1035" s="9"/>
      <c r="M1035" s="9"/>
      <c r="N1035" s="9"/>
      <c r="O1035" s="9"/>
      <c r="P1035" s="9"/>
      <c r="Q1035" s="9"/>
    </row>
    <row r="1036" spans="2:17" x14ac:dyDescent="0.2">
      <c r="B1036" s="7"/>
      <c r="C1036" s="72"/>
      <c r="D1036" s="9"/>
      <c r="E1036" s="72"/>
      <c r="F1036" s="9"/>
      <c r="G1036" s="16"/>
      <c r="H1036" s="9"/>
      <c r="I1036" s="9"/>
      <c r="J1036" s="9"/>
      <c r="K1036" s="72"/>
      <c r="L1036" s="9"/>
      <c r="M1036" s="9"/>
      <c r="N1036" s="9"/>
      <c r="O1036" s="9"/>
      <c r="P1036" s="9"/>
      <c r="Q1036" s="9"/>
    </row>
    <row r="1037" spans="2:17" x14ac:dyDescent="0.2">
      <c r="B1037" s="7"/>
      <c r="C1037" s="72"/>
      <c r="D1037" s="9"/>
      <c r="E1037" s="72"/>
      <c r="F1037" s="9"/>
      <c r="G1037" s="16"/>
      <c r="H1037" s="9"/>
      <c r="I1037" s="9"/>
      <c r="J1037" s="9"/>
      <c r="K1037" s="72"/>
      <c r="L1037" s="9"/>
      <c r="M1037" s="9"/>
      <c r="N1037" s="9"/>
      <c r="O1037" s="9"/>
      <c r="P1037" s="9"/>
      <c r="Q1037" s="9"/>
    </row>
    <row r="1038" spans="2:17" x14ac:dyDescent="0.2">
      <c r="B1038" s="7"/>
      <c r="C1038" s="72"/>
      <c r="D1038" s="9"/>
      <c r="E1038" s="72"/>
      <c r="F1038" s="9"/>
      <c r="G1038" s="16"/>
      <c r="H1038" s="9"/>
      <c r="I1038" s="9"/>
      <c r="J1038" s="9"/>
      <c r="K1038" s="72"/>
      <c r="L1038" s="9"/>
      <c r="M1038" s="9"/>
      <c r="N1038" s="9"/>
      <c r="O1038" s="9"/>
      <c r="P1038" s="9"/>
      <c r="Q1038" s="9"/>
    </row>
    <row r="1039" spans="2:17" x14ac:dyDescent="0.2">
      <c r="B1039" s="7"/>
      <c r="C1039" s="72"/>
      <c r="D1039" s="9"/>
      <c r="E1039" s="72"/>
      <c r="F1039" s="9"/>
      <c r="G1039" s="16"/>
      <c r="H1039" s="9"/>
      <c r="I1039" s="9"/>
      <c r="J1039" s="9"/>
      <c r="K1039" s="72"/>
      <c r="L1039" s="9"/>
      <c r="M1039" s="9"/>
      <c r="N1039" s="9"/>
      <c r="O1039" s="9"/>
      <c r="P1039" s="9"/>
      <c r="Q1039" s="9"/>
    </row>
    <row r="1040" spans="2:17" x14ac:dyDescent="0.2">
      <c r="B1040" s="7"/>
      <c r="C1040" s="72"/>
      <c r="D1040" s="9"/>
      <c r="E1040" s="72"/>
      <c r="F1040" s="9"/>
      <c r="G1040" s="16"/>
      <c r="H1040" s="9"/>
      <c r="I1040" s="9"/>
      <c r="J1040" s="9"/>
      <c r="K1040" s="72"/>
      <c r="L1040" s="9"/>
      <c r="M1040" s="9"/>
      <c r="N1040" s="9"/>
      <c r="O1040" s="9"/>
      <c r="P1040" s="9"/>
      <c r="Q1040" s="9"/>
    </row>
    <row r="1041" spans="2:17" x14ac:dyDescent="0.2">
      <c r="B1041" s="7"/>
      <c r="C1041" s="72"/>
      <c r="D1041" s="9"/>
      <c r="E1041" s="72"/>
      <c r="F1041" s="9"/>
      <c r="G1041" s="16"/>
      <c r="H1041" s="9"/>
      <c r="I1041" s="9"/>
      <c r="J1041" s="9"/>
      <c r="K1041" s="72"/>
      <c r="L1041" s="9"/>
      <c r="M1041" s="9"/>
      <c r="N1041" s="9"/>
      <c r="O1041" s="9"/>
      <c r="P1041" s="9"/>
      <c r="Q1041" s="9"/>
    </row>
    <row r="1042" spans="2:17" x14ac:dyDescent="0.2">
      <c r="B1042" s="7"/>
      <c r="C1042" s="72"/>
      <c r="D1042" s="9"/>
      <c r="E1042" s="72"/>
      <c r="F1042" s="9"/>
      <c r="G1042" s="16"/>
      <c r="H1042" s="9"/>
      <c r="I1042" s="9"/>
      <c r="J1042" s="9"/>
      <c r="K1042" s="72"/>
      <c r="L1042" s="9"/>
      <c r="M1042" s="9"/>
      <c r="N1042" s="9"/>
      <c r="O1042" s="9"/>
      <c r="P1042" s="9"/>
      <c r="Q1042" s="9"/>
    </row>
    <row r="1043" spans="2:17" x14ac:dyDescent="0.2">
      <c r="B1043" s="7"/>
      <c r="C1043" s="72"/>
      <c r="D1043" s="9"/>
      <c r="E1043" s="72"/>
      <c r="F1043" s="9"/>
      <c r="G1043" s="16"/>
      <c r="H1043" s="9"/>
      <c r="I1043" s="9"/>
      <c r="J1043" s="9"/>
      <c r="K1043" s="72"/>
      <c r="L1043" s="9"/>
      <c r="M1043" s="9"/>
      <c r="N1043" s="9"/>
      <c r="O1043" s="9"/>
      <c r="P1043" s="9"/>
      <c r="Q1043" s="9"/>
    </row>
    <row r="1044" spans="2:17" x14ac:dyDescent="0.2">
      <c r="B1044" s="7"/>
      <c r="C1044" s="72"/>
      <c r="D1044" s="9"/>
      <c r="E1044" s="72"/>
      <c r="F1044" s="9"/>
      <c r="G1044" s="16"/>
      <c r="H1044" s="9"/>
      <c r="I1044" s="9"/>
      <c r="J1044" s="9"/>
      <c r="K1044" s="72"/>
      <c r="L1044" s="9"/>
      <c r="M1044" s="9"/>
      <c r="N1044" s="9"/>
      <c r="O1044" s="9"/>
      <c r="P1044" s="9"/>
      <c r="Q1044" s="9"/>
    </row>
    <row r="1045" spans="2:17" x14ac:dyDescent="0.2">
      <c r="B1045" s="7"/>
      <c r="C1045" s="72"/>
      <c r="D1045" s="9"/>
      <c r="E1045" s="72"/>
      <c r="F1045" s="9"/>
      <c r="G1045" s="16"/>
      <c r="H1045" s="9"/>
      <c r="I1045" s="9"/>
      <c r="J1045" s="9"/>
      <c r="K1045" s="72"/>
      <c r="L1045" s="9"/>
      <c r="M1045" s="9"/>
      <c r="N1045" s="9"/>
      <c r="O1045" s="9"/>
      <c r="P1045" s="9"/>
      <c r="Q1045" s="9"/>
    </row>
    <row r="1046" spans="2:17" x14ac:dyDescent="0.2">
      <c r="B1046" s="7"/>
      <c r="C1046" s="72"/>
      <c r="D1046" s="9"/>
      <c r="E1046" s="72"/>
      <c r="F1046" s="9"/>
      <c r="G1046" s="16"/>
      <c r="H1046" s="9"/>
      <c r="I1046" s="9"/>
      <c r="J1046" s="9"/>
      <c r="K1046" s="72"/>
      <c r="L1046" s="9"/>
      <c r="M1046" s="9"/>
      <c r="N1046" s="9"/>
      <c r="O1046" s="9"/>
      <c r="P1046" s="9"/>
      <c r="Q1046" s="9"/>
    </row>
    <row r="1047" spans="2:17" x14ac:dyDescent="0.2">
      <c r="B1047" s="7"/>
      <c r="C1047" s="72"/>
      <c r="D1047" s="9"/>
      <c r="E1047" s="72"/>
      <c r="F1047" s="9"/>
      <c r="G1047" s="16"/>
      <c r="H1047" s="9"/>
      <c r="I1047" s="9"/>
      <c r="J1047" s="9"/>
      <c r="K1047" s="72"/>
      <c r="L1047" s="9"/>
      <c r="M1047" s="9"/>
      <c r="N1047" s="9"/>
      <c r="O1047" s="9"/>
      <c r="P1047" s="9"/>
      <c r="Q1047" s="9"/>
    </row>
    <row r="1048" spans="2:17" x14ac:dyDescent="0.2">
      <c r="B1048" s="7"/>
      <c r="C1048" s="72"/>
      <c r="D1048" s="9"/>
      <c r="E1048" s="72"/>
      <c r="F1048" s="9"/>
      <c r="G1048" s="16"/>
      <c r="H1048" s="9"/>
      <c r="I1048" s="9"/>
      <c r="J1048" s="9"/>
      <c r="K1048" s="72"/>
      <c r="L1048" s="9"/>
      <c r="M1048" s="9"/>
      <c r="N1048" s="9"/>
      <c r="O1048" s="9"/>
      <c r="P1048" s="9"/>
      <c r="Q1048" s="9"/>
    </row>
    <row r="1049" spans="2:17" x14ac:dyDescent="0.2">
      <c r="B1049" s="7"/>
      <c r="C1049" s="72"/>
      <c r="D1049" s="9"/>
      <c r="E1049" s="72"/>
      <c r="F1049" s="9"/>
      <c r="G1049" s="16"/>
      <c r="H1049" s="9"/>
      <c r="I1049" s="9"/>
      <c r="J1049" s="9"/>
      <c r="K1049" s="72"/>
      <c r="L1049" s="9"/>
      <c r="M1049" s="9"/>
      <c r="N1049" s="9"/>
      <c r="O1049" s="9"/>
      <c r="P1049" s="9"/>
      <c r="Q1049" s="9"/>
    </row>
    <row r="1050" spans="2:17" x14ac:dyDescent="0.2">
      <c r="B1050" s="7"/>
      <c r="C1050" s="72"/>
      <c r="D1050" s="9"/>
      <c r="E1050" s="72"/>
      <c r="F1050" s="9"/>
      <c r="G1050" s="16"/>
      <c r="H1050" s="9"/>
      <c r="I1050" s="9"/>
      <c r="J1050" s="9"/>
      <c r="K1050" s="72"/>
      <c r="L1050" s="9"/>
      <c r="M1050" s="9"/>
      <c r="N1050" s="9"/>
      <c r="O1050" s="9"/>
      <c r="P1050" s="9"/>
      <c r="Q1050" s="9"/>
    </row>
    <row r="1051" spans="2:17" x14ac:dyDescent="0.2">
      <c r="B1051" s="7"/>
      <c r="C1051" s="72"/>
      <c r="D1051" s="9"/>
      <c r="E1051" s="72"/>
      <c r="F1051" s="9"/>
      <c r="G1051" s="16"/>
      <c r="H1051" s="9"/>
      <c r="I1051" s="9"/>
      <c r="J1051" s="9"/>
      <c r="K1051" s="72"/>
      <c r="L1051" s="9"/>
      <c r="M1051" s="9"/>
      <c r="N1051" s="9"/>
      <c r="O1051" s="9"/>
      <c r="P1051" s="9"/>
      <c r="Q1051" s="9"/>
    </row>
    <row r="1052" spans="2:17" x14ac:dyDescent="0.2">
      <c r="B1052" s="7"/>
      <c r="C1052" s="72"/>
      <c r="D1052" s="9"/>
      <c r="E1052" s="72"/>
      <c r="F1052" s="9"/>
      <c r="G1052" s="16"/>
      <c r="H1052" s="9"/>
      <c r="I1052" s="9"/>
      <c r="J1052" s="9"/>
      <c r="K1052" s="72"/>
      <c r="L1052" s="9"/>
      <c r="M1052" s="9"/>
      <c r="N1052" s="9"/>
      <c r="O1052" s="9"/>
      <c r="P1052" s="9"/>
      <c r="Q1052" s="9"/>
    </row>
    <row r="1053" spans="2:17" x14ac:dyDescent="0.2">
      <c r="B1053" s="7"/>
      <c r="C1053" s="72"/>
      <c r="D1053" s="9"/>
      <c r="E1053" s="72"/>
      <c r="F1053" s="9"/>
      <c r="G1053" s="16"/>
      <c r="H1053" s="9"/>
      <c r="I1053" s="9"/>
      <c r="J1053" s="9"/>
      <c r="K1053" s="72"/>
      <c r="L1053" s="9"/>
      <c r="M1053" s="9"/>
      <c r="N1053" s="9"/>
      <c r="O1053" s="9"/>
      <c r="P1053" s="9"/>
      <c r="Q1053" s="9"/>
    </row>
    <row r="1054" spans="2:17" x14ac:dyDescent="0.2">
      <c r="B1054" s="7"/>
      <c r="C1054" s="72"/>
      <c r="D1054" s="9"/>
      <c r="E1054" s="72"/>
      <c r="F1054" s="9"/>
      <c r="G1054" s="16"/>
      <c r="H1054" s="9"/>
      <c r="I1054" s="9"/>
      <c r="J1054" s="9"/>
      <c r="K1054" s="72"/>
      <c r="L1054" s="9"/>
      <c r="M1054" s="9"/>
      <c r="N1054" s="9"/>
      <c r="O1054" s="9"/>
      <c r="P1054" s="9"/>
      <c r="Q1054" s="9"/>
    </row>
    <row r="1055" spans="2:17" x14ac:dyDescent="0.2">
      <c r="B1055" s="7"/>
      <c r="C1055" s="72"/>
      <c r="D1055" s="9"/>
      <c r="E1055" s="72"/>
      <c r="F1055" s="9"/>
      <c r="G1055" s="16"/>
      <c r="H1055" s="9"/>
      <c r="I1055" s="9"/>
      <c r="J1055" s="9"/>
      <c r="K1055" s="72"/>
      <c r="L1055" s="9"/>
      <c r="M1055" s="9"/>
      <c r="N1055" s="9"/>
      <c r="O1055" s="9"/>
      <c r="P1055" s="9"/>
      <c r="Q1055" s="9"/>
    </row>
    <row r="1056" spans="2:17" x14ac:dyDescent="0.2">
      <c r="B1056" s="7"/>
      <c r="C1056" s="72"/>
      <c r="D1056" s="9"/>
      <c r="E1056" s="72"/>
      <c r="F1056" s="9"/>
      <c r="G1056" s="16"/>
      <c r="H1056" s="9"/>
      <c r="I1056" s="9"/>
      <c r="J1056" s="9"/>
      <c r="K1056" s="72"/>
      <c r="L1056" s="9"/>
      <c r="M1056" s="9"/>
      <c r="N1056" s="9"/>
      <c r="O1056" s="9"/>
      <c r="P1056" s="9"/>
      <c r="Q1056" s="9"/>
    </row>
    <row r="1057" spans="2:17" x14ac:dyDescent="0.2">
      <c r="B1057" s="7"/>
      <c r="C1057" s="72"/>
      <c r="D1057" s="9"/>
      <c r="E1057" s="72"/>
      <c r="F1057" s="9"/>
      <c r="G1057" s="16"/>
      <c r="H1057" s="9"/>
      <c r="I1057" s="9"/>
      <c r="J1057" s="9"/>
      <c r="K1057" s="72"/>
      <c r="L1057" s="9"/>
      <c r="M1057" s="9"/>
      <c r="N1057" s="9"/>
      <c r="O1057" s="9"/>
      <c r="P1057" s="9"/>
      <c r="Q1057" s="9"/>
    </row>
    <row r="1058" spans="2:17" x14ac:dyDescent="0.2">
      <c r="B1058" s="7"/>
      <c r="C1058" s="72"/>
      <c r="D1058" s="9"/>
      <c r="E1058" s="72"/>
      <c r="F1058" s="9"/>
      <c r="G1058" s="16"/>
      <c r="H1058" s="9"/>
      <c r="I1058" s="9"/>
      <c r="J1058" s="9"/>
      <c r="K1058" s="72"/>
      <c r="L1058" s="9"/>
      <c r="M1058" s="9"/>
      <c r="N1058" s="9"/>
      <c r="O1058" s="9"/>
      <c r="P1058" s="9"/>
      <c r="Q1058" s="9"/>
    </row>
    <row r="1059" spans="2:17" x14ac:dyDescent="0.2">
      <c r="B1059" s="7"/>
      <c r="C1059" s="72"/>
      <c r="D1059" s="9"/>
      <c r="E1059" s="72"/>
      <c r="F1059" s="9"/>
      <c r="G1059" s="16"/>
      <c r="H1059" s="9"/>
      <c r="I1059" s="9"/>
      <c r="J1059" s="9"/>
      <c r="K1059" s="72"/>
      <c r="L1059" s="9"/>
      <c r="M1059" s="9"/>
      <c r="N1059" s="9"/>
      <c r="O1059" s="9"/>
      <c r="P1059" s="9"/>
      <c r="Q1059" s="9"/>
    </row>
    <row r="1060" spans="2:17" x14ac:dyDescent="0.2">
      <c r="B1060" s="7"/>
      <c r="C1060" s="72"/>
      <c r="D1060" s="9"/>
      <c r="E1060" s="72"/>
      <c r="F1060" s="9"/>
      <c r="G1060" s="16"/>
      <c r="H1060" s="9"/>
      <c r="I1060" s="9"/>
      <c r="J1060" s="9"/>
      <c r="K1060" s="72"/>
      <c r="L1060" s="9"/>
      <c r="M1060" s="9"/>
      <c r="N1060" s="9"/>
      <c r="O1060" s="9"/>
      <c r="P1060" s="9"/>
      <c r="Q1060" s="9"/>
    </row>
    <row r="1061" spans="2:17" x14ac:dyDescent="0.2">
      <c r="B1061" s="7"/>
      <c r="C1061" s="72"/>
      <c r="D1061" s="9"/>
      <c r="E1061" s="72"/>
      <c r="F1061" s="9"/>
      <c r="G1061" s="16"/>
      <c r="H1061" s="9"/>
      <c r="I1061" s="9"/>
      <c r="J1061" s="9"/>
      <c r="K1061" s="72"/>
      <c r="L1061" s="9"/>
      <c r="M1061" s="9"/>
      <c r="N1061" s="9"/>
      <c r="O1061" s="9"/>
      <c r="P1061" s="9"/>
      <c r="Q1061" s="9"/>
    </row>
    <row r="1062" spans="2:17" x14ac:dyDescent="0.2">
      <c r="B1062" s="7"/>
      <c r="C1062" s="72"/>
      <c r="D1062" s="9"/>
      <c r="E1062" s="72"/>
      <c r="F1062" s="9"/>
      <c r="G1062" s="16"/>
      <c r="H1062" s="9"/>
      <c r="I1062" s="9"/>
      <c r="J1062" s="9"/>
      <c r="K1062" s="72"/>
      <c r="L1062" s="9"/>
      <c r="M1062" s="9"/>
      <c r="N1062" s="9"/>
      <c r="O1062" s="9"/>
      <c r="P1062" s="9"/>
      <c r="Q1062" s="9"/>
    </row>
    <row r="1063" spans="2:17" x14ac:dyDescent="0.2">
      <c r="B1063" s="7"/>
      <c r="C1063" s="72"/>
      <c r="D1063" s="9"/>
      <c r="E1063" s="72"/>
      <c r="F1063" s="9"/>
      <c r="G1063" s="16"/>
      <c r="H1063" s="9"/>
      <c r="I1063" s="9"/>
      <c r="J1063" s="9"/>
      <c r="K1063" s="72"/>
      <c r="L1063" s="9"/>
      <c r="M1063" s="9"/>
      <c r="N1063" s="9"/>
      <c r="O1063" s="9"/>
      <c r="P1063" s="9"/>
      <c r="Q1063" s="9"/>
    </row>
    <row r="1064" spans="2:17" x14ac:dyDescent="0.2">
      <c r="B1064" s="7"/>
      <c r="C1064" s="72"/>
      <c r="D1064" s="9"/>
      <c r="E1064" s="72"/>
      <c r="F1064" s="9"/>
      <c r="G1064" s="16"/>
      <c r="H1064" s="9"/>
      <c r="I1064" s="9"/>
      <c r="J1064" s="9"/>
      <c r="K1064" s="72"/>
      <c r="L1064" s="9"/>
      <c r="M1064" s="9"/>
      <c r="N1064" s="9"/>
      <c r="O1064" s="9"/>
      <c r="P1064" s="9"/>
      <c r="Q1064" s="9"/>
    </row>
    <row r="1065" spans="2:17" x14ac:dyDescent="0.2">
      <c r="B1065" s="7"/>
      <c r="C1065" s="72"/>
      <c r="D1065" s="9"/>
      <c r="E1065" s="72"/>
      <c r="F1065" s="9"/>
      <c r="G1065" s="16"/>
      <c r="H1065" s="9"/>
      <c r="I1065" s="9"/>
      <c r="J1065" s="9"/>
      <c r="K1065" s="72"/>
      <c r="L1065" s="9"/>
      <c r="M1065" s="9"/>
      <c r="N1065" s="9"/>
      <c r="O1065" s="9"/>
      <c r="P1065" s="9"/>
      <c r="Q1065" s="9"/>
    </row>
    <row r="1066" spans="2:17" x14ac:dyDescent="0.2">
      <c r="B1066" s="7"/>
      <c r="C1066" s="72"/>
      <c r="D1066" s="9"/>
      <c r="E1066" s="72"/>
      <c r="F1066" s="9"/>
      <c r="G1066" s="16"/>
      <c r="H1066" s="9"/>
      <c r="I1066" s="9"/>
      <c r="J1066" s="9"/>
      <c r="K1066" s="72"/>
      <c r="L1066" s="9"/>
      <c r="M1066" s="9"/>
      <c r="N1066" s="9"/>
      <c r="O1066" s="9"/>
      <c r="P1066" s="9"/>
      <c r="Q1066" s="9"/>
    </row>
    <row r="1067" spans="2:17" x14ac:dyDescent="0.2">
      <c r="B1067" s="7"/>
      <c r="C1067" s="72"/>
      <c r="D1067" s="9"/>
      <c r="E1067" s="72"/>
      <c r="F1067" s="9"/>
      <c r="G1067" s="16"/>
      <c r="H1067" s="9"/>
      <c r="I1067" s="9"/>
      <c r="J1067" s="9"/>
      <c r="K1067" s="72"/>
      <c r="L1067" s="9"/>
      <c r="M1067" s="9"/>
      <c r="N1067" s="9"/>
      <c r="O1067" s="9"/>
      <c r="P1067" s="9"/>
      <c r="Q1067" s="9"/>
    </row>
    <row r="1068" spans="2:17" x14ac:dyDescent="0.2">
      <c r="B1068" s="7"/>
      <c r="C1068" s="72"/>
      <c r="D1068" s="9"/>
      <c r="E1068" s="72"/>
      <c r="F1068" s="9"/>
      <c r="G1068" s="16"/>
      <c r="H1068" s="9"/>
      <c r="I1068" s="9"/>
      <c r="J1068" s="9"/>
      <c r="K1068" s="72"/>
      <c r="L1068" s="9"/>
      <c r="M1068" s="9"/>
      <c r="N1068" s="9"/>
      <c r="O1068" s="9"/>
      <c r="P1068" s="9"/>
      <c r="Q1068" s="9"/>
    </row>
    <row r="1069" spans="2:17" x14ac:dyDescent="0.2">
      <c r="B1069" s="7"/>
      <c r="C1069" s="72"/>
      <c r="D1069" s="9"/>
      <c r="E1069" s="72"/>
      <c r="F1069" s="9"/>
      <c r="G1069" s="16"/>
      <c r="H1069" s="9"/>
      <c r="I1069" s="9"/>
      <c r="J1069" s="9"/>
      <c r="K1069" s="72"/>
      <c r="L1069" s="9"/>
      <c r="M1069" s="9"/>
      <c r="N1069" s="9"/>
      <c r="O1069" s="9"/>
      <c r="P1069" s="9"/>
      <c r="Q1069" s="9"/>
    </row>
    <row r="1070" spans="2:17" x14ac:dyDescent="0.2">
      <c r="B1070" s="7"/>
      <c r="C1070" s="72"/>
      <c r="D1070" s="9"/>
      <c r="E1070" s="72"/>
      <c r="F1070" s="9"/>
      <c r="G1070" s="16"/>
      <c r="H1070" s="9"/>
      <c r="I1070" s="9"/>
      <c r="J1070" s="9"/>
      <c r="K1070" s="72"/>
      <c r="L1070" s="9"/>
      <c r="M1070" s="9"/>
      <c r="N1070" s="9"/>
      <c r="O1070" s="9"/>
      <c r="P1070" s="9"/>
      <c r="Q1070" s="9"/>
    </row>
    <row r="1071" spans="2:17" x14ac:dyDescent="0.2">
      <c r="B1071" s="7"/>
      <c r="C1071" s="72"/>
      <c r="D1071" s="9"/>
      <c r="E1071" s="72"/>
      <c r="F1071" s="9"/>
      <c r="G1071" s="16"/>
      <c r="H1071" s="9"/>
      <c r="I1071" s="9"/>
      <c r="J1071" s="9"/>
      <c r="K1071" s="72"/>
      <c r="L1071" s="9"/>
      <c r="M1071" s="9"/>
      <c r="N1071" s="9"/>
      <c r="O1071" s="9"/>
      <c r="P1071" s="9"/>
      <c r="Q1071" s="9"/>
    </row>
    <row r="1072" spans="2:17" x14ac:dyDescent="0.2">
      <c r="B1072" s="7"/>
      <c r="C1072" s="72"/>
      <c r="D1072" s="9"/>
      <c r="E1072" s="72"/>
      <c r="F1072" s="9"/>
      <c r="G1072" s="16"/>
      <c r="H1072" s="9"/>
      <c r="I1072" s="9"/>
      <c r="J1072" s="9"/>
      <c r="K1072" s="72"/>
      <c r="L1072" s="9"/>
      <c r="M1072" s="9"/>
      <c r="N1072" s="9"/>
      <c r="O1072" s="9"/>
      <c r="P1072" s="9"/>
      <c r="Q1072" s="9"/>
    </row>
    <row r="1073" spans="2:17" x14ac:dyDescent="0.2">
      <c r="B1073" s="7"/>
      <c r="C1073" s="72"/>
      <c r="D1073" s="9"/>
      <c r="E1073" s="72"/>
      <c r="F1073" s="9"/>
      <c r="G1073" s="16"/>
      <c r="H1073" s="9"/>
      <c r="I1073" s="9"/>
      <c r="J1073" s="9"/>
      <c r="K1073" s="72"/>
      <c r="L1073" s="9"/>
      <c r="M1073" s="9"/>
      <c r="N1073" s="9"/>
      <c r="O1073" s="9"/>
      <c r="P1073" s="9"/>
      <c r="Q1073" s="9"/>
    </row>
    <row r="1074" spans="2:17" x14ac:dyDescent="0.2">
      <c r="B1074" s="7"/>
      <c r="C1074" s="72"/>
      <c r="D1074" s="9"/>
      <c r="E1074" s="72"/>
      <c r="F1074" s="9"/>
      <c r="G1074" s="16"/>
      <c r="H1074" s="9"/>
      <c r="I1074" s="9"/>
      <c r="J1074" s="9"/>
      <c r="K1074" s="72"/>
      <c r="L1074" s="9"/>
      <c r="M1074" s="9"/>
      <c r="N1074" s="9"/>
      <c r="O1074" s="9"/>
      <c r="P1074" s="9"/>
      <c r="Q1074" s="9"/>
    </row>
    <row r="1075" spans="2:17" x14ac:dyDescent="0.2">
      <c r="B1075" s="7"/>
      <c r="C1075" s="72"/>
      <c r="D1075" s="9"/>
      <c r="E1075" s="72"/>
      <c r="F1075" s="9"/>
      <c r="G1075" s="16"/>
      <c r="H1075" s="9"/>
      <c r="I1075" s="9"/>
      <c r="J1075" s="9"/>
      <c r="K1075" s="72"/>
      <c r="L1075" s="9"/>
      <c r="M1075" s="9"/>
      <c r="N1075" s="9"/>
      <c r="O1075" s="9"/>
      <c r="P1075" s="9"/>
      <c r="Q1075" s="9"/>
    </row>
    <row r="1076" spans="2:17" x14ac:dyDescent="0.2">
      <c r="B1076" s="7"/>
      <c r="C1076" s="72"/>
      <c r="D1076" s="9"/>
      <c r="E1076" s="72"/>
      <c r="F1076" s="9"/>
      <c r="G1076" s="16"/>
      <c r="H1076" s="9"/>
      <c r="I1076" s="9"/>
      <c r="J1076" s="9"/>
      <c r="K1076" s="72"/>
      <c r="L1076" s="9"/>
      <c r="M1076" s="9"/>
      <c r="N1076" s="9"/>
      <c r="O1076" s="9"/>
      <c r="P1076" s="9"/>
      <c r="Q1076" s="9"/>
    </row>
    <row r="1077" spans="2:17" x14ac:dyDescent="0.2">
      <c r="B1077" s="7"/>
      <c r="C1077" s="72"/>
      <c r="D1077" s="9"/>
      <c r="E1077" s="72"/>
      <c r="F1077" s="9"/>
      <c r="G1077" s="16"/>
      <c r="H1077" s="9"/>
      <c r="I1077" s="9"/>
      <c r="J1077" s="9"/>
      <c r="K1077" s="72"/>
      <c r="L1077" s="9"/>
      <c r="M1077" s="9"/>
      <c r="N1077" s="9"/>
      <c r="O1077" s="9"/>
      <c r="P1077" s="9"/>
      <c r="Q1077" s="9"/>
    </row>
    <row r="1078" spans="2:17" x14ac:dyDescent="0.2">
      <c r="B1078" s="7"/>
      <c r="C1078" s="72"/>
      <c r="D1078" s="9"/>
      <c r="E1078" s="72"/>
      <c r="F1078" s="9"/>
      <c r="G1078" s="16"/>
      <c r="H1078" s="9"/>
      <c r="I1078" s="9"/>
      <c r="J1078" s="9"/>
      <c r="K1078" s="72"/>
      <c r="L1078" s="9"/>
      <c r="M1078" s="9"/>
      <c r="N1078" s="9"/>
      <c r="O1078" s="9"/>
      <c r="P1078" s="9"/>
      <c r="Q1078" s="9"/>
    </row>
    <row r="1079" spans="2:17" x14ac:dyDescent="0.2">
      <c r="B1079" s="7"/>
      <c r="C1079" s="72"/>
      <c r="D1079" s="9"/>
      <c r="E1079" s="72"/>
      <c r="F1079" s="9"/>
      <c r="G1079" s="16"/>
      <c r="H1079" s="9"/>
      <c r="I1079" s="9"/>
      <c r="J1079" s="9"/>
      <c r="K1079" s="72"/>
      <c r="L1079" s="9"/>
      <c r="M1079" s="9"/>
      <c r="N1079" s="9"/>
      <c r="O1079" s="9"/>
      <c r="P1079" s="9"/>
      <c r="Q1079" s="9"/>
    </row>
    <row r="1080" spans="2:17" x14ac:dyDescent="0.2">
      <c r="B1080" s="7"/>
      <c r="C1080" s="72"/>
      <c r="D1080" s="9"/>
      <c r="E1080" s="72"/>
      <c r="F1080" s="9"/>
      <c r="G1080" s="16"/>
      <c r="H1080" s="9"/>
      <c r="I1080" s="9"/>
      <c r="J1080" s="9"/>
      <c r="K1080" s="72"/>
      <c r="L1080" s="9"/>
      <c r="M1080" s="9"/>
      <c r="N1080" s="9"/>
      <c r="O1080" s="9"/>
      <c r="P1080" s="9"/>
      <c r="Q1080" s="9"/>
    </row>
    <row r="1081" spans="2:17" x14ac:dyDescent="0.2">
      <c r="B1081" s="7"/>
      <c r="C1081" s="72"/>
      <c r="D1081" s="9"/>
      <c r="E1081" s="72"/>
      <c r="F1081" s="9"/>
      <c r="G1081" s="16"/>
      <c r="H1081" s="9"/>
      <c r="I1081" s="9"/>
      <c r="J1081" s="9"/>
      <c r="K1081" s="72"/>
      <c r="L1081" s="9"/>
      <c r="M1081" s="9"/>
      <c r="N1081" s="9"/>
      <c r="O1081" s="9"/>
      <c r="P1081" s="9"/>
      <c r="Q1081" s="9"/>
    </row>
    <row r="1082" spans="2:17" x14ac:dyDescent="0.2">
      <c r="B1082" s="7"/>
      <c r="C1082" s="72"/>
      <c r="D1082" s="9"/>
      <c r="E1082" s="72"/>
      <c r="F1082" s="9"/>
      <c r="G1082" s="16"/>
      <c r="H1082" s="9"/>
      <c r="I1082" s="9"/>
      <c r="J1082" s="9"/>
      <c r="K1082" s="72"/>
      <c r="L1082" s="9"/>
      <c r="M1082" s="9"/>
      <c r="N1082" s="9"/>
      <c r="O1082" s="9"/>
      <c r="P1082" s="9"/>
      <c r="Q1082" s="9"/>
    </row>
    <row r="1083" spans="2:17" x14ac:dyDescent="0.2">
      <c r="B1083" s="7"/>
      <c r="C1083" s="72"/>
      <c r="D1083" s="9"/>
      <c r="E1083" s="72"/>
      <c r="F1083" s="9"/>
      <c r="G1083" s="16"/>
      <c r="H1083" s="9"/>
      <c r="I1083" s="9"/>
      <c r="J1083" s="9"/>
      <c r="K1083" s="72"/>
      <c r="L1083" s="9"/>
      <c r="M1083" s="9"/>
      <c r="N1083" s="9"/>
      <c r="O1083" s="9"/>
      <c r="P1083" s="9"/>
      <c r="Q1083" s="9"/>
    </row>
    <row r="1084" spans="2:17" x14ac:dyDescent="0.2">
      <c r="B1084" s="7"/>
      <c r="C1084" s="72"/>
      <c r="D1084" s="9"/>
      <c r="E1084" s="72"/>
      <c r="F1084" s="9"/>
      <c r="G1084" s="16"/>
      <c r="H1084" s="9"/>
      <c r="I1084" s="9"/>
      <c r="J1084" s="9"/>
      <c r="K1084" s="72"/>
      <c r="L1084" s="9"/>
      <c r="M1084" s="9"/>
      <c r="N1084" s="9"/>
      <c r="O1084" s="9"/>
      <c r="P1084" s="9"/>
      <c r="Q1084" s="9"/>
    </row>
    <row r="1085" spans="2:17" x14ac:dyDescent="0.2">
      <c r="B1085" s="7"/>
      <c r="C1085" s="72"/>
      <c r="D1085" s="9"/>
      <c r="E1085" s="72"/>
      <c r="F1085" s="9"/>
      <c r="G1085" s="16"/>
      <c r="H1085" s="9"/>
      <c r="I1085" s="9"/>
      <c r="J1085" s="9"/>
      <c r="K1085" s="72"/>
      <c r="L1085" s="9"/>
      <c r="M1085" s="9"/>
      <c r="N1085" s="9"/>
      <c r="O1085" s="9"/>
      <c r="P1085" s="9"/>
      <c r="Q1085" s="9"/>
    </row>
    <row r="1086" spans="2:17" x14ac:dyDescent="0.2">
      <c r="B1086" s="7"/>
      <c r="C1086" s="72"/>
      <c r="D1086" s="9"/>
      <c r="E1086" s="72"/>
      <c r="F1086" s="9"/>
      <c r="G1086" s="16"/>
      <c r="H1086" s="9"/>
      <c r="I1086" s="9"/>
      <c r="J1086" s="9"/>
      <c r="K1086" s="72"/>
      <c r="L1086" s="9"/>
      <c r="M1086" s="9"/>
      <c r="N1086" s="9"/>
      <c r="O1086" s="9"/>
      <c r="P1086" s="9"/>
      <c r="Q1086" s="9"/>
    </row>
    <row r="1087" spans="2:17" x14ac:dyDescent="0.2">
      <c r="B1087" s="7"/>
      <c r="C1087" s="72"/>
      <c r="D1087" s="9"/>
      <c r="E1087" s="72"/>
      <c r="F1087" s="9"/>
      <c r="G1087" s="16"/>
      <c r="H1087" s="9"/>
      <c r="I1087" s="9"/>
      <c r="J1087" s="9"/>
      <c r="K1087" s="72"/>
      <c r="L1087" s="9"/>
      <c r="M1087" s="9"/>
      <c r="N1087" s="9"/>
      <c r="O1087" s="9"/>
      <c r="P1087" s="9"/>
      <c r="Q1087" s="9"/>
    </row>
    <row r="1088" spans="2:17" x14ac:dyDescent="0.2">
      <c r="B1088" s="7"/>
      <c r="C1088" s="72"/>
      <c r="D1088" s="9"/>
      <c r="E1088" s="72"/>
      <c r="F1088" s="9"/>
      <c r="G1088" s="16"/>
      <c r="H1088" s="9"/>
      <c r="I1088" s="9"/>
      <c r="J1088" s="9"/>
      <c r="K1088" s="72"/>
      <c r="L1088" s="9"/>
      <c r="M1088" s="9"/>
      <c r="N1088" s="9"/>
      <c r="O1088" s="9"/>
      <c r="P1088" s="9"/>
      <c r="Q1088" s="9"/>
    </row>
    <row r="1089" spans="2:17" x14ac:dyDescent="0.2">
      <c r="B1089" s="7"/>
      <c r="C1089" s="72"/>
      <c r="D1089" s="9"/>
      <c r="E1089" s="72"/>
      <c r="F1089" s="9"/>
      <c r="G1089" s="16"/>
      <c r="H1089" s="9"/>
      <c r="I1089" s="9"/>
      <c r="J1089" s="9"/>
      <c r="K1089" s="72"/>
      <c r="L1089" s="9"/>
      <c r="M1089" s="9"/>
      <c r="N1089" s="9"/>
      <c r="O1089" s="9"/>
      <c r="P1089" s="9"/>
      <c r="Q1089" s="9"/>
    </row>
    <row r="1090" spans="2:17" x14ac:dyDescent="0.2">
      <c r="B1090" s="7"/>
      <c r="C1090" s="72"/>
      <c r="D1090" s="9"/>
      <c r="E1090" s="72"/>
      <c r="F1090" s="9"/>
      <c r="G1090" s="16"/>
      <c r="H1090" s="9"/>
      <c r="I1090" s="9"/>
      <c r="J1090" s="9"/>
      <c r="K1090" s="72"/>
      <c r="L1090" s="9"/>
      <c r="M1090" s="9"/>
      <c r="N1090" s="9"/>
      <c r="O1090" s="9"/>
      <c r="P1090" s="9"/>
      <c r="Q1090" s="9"/>
    </row>
    <row r="1091" spans="2:17" x14ac:dyDescent="0.2">
      <c r="B1091" s="7"/>
      <c r="C1091" s="72"/>
      <c r="D1091" s="9"/>
      <c r="E1091" s="72"/>
      <c r="F1091" s="9"/>
      <c r="G1091" s="16"/>
      <c r="H1091" s="9"/>
      <c r="I1091" s="9"/>
      <c r="J1091" s="9"/>
      <c r="K1091" s="72"/>
      <c r="L1091" s="9"/>
      <c r="M1091" s="9"/>
      <c r="N1091" s="9"/>
      <c r="O1091" s="9"/>
      <c r="P1091" s="9"/>
      <c r="Q1091" s="9"/>
    </row>
    <row r="1092" spans="2:17" x14ac:dyDescent="0.2">
      <c r="B1092" s="7"/>
      <c r="C1092" s="72"/>
      <c r="D1092" s="9"/>
      <c r="E1092" s="72"/>
      <c r="F1092" s="9"/>
      <c r="G1092" s="16"/>
      <c r="H1092" s="9"/>
      <c r="I1092" s="9"/>
      <c r="J1092" s="9"/>
      <c r="K1092" s="72"/>
      <c r="L1092" s="9"/>
      <c r="M1092" s="9"/>
      <c r="N1092" s="9"/>
      <c r="O1092" s="9"/>
      <c r="P1092" s="9"/>
      <c r="Q1092" s="9"/>
    </row>
    <row r="1093" spans="2:17" x14ac:dyDescent="0.2">
      <c r="B1093" s="7"/>
      <c r="C1093" s="72"/>
      <c r="D1093" s="9"/>
      <c r="E1093" s="72"/>
      <c r="F1093" s="9"/>
      <c r="G1093" s="16"/>
      <c r="H1093" s="9"/>
      <c r="I1093" s="9"/>
      <c r="J1093" s="9"/>
      <c r="K1093" s="72"/>
      <c r="L1093" s="9"/>
      <c r="M1093" s="9"/>
      <c r="N1093" s="9"/>
      <c r="O1093" s="9"/>
      <c r="P1093" s="9"/>
      <c r="Q1093" s="9"/>
    </row>
    <row r="1094" spans="2:17" x14ac:dyDescent="0.2">
      <c r="B1094" s="7"/>
      <c r="C1094" s="72"/>
      <c r="D1094" s="9"/>
      <c r="E1094" s="72"/>
      <c r="F1094" s="9"/>
      <c r="G1094" s="16"/>
      <c r="H1094" s="9"/>
      <c r="I1094" s="9"/>
      <c r="J1094" s="9"/>
      <c r="K1094" s="72"/>
      <c r="L1094" s="9"/>
      <c r="M1094" s="9"/>
      <c r="N1094" s="9"/>
      <c r="O1094" s="9"/>
      <c r="P1094" s="9"/>
      <c r="Q1094" s="9"/>
    </row>
    <row r="1095" spans="2:17" x14ac:dyDescent="0.2">
      <c r="B1095" s="7"/>
      <c r="C1095" s="72"/>
      <c r="D1095" s="9"/>
      <c r="E1095" s="72"/>
      <c r="F1095" s="9"/>
      <c r="G1095" s="16"/>
      <c r="H1095" s="9"/>
      <c r="I1095" s="9"/>
      <c r="J1095" s="9"/>
      <c r="K1095" s="72"/>
      <c r="L1095" s="9"/>
      <c r="M1095" s="9"/>
      <c r="N1095" s="9"/>
      <c r="O1095" s="9"/>
      <c r="P1095" s="9"/>
      <c r="Q1095" s="9"/>
    </row>
    <row r="1096" spans="2:17" x14ac:dyDescent="0.2">
      <c r="B1096" s="7"/>
      <c r="C1096" s="72"/>
      <c r="D1096" s="9"/>
      <c r="E1096" s="72"/>
      <c r="F1096" s="9"/>
      <c r="G1096" s="16"/>
      <c r="H1096" s="9"/>
      <c r="I1096" s="9"/>
      <c r="J1096" s="9"/>
      <c r="K1096" s="72"/>
      <c r="L1096" s="9"/>
      <c r="M1096" s="9"/>
      <c r="N1096" s="9"/>
      <c r="O1096" s="9"/>
      <c r="P1096" s="9"/>
      <c r="Q1096" s="9"/>
    </row>
    <row r="1097" spans="2:17" x14ac:dyDescent="0.2">
      <c r="B1097" s="7"/>
      <c r="C1097" s="72"/>
      <c r="D1097" s="9"/>
      <c r="E1097" s="72"/>
      <c r="F1097" s="9"/>
      <c r="G1097" s="16"/>
      <c r="H1097" s="9"/>
      <c r="I1097" s="9"/>
      <c r="J1097" s="9"/>
      <c r="K1097" s="72"/>
      <c r="L1097" s="9"/>
      <c r="M1097" s="9"/>
      <c r="N1097" s="9"/>
      <c r="O1097" s="9"/>
      <c r="P1097" s="9"/>
      <c r="Q1097" s="9"/>
    </row>
    <row r="1098" spans="2:17" x14ac:dyDescent="0.2">
      <c r="B1098" s="7"/>
      <c r="C1098" s="72"/>
      <c r="D1098" s="9"/>
      <c r="E1098" s="72"/>
      <c r="F1098" s="9"/>
      <c r="G1098" s="16"/>
      <c r="H1098" s="9"/>
      <c r="I1098" s="9"/>
      <c r="J1098" s="9"/>
      <c r="K1098" s="72"/>
      <c r="L1098" s="9"/>
      <c r="M1098" s="9"/>
      <c r="N1098" s="9"/>
      <c r="O1098" s="9"/>
      <c r="P1098" s="9"/>
      <c r="Q1098" s="9"/>
    </row>
    <row r="1099" spans="2:17" x14ac:dyDescent="0.2">
      <c r="B1099" s="7"/>
      <c r="C1099" s="72"/>
      <c r="D1099" s="9"/>
      <c r="E1099" s="72"/>
      <c r="F1099" s="9"/>
      <c r="G1099" s="16"/>
      <c r="H1099" s="9"/>
      <c r="I1099" s="9"/>
      <c r="J1099" s="9"/>
      <c r="K1099" s="72"/>
      <c r="L1099" s="9"/>
      <c r="M1099" s="9"/>
      <c r="N1099" s="9"/>
      <c r="O1099" s="9"/>
      <c r="P1099" s="9"/>
      <c r="Q1099" s="9"/>
    </row>
    <row r="1100" spans="2:17" x14ac:dyDescent="0.2">
      <c r="B1100" s="7"/>
      <c r="C1100" s="72"/>
      <c r="D1100" s="9"/>
      <c r="E1100" s="72"/>
      <c r="F1100" s="9"/>
      <c r="G1100" s="16"/>
      <c r="H1100" s="9"/>
      <c r="I1100" s="9"/>
      <c r="J1100" s="9"/>
      <c r="K1100" s="72"/>
      <c r="L1100" s="9"/>
      <c r="M1100" s="9"/>
      <c r="N1100" s="9"/>
      <c r="O1100" s="9"/>
      <c r="P1100" s="9"/>
      <c r="Q1100" s="9"/>
    </row>
    <row r="1101" spans="2:17" x14ac:dyDescent="0.2">
      <c r="B1101" s="7"/>
      <c r="C1101" s="72"/>
      <c r="D1101" s="9"/>
      <c r="E1101" s="72"/>
      <c r="F1101" s="9"/>
      <c r="G1101" s="16"/>
      <c r="H1101" s="9"/>
      <c r="I1101" s="9"/>
      <c r="J1101" s="9"/>
      <c r="K1101" s="72"/>
      <c r="L1101" s="9"/>
      <c r="M1101" s="9"/>
      <c r="N1101" s="9"/>
      <c r="O1101" s="9"/>
      <c r="P1101" s="9"/>
      <c r="Q1101" s="9"/>
    </row>
    <row r="1102" spans="2:17" x14ac:dyDescent="0.2">
      <c r="B1102" s="7"/>
      <c r="C1102" s="72"/>
      <c r="D1102" s="9"/>
      <c r="E1102" s="72"/>
      <c r="F1102" s="9"/>
      <c r="G1102" s="16"/>
      <c r="H1102" s="9"/>
      <c r="I1102" s="9"/>
      <c r="J1102" s="9"/>
      <c r="K1102" s="72"/>
      <c r="L1102" s="9"/>
      <c r="M1102" s="9"/>
      <c r="N1102" s="9"/>
      <c r="O1102" s="9"/>
      <c r="P1102" s="9"/>
      <c r="Q1102" s="9"/>
    </row>
    <row r="1103" spans="2:17" x14ac:dyDescent="0.2">
      <c r="B1103" s="7"/>
      <c r="C1103" s="72"/>
      <c r="D1103" s="9"/>
      <c r="E1103" s="72"/>
      <c r="F1103" s="9"/>
      <c r="G1103" s="16"/>
      <c r="H1103" s="9"/>
      <c r="I1103" s="9"/>
      <c r="J1103" s="9"/>
      <c r="K1103" s="72"/>
      <c r="L1103" s="9"/>
      <c r="M1103" s="9"/>
      <c r="N1103" s="9"/>
      <c r="O1103" s="9"/>
      <c r="P1103" s="9"/>
      <c r="Q1103" s="9"/>
    </row>
    <row r="1104" spans="2:17" x14ac:dyDescent="0.2">
      <c r="B1104" s="7"/>
      <c r="C1104" s="72"/>
      <c r="D1104" s="9"/>
      <c r="E1104" s="72"/>
      <c r="F1104" s="9"/>
      <c r="G1104" s="16"/>
      <c r="H1104" s="9"/>
      <c r="I1104" s="9"/>
      <c r="J1104" s="9"/>
      <c r="K1104" s="72"/>
      <c r="L1104" s="9"/>
      <c r="M1104" s="9"/>
      <c r="N1104" s="9"/>
      <c r="O1104" s="9"/>
      <c r="P1104" s="9"/>
      <c r="Q1104" s="9"/>
    </row>
    <row r="1105" spans="2:17" x14ac:dyDescent="0.2">
      <c r="B1105" s="7"/>
      <c r="C1105" s="72"/>
      <c r="D1105" s="9"/>
      <c r="E1105" s="72"/>
      <c r="F1105" s="9"/>
      <c r="G1105" s="16"/>
      <c r="H1105" s="9"/>
      <c r="I1105" s="9"/>
      <c r="J1105" s="9"/>
      <c r="K1105" s="72"/>
      <c r="L1105" s="9"/>
      <c r="M1105" s="9"/>
      <c r="N1105" s="9"/>
      <c r="O1105" s="9"/>
      <c r="P1105" s="9"/>
      <c r="Q1105" s="9"/>
    </row>
    <row r="1106" spans="2:17" x14ac:dyDescent="0.2">
      <c r="B1106" s="7"/>
      <c r="C1106" s="72"/>
      <c r="D1106" s="9"/>
      <c r="E1106" s="72"/>
      <c r="F1106" s="9"/>
      <c r="G1106" s="16"/>
      <c r="H1106" s="9"/>
      <c r="I1106" s="9"/>
      <c r="J1106" s="9"/>
      <c r="K1106" s="72"/>
      <c r="L1106" s="9"/>
      <c r="M1106" s="9"/>
      <c r="N1106" s="9"/>
      <c r="O1106" s="9"/>
      <c r="P1106" s="9"/>
      <c r="Q1106" s="9"/>
    </row>
    <row r="1107" spans="2:17" x14ac:dyDescent="0.2">
      <c r="B1107" s="7"/>
      <c r="C1107" s="72"/>
      <c r="D1107" s="9"/>
      <c r="E1107" s="72"/>
      <c r="F1107" s="9"/>
      <c r="G1107" s="16"/>
      <c r="H1107" s="9"/>
      <c r="I1107" s="9"/>
      <c r="J1107" s="9"/>
      <c r="K1107" s="72"/>
      <c r="L1107" s="9"/>
      <c r="M1107" s="9"/>
      <c r="N1107" s="9"/>
      <c r="O1107" s="9"/>
      <c r="P1107" s="9"/>
      <c r="Q1107" s="9"/>
    </row>
    <row r="1108" spans="2:17" x14ac:dyDescent="0.2">
      <c r="B1108" s="7"/>
      <c r="C1108" s="72"/>
      <c r="D1108" s="9"/>
      <c r="E1108" s="72"/>
      <c r="F1108" s="9"/>
      <c r="G1108" s="16"/>
      <c r="H1108" s="9"/>
      <c r="I1108" s="9"/>
      <c r="J1108" s="9"/>
      <c r="K1108" s="72"/>
      <c r="L1108" s="9"/>
      <c r="M1108" s="9"/>
      <c r="N1108" s="9"/>
      <c r="O1108" s="9"/>
      <c r="P1108" s="9"/>
      <c r="Q1108" s="9"/>
    </row>
    <row r="1109" spans="2:17" x14ac:dyDescent="0.2">
      <c r="B1109" s="7"/>
      <c r="C1109" s="72"/>
      <c r="D1109" s="9"/>
      <c r="E1109" s="72"/>
      <c r="F1109" s="9"/>
      <c r="G1109" s="16"/>
      <c r="H1109" s="9"/>
      <c r="I1109" s="9"/>
      <c r="J1109" s="9"/>
      <c r="K1109" s="72"/>
      <c r="L1109" s="9"/>
      <c r="M1109" s="9"/>
      <c r="N1109" s="9"/>
      <c r="O1109" s="9"/>
      <c r="P1109" s="9"/>
      <c r="Q1109" s="9"/>
    </row>
    <row r="1110" spans="2:17" x14ac:dyDescent="0.2">
      <c r="B1110" s="7"/>
      <c r="C1110" s="72"/>
      <c r="D1110" s="9"/>
      <c r="E1110" s="72"/>
      <c r="F1110" s="9"/>
      <c r="G1110" s="16"/>
      <c r="H1110" s="9"/>
      <c r="I1110" s="9"/>
      <c r="J1110" s="9"/>
      <c r="K1110" s="72"/>
      <c r="L1110" s="9"/>
      <c r="M1110" s="9"/>
      <c r="N1110" s="9"/>
      <c r="O1110" s="9"/>
      <c r="P1110" s="9"/>
      <c r="Q1110" s="9"/>
    </row>
    <row r="1111" spans="2:17" x14ac:dyDescent="0.2">
      <c r="B1111" s="7"/>
      <c r="C1111" s="72"/>
      <c r="D1111" s="9"/>
      <c r="E1111" s="72"/>
      <c r="F1111" s="9"/>
      <c r="G1111" s="16"/>
      <c r="H1111" s="9"/>
      <c r="I1111" s="9"/>
      <c r="J1111" s="9"/>
      <c r="K1111" s="72"/>
      <c r="L1111" s="9"/>
      <c r="M1111" s="9"/>
      <c r="N1111" s="9"/>
      <c r="O1111" s="9"/>
      <c r="P1111" s="9"/>
      <c r="Q1111" s="9"/>
    </row>
    <row r="1112" spans="2:17" x14ac:dyDescent="0.2">
      <c r="B1112" s="7"/>
      <c r="C1112" s="72"/>
      <c r="D1112" s="9"/>
      <c r="E1112" s="72"/>
      <c r="F1112" s="9"/>
      <c r="G1112" s="16"/>
      <c r="H1112" s="9"/>
      <c r="I1112" s="9"/>
      <c r="J1112" s="9"/>
      <c r="K1112" s="72"/>
      <c r="L1112" s="9"/>
      <c r="M1112" s="9"/>
      <c r="N1112" s="9"/>
      <c r="O1112" s="9"/>
      <c r="P1112" s="9"/>
      <c r="Q1112" s="9"/>
    </row>
    <row r="1113" spans="2:17" x14ac:dyDescent="0.2">
      <c r="B1113" s="7"/>
      <c r="C1113" s="72"/>
      <c r="D1113" s="9"/>
      <c r="E1113" s="72"/>
      <c r="F1113" s="9"/>
      <c r="G1113" s="16"/>
      <c r="H1113" s="9"/>
      <c r="I1113" s="9"/>
      <c r="J1113" s="9"/>
      <c r="K1113" s="72"/>
      <c r="L1113" s="9"/>
      <c r="M1113" s="9"/>
      <c r="N1113" s="9"/>
      <c r="O1113" s="9"/>
      <c r="P1113" s="9"/>
      <c r="Q1113" s="9"/>
    </row>
    <row r="1114" spans="2:17" x14ac:dyDescent="0.2">
      <c r="B1114" s="7"/>
      <c r="C1114" s="72"/>
      <c r="D1114" s="9"/>
      <c r="E1114" s="72"/>
      <c r="F1114" s="9"/>
      <c r="G1114" s="16"/>
      <c r="H1114" s="9"/>
      <c r="I1114" s="9"/>
      <c r="J1114" s="9"/>
      <c r="K1114" s="72"/>
      <c r="L1114" s="9"/>
      <c r="M1114" s="9"/>
      <c r="N1114" s="9"/>
      <c r="O1114" s="9"/>
      <c r="P1114" s="9"/>
      <c r="Q1114" s="9"/>
    </row>
    <row r="1115" spans="2:17" x14ac:dyDescent="0.2">
      <c r="B1115" s="7"/>
      <c r="C1115" s="72"/>
      <c r="D1115" s="9"/>
      <c r="E1115" s="72"/>
      <c r="F1115" s="9"/>
      <c r="G1115" s="16"/>
      <c r="H1115" s="9"/>
      <c r="I1115" s="9"/>
      <c r="J1115" s="9"/>
      <c r="K1115" s="72"/>
      <c r="L1115" s="9"/>
      <c r="M1115" s="9"/>
      <c r="N1115" s="9"/>
      <c r="O1115" s="9"/>
      <c r="P1115" s="9"/>
      <c r="Q1115" s="9"/>
    </row>
    <row r="1116" spans="2:17" x14ac:dyDescent="0.2">
      <c r="B1116" s="7"/>
      <c r="C1116" s="72"/>
      <c r="D1116" s="9"/>
      <c r="E1116" s="72"/>
      <c r="F1116" s="9"/>
      <c r="G1116" s="16"/>
      <c r="H1116" s="9"/>
      <c r="I1116" s="9"/>
      <c r="J1116" s="9"/>
      <c r="K1116" s="72"/>
      <c r="L1116" s="9"/>
      <c r="M1116" s="9"/>
      <c r="N1116" s="9"/>
      <c r="O1116" s="9"/>
      <c r="P1116" s="9"/>
      <c r="Q1116" s="9"/>
    </row>
    <row r="1117" spans="2:17" x14ac:dyDescent="0.2">
      <c r="B1117" s="7"/>
      <c r="C1117" s="72"/>
      <c r="D1117" s="9"/>
      <c r="E1117" s="72"/>
      <c r="F1117" s="9"/>
      <c r="G1117" s="16"/>
      <c r="H1117" s="9"/>
      <c r="I1117" s="9"/>
      <c r="J1117" s="9"/>
      <c r="K1117" s="72"/>
      <c r="L1117" s="9"/>
      <c r="M1117" s="9"/>
      <c r="N1117" s="9"/>
      <c r="O1117" s="9"/>
      <c r="P1117" s="9"/>
      <c r="Q1117" s="9"/>
    </row>
    <row r="1118" spans="2:17" x14ac:dyDescent="0.2">
      <c r="B1118" s="7"/>
      <c r="C1118" s="72"/>
      <c r="D1118" s="9"/>
      <c r="E1118" s="72"/>
      <c r="F1118" s="9"/>
      <c r="G1118" s="16"/>
      <c r="H1118" s="9"/>
      <c r="I1118" s="9"/>
      <c r="J1118" s="9"/>
      <c r="K1118" s="72"/>
      <c r="L1118" s="9"/>
      <c r="M1118" s="9"/>
      <c r="N1118" s="9"/>
      <c r="O1118" s="9"/>
      <c r="P1118" s="9"/>
      <c r="Q1118" s="9"/>
    </row>
    <row r="1119" spans="2:17" x14ac:dyDescent="0.2">
      <c r="B1119" s="7"/>
      <c r="C1119" s="72"/>
      <c r="D1119" s="9"/>
      <c r="E1119" s="72"/>
      <c r="F1119" s="9"/>
      <c r="G1119" s="16"/>
      <c r="H1119" s="9"/>
      <c r="I1119" s="9"/>
      <c r="J1119" s="9"/>
      <c r="K1119" s="72"/>
      <c r="L1119" s="9"/>
      <c r="M1119" s="9"/>
      <c r="N1119" s="9"/>
      <c r="O1119" s="9"/>
      <c r="P1119" s="9"/>
      <c r="Q1119" s="9"/>
    </row>
    <row r="1120" spans="2:17" x14ac:dyDescent="0.2">
      <c r="B1120" s="7"/>
      <c r="C1120" s="72"/>
      <c r="D1120" s="9"/>
      <c r="E1120" s="72"/>
      <c r="F1120" s="9"/>
      <c r="G1120" s="16"/>
      <c r="H1120" s="9"/>
      <c r="I1120" s="9"/>
      <c r="J1120" s="9"/>
      <c r="K1120" s="72"/>
      <c r="L1120" s="9"/>
      <c r="M1120" s="9"/>
      <c r="N1120" s="9"/>
      <c r="O1120" s="9"/>
      <c r="P1120" s="9"/>
      <c r="Q1120" s="9"/>
    </row>
    <row r="1121" spans="2:17" x14ac:dyDescent="0.2">
      <c r="B1121" s="7"/>
      <c r="C1121" s="72"/>
      <c r="D1121" s="9"/>
      <c r="E1121" s="72"/>
      <c r="F1121" s="9"/>
      <c r="G1121" s="16"/>
      <c r="H1121" s="9"/>
      <c r="I1121" s="9"/>
      <c r="J1121" s="9"/>
      <c r="K1121" s="72"/>
      <c r="L1121" s="9"/>
      <c r="M1121" s="9"/>
      <c r="N1121" s="9"/>
      <c r="O1121" s="9"/>
      <c r="P1121" s="9"/>
      <c r="Q1121" s="9"/>
    </row>
    <row r="1122" spans="2:17" x14ac:dyDescent="0.2">
      <c r="B1122" s="7"/>
      <c r="C1122" s="72"/>
      <c r="D1122" s="9"/>
      <c r="E1122" s="72"/>
      <c r="F1122" s="9"/>
      <c r="G1122" s="16"/>
      <c r="H1122" s="9"/>
      <c r="I1122" s="9"/>
      <c r="J1122" s="9"/>
      <c r="K1122" s="72"/>
      <c r="L1122" s="9"/>
      <c r="M1122" s="9"/>
      <c r="N1122" s="9"/>
      <c r="O1122" s="9"/>
      <c r="P1122" s="9"/>
      <c r="Q1122" s="9"/>
    </row>
    <row r="1123" spans="2:17" x14ac:dyDescent="0.2">
      <c r="B1123" s="7"/>
      <c r="C1123" s="72"/>
      <c r="D1123" s="9"/>
      <c r="E1123" s="72"/>
      <c r="F1123" s="9"/>
      <c r="G1123" s="16"/>
      <c r="H1123" s="9"/>
      <c r="I1123" s="9"/>
      <c r="J1123" s="9"/>
      <c r="K1123" s="72"/>
      <c r="L1123" s="9"/>
      <c r="M1123" s="9"/>
      <c r="N1123" s="9"/>
      <c r="O1123" s="9"/>
      <c r="P1123" s="9"/>
      <c r="Q1123" s="9"/>
    </row>
    <row r="1124" spans="2:17" x14ac:dyDescent="0.2">
      <c r="B1124" s="7"/>
      <c r="C1124" s="72"/>
      <c r="D1124" s="9"/>
      <c r="E1124" s="72"/>
      <c r="F1124" s="9"/>
      <c r="G1124" s="16"/>
      <c r="H1124" s="9"/>
      <c r="I1124" s="9"/>
      <c r="J1124" s="9"/>
      <c r="K1124" s="72"/>
      <c r="L1124" s="9"/>
      <c r="M1124" s="9"/>
      <c r="N1124" s="9"/>
      <c r="O1124" s="9"/>
      <c r="P1124" s="9"/>
      <c r="Q1124" s="9"/>
    </row>
    <row r="1125" spans="2:17" x14ac:dyDescent="0.2">
      <c r="B1125" s="7"/>
      <c r="C1125" s="72"/>
      <c r="D1125" s="9"/>
      <c r="E1125" s="72"/>
      <c r="F1125" s="9"/>
      <c r="G1125" s="16"/>
      <c r="H1125" s="9"/>
      <c r="I1125" s="9"/>
      <c r="J1125" s="9"/>
      <c r="K1125" s="72"/>
      <c r="L1125" s="9"/>
      <c r="M1125" s="9"/>
      <c r="N1125" s="9"/>
      <c r="O1125" s="9"/>
      <c r="P1125" s="9"/>
      <c r="Q1125" s="9"/>
    </row>
    <row r="1126" spans="2:17" x14ac:dyDescent="0.2">
      <c r="B1126" s="7"/>
      <c r="C1126" s="72"/>
      <c r="D1126" s="9"/>
      <c r="E1126" s="72"/>
      <c r="F1126" s="9"/>
      <c r="G1126" s="16"/>
      <c r="H1126" s="9"/>
      <c r="I1126" s="9"/>
      <c r="J1126" s="9"/>
      <c r="K1126" s="72"/>
      <c r="L1126" s="9"/>
      <c r="M1126" s="9"/>
      <c r="N1126" s="9"/>
      <c r="O1126" s="9"/>
      <c r="P1126" s="9"/>
      <c r="Q1126" s="9"/>
    </row>
    <row r="1127" spans="2:17" x14ac:dyDescent="0.2">
      <c r="B1127" s="7"/>
      <c r="C1127" s="72"/>
      <c r="D1127" s="9"/>
      <c r="E1127" s="72"/>
      <c r="F1127" s="9"/>
      <c r="G1127" s="16"/>
      <c r="H1127" s="9"/>
      <c r="I1127" s="9"/>
      <c r="J1127" s="9"/>
      <c r="K1127" s="72"/>
      <c r="L1127" s="9"/>
      <c r="M1127" s="9"/>
      <c r="N1127" s="9"/>
      <c r="O1127" s="9"/>
      <c r="P1127" s="9"/>
      <c r="Q1127" s="9"/>
    </row>
    <row r="1128" spans="2:17" x14ac:dyDescent="0.2">
      <c r="B1128" s="7"/>
      <c r="C1128" s="72"/>
      <c r="D1128" s="9"/>
      <c r="E1128" s="72"/>
      <c r="F1128" s="9"/>
      <c r="G1128" s="16"/>
      <c r="H1128" s="9"/>
      <c r="I1128" s="9"/>
      <c r="J1128" s="9"/>
      <c r="K1128" s="72"/>
      <c r="L1128" s="9"/>
      <c r="M1128" s="9"/>
      <c r="N1128" s="9"/>
      <c r="O1128" s="9"/>
      <c r="P1128" s="9"/>
      <c r="Q1128" s="9"/>
    </row>
    <row r="1129" spans="2:17" x14ac:dyDescent="0.2">
      <c r="B1129" s="7"/>
      <c r="C1129" s="72"/>
      <c r="D1129" s="9"/>
      <c r="E1129" s="72"/>
      <c r="F1129" s="9"/>
      <c r="G1129" s="16"/>
      <c r="H1129" s="9"/>
      <c r="I1129" s="9"/>
      <c r="J1129" s="9"/>
      <c r="K1129" s="72"/>
      <c r="L1129" s="9"/>
      <c r="M1129" s="9"/>
      <c r="N1129" s="9"/>
      <c r="O1129" s="9"/>
      <c r="P1129" s="9"/>
      <c r="Q1129" s="9"/>
    </row>
    <row r="1130" spans="2:17" x14ac:dyDescent="0.2">
      <c r="B1130" s="7"/>
      <c r="C1130" s="72"/>
      <c r="D1130" s="9"/>
      <c r="E1130" s="72"/>
      <c r="F1130" s="9"/>
      <c r="G1130" s="16"/>
      <c r="H1130" s="9"/>
      <c r="I1130" s="9"/>
      <c r="J1130" s="9"/>
      <c r="K1130" s="72"/>
      <c r="L1130" s="9"/>
      <c r="M1130" s="9"/>
      <c r="N1130" s="9"/>
      <c r="O1130" s="9"/>
      <c r="P1130" s="9"/>
      <c r="Q1130" s="9"/>
    </row>
    <row r="1131" spans="2:17" x14ac:dyDescent="0.2">
      <c r="B1131" s="7"/>
      <c r="C1131" s="72"/>
      <c r="D1131" s="9"/>
      <c r="E1131" s="72"/>
      <c r="F1131" s="9"/>
      <c r="G1131" s="16"/>
      <c r="H1131" s="9"/>
      <c r="I1131" s="9"/>
      <c r="J1131" s="9"/>
      <c r="K1131" s="72"/>
      <c r="L1131" s="9"/>
      <c r="M1131" s="9"/>
      <c r="N1131" s="9"/>
      <c r="O1131" s="9"/>
      <c r="P1131" s="9"/>
      <c r="Q1131" s="9"/>
    </row>
    <row r="1132" spans="2:17" x14ac:dyDescent="0.2">
      <c r="B1132" s="7"/>
      <c r="C1132" s="72"/>
      <c r="D1132" s="9"/>
      <c r="E1132" s="72"/>
      <c r="F1132" s="9"/>
      <c r="G1132" s="16"/>
      <c r="H1132" s="9"/>
      <c r="I1132" s="9"/>
      <c r="J1132" s="9"/>
      <c r="K1132" s="72"/>
      <c r="L1132" s="9"/>
      <c r="M1132" s="9"/>
      <c r="N1132" s="9"/>
      <c r="O1132" s="9"/>
      <c r="P1132" s="9"/>
      <c r="Q1132" s="9"/>
    </row>
    <row r="1133" spans="2:17" x14ac:dyDescent="0.2">
      <c r="B1133" s="7"/>
      <c r="C1133" s="72"/>
      <c r="D1133" s="9"/>
      <c r="E1133" s="72"/>
      <c r="F1133" s="9"/>
      <c r="G1133" s="16"/>
      <c r="H1133" s="9"/>
      <c r="I1133" s="9"/>
      <c r="J1133" s="9"/>
      <c r="K1133" s="72"/>
      <c r="L1133" s="9"/>
      <c r="M1133" s="9"/>
      <c r="N1133" s="9"/>
      <c r="O1133" s="9"/>
      <c r="P1133" s="9"/>
      <c r="Q1133" s="9"/>
    </row>
    <row r="1134" spans="2:17" x14ac:dyDescent="0.2">
      <c r="B1134" s="7"/>
      <c r="C1134" s="72"/>
      <c r="D1134" s="9"/>
      <c r="E1134" s="72"/>
      <c r="F1134" s="9"/>
      <c r="G1134" s="16"/>
      <c r="H1134" s="9"/>
      <c r="I1134" s="9"/>
      <c r="J1134" s="9"/>
      <c r="K1134" s="72"/>
      <c r="L1134" s="9"/>
      <c r="M1134" s="9"/>
      <c r="N1134" s="9"/>
      <c r="O1134" s="9"/>
      <c r="P1134" s="9"/>
      <c r="Q1134" s="9"/>
    </row>
    <row r="1135" spans="2:17" x14ac:dyDescent="0.2">
      <c r="B1135" s="7"/>
      <c r="C1135" s="72"/>
      <c r="D1135" s="9"/>
      <c r="E1135" s="72"/>
      <c r="F1135" s="9"/>
      <c r="G1135" s="16"/>
      <c r="H1135" s="9"/>
      <c r="I1135" s="9"/>
      <c r="J1135" s="9"/>
      <c r="K1135" s="72"/>
      <c r="L1135" s="9"/>
      <c r="M1135" s="9"/>
      <c r="N1135" s="9"/>
      <c r="O1135" s="9"/>
      <c r="P1135" s="9"/>
      <c r="Q1135" s="9"/>
    </row>
    <row r="1136" spans="2:17" x14ac:dyDescent="0.2">
      <c r="B1136" s="7"/>
      <c r="C1136" s="72"/>
      <c r="D1136" s="9"/>
      <c r="E1136" s="72"/>
      <c r="F1136" s="9"/>
      <c r="G1136" s="16"/>
      <c r="H1136" s="9"/>
      <c r="I1136" s="9"/>
      <c r="J1136" s="9"/>
      <c r="K1136" s="72"/>
      <c r="L1136" s="9"/>
      <c r="M1136" s="9"/>
      <c r="N1136" s="9"/>
      <c r="O1136" s="9"/>
      <c r="P1136" s="9"/>
      <c r="Q1136" s="9"/>
    </row>
    <row r="1137" spans="2:17" x14ac:dyDescent="0.2">
      <c r="B1137" s="7"/>
      <c r="C1137" s="72"/>
      <c r="D1137" s="9"/>
      <c r="E1137" s="72"/>
      <c r="F1137" s="9"/>
      <c r="G1137" s="16"/>
      <c r="H1137" s="9"/>
      <c r="I1137" s="9"/>
      <c r="J1137" s="9"/>
      <c r="K1137" s="72"/>
      <c r="L1137" s="9"/>
      <c r="M1137" s="9"/>
      <c r="N1137" s="9"/>
      <c r="O1137" s="9"/>
      <c r="P1137" s="9"/>
      <c r="Q1137" s="9"/>
    </row>
    <row r="1138" spans="2:17" x14ac:dyDescent="0.2">
      <c r="B1138" s="7"/>
      <c r="C1138" s="72"/>
      <c r="D1138" s="9"/>
      <c r="E1138" s="72"/>
      <c r="F1138" s="9"/>
      <c r="G1138" s="16"/>
      <c r="H1138" s="9"/>
      <c r="I1138" s="9"/>
      <c r="J1138" s="9"/>
      <c r="K1138" s="72"/>
      <c r="L1138" s="9"/>
      <c r="M1138" s="9"/>
      <c r="N1138" s="9"/>
      <c r="O1138" s="9"/>
      <c r="P1138" s="9"/>
      <c r="Q1138" s="9"/>
    </row>
    <row r="1139" spans="2:17" x14ac:dyDescent="0.2">
      <c r="B1139" s="7"/>
      <c r="C1139" s="72"/>
      <c r="D1139" s="9"/>
      <c r="E1139" s="72"/>
      <c r="F1139" s="9"/>
      <c r="G1139" s="16"/>
      <c r="H1139" s="9"/>
      <c r="I1139" s="9"/>
      <c r="J1139" s="9"/>
      <c r="K1139" s="72"/>
      <c r="L1139" s="9"/>
      <c r="M1139" s="9"/>
      <c r="N1139" s="9"/>
      <c r="O1139" s="9"/>
      <c r="P1139" s="9"/>
      <c r="Q1139" s="9"/>
    </row>
    <row r="1140" spans="2:17" x14ac:dyDescent="0.2">
      <c r="B1140" s="7"/>
      <c r="C1140" s="72"/>
      <c r="D1140" s="9"/>
      <c r="E1140" s="72"/>
      <c r="F1140" s="9"/>
      <c r="G1140" s="16"/>
      <c r="H1140" s="9"/>
      <c r="I1140" s="9"/>
      <c r="J1140" s="9"/>
      <c r="K1140" s="72"/>
      <c r="L1140" s="9"/>
      <c r="M1140" s="9"/>
      <c r="N1140" s="9"/>
      <c r="O1140" s="9"/>
      <c r="P1140" s="9"/>
      <c r="Q1140" s="9"/>
    </row>
    <row r="1141" spans="2:17" x14ac:dyDescent="0.2">
      <c r="B1141" s="7"/>
      <c r="C1141" s="72"/>
      <c r="D1141" s="9"/>
      <c r="E1141" s="72"/>
      <c r="F1141" s="9"/>
      <c r="G1141" s="16"/>
      <c r="H1141" s="9"/>
      <c r="I1141" s="9"/>
      <c r="J1141" s="9"/>
      <c r="K1141" s="72"/>
      <c r="L1141" s="9"/>
      <c r="M1141" s="9"/>
      <c r="N1141" s="9"/>
      <c r="O1141" s="9"/>
      <c r="P1141" s="9"/>
      <c r="Q1141" s="9"/>
    </row>
    <row r="1142" spans="2:17" x14ac:dyDescent="0.2">
      <c r="B1142" s="7"/>
      <c r="C1142" s="72"/>
      <c r="D1142" s="9"/>
      <c r="E1142" s="72"/>
      <c r="F1142" s="9"/>
      <c r="G1142" s="16"/>
      <c r="H1142" s="9"/>
      <c r="I1142" s="9"/>
      <c r="J1142" s="9"/>
      <c r="K1142" s="72"/>
      <c r="L1142" s="9"/>
      <c r="M1142" s="9"/>
      <c r="N1142" s="9"/>
      <c r="O1142" s="9"/>
      <c r="P1142" s="9"/>
      <c r="Q1142" s="9"/>
    </row>
    <row r="1143" spans="2:17" x14ac:dyDescent="0.2">
      <c r="B1143" s="7"/>
      <c r="C1143" s="72"/>
      <c r="D1143" s="9"/>
      <c r="E1143" s="72"/>
      <c r="F1143" s="9"/>
      <c r="G1143" s="16"/>
      <c r="H1143" s="9"/>
      <c r="I1143" s="9"/>
      <c r="J1143" s="9"/>
      <c r="K1143" s="72"/>
      <c r="L1143" s="9"/>
      <c r="M1143" s="9"/>
      <c r="N1143" s="9"/>
      <c r="O1143" s="9"/>
      <c r="P1143" s="9"/>
      <c r="Q1143" s="9"/>
    </row>
    <row r="1144" spans="2:17" x14ac:dyDescent="0.2">
      <c r="B1144" s="7"/>
      <c r="C1144" s="72"/>
      <c r="D1144" s="9"/>
      <c r="E1144" s="72"/>
      <c r="F1144" s="9"/>
      <c r="G1144" s="16"/>
      <c r="H1144" s="9"/>
      <c r="I1144" s="9"/>
      <c r="J1144" s="9"/>
      <c r="K1144" s="72"/>
      <c r="L1144" s="9"/>
      <c r="M1144" s="9"/>
      <c r="N1144" s="9"/>
      <c r="O1144" s="9"/>
      <c r="P1144" s="9"/>
      <c r="Q1144" s="9"/>
    </row>
    <row r="1145" spans="2:17" x14ac:dyDescent="0.2">
      <c r="B1145" s="7"/>
      <c r="C1145" s="72"/>
      <c r="D1145" s="9"/>
      <c r="E1145" s="72"/>
      <c r="F1145" s="9"/>
      <c r="G1145" s="16"/>
      <c r="H1145" s="9"/>
      <c r="I1145" s="9"/>
      <c r="J1145" s="9"/>
      <c r="K1145" s="72"/>
      <c r="L1145" s="9"/>
      <c r="M1145" s="9"/>
      <c r="N1145" s="9"/>
      <c r="O1145" s="9"/>
      <c r="P1145" s="9"/>
      <c r="Q1145" s="9"/>
    </row>
    <row r="1146" spans="2:17" x14ac:dyDescent="0.2">
      <c r="B1146" s="7"/>
      <c r="C1146" s="72"/>
      <c r="D1146" s="9"/>
      <c r="E1146" s="72"/>
      <c r="F1146" s="9"/>
      <c r="G1146" s="16"/>
      <c r="H1146" s="9"/>
      <c r="I1146" s="9"/>
      <c r="J1146" s="9"/>
      <c r="K1146" s="72"/>
      <c r="L1146" s="9"/>
      <c r="M1146" s="9"/>
      <c r="N1146" s="9"/>
      <c r="O1146" s="9"/>
      <c r="P1146" s="9"/>
      <c r="Q1146" s="9"/>
    </row>
    <row r="1147" spans="2:17" x14ac:dyDescent="0.2">
      <c r="B1147" s="7"/>
      <c r="C1147" s="72"/>
      <c r="D1147" s="9"/>
      <c r="E1147" s="72"/>
      <c r="F1147" s="9"/>
      <c r="G1147" s="16"/>
      <c r="H1147" s="9"/>
      <c r="I1147" s="9"/>
      <c r="J1147" s="9"/>
      <c r="K1147" s="72"/>
      <c r="L1147" s="9"/>
      <c r="M1147" s="9"/>
      <c r="N1147" s="9"/>
      <c r="O1147" s="9"/>
      <c r="P1147" s="9"/>
      <c r="Q1147" s="9"/>
    </row>
    <row r="1148" spans="2:17" x14ac:dyDescent="0.2">
      <c r="B1148" s="7"/>
      <c r="C1148" s="72"/>
      <c r="D1148" s="9"/>
      <c r="E1148" s="72"/>
      <c r="F1148" s="9"/>
      <c r="G1148" s="16"/>
      <c r="H1148" s="9"/>
      <c r="I1148" s="9"/>
      <c r="J1148" s="9"/>
      <c r="K1148" s="72"/>
      <c r="L1148" s="9"/>
      <c r="M1148" s="9"/>
      <c r="N1148" s="9"/>
      <c r="O1148" s="9"/>
      <c r="P1148" s="9"/>
      <c r="Q1148" s="9"/>
    </row>
    <row r="1149" spans="2:17" x14ac:dyDescent="0.2">
      <c r="B1149" s="7"/>
      <c r="C1149" s="72"/>
      <c r="D1149" s="9"/>
      <c r="E1149" s="72"/>
      <c r="F1149" s="9"/>
      <c r="G1149" s="16"/>
      <c r="H1149" s="9"/>
      <c r="I1149" s="9"/>
      <c r="J1149" s="9"/>
      <c r="K1149" s="72"/>
      <c r="L1149" s="9"/>
      <c r="M1149" s="9"/>
      <c r="N1149" s="9"/>
      <c r="O1149" s="9"/>
      <c r="P1149" s="9"/>
      <c r="Q1149" s="9"/>
    </row>
    <row r="1150" spans="2:17" x14ac:dyDescent="0.2">
      <c r="B1150" s="7"/>
      <c r="C1150" s="72"/>
      <c r="D1150" s="9"/>
      <c r="E1150" s="72"/>
      <c r="F1150" s="9"/>
      <c r="G1150" s="16"/>
      <c r="H1150" s="9"/>
      <c r="I1150" s="9"/>
      <c r="J1150" s="9"/>
      <c r="K1150" s="72"/>
      <c r="L1150" s="9"/>
      <c r="M1150" s="9"/>
      <c r="N1150" s="9"/>
      <c r="O1150" s="9"/>
      <c r="P1150" s="9"/>
      <c r="Q1150" s="9"/>
    </row>
    <row r="1151" spans="2:17" x14ac:dyDescent="0.2">
      <c r="B1151" s="7"/>
      <c r="C1151" s="72"/>
      <c r="D1151" s="9"/>
      <c r="E1151" s="72"/>
      <c r="F1151" s="9"/>
      <c r="G1151" s="16"/>
      <c r="H1151" s="9"/>
      <c r="I1151" s="9"/>
      <c r="J1151" s="9"/>
      <c r="K1151" s="72"/>
      <c r="L1151" s="9"/>
      <c r="M1151" s="9"/>
      <c r="N1151" s="9"/>
      <c r="O1151" s="9"/>
      <c r="P1151" s="9"/>
      <c r="Q1151" s="9"/>
    </row>
    <row r="1152" spans="2:17" x14ac:dyDescent="0.2">
      <c r="B1152" s="7"/>
      <c r="C1152" s="72"/>
      <c r="D1152" s="9"/>
      <c r="E1152" s="72"/>
      <c r="F1152" s="9"/>
      <c r="G1152" s="16"/>
      <c r="H1152" s="9"/>
      <c r="I1152" s="9"/>
      <c r="J1152" s="9"/>
      <c r="K1152" s="72"/>
      <c r="L1152" s="9"/>
      <c r="M1152" s="9"/>
      <c r="N1152" s="9"/>
      <c r="O1152" s="9"/>
      <c r="P1152" s="9"/>
      <c r="Q1152" s="9"/>
    </row>
    <row r="1153" spans="2:17" x14ac:dyDescent="0.2">
      <c r="B1153" s="7"/>
      <c r="C1153" s="72"/>
      <c r="D1153" s="9"/>
      <c r="E1153" s="72"/>
      <c r="F1153" s="9"/>
      <c r="G1153" s="16"/>
      <c r="H1153" s="9"/>
      <c r="I1153" s="9"/>
      <c r="J1153" s="9"/>
      <c r="K1153" s="72"/>
      <c r="L1153" s="9"/>
      <c r="M1153" s="9"/>
      <c r="N1153" s="9"/>
      <c r="O1153" s="9"/>
      <c r="P1153" s="9"/>
      <c r="Q1153" s="9"/>
    </row>
    <row r="1154" spans="2:17" x14ac:dyDescent="0.2">
      <c r="B1154" s="7"/>
      <c r="C1154" s="72"/>
      <c r="D1154" s="9"/>
      <c r="E1154" s="72"/>
      <c r="F1154" s="9"/>
      <c r="G1154" s="16"/>
      <c r="H1154" s="9"/>
      <c r="I1154" s="9"/>
      <c r="J1154" s="9"/>
      <c r="K1154" s="72"/>
      <c r="L1154" s="9"/>
      <c r="M1154" s="9"/>
      <c r="N1154" s="9"/>
      <c r="O1154" s="9"/>
      <c r="P1154" s="9"/>
      <c r="Q1154" s="9"/>
    </row>
    <row r="1155" spans="2:17" x14ac:dyDescent="0.2">
      <c r="B1155" s="7"/>
      <c r="C1155" s="72"/>
      <c r="D1155" s="9"/>
      <c r="E1155" s="72"/>
      <c r="F1155" s="9"/>
      <c r="G1155" s="16"/>
      <c r="H1155" s="9"/>
      <c r="I1155" s="9"/>
      <c r="J1155" s="9"/>
      <c r="K1155" s="72"/>
      <c r="L1155" s="9"/>
      <c r="M1155" s="9"/>
      <c r="N1155" s="9"/>
      <c r="O1155" s="9"/>
      <c r="P1155" s="9"/>
      <c r="Q1155" s="9"/>
    </row>
    <row r="1156" spans="2:17" x14ac:dyDescent="0.2">
      <c r="B1156" s="7"/>
      <c r="C1156" s="72"/>
      <c r="D1156" s="9"/>
      <c r="E1156" s="72"/>
      <c r="F1156" s="9"/>
      <c r="G1156" s="16"/>
      <c r="H1156" s="9"/>
      <c r="I1156" s="9"/>
      <c r="J1156" s="9"/>
      <c r="K1156" s="72"/>
      <c r="L1156" s="9"/>
      <c r="M1156" s="9"/>
      <c r="N1156" s="9"/>
      <c r="O1156" s="9"/>
      <c r="P1156" s="9"/>
      <c r="Q1156" s="9"/>
    </row>
    <row r="1157" spans="2:17" x14ac:dyDescent="0.2">
      <c r="B1157" s="7"/>
      <c r="C1157" s="72"/>
      <c r="D1157" s="9"/>
      <c r="E1157" s="72"/>
      <c r="F1157" s="9"/>
      <c r="G1157" s="16"/>
      <c r="H1157" s="9"/>
      <c r="I1157" s="9"/>
      <c r="J1157" s="9"/>
      <c r="K1157" s="72"/>
      <c r="L1157" s="9"/>
      <c r="M1157" s="9"/>
      <c r="N1157" s="9"/>
      <c r="O1157" s="9"/>
      <c r="P1157" s="9"/>
      <c r="Q1157" s="9"/>
    </row>
    <row r="1158" spans="2:17" x14ac:dyDescent="0.2">
      <c r="B1158" s="7"/>
      <c r="C1158" s="72"/>
      <c r="D1158" s="9"/>
      <c r="E1158" s="72"/>
      <c r="F1158" s="9"/>
      <c r="G1158" s="16"/>
      <c r="H1158" s="9"/>
      <c r="I1158" s="9"/>
      <c r="J1158" s="9"/>
      <c r="K1158" s="72"/>
      <c r="L1158" s="9"/>
      <c r="M1158" s="9"/>
      <c r="N1158" s="9"/>
      <c r="O1158" s="9"/>
      <c r="P1158" s="9"/>
      <c r="Q1158" s="9"/>
    </row>
    <row r="1159" spans="2:17" x14ac:dyDescent="0.2">
      <c r="B1159" s="7"/>
      <c r="C1159" s="72"/>
      <c r="D1159" s="9"/>
      <c r="E1159" s="72"/>
      <c r="F1159" s="9"/>
      <c r="G1159" s="16"/>
      <c r="H1159" s="9"/>
      <c r="I1159" s="9"/>
      <c r="J1159" s="9"/>
      <c r="K1159" s="72"/>
      <c r="L1159" s="9"/>
      <c r="M1159" s="9"/>
      <c r="N1159" s="9"/>
      <c r="O1159" s="9"/>
      <c r="P1159" s="9"/>
      <c r="Q1159" s="9"/>
    </row>
    <row r="1160" spans="2:17" x14ac:dyDescent="0.2">
      <c r="B1160" s="7"/>
      <c r="C1160" s="72"/>
      <c r="D1160" s="9"/>
      <c r="E1160" s="72"/>
      <c r="F1160" s="9"/>
      <c r="G1160" s="16"/>
      <c r="H1160" s="9"/>
      <c r="I1160" s="9"/>
      <c r="J1160" s="9"/>
      <c r="K1160" s="72"/>
      <c r="L1160" s="9"/>
      <c r="M1160" s="9"/>
      <c r="N1160" s="9"/>
      <c r="O1160" s="9"/>
      <c r="P1160" s="9"/>
      <c r="Q1160" s="9"/>
    </row>
    <row r="1161" spans="2:17" x14ac:dyDescent="0.2">
      <c r="B1161" s="7"/>
      <c r="C1161" s="72"/>
      <c r="D1161" s="9"/>
      <c r="E1161" s="72"/>
      <c r="F1161" s="9"/>
      <c r="G1161" s="16"/>
      <c r="H1161" s="9"/>
      <c r="I1161" s="9"/>
      <c r="J1161" s="9"/>
      <c r="K1161" s="72"/>
      <c r="L1161" s="9"/>
      <c r="M1161" s="9"/>
      <c r="N1161" s="9"/>
      <c r="O1161" s="9"/>
      <c r="P1161" s="9"/>
      <c r="Q1161" s="9"/>
    </row>
    <row r="1162" spans="2:17" x14ac:dyDescent="0.2">
      <c r="B1162" s="7"/>
      <c r="C1162" s="72"/>
      <c r="D1162" s="9"/>
      <c r="E1162" s="72"/>
      <c r="F1162" s="9"/>
      <c r="G1162" s="16"/>
      <c r="H1162" s="9"/>
      <c r="I1162" s="9"/>
      <c r="J1162" s="9"/>
      <c r="K1162" s="72"/>
      <c r="L1162" s="9"/>
      <c r="M1162" s="9"/>
      <c r="N1162" s="9"/>
      <c r="O1162" s="9"/>
      <c r="P1162" s="9"/>
      <c r="Q1162" s="9"/>
    </row>
    <row r="1163" spans="2:17" x14ac:dyDescent="0.2">
      <c r="B1163" s="7"/>
      <c r="C1163" s="72"/>
      <c r="D1163" s="9"/>
      <c r="E1163" s="72"/>
      <c r="F1163" s="9"/>
      <c r="G1163" s="16"/>
      <c r="H1163" s="9"/>
      <c r="I1163" s="9"/>
      <c r="J1163" s="9"/>
      <c r="K1163" s="72"/>
      <c r="L1163" s="9"/>
      <c r="M1163" s="9"/>
      <c r="N1163" s="9"/>
      <c r="O1163" s="9"/>
      <c r="P1163" s="9"/>
      <c r="Q1163" s="9"/>
    </row>
    <row r="1164" spans="2:17" x14ac:dyDescent="0.2">
      <c r="B1164" s="7"/>
      <c r="C1164" s="72"/>
      <c r="D1164" s="9"/>
      <c r="E1164" s="72"/>
      <c r="F1164" s="9"/>
      <c r="G1164" s="16"/>
      <c r="H1164" s="9"/>
      <c r="I1164" s="9"/>
      <c r="J1164" s="9"/>
      <c r="K1164" s="72"/>
      <c r="L1164" s="9"/>
      <c r="M1164" s="9"/>
      <c r="N1164" s="9"/>
      <c r="O1164" s="9"/>
      <c r="P1164" s="9"/>
      <c r="Q1164" s="9"/>
    </row>
    <row r="1165" spans="2:17" x14ac:dyDescent="0.2">
      <c r="B1165" s="7"/>
      <c r="C1165" s="72"/>
      <c r="D1165" s="9"/>
      <c r="E1165" s="72"/>
      <c r="F1165" s="9"/>
      <c r="G1165" s="16"/>
      <c r="H1165" s="9"/>
      <c r="I1165" s="9"/>
      <c r="J1165" s="9"/>
      <c r="K1165" s="72"/>
      <c r="L1165" s="9"/>
      <c r="M1165" s="9"/>
      <c r="N1165" s="9"/>
      <c r="O1165" s="9"/>
      <c r="P1165" s="9"/>
      <c r="Q1165" s="9"/>
    </row>
    <row r="1166" spans="2:17" x14ac:dyDescent="0.2">
      <c r="B1166" s="7"/>
      <c r="C1166" s="72"/>
      <c r="D1166" s="9"/>
      <c r="E1166" s="72"/>
      <c r="F1166" s="9"/>
      <c r="G1166" s="16"/>
      <c r="H1166" s="9"/>
      <c r="I1166" s="9"/>
      <c r="J1166" s="9"/>
      <c r="K1166" s="72"/>
      <c r="L1166" s="9"/>
      <c r="M1166" s="9"/>
      <c r="N1166" s="9"/>
      <c r="O1166" s="9"/>
      <c r="P1166" s="9"/>
      <c r="Q1166" s="9"/>
    </row>
    <row r="1167" spans="2:17" x14ac:dyDescent="0.2">
      <c r="B1167" s="7"/>
      <c r="C1167" s="72"/>
      <c r="D1167" s="9"/>
      <c r="E1167" s="72"/>
      <c r="F1167" s="9"/>
      <c r="G1167" s="16"/>
      <c r="H1167" s="9"/>
      <c r="I1167" s="9"/>
      <c r="J1167" s="9"/>
      <c r="K1167" s="72"/>
      <c r="L1167" s="9"/>
      <c r="M1167" s="9"/>
      <c r="N1167" s="9"/>
      <c r="O1167" s="9"/>
      <c r="P1167" s="9"/>
      <c r="Q1167" s="9"/>
    </row>
    <row r="1168" spans="2:17" x14ac:dyDescent="0.2">
      <c r="B1168" s="7"/>
      <c r="C1168" s="72"/>
      <c r="D1168" s="9"/>
      <c r="E1168" s="72"/>
      <c r="F1168" s="9"/>
      <c r="G1168" s="16"/>
      <c r="H1168" s="9"/>
      <c r="I1168" s="9"/>
      <c r="J1168" s="9"/>
      <c r="K1168" s="72"/>
      <c r="L1168" s="9"/>
      <c r="M1168" s="9"/>
      <c r="N1168" s="9"/>
      <c r="O1168" s="9"/>
      <c r="P1168" s="9"/>
      <c r="Q1168" s="9"/>
    </row>
    <row r="1169" spans="2:17" x14ac:dyDescent="0.2">
      <c r="B1169" s="7"/>
      <c r="C1169" s="72"/>
      <c r="D1169" s="9"/>
      <c r="E1169" s="72"/>
      <c r="F1169" s="9"/>
      <c r="G1169" s="16"/>
      <c r="H1169" s="9"/>
      <c r="I1169" s="9"/>
      <c r="J1169" s="9"/>
      <c r="K1169" s="72"/>
      <c r="L1169" s="9"/>
      <c r="M1169" s="9"/>
      <c r="N1169" s="9"/>
      <c r="O1169" s="9"/>
      <c r="P1169" s="9"/>
      <c r="Q1169" s="9"/>
    </row>
    <row r="1170" spans="2:17" x14ac:dyDescent="0.2">
      <c r="B1170" s="7"/>
      <c r="C1170" s="72"/>
      <c r="D1170" s="9"/>
      <c r="E1170" s="72"/>
      <c r="F1170" s="9"/>
      <c r="G1170" s="16"/>
      <c r="H1170" s="9"/>
      <c r="I1170" s="9"/>
      <c r="J1170" s="9"/>
      <c r="K1170" s="72"/>
      <c r="L1170" s="9"/>
      <c r="M1170" s="9"/>
      <c r="N1170" s="9"/>
      <c r="O1170" s="9"/>
      <c r="P1170" s="9"/>
      <c r="Q1170" s="9"/>
    </row>
    <row r="1171" spans="2:17" x14ac:dyDescent="0.2">
      <c r="B1171" s="7"/>
      <c r="C1171" s="72"/>
      <c r="D1171" s="9"/>
      <c r="E1171" s="72"/>
      <c r="F1171" s="9"/>
      <c r="G1171" s="16"/>
      <c r="H1171" s="9"/>
      <c r="I1171" s="9"/>
      <c r="J1171" s="9"/>
      <c r="K1171" s="72"/>
      <c r="L1171" s="9"/>
      <c r="M1171" s="9"/>
      <c r="N1171" s="9"/>
      <c r="O1171" s="9"/>
      <c r="P1171" s="9"/>
      <c r="Q1171" s="9"/>
    </row>
    <row r="1172" spans="2:17" x14ac:dyDescent="0.2">
      <c r="B1172" s="7"/>
      <c r="C1172" s="72"/>
      <c r="D1172" s="9"/>
      <c r="E1172" s="72"/>
      <c r="F1172" s="9"/>
      <c r="G1172" s="16"/>
      <c r="H1172" s="9"/>
      <c r="I1172" s="9"/>
      <c r="J1172" s="9"/>
      <c r="K1172" s="72"/>
      <c r="L1172" s="9"/>
      <c r="M1172" s="9"/>
      <c r="N1172" s="9"/>
      <c r="O1172" s="9"/>
      <c r="P1172" s="9"/>
      <c r="Q1172" s="9"/>
    </row>
    <row r="1173" spans="2:17" x14ac:dyDescent="0.2">
      <c r="B1173" s="7"/>
      <c r="C1173" s="72"/>
      <c r="D1173" s="9"/>
      <c r="E1173" s="72"/>
      <c r="F1173" s="9"/>
      <c r="G1173" s="16"/>
      <c r="H1173" s="9"/>
      <c r="I1173" s="9"/>
      <c r="J1173" s="9"/>
      <c r="K1173" s="72"/>
      <c r="L1173" s="9"/>
      <c r="M1173" s="9"/>
      <c r="N1173" s="9"/>
      <c r="O1173" s="9"/>
      <c r="P1173" s="9"/>
      <c r="Q1173" s="9"/>
    </row>
    <row r="1174" spans="2:17" x14ac:dyDescent="0.2">
      <c r="B1174" s="7"/>
      <c r="C1174" s="72"/>
      <c r="D1174" s="9"/>
      <c r="E1174" s="72"/>
      <c r="F1174" s="9"/>
      <c r="G1174" s="16"/>
      <c r="H1174" s="9"/>
      <c r="I1174" s="9"/>
      <c r="J1174" s="9"/>
      <c r="K1174" s="72"/>
      <c r="L1174" s="9"/>
      <c r="M1174" s="9"/>
      <c r="N1174" s="9"/>
      <c r="O1174" s="9"/>
      <c r="P1174" s="9"/>
      <c r="Q1174" s="9"/>
    </row>
    <row r="1175" spans="2:17" x14ac:dyDescent="0.2">
      <c r="B1175" s="7"/>
      <c r="C1175" s="72"/>
      <c r="D1175" s="9"/>
      <c r="E1175" s="72"/>
      <c r="F1175" s="9"/>
      <c r="G1175" s="16"/>
      <c r="H1175" s="9"/>
      <c r="I1175" s="9"/>
      <c r="J1175" s="9"/>
      <c r="K1175" s="72"/>
      <c r="L1175" s="9"/>
      <c r="M1175" s="9"/>
      <c r="N1175" s="9"/>
      <c r="O1175" s="9"/>
      <c r="P1175" s="9"/>
      <c r="Q1175" s="9"/>
    </row>
    <row r="1176" spans="2:17" x14ac:dyDescent="0.2">
      <c r="B1176" s="7"/>
      <c r="C1176" s="72"/>
      <c r="D1176" s="9"/>
      <c r="E1176" s="72"/>
      <c r="F1176" s="9"/>
      <c r="G1176" s="16"/>
      <c r="H1176" s="9"/>
      <c r="I1176" s="9"/>
      <c r="J1176" s="9"/>
      <c r="K1176" s="72"/>
      <c r="L1176" s="9"/>
      <c r="M1176" s="9"/>
      <c r="N1176" s="9"/>
      <c r="O1176" s="9"/>
      <c r="P1176" s="9"/>
      <c r="Q1176" s="9"/>
    </row>
    <row r="1177" spans="2:17" x14ac:dyDescent="0.2">
      <c r="B1177" s="7"/>
      <c r="C1177" s="72"/>
      <c r="D1177" s="9"/>
      <c r="E1177" s="72"/>
      <c r="F1177" s="9"/>
      <c r="G1177" s="16"/>
      <c r="H1177" s="9"/>
      <c r="I1177" s="9"/>
      <c r="J1177" s="9"/>
      <c r="K1177" s="72"/>
      <c r="L1177" s="9"/>
      <c r="M1177" s="9"/>
      <c r="N1177" s="9"/>
      <c r="O1177" s="9"/>
      <c r="P1177" s="9"/>
      <c r="Q1177" s="9"/>
    </row>
    <row r="1178" spans="2:17" x14ac:dyDescent="0.2">
      <c r="B1178" s="7"/>
      <c r="C1178" s="72"/>
      <c r="D1178" s="9"/>
      <c r="E1178" s="72"/>
      <c r="F1178" s="9"/>
      <c r="G1178" s="16"/>
      <c r="H1178" s="9"/>
      <c r="I1178" s="9"/>
      <c r="J1178" s="9"/>
      <c r="K1178" s="72"/>
      <c r="L1178" s="9"/>
      <c r="M1178" s="9"/>
      <c r="N1178" s="9"/>
      <c r="O1178" s="9"/>
      <c r="P1178" s="9"/>
      <c r="Q1178" s="9"/>
    </row>
    <row r="1179" spans="2:17" x14ac:dyDescent="0.2">
      <c r="B1179" s="7"/>
      <c r="C1179" s="72"/>
      <c r="D1179" s="9"/>
      <c r="E1179" s="72"/>
      <c r="F1179" s="9"/>
      <c r="G1179" s="16"/>
      <c r="H1179" s="9"/>
      <c r="I1179" s="9"/>
      <c r="J1179" s="9"/>
      <c r="K1179" s="72"/>
      <c r="L1179" s="9"/>
      <c r="M1179" s="9"/>
      <c r="N1179" s="9"/>
      <c r="O1179" s="9"/>
      <c r="P1179" s="9"/>
      <c r="Q1179" s="9"/>
    </row>
    <row r="1180" spans="2:17" x14ac:dyDescent="0.2">
      <c r="B1180" s="7"/>
      <c r="C1180" s="72"/>
      <c r="D1180" s="9"/>
      <c r="E1180" s="72"/>
      <c r="F1180" s="9"/>
      <c r="G1180" s="16"/>
      <c r="H1180" s="9"/>
      <c r="I1180" s="9"/>
      <c r="J1180" s="9"/>
      <c r="K1180" s="72"/>
      <c r="L1180" s="9"/>
      <c r="M1180" s="9"/>
      <c r="N1180" s="9"/>
      <c r="O1180" s="9"/>
      <c r="P1180" s="9"/>
      <c r="Q1180" s="9"/>
    </row>
    <row r="1181" spans="2:17" x14ac:dyDescent="0.2">
      <c r="B1181" s="7"/>
      <c r="C1181" s="72"/>
      <c r="D1181" s="9"/>
      <c r="E1181" s="72"/>
      <c r="F1181" s="9"/>
      <c r="G1181" s="16"/>
      <c r="H1181" s="9"/>
      <c r="I1181" s="9"/>
      <c r="J1181" s="9"/>
      <c r="K1181" s="72"/>
      <c r="L1181" s="9"/>
      <c r="M1181" s="9"/>
      <c r="N1181" s="9"/>
      <c r="O1181" s="9"/>
      <c r="P1181" s="9"/>
      <c r="Q1181" s="9"/>
    </row>
    <row r="1182" spans="2:17" x14ac:dyDescent="0.2">
      <c r="B1182" s="7"/>
      <c r="C1182" s="72"/>
      <c r="D1182" s="9"/>
      <c r="E1182" s="72"/>
      <c r="F1182" s="9"/>
      <c r="G1182" s="16"/>
      <c r="H1182" s="9"/>
      <c r="I1182" s="9"/>
      <c r="J1182" s="9"/>
      <c r="K1182" s="72"/>
      <c r="L1182" s="9"/>
      <c r="M1182" s="9"/>
      <c r="N1182" s="9"/>
      <c r="O1182" s="9"/>
      <c r="P1182" s="9"/>
      <c r="Q1182" s="9"/>
    </row>
    <row r="1183" spans="2:17" x14ac:dyDescent="0.2">
      <c r="B1183" s="7"/>
      <c r="C1183" s="72"/>
      <c r="D1183" s="9"/>
      <c r="E1183" s="72"/>
      <c r="F1183" s="9"/>
      <c r="G1183" s="16"/>
      <c r="H1183" s="9"/>
      <c r="I1183" s="9"/>
      <c r="J1183" s="9"/>
      <c r="K1183" s="72"/>
      <c r="L1183" s="9"/>
      <c r="M1183" s="9"/>
      <c r="N1183" s="9"/>
      <c r="O1183" s="9"/>
      <c r="P1183" s="9"/>
      <c r="Q1183" s="9"/>
    </row>
    <row r="1184" spans="2:17" x14ac:dyDescent="0.2">
      <c r="B1184" s="7"/>
      <c r="C1184" s="72"/>
      <c r="D1184" s="9"/>
      <c r="E1184" s="72"/>
      <c r="F1184" s="9"/>
      <c r="G1184" s="16"/>
      <c r="H1184" s="9"/>
      <c r="I1184" s="9"/>
      <c r="J1184" s="9"/>
      <c r="K1184" s="72"/>
      <c r="L1184" s="9"/>
      <c r="M1184" s="9"/>
      <c r="N1184" s="9"/>
      <c r="O1184" s="9"/>
      <c r="P1184" s="9"/>
      <c r="Q1184" s="9"/>
    </row>
    <row r="1185" spans="2:17" x14ac:dyDescent="0.2">
      <c r="B1185" s="7"/>
      <c r="C1185" s="72"/>
      <c r="D1185" s="9"/>
      <c r="E1185" s="72"/>
      <c r="F1185" s="9"/>
      <c r="G1185" s="16"/>
      <c r="H1185" s="9"/>
      <c r="I1185" s="9"/>
      <c r="J1185" s="9"/>
      <c r="K1185" s="72"/>
      <c r="L1185" s="9"/>
      <c r="M1185" s="9"/>
      <c r="N1185" s="9"/>
      <c r="O1185" s="9"/>
      <c r="P1185" s="9"/>
      <c r="Q1185" s="9"/>
    </row>
    <row r="1186" spans="2:17" x14ac:dyDescent="0.2">
      <c r="B1186" s="7"/>
      <c r="C1186" s="72"/>
      <c r="D1186" s="9"/>
      <c r="E1186" s="72"/>
      <c r="F1186" s="9"/>
      <c r="G1186" s="16"/>
      <c r="H1186" s="9"/>
      <c r="I1186" s="9"/>
      <c r="J1186" s="9"/>
      <c r="K1186" s="72"/>
      <c r="L1186" s="9"/>
      <c r="M1186" s="9"/>
      <c r="N1186" s="9"/>
      <c r="O1186" s="9"/>
      <c r="P1186" s="9"/>
      <c r="Q1186" s="9"/>
    </row>
    <row r="1187" spans="2:17" x14ac:dyDescent="0.2">
      <c r="B1187" s="7"/>
      <c r="C1187" s="72"/>
      <c r="D1187" s="9"/>
      <c r="E1187" s="72"/>
      <c r="F1187" s="9"/>
      <c r="G1187" s="16"/>
      <c r="H1187" s="9"/>
      <c r="I1187" s="9"/>
      <c r="J1187" s="9"/>
      <c r="K1187" s="72"/>
      <c r="L1187" s="9"/>
      <c r="M1187" s="9"/>
      <c r="N1187" s="9"/>
      <c r="O1187" s="9"/>
      <c r="P1187" s="9"/>
      <c r="Q1187" s="9"/>
    </row>
    <row r="1188" spans="2:17" x14ac:dyDescent="0.2">
      <c r="B1188" s="7"/>
      <c r="C1188" s="72"/>
      <c r="D1188" s="9"/>
      <c r="E1188" s="72"/>
      <c r="F1188" s="9"/>
      <c r="G1188" s="16"/>
      <c r="H1188" s="9"/>
      <c r="I1188" s="9"/>
      <c r="J1188" s="9"/>
      <c r="K1188" s="72"/>
      <c r="L1188" s="9"/>
      <c r="M1188" s="9"/>
      <c r="N1188" s="9"/>
      <c r="O1188" s="9"/>
      <c r="P1188" s="9"/>
      <c r="Q1188" s="9"/>
    </row>
    <row r="1189" spans="2:17" x14ac:dyDescent="0.2">
      <c r="B1189" s="7"/>
      <c r="C1189" s="72"/>
      <c r="D1189" s="9"/>
      <c r="E1189" s="72"/>
      <c r="F1189" s="9"/>
      <c r="G1189" s="16"/>
      <c r="H1189" s="9"/>
      <c r="I1189" s="9"/>
      <c r="J1189" s="9"/>
      <c r="K1189" s="72"/>
      <c r="L1189" s="9"/>
      <c r="M1189" s="9"/>
      <c r="N1189" s="9"/>
      <c r="O1189" s="9"/>
      <c r="P1189" s="9"/>
      <c r="Q1189" s="9"/>
    </row>
    <row r="1190" spans="2:17" x14ac:dyDescent="0.2">
      <c r="B1190" s="7"/>
      <c r="C1190" s="72"/>
      <c r="D1190" s="9"/>
      <c r="E1190" s="72"/>
      <c r="F1190" s="9"/>
      <c r="G1190" s="16"/>
      <c r="H1190" s="9"/>
      <c r="I1190" s="9"/>
      <c r="J1190" s="9"/>
      <c r="K1190" s="72"/>
      <c r="L1190" s="9"/>
      <c r="M1190" s="9"/>
      <c r="N1190" s="9"/>
      <c r="O1190" s="9"/>
      <c r="P1190" s="9"/>
      <c r="Q1190" s="9"/>
    </row>
    <row r="1191" spans="2:17" x14ac:dyDescent="0.2">
      <c r="B1191" s="7"/>
      <c r="C1191" s="72"/>
      <c r="D1191" s="9"/>
      <c r="E1191" s="72"/>
      <c r="F1191" s="9"/>
      <c r="G1191" s="16"/>
      <c r="H1191" s="9"/>
      <c r="I1191" s="9"/>
      <c r="J1191" s="9"/>
      <c r="K1191" s="72"/>
      <c r="L1191" s="9"/>
      <c r="M1191" s="9"/>
      <c r="N1191" s="9"/>
      <c r="O1191" s="9"/>
      <c r="P1191" s="9"/>
      <c r="Q1191" s="9"/>
    </row>
    <row r="1192" spans="2:17" x14ac:dyDescent="0.2">
      <c r="B1192" s="7"/>
      <c r="C1192" s="72"/>
      <c r="D1192" s="9"/>
      <c r="E1192" s="72"/>
      <c r="F1192" s="9"/>
      <c r="G1192" s="16"/>
      <c r="H1192" s="9"/>
      <c r="I1192" s="9"/>
      <c r="J1192" s="9"/>
      <c r="K1192" s="72"/>
      <c r="L1192" s="9"/>
      <c r="M1192" s="9"/>
      <c r="N1192" s="9"/>
      <c r="O1192" s="9"/>
      <c r="P1192" s="9"/>
      <c r="Q1192" s="9"/>
    </row>
    <row r="1193" spans="2:17" x14ac:dyDescent="0.2">
      <c r="B1193" s="7"/>
      <c r="C1193" s="72"/>
      <c r="D1193" s="9"/>
      <c r="E1193" s="72"/>
      <c r="F1193" s="9"/>
      <c r="G1193" s="16"/>
      <c r="H1193" s="9"/>
      <c r="I1193" s="9"/>
      <c r="J1193" s="9"/>
      <c r="K1193" s="72"/>
      <c r="L1193" s="9"/>
      <c r="M1193" s="9"/>
      <c r="N1193" s="9"/>
      <c r="O1193" s="9"/>
      <c r="P1193" s="9"/>
      <c r="Q1193" s="9"/>
    </row>
    <row r="1194" spans="2:17" x14ac:dyDescent="0.2">
      <c r="B1194" s="7"/>
      <c r="C1194" s="72"/>
      <c r="D1194" s="9"/>
      <c r="E1194" s="72"/>
      <c r="F1194" s="9"/>
      <c r="G1194" s="16"/>
      <c r="H1194" s="9"/>
      <c r="I1194" s="9"/>
      <c r="J1194" s="9"/>
      <c r="K1194" s="72"/>
      <c r="L1194" s="9"/>
      <c r="M1194" s="9"/>
      <c r="N1194" s="9"/>
      <c r="O1194" s="9"/>
      <c r="P1194" s="9"/>
      <c r="Q1194" s="9"/>
    </row>
    <row r="1195" spans="2:17" x14ac:dyDescent="0.2">
      <c r="B1195" s="7"/>
      <c r="C1195" s="72"/>
      <c r="D1195" s="9"/>
      <c r="E1195" s="72"/>
      <c r="F1195" s="9"/>
      <c r="G1195" s="16"/>
      <c r="H1195" s="9"/>
      <c r="I1195" s="9"/>
      <c r="J1195" s="9"/>
      <c r="K1195" s="72"/>
      <c r="L1195" s="9"/>
      <c r="M1195" s="9"/>
      <c r="N1195" s="9"/>
      <c r="O1195" s="9"/>
      <c r="P1195" s="9"/>
      <c r="Q1195" s="9"/>
    </row>
    <row r="1196" spans="2:17" x14ac:dyDescent="0.2">
      <c r="B1196" s="7"/>
      <c r="C1196" s="72"/>
      <c r="D1196" s="9"/>
      <c r="E1196" s="72"/>
      <c r="F1196" s="9"/>
      <c r="G1196" s="16"/>
      <c r="H1196" s="9"/>
      <c r="I1196" s="9"/>
      <c r="J1196" s="9"/>
      <c r="K1196" s="72"/>
      <c r="L1196" s="9"/>
      <c r="M1196" s="9"/>
      <c r="N1196" s="9"/>
      <c r="O1196" s="9"/>
      <c r="P1196" s="9"/>
      <c r="Q1196" s="9"/>
    </row>
    <row r="1197" spans="2:17" x14ac:dyDescent="0.2">
      <c r="B1197" s="7"/>
      <c r="C1197" s="72"/>
      <c r="D1197" s="9"/>
      <c r="E1197" s="72"/>
      <c r="F1197" s="9"/>
      <c r="G1197" s="16"/>
      <c r="H1197" s="9"/>
      <c r="I1197" s="9"/>
      <c r="J1197" s="9"/>
      <c r="K1197" s="72"/>
      <c r="L1197" s="9"/>
      <c r="M1197" s="9"/>
      <c r="N1197" s="9"/>
      <c r="O1197" s="9"/>
      <c r="P1197" s="9"/>
      <c r="Q1197" s="9"/>
    </row>
    <row r="1198" spans="2:17" x14ac:dyDescent="0.2">
      <c r="B1198" s="7"/>
      <c r="C1198" s="72"/>
      <c r="D1198" s="9"/>
      <c r="E1198" s="72"/>
      <c r="F1198" s="9"/>
      <c r="G1198" s="16"/>
      <c r="H1198" s="9"/>
      <c r="I1198" s="9"/>
      <c r="J1198" s="9"/>
      <c r="K1198" s="72"/>
      <c r="L1198" s="9"/>
      <c r="M1198" s="9"/>
      <c r="N1198" s="9"/>
      <c r="O1198" s="9"/>
      <c r="P1198" s="9"/>
      <c r="Q1198" s="9"/>
    </row>
    <row r="1199" spans="2:17" x14ac:dyDescent="0.2">
      <c r="B1199" s="7"/>
      <c r="C1199" s="72"/>
      <c r="D1199" s="9"/>
      <c r="E1199" s="72"/>
      <c r="F1199" s="9"/>
      <c r="G1199" s="16"/>
      <c r="H1199" s="9"/>
      <c r="I1199" s="9"/>
      <c r="J1199" s="9"/>
      <c r="K1199" s="72"/>
      <c r="L1199" s="9"/>
      <c r="M1199" s="9"/>
      <c r="N1199" s="9"/>
      <c r="O1199" s="9"/>
      <c r="P1199" s="9"/>
      <c r="Q1199" s="9"/>
    </row>
    <row r="1200" spans="2:17" x14ac:dyDescent="0.2">
      <c r="B1200" s="7"/>
      <c r="C1200" s="72"/>
      <c r="D1200" s="9"/>
      <c r="E1200" s="72"/>
      <c r="F1200" s="9"/>
      <c r="G1200" s="16"/>
      <c r="H1200" s="9"/>
      <c r="I1200" s="9"/>
      <c r="J1200" s="9"/>
      <c r="K1200" s="72"/>
      <c r="L1200" s="9"/>
      <c r="M1200" s="9"/>
      <c r="N1200" s="9"/>
      <c r="O1200" s="9"/>
      <c r="P1200" s="9"/>
      <c r="Q1200" s="9"/>
    </row>
    <row r="1201" spans="2:17" x14ac:dyDescent="0.2">
      <c r="B1201" s="7"/>
      <c r="C1201" s="72"/>
      <c r="D1201" s="9"/>
      <c r="E1201" s="72"/>
      <c r="F1201" s="9"/>
      <c r="G1201" s="16"/>
      <c r="H1201" s="9"/>
      <c r="I1201" s="9"/>
      <c r="J1201" s="9"/>
      <c r="K1201" s="72"/>
      <c r="L1201" s="9"/>
      <c r="M1201" s="9"/>
      <c r="N1201" s="9"/>
      <c r="O1201" s="9"/>
      <c r="P1201" s="9"/>
      <c r="Q1201" s="9"/>
    </row>
    <row r="1202" spans="2:17" x14ac:dyDescent="0.2">
      <c r="B1202" s="7"/>
      <c r="C1202" s="72"/>
      <c r="D1202" s="9"/>
      <c r="E1202" s="72"/>
      <c r="F1202" s="9"/>
      <c r="G1202" s="16"/>
      <c r="H1202" s="9"/>
      <c r="I1202" s="9"/>
      <c r="J1202" s="9"/>
      <c r="K1202" s="72"/>
      <c r="L1202" s="9"/>
      <c r="M1202" s="9"/>
      <c r="N1202" s="9"/>
      <c r="O1202" s="9"/>
      <c r="P1202" s="9"/>
      <c r="Q1202" s="9"/>
    </row>
    <row r="1203" spans="2:17" x14ac:dyDescent="0.2">
      <c r="B1203" s="7"/>
      <c r="C1203" s="72"/>
      <c r="D1203" s="9"/>
      <c r="E1203" s="72"/>
      <c r="F1203" s="9"/>
      <c r="G1203" s="16"/>
      <c r="H1203" s="9"/>
      <c r="I1203" s="9"/>
      <c r="J1203" s="9"/>
      <c r="K1203" s="72"/>
      <c r="L1203" s="9"/>
      <c r="M1203" s="9"/>
      <c r="N1203" s="9"/>
      <c r="O1203" s="9"/>
      <c r="P1203" s="9"/>
      <c r="Q1203" s="9"/>
    </row>
    <row r="1204" spans="2:17" x14ac:dyDescent="0.2">
      <c r="B1204" s="7"/>
      <c r="C1204" s="72"/>
      <c r="D1204" s="9"/>
      <c r="E1204" s="72"/>
      <c r="F1204" s="9"/>
      <c r="G1204" s="16"/>
      <c r="H1204" s="9"/>
      <c r="I1204" s="9"/>
      <c r="J1204" s="9"/>
      <c r="K1204" s="72"/>
      <c r="L1204" s="9"/>
      <c r="M1204" s="9"/>
      <c r="N1204" s="9"/>
      <c r="O1204" s="9"/>
      <c r="P1204" s="9"/>
      <c r="Q1204" s="9"/>
    </row>
    <row r="1205" spans="2:17" x14ac:dyDescent="0.2">
      <c r="B1205" s="7"/>
      <c r="C1205" s="72"/>
      <c r="D1205" s="9"/>
      <c r="E1205" s="72"/>
      <c r="F1205" s="9"/>
      <c r="G1205" s="16"/>
      <c r="H1205" s="9"/>
      <c r="I1205" s="9"/>
      <c r="J1205" s="9"/>
      <c r="K1205" s="72"/>
      <c r="L1205" s="9"/>
      <c r="M1205" s="9"/>
      <c r="N1205" s="9"/>
      <c r="O1205" s="9"/>
      <c r="P1205" s="9"/>
      <c r="Q1205" s="9"/>
    </row>
    <row r="1206" spans="2:17" x14ac:dyDescent="0.2">
      <c r="B1206" s="7"/>
      <c r="C1206" s="72"/>
      <c r="D1206" s="9"/>
      <c r="E1206" s="72"/>
      <c r="F1206" s="9"/>
      <c r="G1206" s="16"/>
      <c r="H1206" s="9"/>
      <c r="I1206" s="9"/>
      <c r="J1206" s="9"/>
      <c r="K1206" s="72"/>
      <c r="L1206" s="9"/>
      <c r="M1206" s="9"/>
      <c r="N1206" s="9"/>
      <c r="O1206" s="9"/>
      <c r="P1206" s="9"/>
      <c r="Q1206" s="9"/>
    </row>
    <row r="1207" spans="2:17" x14ac:dyDescent="0.2">
      <c r="B1207" s="7"/>
      <c r="C1207" s="72"/>
      <c r="D1207" s="9"/>
      <c r="E1207" s="72"/>
      <c r="F1207" s="9"/>
      <c r="G1207" s="16"/>
      <c r="H1207" s="9"/>
      <c r="I1207" s="9"/>
      <c r="J1207" s="9"/>
      <c r="K1207" s="72"/>
      <c r="L1207" s="9"/>
      <c r="M1207" s="9"/>
      <c r="N1207" s="9"/>
      <c r="O1207" s="9"/>
      <c r="P1207" s="9"/>
      <c r="Q1207" s="9"/>
    </row>
    <row r="1208" spans="2:17" x14ac:dyDescent="0.2">
      <c r="B1208" s="7"/>
      <c r="C1208" s="72"/>
      <c r="D1208" s="9"/>
      <c r="E1208" s="72"/>
      <c r="F1208" s="9"/>
      <c r="G1208" s="16"/>
      <c r="H1208" s="9"/>
      <c r="I1208" s="9"/>
      <c r="J1208" s="9"/>
      <c r="K1208" s="72"/>
      <c r="L1208" s="9"/>
      <c r="M1208" s="9"/>
      <c r="N1208" s="9"/>
      <c r="O1208" s="9"/>
      <c r="P1208" s="9"/>
      <c r="Q1208" s="9"/>
    </row>
    <row r="1209" spans="2:17" x14ac:dyDescent="0.2">
      <c r="B1209" s="7"/>
      <c r="C1209" s="72"/>
      <c r="D1209" s="9"/>
      <c r="E1209" s="72"/>
      <c r="F1209" s="9"/>
      <c r="G1209" s="16"/>
      <c r="H1209" s="9"/>
      <c r="I1209" s="9"/>
      <c r="J1209" s="9"/>
      <c r="K1209" s="72"/>
      <c r="L1209" s="9"/>
      <c r="M1209" s="9"/>
      <c r="N1209" s="9"/>
      <c r="O1209" s="9"/>
      <c r="P1209" s="9"/>
      <c r="Q1209" s="9"/>
    </row>
    <row r="1210" spans="2:17" x14ac:dyDescent="0.2">
      <c r="B1210" s="7"/>
      <c r="C1210" s="72"/>
      <c r="D1210" s="9"/>
      <c r="E1210" s="72"/>
      <c r="F1210" s="9"/>
      <c r="G1210" s="16"/>
      <c r="H1210" s="9"/>
      <c r="I1210" s="9"/>
      <c r="J1210" s="9"/>
      <c r="K1210" s="72"/>
      <c r="L1210" s="9"/>
      <c r="M1210" s="9"/>
      <c r="N1210" s="9"/>
      <c r="O1210" s="9"/>
      <c r="P1210" s="9"/>
      <c r="Q1210" s="9"/>
    </row>
    <row r="1211" spans="2:17" x14ac:dyDescent="0.2">
      <c r="B1211" s="7"/>
      <c r="C1211" s="72"/>
      <c r="D1211" s="9"/>
      <c r="E1211" s="72"/>
      <c r="F1211" s="9"/>
      <c r="G1211" s="16"/>
      <c r="H1211" s="9"/>
      <c r="I1211" s="9"/>
      <c r="J1211" s="9"/>
      <c r="K1211" s="72"/>
      <c r="L1211" s="9"/>
      <c r="M1211" s="9"/>
      <c r="N1211" s="9"/>
      <c r="O1211" s="9"/>
      <c r="P1211" s="9"/>
      <c r="Q1211" s="9"/>
    </row>
    <row r="1212" spans="2:17" x14ac:dyDescent="0.2">
      <c r="B1212" s="7"/>
      <c r="C1212" s="72"/>
      <c r="D1212" s="9"/>
      <c r="E1212" s="72"/>
      <c r="F1212" s="9"/>
      <c r="G1212" s="16"/>
      <c r="H1212" s="9"/>
      <c r="I1212" s="9"/>
      <c r="J1212" s="9"/>
      <c r="K1212" s="72"/>
      <c r="L1212" s="9"/>
      <c r="M1212" s="9"/>
      <c r="N1212" s="9"/>
      <c r="O1212" s="9"/>
      <c r="P1212" s="9"/>
      <c r="Q1212" s="9"/>
    </row>
    <row r="1213" spans="2:17" x14ac:dyDescent="0.2">
      <c r="B1213" s="7"/>
      <c r="C1213" s="72"/>
      <c r="D1213" s="9"/>
      <c r="E1213" s="72"/>
      <c r="F1213" s="9"/>
      <c r="G1213" s="16"/>
      <c r="H1213" s="9"/>
      <c r="I1213" s="9"/>
      <c r="J1213" s="9"/>
      <c r="K1213" s="72"/>
      <c r="L1213" s="9"/>
      <c r="M1213" s="9"/>
      <c r="N1213" s="9"/>
      <c r="O1213" s="9"/>
      <c r="P1213" s="9"/>
      <c r="Q1213" s="9"/>
    </row>
    <row r="1214" spans="2:17" x14ac:dyDescent="0.2">
      <c r="B1214" s="7"/>
      <c r="C1214" s="72"/>
      <c r="D1214" s="9"/>
      <c r="E1214" s="72"/>
      <c r="F1214" s="9"/>
      <c r="G1214" s="16"/>
      <c r="H1214" s="9"/>
      <c r="I1214" s="9"/>
      <c r="J1214" s="9"/>
      <c r="K1214" s="72"/>
      <c r="L1214" s="9"/>
      <c r="M1214" s="9"/>
      <c r="N1214" s="9"/>
      <c r="O1214" s="9"/>
      <c r="P1214" s="9"/>
      <c r="Q1214" s="9"/>
    </row>
    <row r="1215" spans="2:17" x14ac:dyDescent="0.2">
      <c r="B1215" s="7"/>
      <c r="C1215" s="72"/>
      <c r="D1215" s="9"/>
      <c r="E1215" s="72"/>
      <c r="F1215" s="9"/>
      <c r="G1215" s="16"/>
      <c r="H1215" s="9"/>
      <c r="I1215" s="9"/>
      <c r="J1215" s="9"/>
      <c r="K1215" s="72"/>
      <c r="L1215" s="9"/>
      <c r="M1215" s="9"/>
      <c r="N1215" s="9"/>
      <c r="O1215" s="9"/>
      <c r="P1215" s="9"/>
      <c r="Q1215" s="9"/>
    </row>
    <row r="1216" spans="2:17" x14ac:dyDescent="0.2">
      <c r="B1216" s="7"/>
      <c r="C1216" s="72"/>
      <c r="D1216" s="9"/>
      <c r="E1216" s="72"/>
      <c r="F1216" s="9"/>
      <c r="G1216" s="16"/>
      <c r="H1216" s="9"/>
      <c r="I1216" s="9"/>
      <c r="J1216" s="9"/>
      <c r="K1216" s="72"/>
      <c r="L1216" s="9"/>
      <c r="M1216" s="9"/>
      <c r="N1216" s="9"/>
      <c r="O1216" s="9"/>
      <c r="P1216" s="9"/>
      <c r="Q1216" s="9"/>
    </row>
    <row r="1217" spans="2:17" x14ac:dyDescent="0.2">
      <c r="B1217" s="7"/>
      <c r="C1217" s="72"/>
      <c r="D1217" s="9"/>
      <c r="E1217" s="72"/>
      <c r="F1217" s="9"/>
      <c r="G1217" s="16"/>
      <c r="H1217" s="9"/>
      <c r="I1217" s="9"/>
      <c r="J1217" s="9"/>
      <c r="K1217" s="72"/>
      <c r="L1217" s="9"/>
      <c r="M1217" s="9"/>
      <c r="N1217" s="9"/>
      <c r="O1217" s="9"/>
      <c r="P1217" s="9"/>
      <c r="Q1217" s="9"/>
    </row>
  </sheetData>
  <mergeCells count="1">
    <mergeCell ref="C5:E5"/>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7">
    <tabColor theme="0" tint="-0.499984740745262"/>
  </sheetPr>
  <dimension ref="A1:K265"/>
  <sheetViews>
    <sheetView workbookViewId="0">
      <pane ySplit="6" topLeftCell="A7" activePane="bottomLeft" state="frozen"/>
      <selection pane="bottomLeft" activeCell="D20" sqref="D20"/>
    </sheetView>
  </sheetViews>
  <sheetFormatPr baseColWidth="10" defaultColWidth="8.6640625" defaultRowHeight="15" outlineLevelRow="1" x14ac:dyDescent="0.2"/>
  <cols>
    <col min="1" max="1" width="31.6640625" style="31" customWidth="1"/>
    <col min="2" max="2" width="37.5" style="31" customWidth="1"/>
    <col min="3" max="3" width="32.33203125" style="31" customWidth="1"/>
    <col min="4" max="4" width="37.1640625" style="31" customWidth="1"/>
    <col min="5" max="5" width="12.5" style="31" customWidth="1"/>
    <col min="6" max="6" width="14.6640625" style="31" customWidth="1"/>
    <col min="7" max="7" width="25.6640625" style="31" customWidth="1"/>
    <col min="8" max="8" width="54.6640625" style="31" customWidth="1"/>
    <col min="9" max="9" width="38.83203125" style="31" customWidth="1"/>
    <col min="10" max="10" width="38.1640625" style="31" customWidth="1"/>
    <col min="11" max="11" width="61.6640625" style="31" customWidth="1"/>
    <col min="12" max="16384" width="8.6640625" style="31"/>
  </cols>
  <sheetData>
    <row r="1" spans="1:11" s="2" customFormat="1" outlineLevel="1" x14ac:dyDescent="0.2">
      <c r="C1" s="10"/>
      <c r="D1" s="10"/>
      <c r="E1" s="10"/>
    </row>
    <row r="2" spans="1:11" s="2" customFormat="1" ht="9.75" customHeight="1" outlineLevel="1" x14ac:dyDescent="0.2">
      <c r="B2" s="5"/>
      <c r="C2" s="8"/>
      <c r="D2" s="8"/>
      <c r="E2" s="8"/>
      <c r="F2" s="12"/>
      <c r="G2" s="5"/>
      <c r="H2" s="5"/>
    </row>
    <row r="3" spans="1:11" s="2" customFormat="1" ht="26" outlineLevel="1" x14ac:dyDescent="0.3">
      <c r="B3" s="8"/>
      <c r="C3" s="241" t="s">
        <v>1455</v>
      </c>
      <c r="D3" s="241"/>
      <c r="E3" s="241"/>
      <c r="F3" s="241"/>
      <c r="G3" s="241"/>
      <c r="H3" s="5"/>
    </row>
    <row r="4" spans="1:11" s="2" customFormat="1" ht="9" customHeight="1" outlineLevel="1" x14ac:dyDescent="0.2">
      <c r="B4" s="5"/>
      <c r="C4" s="8"/>
      <c r="D4" s="8"/>
      <c r="E4" s="8"/>
      <c r="F4" s="33"/>
      <c r="G4" s="5"/>
      <c r="H4" s="5"/>
    </row>
    <row r="5" spans="1:11" s="2" customFormat="1" outlineLevel="1" x14ac:dyDescent="0.2">
      <c r="B5" s="10"/>
      <c r="C5" s="10"/>
      <c r="D5" s="10"/>
      <c r="E5" s="10"/>
      <c r="F5" s="10"/>
      <c r="G5" s="10"/>
      <c r="H5" s="10"/>
    </row>
    <row r="6" spans="1:11" x14ac:dyDescent="0.2">
      <c r="A6" s="30" t="s">
        <v>1456</v>
      </c>
      <c r="B6" s="30" t="s">
        <v>1457</v>
      </c>
      <c r="C6" s="30" t="s">
        <v>1458</v>
      </c>
      <c r="D6" s="30" t="s">
        <v>1459</v>
      </c>
      <c r="E6" s="30" t="s">
        <v>1460</v>
      </c>
      <c r="F6" s="30" t="s">
        <v>1461</v>
      </c>
      <c r="G6" s="30" t="s">
        <v>1462</v>
      </c>
      <c r="H6" s="30" t="s">
        <v>1463</v>
      </c>
      <c r="I6" s="30" t="s">
        <v>1464</v>
      </c>
      <c r="J6" s="30" t="s">
        <v>1465</v>
      </c>
      <c r="K6" s="30" t="s">
        <v>1466</v>
      </c>
    </row>
    <row r="7" spans="1:11" ht="15" customHeight="1" x14ac:dyDescent="0.2">
      <c r="A7" s="32" t="s">
        <v>1467</v>
      </c>
      <c r="B7" s="32" t="s">
        <v>1468</v>
      </c>
      <c r="C7" s="32" t="s">
        <v>1469</v>
      </c>
      <c r="D7" s="32" t="s">
        <v>1469</v>
      </c>
      <c r="E7" s="32" t="s">
        <v>1470</v>
      </c>
      <c r="F7" s="32" t="s">
        <v>865</v>
      </c>
      <c r="G7" s="32" t="s">
        <v>865</v>
      </c>
      <c r="H7" s="32" t="s">
        <v>865</v>
      </c>
      <c r="I7" s="32" t="s">
        <v>865</v>
      </c>
      <c r="J7" s="32" t="s">
        <v>865</v>
      </c>
      <c r="K7" s="32" t="s">
        <v>865</v>
      </c>
    </row>
    <row r="8" spans="1:11" ht="15" customHeight="1" x14ac:dyDescent="0.2">
      <c r="A8" s="32" t="s">
        <v>1471</v>
      </c>
      <c r="B8" s="32" t="s">
        <v>1472</v>
      </c>
      <c r="C8" s="32" t="s">
        <v>1473</v>
      </c>
      <c r="D8" s="32" t="s">
        <v>1473</v>
      </c>
      <c r="E8" s="32" t="s">
        <v>1470</v>
      </c>
      <c r="F8" s="32" t="s">
        <v>865</v>
      </c>
      <c r="G8" s="32" t="s">
        <v>865</v>
      </c>
      <c r="H8" s="32" t="s">
        <v>865</v>
      </c>
      <c r="I8" s="32" t="s">
        <v>865</v>
      </c>
      <c r="J8" s="32" t="s">
        <v>865</v>
      </c>
      <c r="K8" s="32" t="s">
        <v>865</v>
      </c>
    </row>
    <row r="9" spans="1:11" ht="15" customHeight="1" x14ac:dyDescent="0.2">
      <c r="A9" s="32" t="s">
        <v>1474</v>
      </c>
      <c r="B9" s="32" t="s">
        <v>1475</v>
      </c>
      <c r="C9" s="32" t="s">
        <v>1473</v>
      </c>
      <c r="D9" s="32" t="s">
        <v>1473</v>
      </c>
      <c r="E9" s="32" t="s">
        <v>1470</v>
      </c>
      <c r="F9" s="32" t="s">
        <v>865</v>
      </c>
      <c r="G9" s="32" t="s">
        <v>865</v>
      </c>
      <c r="H9" s="32" t="s">
        <v>865</v>
      </c>
      <c r="I9" s="32" t="s">
        <v>865</v>
      </c>
      <c r="J9" s="32" t="s">
        <v>865</v>
      </c>
      <c r="K9" s="32" t="s">
        <v>865</v>
      </c>
    </row>
    <row r="10" spans="1:11" ht="15" customHeight="1" x14ac:dyDescent="0.2">
      <c r="A10" s="32" t="s">
        <v>1476</v>
      </c>
      <c r="B10" s="32" t="s">
        <v>1476</v>
      </c>
      <c r="C10" s="32" t="s">
        <v>1477</v>
      </c>
      <c r="D10" s="32" t="s">
        <v>1478</v>
      </c>
      <c r="E10" s="32" t="s">
        <v>1479</v>
      </c>
      <c r="F10" s="32" t="s">
        <v>865</v>
      </c>
      <c r="G10" s="32" t="s">
        <v>865</v>
      </c>
      <c r="H10" s="32" t="s">
        <v>865</v>
      </c>
      <c r="I10" s="32" t="s">
        <v>865</v>
      </c>
      <c r="J10" s="32" t="s">
        <v>865</v>
      </c>
      <c r="K10" s="32" t="s">
        <v>865</v>
      </c>
    </row>
    <row r="11" spans="1:11" ht="15" customHeight="1" x14ac:dyDescent="0.2">
      <c r="A11" s="32" t="s">
        <v>1480</v>
      </c>
      <c r="B11" s="32" t="s">
        <v>1480</v>
      </c>
      <c r="C11" s="32" t="s">
        <v>1477</v>
      </c>
      <c r="D11" s="32" t="s">
        <v>1478</v>
      </c>
      <c r="E11" s="32" t="s">
        <v>1479</v>
      </c>
      <c r="F11" s="32" t="s">
        <v>865</v>
      </c>
      <c r="G11" s="32" t="s">
        <v>865</v>
      </c>
      <c r="H11" s="32" t="s">
        <v>865</v>
      </c>
      <c r="I11" s="32" t="s">
        <v>865</v>
      </c>
      <c r="J11" s="32" t="s">
        <v>865</v>
      </c>
      <c r="K11" s="32" t="s">
        <v>865</v>
      </c>
    </row>
    <row r="12" spans="1:11" ht="15" customHeight="1" x14ac:dyDescent="0.2">
      <c r="A12" s="32" t="s">
        <v>1481</v>
      </c>
      <c r="B12" s="32" t="s">
        <v>1482</v>
      </c>
      <c r="C12" s="32" t="s">
        <v>1477</v>
      </c>
      <c r="D12" s="32" t="s">
        <v>1478</v>
      </c>
      <c r="E12" s="32" t="s">
        <v>1479</v>
      </c>
      <c r="F12" s="32" t="s">
        <v>865</v>
      </c>
      <c r="G12" s="32" t="s">
        <v>865</v>
      </c>
      <c r="H12" s="32" t="s">
        <v>865</v>
      </c>
      <c r="I12" s="32" t="s">
        <v>865</v>
      </c>
      <c r="J12" s="32" t="s">
        <v>865</v>
      </c>
      <c r="K12" s="32" t="s">
        <v>865</v>
      </c>
    </row>
    <row r="13" spans="1:11" ht="15" customHeight="1" x14ac:dyDescent="0.2">
      <c r="A13" s="32" t="s">
        <v>1483</v>
      </c>
      <c r="B13" s="32" t="s">
        <v>1483</v>
      </c>
      <c r="C13" s="32" t="s">
        <v>1484</v>
      </c>
      <c r="D13" s="32" t="s">
        <v>1485</v>
      </c>
      <c r="E13" s="32" t="s">
        <v>1470</v>
      </c>
      <c r="F13" s="32" t="s">
        <v>865</v>
      </c>
      <c r="G13" s="32" t="s">
        <v>865</v>
      </c>
      <c r="H13" s="32" t="s">
        <v>865</v>
      </c>
      <c r="I13" s="32" t="s">
        <v>865</v>
      </c>
      <c r="J13" s="32" t="s">
        <v>865</v>
      </c>
      <c r="K13" s="32" t="s">
        <v>865</v>
      </c>
    </row>
    <row r="14" spans="1:11" ht="15" customHeight="1" x14ac:dyDescent="0.2">
      <c r="A14" s="32" t="s">
        <v>1486</v>
      </c>
      <c r="B14" s="32" t="s">
        <v>1487</v>
      </c>
      <c r="C14" s="32" t="s">
        <v>1488</v>
      </c>
      <c r="D14" s="32" t="s">
        <v>1489</v>
      </c>
      <c r="E14" s="32" t="s">
        <v>1470</v>
      </c>
      <c r="F14" s="32" t="s">
        <v>865</v>
      </c>
      <c r="G14" s="32" t="s">
        <v>865</v>
      </c>
      <c r="H14" s="32" t="s">
        <v>865</v>
      </c>
      <c r="I14" s="32" t="s">
        <v>865</v>
      </c>
      <c r="J14" s="32" t="s">
        <v>865</v>
      </c>
      <c r="K14" s="32" t="s">
        <v>865</v>
      </c>
    </row>
    <row r="15" spans="1:11" ht="15" customHeight="1" x14ac:dyDescent="0.2">
      <c r="A15" s="32" t="s">
        <v>1490</v>
      </c>
      <c r="B15" s="32" t="s">
        <v>1491</v>
      </c>
      <c r="C15" s="32" t="s">
        <v>1488</v>
      </c>
      <c r="D15" s="32" t="s">
        <v>1489</v>
      </c>
      <c r="E15" s="32" t="s">
        <v>1470</v>
      </c>
      <c r="F15" s="32" t="s">
        <v>865</v>
      </c>
      <c r="G15" s="32" t="s">
        <v>865</v>
      </c>
      <c r="H15" s="32" t="s">
        <v>865</v>
      </c>
      <c r="I15" s="32" t="s">
        <v>865</v>
      </c>
      <c r="J15" s="32" t="s">
        <v>865</v>
      </c>
      <c r="K15" s="32" t="s">
        <v>865</v>
      </c>
    </row>
    <row r="16" spans="1:11" ht="15" customHeight="1" x14ac:dyDescent="0.2">
      <c r="A16" s="32" t="s">
        <v>1492</v>
      </c>
      <c r="B16" s="32" t="s">
        <v>1493</v>
      </c>
      <c r="C16" s="32" t="s">
        <v>1494</v>
      </c>
      <c r="D16" s="32" t="s">
        <v>1495</v>
      </c>
      <c r="E16" s="32" t="s">
        <v>1470</v>
      </c>
      <c r="F16" s="32" t="s">
        <v>865</v>
      </c>
      <c r="G16" s="32" t="s">
        <v>865</v>
      </c>
      <c r="H16" s="32" t="s">
        <v>865</v>
      </c>
      <c r="I16" s="32" t="s">
        <v>865</v>
      </c>
      <c r="J16" s="32" t="s">
        <v>865</v>
      </c>
      <c r="K16" s="32" t="s">
        <v>865</v>
      </c>
    </row>
    <row r="17" spans="1:11" ht="15" customHeight="1" x14ac:dyDescent="0.2">
      <c r="A17" s="32" t="s">
        <v>1496</v>
      </c>
      <c r="B17" s="32" t="s">
        <v>1497</v>
      </c>
      <c r="C17" s="32" t="s">
        <v>1488</v>
      </c>
      <c r="D17" s="32" t="s">
        <v>1498</v>
      </c>
      <c r="E17" s="32" t="s">
        <v>1470</v>
      </c>
      <c r="F17" s="32" t="s">
        <v>865</v>
      </c>
      <c r="G17" s="32" t="s">
        <v>865</v>
      </c>
      <c r="H17" s="32" t="s">
        <v>865</v>
      </c>
      <c r="I17" s="32" t="s">
        <v>865</v>
      </c>
      <c r="J17" s="32" t="s">
        <v>865</v>
      </c>
      <c r="K17" s="32" t="s">
        <v>865</v>
      </c>
    </row>
    <row r="18" spans="1:11" ht="15" customHeight="1" x14ac:dyDescent="0.2">
      <c r="A18" s="32" t="s">
        <v>1499</v>
      </c>
      <c r="B18" s="32" t="s">
        <v>1500</v>
      </c>
      <c r="C18" s="32" t="s">
        <v>1477</v>
      </c>
      <c r="D18" s="32" t="s">
        <v>1478</v>
      </c>
      <c r="E18" s="32" t="s">
        <v>1470</v>
      </c>
      <c r="F18" s="32" t="s">
        <v>865</v>
      </c>
      <c r="G18" s="32" t="s">
        <v>865</v>
      </c>
      <c r="H18" s="32" t="s">
        <v>865</v>
      </c>
      <c r="I18" s="32" t="s">
        <v>865</v>
      </c>
      <c r="J18" s="32" t="s">
        <v>865</v>
      </c>
      <c r="K18" s="32" t="s">
        <v>865</v>
      </c>
    </row>
    <row r="19" spans="1:11" ht="15" customHeight="1" x14ac:dyDescent="0.2">
      <c r="A19" s="32" t="s">
        <v>1501</v>
      </c>
      <c r="B19" s="32" t="s">
        <v>1501</v>
      </c>
      <c r="C19" s="32" t="s">
        <v>1477</v>
      </c>
      <c r="D19" s="32" t="s">
        <v>1478</v>
      </c>
      <c r="E19" s="32" t="s">
        <v>1470</v>
      </c>
      <c r="F19" s="32" t="s">
        <v>865</v>
      </c>
      <c r="G19" s="32" t="s">
        <v>865</v>
      </c>
      <c r="H19" s="32" t="s">
        <v>865</v>
      </c>
      <c r="I19" s="32" t="s">
        <v>865</v>
      </c>
      <c r="J19" s="32" t="s">
        <v>865</v>
      </c>
      <c r="K19" s="32" t="s">
        <v>865</v>
      </c>
    </row>
    <row r="20" spans="1:11" ht="15" customHeight="1" x14ac:dyDescent="0.2">
      <c r="A20" s="32" t="s">
        <v>1502</v>
      </c>
      <c r="B20" s="32" t="s">
        <v>1503</v>
      </c>
      <c r="C20" s="32" t="s">
        <v>1484</v>
      </c>
      <c r="D20" s="32" t="s">
        <v>1485</v>
      </c>
      <c r="E20" s="32" t="s">
        <v>1479</v>
      </c>
      <c r="F20" s="32" t="s">
        <v>865</v>
      </c>
      <c r="G20" s="32" t="s">
        <v>865</v>
      </c>
      <c r="H20" s="32" t="s">
        <v>865</v>
      </c>
      <c r="I20" s="32" t="s">
        <v>865</v>
      </c>
      <c r="J20" s="32" t="s">
        <v>865</v>
      </c>
      <c r="K20" s="32" t="s">
        <v>865</v>
      </c>
    </row>
    <row r="21" spans="1:11" ht="15" customHeight="1" x14ac:dyDescent="0.2">
      <c r="A21" s="32" t="s">
        <v>1504</v>
      </c>
      <c r="B21" s="32" t="s">
        <v>1505</v>
      </c>
      <c r="C21" s="32" t="s">
        <v>1506</v>
      </c>
      <c r="D21" s="32" t="s">
        <v>1507</v>
      </c>
      <c r="E21" s="32" t="s">
        <v>1470</v>
      </c>
      <c r="F21" s="32" t="s">
        <v>865</v>
      </c>
      <c r="G21" s="32" t="s">
        <v>865</v>
      </c>
      <c r="H21" s="32" t="s">
        <v>865</v>
      </c>
      <c r="I21" s="32" t="s">
        <v>865</v>
      </c>
      <c r="J21" s="32" t="s">
        <v>865</v>
      </c>
      <c r="K21" s="32" t="s">
        <v>865</v>
      </c>
    </row>
    <row r="22" spans="1:11" ht="15" customHeight="1" x14ac:dyDescent="0.2">
      <c r="A22" s="32" t="s">
        <v>1508</v>
      </c>
      <c r="B22" s="32" t="s">
        <v>1509</v>
      </c>
      <c r="C22" s="32" t="s">
        <v>1473</v>
      </c>
      <c r="D22" s="32" t="s">
        <v>1510</v>
      </c>
      <c r="E22" s="32" t="s">
        <v>1470</v>
      </c>
      <c r="F22" s="32" t="s">
        <v>865</v>
      </c>
      <c r="G22" s="32" t="s">
        <v>865</v>
      </c>
      <c r="H22" s="32" t="s">
        <v>865</v>
      </c>
      <c r="I22" s="32" t="s">
        <v>865</v>
      </c>
      <c r="J22" s="32" t="s">
        <v>865</v>
      </c>
      <c r="K22" s="32" t="s">
        <v>865</v>
      </c>
    </row>
    <row r="23" spans="1:11" ht="15" customHeight="1" x14ac:dyDescent="0.2">
      <c r="A23" s="32" t="s">
        <v>1511</v>
      </c>
      <c r="B23" s="32" t="s">
        <v>1512</v>
      </c>
      <c r="C23" s="32" t="s">
        <v>1494</v>
      </c>
      <c r="D23" s="32" t="s">
        <v>1495</v>
      </c>
      <c r="E23" s="32" t="s">
        <v>1470</v>
      </c>
      <c r="F23" s="32" t="s">
        <v>1513</v>
      </c>
      <c r="G23" s="32" t="s">
        <v>1511</v>
      </c>
      <c r="H23" s="32" t="s">
        <v>1512</v>
      </c>
      <c r="I23" s="32" t="s">
        <v>1494</v>
      </c>
      <c r="J23" s="32" t="s">
        <v>1495</v>
      </c>
      <c r="K23" s="32" t="s">
        <v>1470</v>
      </c>
    </row>
    <row r="24" spans="1:11" ht="15" customHeight="1" x14ac:dyDescent="0.2">
      <c r="A24" s="32" t="s">
        <v>1511</v>
      </c>
      <c r="B24" s="32" t="s">
        <v>1512</v>
      </c>
      <c r="C24" s="32" t="s">
        <v>1494</v>
      </c>
      <c r="D24" s="32" t="s">
        <v>1495</v>
      </c>
      <c r="E24" s="32" t="s">
        <v>1470</v>
      </c>
      <c r="F24" s="32" t="s">
        <v>1513</v>
      </c>
      <c r="G24" s="32" t="s">
        <v>1514</v>
      </c>
      <c r="H24" s="32" t="s">
        <v>1515</v>
      </c>
      <c r="I24" s="32" t="s">
        <v>1494</v>
      </c>
      <c r="J24" s="32" t="s">
        <v>1495</v>
      </c>
      <c r="K24" s="32" t="s">
        <v>1470</v>
      </c>
    </row>
    <row r="25" spans="1:11" ht="15" customHeight="1" x14ac:dyDescent="0.2">
      <c r="A25" s="32" t="s">
        <v>1516</v>
      </c>
      <c r="B25" s="32" t="s">
        <v>1517</v>
      </c>
      <c r="C25" s="32" t="s">
        <v>1484</v>
      </c>
      <c r="D25" s="32" t="s">
        <v>1485</v>
      </c>
      <c r="E25" s="32" t="s">
        <v>1470</v>
      </c>
      <c r="F25" s="32" t="s">
        <v>865</v>
      </c>
      <c r="G25" s="32" t="s">
        <v>865</v>
      </c>
      <c r="H25" s="32" t="s">
        <v>865</v>
      </c>
      <c r="I25" s="32" t="s">
        <v>865</v>
      </c>
      <c r="J25" s="32" t="s">
        <v>865</v>
      </c>
      <c r="K25" s="32" t="s">
        <v>865</v>
      </c>
    </row>
    <row r="26" spans="1:11" ht="15" customHeight="1" x14ac:dyDescent="0.2">
      <c r="A26" s="32" t="s">
        <v>1518</v>
      </c>
      <c r="B26" s="32" t="s">
        <v>1519</v>
      </c>
      <c r="C26" s="32" t="s">
        <v>1469</v>
      </c>
      <c r="D26" s="32" t="s">
        <v>1469</v>
      </c>
      <c r="E26" s="32" t="s">
        <v>1470</v>
      </c>
      <c r="F26" s="32" t="s">
        <v>865</v>
      </c>
      <c r="G26" s="32" t="s">
        <v>865</v>
      </c>
      <c r="H26" s="32" t="s">
        <v>865</v>
      </c>
      <c r="I26" s="32" t="s">
        <v>865</v>
      </c>
      <c r="J26" s="32" t="s">
        <v>865</v>
      </c>
      <c r="K26" s="32" t="s">
        <v>865</v>
      </c>
    </row>
    <row r="27" spans="1:11" ht="15" customHeight="1" x14ac:dyDescent="0.2">
      <c r="A27" s="32" t="s">
        <v>1520</v>
      </c>
      <c r="B27" s="32" t="s">
        <v>1521</v>
      </c>
      <c r="C27" s="32" t="s">
        <v>1506</v>
      </c>
      <c r="D27" s="32" t="s">
        <v>1522</v>
      </c>
      <c r="E27" s="32" t="s">
        <v>1470</v>
      </c>
      <c r="F27" s="32" t="s">
        <v>865</v>
      </c>
      <c r="G27" s="32" t="s">
        <v>865</v>
      </c>
      <c r="H27" s="32" t="s">
        <v>865</v>
      </c>
      <c r="I27" s="32" t="s">
        <v>865</v>
      </c>
      <c r="J27" s="32" t="s">
        <v>865</v>
      </c>
      <c r="K27" s="32" t="s">
        <v>865</v>
      </c>
    </row>
    <row r="28" spans="1:11" ht="15" customHeight="1" x14ac:dyDescent="0.2">
      <c r="A28" s="32" t="s">
        <v>1523</v>
      </c>
      <c r="B28" s="32" t="s">
        <v>1524</v>
      </c>
      <c r="C28" s="32" t="s">
        <v>1506</v>
      </c>
      <c r="D28" s="32" t="s">
        <v>1522</v>
      </c>
      <c r="E28" s="32" t="s">
        <v>1470</v>
      </c>
      <c r="F28" s="32" t="s">
        <v>865</v>
      </c>
      <c r="G28" s="32" t="s">
        <v>865</v>
      </c>
      <c r="H28" s="32" t="s">
        <v>865</v>
      </c>
      <c r="I28" s="32" t="s">
        <v>865</v>
      </c>
      <c r="J28" s="32" t="s">
        <v>865</v>
      </c>
      <c r="K28" s="32" t="s">
        <v>865</v>
      </c>
    </row>
    <row r="29" spans="1:11" ht="15" customHeight="1" x14ac:dyDescent="0.2">
      <c r="A29" s="32" t="s">
        <v>1525</v>
      </c>
      <c r="B29" s="32" t="s">
        <v>1526</v>
      </c>
      <c r="C29" s="32" t="s">
        <v>1494</v>
      </c>
      <c r="D29" s="32" t="s">
        <v>1495</v>
      </c>
      <c r="E29" s="32" t="s">
        <v>1479</v>
      </c>
      <c r="F29" s="32" t="s">
        <v>865</v>
      </c>
      <c r="G29" s="32" t="s">
        <v>865</v>
      </c>
      <c r="H29" s="32" t="s">
        <v>865</v>
      </c>
      <c r="I29" s="32" t="s">
        <v>865</v>
      </c>
      <c r="J29" s="32" t="s">
        <v>865</v>
      </c>
      <c r="K29" s="32" t="s">
        <v>865</v>
      </c>
    </row>
    <row r="30" spans="1:11" ht="15" customHeight="1" x14ac:dyDescent="0.2">
      <c r="A30" s="32" t="s">
        <v>1527</v>
      </c>
      <c r="B30" s="32" t="s">
        <v>1528</v>
      </c>
      <c r="C30" s="32" t="s">
        <v>1494</v>
      </c>
      <c r="D30" s="32" t="s">
        <v>1495</v>
      </c>
      <c r="E30" s="32" t="s">
        <v>1479</v>
      </c>
      <c r="F30" s="32" t="s">
        <v>865</v>
      </c>
      <c r="G30" s="32" t="s">
        <v>865</v>
      </c>
      <c r="H30" s="32" t="s">
        <v>865</v>
      </c>
      <c r="I30" s="32" t="s">
        <v>865</v>
      </c>
      <c r="J30" s="32" t="s">
        <v>865</v>
      </c>
      <c r="K30" s="32" t="s">
        <v>865</v>
      </c>
    </row>
    <row r="31" spans="1:11" ht="15" customHeight="1" x14ac:dyDescent="0.2">
      <c r="A31" s="32" t="s">
        <v>1529</v>
      </c>
      <c r="B31" s="32" t="s">
        <v>1530</v>
      </c>
      <c r="C31" s="32" t="s">
        <v>1469</v>
      </c>
      <c r="D31" s="32" t="s">
        <v>1469</v>
      </c>
      <c r="E31" s="32" t="s">
        <v>1470</v>
      </c>
      <c r="F31" s="32" t="s">
        <v>865</v>
      </c>
      <c r="G31" s="32" t="s">
        <v>865</v>
      </c>
      <c r="H31" s="32" t="s">
        <v>865</v>
      </c>
      <c r="I31" s="32" t="s">
        <v>865</v>
      </c>
      <c r="J31" s="32" t="s">
        <v>865</v>
      </c>
      <c r="K31" s="32" t="s">
        <v>865</v>
      </c>
    </row>
    <row r="32" spans="1:11" ht="15" customHeight="1" x14ac:dyDescent="0.2">
      <c r="A32" s="32" t="s">
        <v>1531</v>
      </c>
      <c r="B32" s="32" t="s">
        <v>1532</v>
      </c>
      <c r="C32" s="32" t="s">
        <v>1488</v>
      </c>
      <c r="D32" s="32" t="s">
        <v>1498</v>
      </c>
      <c r="E32" s="32" t="s">
        <v>1470</v>
      </c>
      <c r="F32" s="32" t="s">
        <v>865</v>
      </c>
      <c r="G32" s="32" t="s">
        <v>865</v>
      </c>
      <c r="H32" s="32" t="s">
        <v>865</v>
      </c>
      <c r="I32" s="32" t="s">
        <v>865</v>
      </c>
      <c r="J32" s="32" t="s">
        <v>865</v>
      </c>
      <c r="K32" s="32" t="s">
        <v>865</v>
      </c>
    </row>
    <row r="33" spans="1:11" ht="15" customHeight="1" x14ac:dyDescent="0.2">
      <c r="A33" s="32" t="s">
        <v>1533</v>
      </c>
      <c r="B33" s="32" t="s">
        <v>1534</v>
      </c>
      <c r="C33" s="32" t="s">
        <v>1473</v>
      </c>
      <c r="D33" s="32" t="s">
        <v>1473</v>
      </c>
      <c r="E33" s="32" t="s">
        <v>1470</v>
      </c>
      <c r="F33" s="32" t="s">
        <v>865</v>
      </c>
      <c r="G33" s="32" t="s">
        <v>865</v>
      </c>
      <c r="H33" s="32" t="s">
        <v>865</v>
      </c>
      <c r="I33" s="32" t="s">
        <v>865</v>
      </c>
      <c r="J33" s="32" t="s">
        <v>865</v>
      </c>
      <c r="K33" s="32" t="s">
        <v>865</v>
      </c>
    </row>
    <row r="34" spans="1:11" ht="15" customHeight="1" x14ac:dyDescent="0.2">
      <c r="A34" s="32" t="s">
        <v>1535</v>
      </c>
      <c r="B34" s="32" t="s">
        <v>1535</v>
      </c>
      <c r="C34" s="32" t="s">
        <v>1506</v>
      </c>
      <c r="D34" s="32" t="s">
        <v>1536</v>
      </c>
      <c r="E34" s="32" t="s">
        <v>1470</v>
      </c>
      <c r="F34" s="32" t="s">
        <v>865</v>
      </c>
      <c r="G34" s="32" t="s">
        <v>865</v>
      </c>
      <c r="H34" s="32" t="s">
        <v>865</v>
      </c>
      <c r="I34" s="32" t="s">
        <v>865</v>
      </c>
      <c r="J34" s="32" t="s">
        <v>865</v>
      </c>
      <c r="K34" s="32" t="s">
        <v>865</v>
      </c>
    </row>
    <row r="35" spans="1:11" ht="15" customHeight="1" x14ac:dyDescent="0.2">
      <c r="A35" s="32" t="s">
        <v>1537</v>
      </c>
      <c r="B35" s="32" t="s">
        <v>1538</v>
      </c>
      <c r="C35" s="32" t="s">
        <v>1488</v>
      </c>
      <c r="D35" s="32" t="s">
        <v>1539</v>
      </c>
      <c r="E35" s="32" t="s">
        <v>1470</v>
      </c>
      <c r="F35" s="32" t="s">
        <v>865</v>
      </c>
      <c r="G35" s="32" t="s">
        <v>865</v>
      </c>
      <c r="H35" s="32" t="s">
        <v>865</v>
      </c>
      <c r="I35" s="32" t="s">
        <v>865</v>
      </c>
      <c r="J35" s="32" t="s">
        <v>865</v>
      </c>
      <c r="K35" s="32" t="s">
        <v>865</v>
      </c>
    </row>
    <row r="36" spans="1:11" ht="15" customHeight="1" x14ac:dyDescent="0.2">
      <c r="A36" s="32" t="s">
        <v>1540</v>
      </c>
      <c r="B36" s="32" t="s">
        <v>1541</v>
      </c>
      <c r="C36" s="32" t="s">
        <v>1494</v>
      </c>
      <c r="D36" s="32" t="s">
        <v>1542</v>
      </c>
      <c r="E36" s="32" t="s">
        <v>1470</v>
      </c>
      <c r="F36" s="32" t="s">
        <v>865</v>
      </c>
      <c r="G36" s="32" t="s">
        <v>865</v>
      </c>
      <c r="H36" s="32" t="s">
        <v>865</v>
      </c>
      <c r="I36" s="32" t="s">
        <v>865</v>
      </c>
      <c r="J36" s="32" t="s">
        <v>865</v>
      </c>
      <c r="K36" s="32" t="s">
        <v>865</v>
      </c>
    </row>
    <row r="37" spans="1:11" ht="15" customHeight="1" x14ac:dyDescent="0.2">
      <c r="A37" s="32" t="s">
        <v>1543</v>
      </c>
      <c r="B37" s="32" t="s">
        <v>1543</v>
      </c>
      <c r="C37" s="32" t="s">
        <v>1488</v>
      </c>
      <c r="D37" s="32" t="s">
        <v>1498</v>
      </c>
      <c r="E37" s="32" t="s">
        <v>1470</v>
      </c>
      <c r="F37" s="32" t="s">
        <v>865</v>
      </c>
      <c r="G37" s="32" t="s">
        <v>865</v>
      </c>
      <c r="H37" s="32" t="s">
        <v>865</v>
      </c>
      <c r="I37" s="32" t="s">
        <v>865</v>
      </c>
      <c r="J37" s="32" t="s">
        <v>865</v>
      </c>
      <c r="K37" s="32" t="s">
        <v>865</v>
      </c>
    </row>
    <row r="38" spans="1:11" ht="15" customHeight="1" x14ac:dyDescent="0.2">
      <c r="A38" s="32" t="s">
        <v>1544</v>
      </c>
      <c r="B38" s="32" t="s">
        <v>1544</v>
      </c>
      <c r="C38" s="32" t="s">
        <v>1506</v>
      </c>
      <c r="D38" s="32" t="s">
        <v>1536</v>
      </c>
      <c r="E38" s="32" t="s">
        <v>1470</v>
      </c>
      <c r="F38" s="32" t="s">
        <v>865</v>
      </c>
      <c r="G38" s="32" t="s">
        <v>865</v>
      </c>
      <c r="H38" s="32" t="s">
        <v>865</v>
      </c>
      <c r="I38" s="32" t="s">
        <v>865</v>
      </c>
      <c r="J38" s="32" t="s">
        <v>865</v>
      </c>
      <c r="K38" s="32" t="s">
        <v>865</v>
      </c>
    </row>
    <row r="39" spans="1:11" ht="15" customHeight="1" x14ac:dyDescent="0.2">
      <c r="A39" s="32" t="s">
        <v>1545</v>
      </c>
      <c r="B39" s="32" t="s">
        <v>1546</v>
      </c>
      <c r="C39" s="32" t="s">
        <v>1547</v>
      </c>
      <c r="D39" s="32" t="s">
        <v>1547</v>
      </c>
      <c r="E39" s="32" t="s">
        <v>1470</v>
      </c>
      <c r="F39" s="32" t="s">
        <v>865</v>
      </c>
      <c r="G39" s="32" t="s">
        <v>865</v>
      </c>
      <c r="H39" s="32" t="s">
        <v>865</v>
      </c>
      <c r="I39" s="32" t="s">
        <v>865</v>
      </c>
      <c r="J39" s="32" t="s">
        <v>865</v>
      </c>
      <c r="K39" s="32" t="s">
        <v>865</v>
      </c>
    </row>
    <row r="40" spans="1:11" ht="15" customHeight="1" x14ac:dyDescent="0.2">
      <c r="A40" s="32" t="s">
        <v>1548</v>
      </c>
      <c r="B40" s="32" t="s">
        <v>1548</v>
      </c>
      <c r="C40" s="32" t="s">
        <v>1477</v>
      </c>
      <c r="D40" s="32" t="s">
        <v>1478</v>
      </c>
      <c r="E40" s="32" t="s">
        <v>1470</v>
      </c>
      <c r="F40" s="32" t="s">
        <v>865</v>
      </c>
      <c r="G40" s="32" t="s">
        <v>865</v>
      </c>
      <c r="H40" s="32" t="s">
        <v>865</v>
      </c>
      <c r="I40" s="32" t="s">
        <v>865</v>
      </c>
      <c r="J40" s="32" t="s">
        <v>865</v>
      </c>
      <c r="K40" s="32" t="s">
        <v>865</v>
      </c>
    </row>
    <row r="41" spans="1:11" ht="15" customHeight="1" x14ac:dyDescent="0.2">
      <c r="A41" s="32" t="s">
        <v>1549</v>
      </c>
      <c r="B41" s="32" t="s">
        <v>1550</v>
      </c>
      <c r="C41" s="32" t="s">
        <v>1484</v>
      </c>
      <c r="D41" s="32" t="s">
        <v>1551</v>
      </c>
      <c r="E41" s="32" t="s">
        <v>1479</v>
      </c>
      <c r="F41" s="32" t="s">
        <v>865</v>
      </c>
      <c r="G41" s="32" t="s">
        <v>865</v>
      </c>
      <c r="H41" s="32" t="s">
        <v>865</v>
      </c>
      <c r="I41" s="32" t="s">
        <v>865</v>
      </c>
      <c r="J41" s="32" t="s">
        <v>865</v>
      </c>
      <c r="K41" s="32" t="s">
        <v>865</v>
      </c>
    </row>
    <row r="42" spans="1:11" ht="15" customHeight="1" x14ac:dyDescent="0.2">
      <c r="A42" s="32" t="s">
        <v>1552</v>
      </c>
      <c r="B42" s="32" t="s">
        <v>1553</v>
      </c>
      <c r="C42" s="32" t="s">
        <v>1494</v>
      </c>
      <c r="D42" s="32" t="s">
        <v>1554</v>
      </c>
      <c r="E42" s="32" t="s">
        <v>1470</v>
      </c>
      <c r="F42" s="32" t="s">
        <v>865</v>
      </c>
      <c r="G42" s="32" t="s">
        <v>865</v>
      </c>
      <c r="H42" s="32" t="s">
        <v>865</v>
      </c>
      <c r="I42" s="32" t="s">
        <v>865</v>
      </c>
      <c r="J42" s="32" t="s">
        <v>865</v>
      </c>
      <c r="K42" s="32" t="s">
        <v>865</v>
      </c>
    </row>
    <row r="43" spans="1:11" ht="15" customHeight="1" x14ac:dyDescent="0.2">
      <c r="A43" s="32" t="s">
        <v>1555</v>
      </c>
      <c r="B43" s="32" t="s">
        <v>1556</v>
      </c>
      <c r="C43" s="32" t="s">
        <v>1488</v>
      </c>
      <c r="D43" s="32" t="s">
        <v>1498</v>
      </c>
      <c r="E43" s="32" t="s">
        <v>1470</v>
      </c>
      <c r="F43" s="32" t="s">
        <v>865</v>
      </c>
      <c r="G43" s="32" t="s">
        <v>865</v>
      </c>
      <c r="H43" s="32" t="s">
        <v>865</v>
      </c>
      <c r="I43" s="32" t="s">
        <v>865</v>
      </c>
      <c r="J43" s="32" t="s">
        <v>865</v>
      </c>
      <c r="K43" s="32" t="s">
        <v>865</v>
      </c>
    </row>
    <row r="44" spans="1:11" ht="15" customHeight="1" x14ac:dyDescent="0.2">
      <c r="A44" s="32" t="s">
        <v>1557</v>
      </c>
      <c r="B44" s="32" t="s">
        <v>1558</v>
      </c>
      <c r="C44" s="32" t="s">
        <v>1506</v>
      </c>
      <c r="D44" s="32" t="s">
        <v>1507</v>
      </c>
      <c r="E44" s="32" t="s">
        <v>1470</v>
      </c>
      <c r="F44" s="32" t="s">
        <v>865</v>
      </c>
      <c r="G44" s="32" t="s">
        <v>865</v>
      </c>
      <c r="H44" s="32" t="s">
        <v>865</v>
      </c>
      <c r="I44" s="32" t="s">
        <v>865</v>
      </c>
      <c r="J44" s="32" t="s">
        <v>865</v>
      </c>
      <c r="K44" s="32" t="s">
        <v>865</v>
      </c>
    </row>
    <row r="45" spans="1:11" ht="15" customHeight="1" x14ac:dyDescent="0.2">
      <c r="A45" s="32" t="s">
        <v>1559</v>
      </c>
      <c r="B45" s="32" t="s">
        <v>1560</v>
      </c>
      <c r="C45" s="32" t="s">
        <v>1477</v>
      </c>
      <c r="D45" s="32" t="s">
        <v>1478</v>
      </c>
      <c r="E45" s="32" t="s">
        <v>1470</v>
      </c>
      <c r="F45" s="32" t="s">
        <v>865</v>
      </c>
      <c r="G45" s="32" t="s">
        <v>865</v>
      </c>
      <c r="H45" s="32" t="s">
        <v>865</v>
      </c>
      <c r="I45" s="32" t="s">
        <v>865</v>
      </c>
      <c r="J45" s="32" t="s">
        <v>865</v>
      </c>
      <c r="K45" s="32" t="s">
        <v>865</v>
      </c>
    </row>
    <row r="46" spans="1:11" ht="15" customHeight="1" x14ac:dyDescent="0.2">
      <c r="A46" s="32" t="s">
        <v>1561</v>
      </c>
      <c r="B46" s="32" t="s">
        <v>1562</v>
      </c>
      <c r="C46" s="32" t="s">
        <v>1488</v>
      </c>
      <c r="D46" s="32" t="s">
        <v>1498</v>
      </c>
      <c r="E46" s="32" t="s">
        <v>1470</v>
      </c>
      <c r="F46" s="32" t="s">
        <v>865</v>
      </c>
      <c r="G46" s="32" t="s">
        <v>865</v>
      </c>
      <c r="H46" s="32" t="s">
        <v>865</v>
      </c>
      <c r="I46" s="32" t="s">
        <v>865</v>
      </c>
      <c r="J46" s="32" t="s">
        <v>865</v>
      </c>
      <c r="K46" s="32" t="s">
        <v>865</v>
      </c>
    </row>
    <row r="47" spans="1:11" ht="15" customHeight="1" x14ac:dyDescent="0.2">
      <c r="A47" s="32" t="s">
        <v>1563</v>
      </c>
      <c r="B47" s="32" t="s">
        <v>1564</v>
      </c>
      <c r="C47" s="32" t="s">
        <v>1477</v>
      </c>
      <c r="D47" s="32" t="s">
        <v>1565</v>
      </c>
      <c r="E47" s="32" t="s">
        <v>1470</v>
      </c>
      <c r="F47" s="32" t="s">
        <v>865</v>
      </c>
      <c r="G47" s="32" t="s">
        <v>865</v>
      </c>
      <c r="H47" s="32" t="s">
        <v>865</v>
      </c>
      <c r="I47" s="32" t="s">
        <v>865</v>
      </c>
      <c r="J47" s="32" t="s">
        <v>865</v>
      </c>
      <c r="K47" s="32" t="s">
        <v>865</v>
      </c>
    </row>
    <row r="48" spans="1:11" ht="15" customHeight="1" x14ac:dyDescent="0.2">
      <c r="A48" s="32" t="s">
        <v>348</v>
      </c>
      <c r="B48" s="32" t="s">
        <v>1566</v>
      </c>
      <c r="C48" s="32" t="s">
        <v>1484</v>
      </c>
      <c r="D48" s="32" t="s">
        <v>1551</v>
      </c>
      <c r="E48" s="32" t="s">
        <v>1470</v>
      </c>
      <c r="F48" s="32" t="s">
        <v>1513</v>
      </c>
      <c r="G48" s="32" t="s">
        <v>348</v>
      </c>
      <c r="H48" s="32" t="s">
        <v>1566</v>
      </c>
      <c r="I48" s="32" t="s">
        <v>1484</v>
      </c>
      <c r="J48" s="32" t="s">
        <v>1551</v>
      </c>
      <c r="K48" s="32" t="s">
        <v>1470</v>
      </c>
    </row>
    <row r="49" spans="1:11" ht="15" customHeight="1" x14ac:dyDescent="0.2">
      <c r="A49" s="32" t="s">
        <v>348</v>
      </c>
      <c r="B49" s="32" t="s">
        <v>1566</v>
      </c>
      <c r="C49" s="32" t="s">
        <v>1484</v>
      </c>
      <c r="D49" s="32" t="s">
        <v>1551</v>
      </c>
      <c r="E49" s="32" t="s">
        <v>1470</v>
      </c>
      <c r="F49" s="32" t="s">
        <v>1513</v>
      </c>
      <c r="G49" s="32" t="s">
        <v>1567</v>
      </c>
      <c r="H49" s="32" t="s">
        <v>1568</v>
      </c>
      <c r="I49" s="32" t="s">
        <v>1484</v>
      </c>
      <c r="J49" s="32" t="s">
        <v>1551</v>
      </c>
      <c r="K49" s="32" t="s">
        <v>1470</v>
      </c>
    </row>
    <row r="50" spans="1:11" ht="15" customHeight="1" x14ac:dyDescent="0.2">
      <c r="A50" s="32" t="s">
        <v>348</v>
      </c>
      <c r="B50" s="32" t="s">
        <v>1566</v>
      </c>
      <c r="C50" s="32" t="s">
        <v>1484</v>
      </c>
      <c r="D50" s="32" t="s">
        <v>1551</v>
      </c>
      <c r="E50" s="32" t="s">
        <v>1470</v>
      </c>
      <c r="F50" s="32" t="s">
        <v>1513</v>
      </c>
      <c r="G50" s="32" t="s">
        <v>1569</v>
      </c>
      <c r="H50" s="32" t="s">
        <v>1570</v>
      </c>
      <c r="I50" s="32" t="s">
        <v>1484</v>
      </c>
      <c r="J50" s="32" t="s">
        <v>1571</v>
      </c>
      <c r="K50" s="32" t="s">
        <v>1470</v>
      </c>
    </row>
    <row r="51" spans="1:11" ht="15" customHeight="1" x14ac:dyDescent="0.2">
      <c r="A51" s="32" t="s">
        <v>1572</v>
      </c>
      <c r="B51" s="32" t="s">
        <v>1573</v>
      </c>
      <c r="C51" s="32" t="s">
        <v>1484</v>
      </c>
      <c r="D51" s="32" t="s">
        <v>1551</v>
      </c>
      <c r="E51" s="32" t="s">
        <v>1470</v>
      </c>
      <c r="F51" s="32" t="s">
        <v>865</v>
      </c>
      <c r="G51" s="32" t="s">
        <v>865</v>
      </c>
      <c r="H51" s="32" t="s">
        <v>865</v>
      </c>
      <c r="I51" s="32" t="s">
        <v>865</v>
      </c>
      <c r="J51" s="32" t="s">
        <v>865</v>
      </c>
      <c r="K51" s="32" t="s">
        <v>865</v>
      </c>
    </row>
    <row r="52" spans="1:11" ht="15" customHeight="1" x14ac:dyDescent="0.2">
      <c r="A52" s="32" t="s">
        <v>1574</v>
      </c>
      <c r="B52" s="32" t="s">
        <v>1575</v>
      </c>
      <c r="C52" s="32" t="s">
        <v>1484</v>
      </c>
      <c r="D52" s="32" t="s">
        <v>1551</v>
      </c>
      <c r="E52" s="32" t="s">
        <v>1470</v>
      </c>
      <c r="F52" s="32" t="s">
        <v>865</v>
      </c>
      <c r="G52" s="32" t="s">
        <v>865</v>
      </c>
      <c r="H52" s="32" t="s">
        <v>865</v>
      </c>
      <c r="I52" s="32" t="s">
        <v>865</v>
      </c>
      <c r="J52" s="32" t="s">
        <v>865</v>
      </c>
      <c r="K52" s="32" t="s">
        <v>865</v>
      </c>
    </row>
    <row r="53" spans="1:11" ht="15" customHeight="1" x14ac:dyDescent="0.2">
      <c r="A53" s="32" t="s">
        <v>1576</v>
      </c>
      <c r="B53" s="32" t="s">
        <v>1577</v>
      </c>
      <c r="C53" s="32" t="s">
        <v>1484</v>
      </c>
      <c r="D53" s="32" t="s">
        <v>1551</v>
      </c>
      <c r="E53" s="32" t="s">
        <v>1470</v>
      </c>
      <c r="F53" s="32" t="s">
        <v>865</v>
      </c>
      <c r="G53" s="32" t="s">
        <v>865</v>
      </c>
      <c r="H53" s="32" t="s">
        <v>865</v>
      </c>
      <c r="I53" s="32" t="s">
        <v>865</v>
      </c>
      <c r="J53" s="32" t="s">
        <v>865</v>
      </c>
      <c r="K53" s="32" t="s">
        <v>865</v>
      </c>
    </row>
    <row r="54" spans="1:11" ht="15" customHeight="1" x14ac:dyDescent="0.2">
      <c r="A54" s="32" t="s">
        <v>1578</v>
      </c>
      <c r="B54" s="32" t="s">
        <v>1578</v>
      </c>
      <c r="C54" s="32" t="s">
        <v>1484</v>
      </c>
      <c r="D54" s="32" t="s">
        <v>1551</v>
      </c>
      <c r="E54" s="32" t="s">
        <v>1479</v>
      </c>
      <c r="F54" s="32" t="s">
        <v>865</v>
      </c>
      <c r="G54" s="32" t="s">
        <v>865</v>
      </c>
      <c r="H54" s="32" t="s">
        <v>865</v>
      </c>
      <c r="I54" s="32" t="s">
        <v>865</v>
      </c>
      <c r="J54" s="32" t="s">
        <v>865</v>
      </c>
      <c r="K54" s="32" t="s">
        <v>865</v>
      </c>
    </row>
    <row r="55" spans="1:11" ht="15" customHeight="1" x14ac:dyDescent="0.2">
      <c r="A55" s="32" t="s">
        <v>1579</v>
      </c>
      <c r="B55" s="32" t="s">
        <v>1580</v>
      </c>
      <c r="C55" s="32" t="s">
        <v>1488</v>
      </c>
      <c r="D55" s="32" t="s">
        <v>1498</v>
      </c>
      <c r="E55" s="32" t="s">
        <v>1470</v>
      </c>
      <c r="F55" s="32" t="s">
        <v>865</v>
      </c>
      <c r="G55" s="32" t="s">
        <v>865</v>
      </c>
      <c r="H55" s="32" t="s">
        <v>865</v>
      </c>
      <c r="I55" s="32" t="s">
        <v>865</v>
      </c>
      <c r="J55" s="32" t="s">
        <v>865</v>
      </c>
      <c r="K55" s="32" t="s">
        <v>865</v>
      </c>
    </row>
    <row r="56" spans="1:11" ht="15" customHeight="1" x14ac:dyDescent="0.2">
      <c r="A56" s="32" t="s">
        <v>1581</v>
      </c>
      <c r="B56" s="32" t="s">
        <v>1581</v>
      </c>
      <c r="C56" s="32" t="s">
        <v>1469</v>
      </c>
      <c r="D56" s="32" t="s">
        <v>1469</v>
      </c>
      <c r="E56" s="32" t="s">
        <v>1479</v>
      </c>
      <c r="F56" s="32" t="s">
        <v>865</v>
      </c>
      <c r="G56" s="32" t="s">
        <v>865</v>
      </c>
      <c r="H56" s="32" t="s">
        <v>865</v>
      </c>
      <c r="I56" s="32" t="s">
        <v>865</v>
      </c>
      <c r="J56" s="32" t="s">
        <v>865</v>
      </c>
      <c r="K56" s="32" t="s">
        <v>865</v>
      </c>
    </row>
    <row r="57" spans="1:11" ht="15" customHeight="1" x14ac:dyDescent="0.2">
      <c r="A57" s="32" t="s">
        <v>1582</v>
      </c>
      <c r="B57" s="32" t="s">
        <v>1583</v>
      </c>
      <c r="C57" s="32" t="s">
        <v>1488</v>
      </c>
      <c r="D57" s="32" t="s">
        <v>1498</v>
      </c>
      <c r="E57" s="32" t="s">
        <v>1470</v>
      </c>
      <c r="F57" s="32" t="s">
        <v>865</v>
      </c>
      <c r="G57" s="32" t="s">
        <v>865</v>
      </c>
      <c r="H57" s="32" t="s">
        <v>865</v>
      </c>
      <c r="I57" s="32" t="s">
        <v>865</v>
      </c>
      <c r="J57" s="32" t="s">
        <v>865</v>
      </c>
      <c r="K57" s="32" t="s">
        <v>865</v>
      </c>
    </row>
    <row r="58" spans="1:11" ht="15" customHeight="1" x14ac:dyDescent="0.2">
      <c r="A58" s="32" t="s">
        <v>1584</v>
      </c>
      <c r="B58" s="32" t="s">
        <v>1585</v>
      </c>
      <c r="C58" s="32" t="s">
        <v>1488</v>
      </c>
      <c r="D58" s="32" t="s">
        <v>1498</v>
      </c>
      <c r="E58" s="32" t="s">
        <v>1470</v>
      </c>
      <c r="F58" s="32" t="s">
        <v>865</v>
      </c>
      <c r="G58" s="32" t="s">
        <v>865</v>
      </c>
      <c r="H58" s="32" t="s">
        <v>865</v>
      </c>
      <c r="I58" s="32" t="s">
        <v>865</v>
      </c>
      <c r="J58" s="32" t="s">
        <v>865</v>
      </c>
      <c r="K58" s="32" t="s">
        <v>865</v>
      </c>
    </row>
    <row r="59" spans="1:11" ht="15" customHeight="1" x14ac:dyDescent="0.2">
      <c r="A59" s="32" t="s">
        <v>1586</v>
      </c>
      <c r="B59" s="32" t="s">
        <v>1587</v>
      </c>
      <c r="C59" s="32" t="s">
        <v>1488</v>
      </c>
      <c r="D59" s="32" t="s">
        <v>1498</v>
      </c>
      <c r="E59" s="32" t="s">
        <v>1470</v>
      </c>
      <c r="F59" s="32" t="s">
        <v>865</v>
      </c>
      <c r="G59" s="32" t="s">
        <v>865</v>
      </c>
      <c r="H59" s="32" t="s">
        <v>865</v>
      </c>
      <c r="I59" s="32" t="s">
        <v>865</v>
      </c>
      <c r="J59" s="32" t="s">
        <v>865</v>
      </c>
      <c r="K59" s="32" t="s">
        <v>865</v>
      </c>
    </row>
    <row r="60" spans="1:11" ht="15" customHeight="1" x14ac:dyDescent="0.2">
      <c r="A60" s="32" t="s">
        <v>1588</v>
      </c>
      <c r="B60" s="32" t="s">
        <v>1589</v>
      </c>
      <c r="C60" s="32" t="s">
        <v>1469</v>
      </c>
      <c r="D60" s="32" t="s">
        <v>1469</v>
      </c>
      <c r="E60" s="32" t="s">
        <v>1470</v>
      </c>
      <c r="F60" s="32" t="s">
        <v>865</v>
      </c>
      <c r="G60" s="32" t="s">
        <v>865</v>
      </c>
      <c r="H60" s="32" t="s">
        <v>865</v>
      </c>
      <c r="I60" s="32" t="s">
        <v>865</v>
      </c>
      <c r="J60" s="32" t="s">
        <v>865</v>
      </c>
      <c r="K60" s="32" t="s">
        <v>865</v>
      </c>
    </row>
    <row r="61" spans="1:11" ht="15" customHeight="1" x14ac:dyDescent="0.2">
      <c r="A61" s="32" t="s">
        <v>1590</v>
      </c>
      <c r="B61" s="32" t="s">
        <v>1591</v>
      </c>
      <c r="C61" s="32" t="s">
        <v>1488</v>
      </c>
      <c r="D61" s="32" t="s">
        <v>1498</v>
      </c>
      <c r="E61" s="32" t="s">
        <v>1470</v>
      </c>
      <c r="F61" s="32" t="s">
        <v>865</v>
      </c>
      <c r="G61" s="32" t="s">
        <v>865</v>
      </c>
      <c r="H61" s="32" t="s">
        <v>865</v>
      </c>
      <c r="I61" s="32" t="s">
        <v>865</v>
      </c>
      <c r="J61" s="32" t="s">
        <v>865</v>
      </c>
      <c r="K61" s="32" t="s">
        <v>865</v>
      </c>
    </row>
    <row r="62" spans="1:11" ht="15" customHeight="1" x14ac:dyDescent="0.2">
      <c r="A62" s="32" t="s">
        <v>1592</v>
      </c>
      <c r="B62" s="32" t="s">
        <v>1593</v>
      </c>
      <c r="C62" s="32" t="s">
        <v>1488</v>
      </c>
      <c r="D62" s="32" t="s">
        <v>1498</v>
      </c>
      <c r="E62" s="32" t="s">
        <v>1470</v>
      </c>
      <c r="F62" s="32" t="s">
        <v>865</v>
      </c>
      <c r="G62" s="32" t="s">
        <v>865</v>
      </c>
      <c r="H62" s="32" t="s">
        <v>865</v>
      </c>
      <c r="I62" s="32" t="s">
        <v>865</v>
      </c>
      <c r="J62" s="32" t="s">
        <v>865</v>
      </c>
      <c r="K62" s="32" t="s">
        <v>865</v>
      </c>
    </row>
    <row r="63" spans="1:11" ht="15" customHeight="1" x14ac:dyDescent="0.2">
      <c r="A63" s="32" t="s">
        <v>1594</v>
      </c>
      <c r="B63" s="32" t="s">
        <v>1595</v>
      </c>
      <c r="C63" s="32" t="s">
        <v>1473</v>
      </c>
      <c r="D63" s="32" t="s">
        <v>1510</v>
      </c>
      <c r="E63" s="32" t="s">
        <v>1470</v>
      </c>
      <c r="F63" s="32" t="s">
        <v>865</v>
      </c>
      <c r="G63" s="32" t="s">
        <v>865</v>
      </c>
      <c r="H63" s="32" t="s">
        <v>865</v>
      </c>
      <c r="I63" s="32" t="s">
        <v>865</v>
      </c>
      <c r="J63" s="32" t="s">
        <v>865</v>
      </c>
      <c r="K63" s="32" t="s">
        <v>865</v>
      </c>
    </row>
    <row r="64" spans="1:11" ht="15" customHeight="1" x14ac:dyDescent="0.2">
      <c r="A64" s="32" t="s">
        <v>1596</v>
      </c>
      <c r="B64" s="32" t="s">
        <v>1597</v>
      </c>
      <c r="C64" s="32" t="s">
        <v>1488</v>
      </c>
      <c r="D64" s="32" t="s">
        <v>1498</v>
      </c>
      <c r="E64" s="32" t="s">
        <v>1470</v>
      </c>
      <c r="F64" s="32" t="s">
        <v>865</v>
      </c>
      <c r="G64" s="32" t="s">
        <v>865</v>
      </c>
      <c r="H64" s="32" t="s">
        <v>865</v>
      </c>
      <c r="I64" s="32" t="s">
        <v>865</v>
      </c>
      <c r="J64" s="32" t="s">
        <v>865</v>
      </c>
      <c r="K64" s="32" t="s">
        <v>865</v>
      </c>
    </row>
    <row r="65" spans="1:11" ht="15" customHeight="1" x14ac:dyDescent="0.2">
      <c r="A65" s="32" t="s">
        <v>1598</v>
      </c>
      <c r="B65" s="32" t="s">
        <v>1599</v>
      </c>
      <c r="C65" s="32" t="s">
        <v>1488</v>
      </c>
      <c r="D65" s="32" t="s">
        <v>1498</v>
      </c>
      <c r="E65" s="32" t="s">
        <v>1470</v>
      </c>
      <c r="F65" s="32" t="s">
        <v>865</v>
      </c>
      <c r="G65" s="32" t="s">
        <v>865</v>
      </c>
      <c r="H65" s="32" t="s">
        <v>865</v>
      </c>
      <c r="I65" s="32" t="s">
        <v>865</v>
      </c>
      <c r="J65" s="32" t="s">
        <v>865</v>
      </c>
      <c r="K65" s="32" t="s">
        <v>865</v>
      </c>
    </row>
    <row r="66" spans="1:11" ht="15" customHeight="1" x14ac:dyDescent="0.2">
      <c r="A66" s="32" t="s">
        <v>1600</v>
      </c>
      <c r="B66" s="32" t="s">
        <v>1601</v>
      </c>
      <c r="C66" s="32" t="s">
        <v>1473</v>
      </c>
      <c r="D66" s="32" t="s">
        <v>1510</v>
      </c>
      <c r="E66" s="32" t="s">
        <v>1470</v>
      </c>
      <c r="F66" s="32" t="s">
        <v>865</v>
      </c>
      <c r="G66" s="32" t="s">
        <v>865</v>
      </c>
      <c r="H66" s="32" t="s">
        <v>865</v>
      </c>
      <c r="I66" s="32" t="s">
        <v>865</v>
      </c>
      <c r="J66" s="32" t="s">
        <v>865</v>
      </c>
      <c r="K66" s="32" t="s">
        <v>865</v>
      </c>
    </row>
    <row r="67" spans="1:11" ht="15" customHeight="1" x14ac:dyDescent="0.2">
      <c r="A67" s="32" t="s">
        <v>1602</v>
      </c>
      <c r="B67" s="32" t="s">
        <v>1603</v>
      </c>
      <c r="C67" s="32" t="s">
        <v>1473</v>
      </c>
      <c r="D67" s="32" t="s">
        <v>1510</v>
      </c>
      <c r="E67" s="32" t="s">
        <v>1470</v>
      </c>
      <c r="F67" s="32" t="s">
        <v>865</v>
      </c>
      <c r="G67" s="32" t="s">
        <v>865</v>
      </c>
      <c r="H67" s="32" t="s">
        <v>865</v>
      </c>
      <c r="I67" s="32" t="s">
        <v>865</v>
      </c>
      <c r="J67" s="32" t="s">
        <v>865</v>
      </c>
      <c r="K67" s="32" t="s">
        <v>865</v>
      </c>
    </row>
    <row r="68" spans="1:11" ht="15" customHeight="1" x14ac:dyDescent="0.2">
      <c r="A68" s="32" t="s">
        <v>1604</v>
      </c>
      <c r="B68" s="32" t="s">
        <v>1605</v>
      </c>
      <c r="C68" s="32" t="s">
        <v>1484</v>
      </c>
      <c r="D68" s="32" t="s">
        <v>1571</v>
      </c>
      <c r="E68" s="32" t="s">
        <v>1470</v>
      </c>
      <c r="F68" s="32" t="s">
        <v>865</v>
      </c>
      <c r="G68" s="32" t="s">
        <v>865</v>
      </c>
      <c r="H68" s="32" t="s">
        <v>865</v>
      </c>
      <c r="I68" s="32" t="s">
        <v>865</v>
      </c>
      <c r="J68" s="32" t="s">
        <v>865</v>
      </c>
      <c r="K68" s="32" t="s">
        <v>865</v>
      </c>
    </row>
    <row r="69" spans="1:11" ht="15" customHeight="1" x14ac:dyDescent="0.2">
      <c r="A69" s="32" t="s">
        <v>1606</v>
      </c>
      <c r="B69" s="32" t="s">
        <v>1607</v>
      </c>
      <c r="C69" s="32" t="s">
        <v>1506</v>
      </c>
      <c r="D69" s="32" t="s">
        <v>1507</v>
      </c>
      <c r="E69" s="32" t="s">
        <v>1470</v>
      </c>
      <c r="F69" s="32" t="s">
        <v>865</v>
      </c>
      <c r="G69" s="32" t="s">
        <v>865</v>
      </c>
      <c r="H69" s="32" t="s">
        <v>865</v>
      </c>
      <c r="I69" s="32" t="s">
        <v>865</v>
      </c>
      <c r="J69" s="32" t="s">
        <v>865</v>
      </c>
      <c r="K69" s="32" t="s">
        <v>865</v>
      </c>
    </row>
    <row r="70" spans="1:11" ht="15" customHeight="1" x14ac:dyDescent="0.2">
      <c r="A70" s="32" t="s">
        <v>1608</v>
      </c>
      <c r="B70" s="32" t="s">
        <v>1609</v>
      </c>
      <c r="C70" s="32" t="s">
        <v>1473</v>
      </c>
      <c r="D70" s="32" t="s">
        <v>1510</v>
      </c>
      <c r="E70" s="32" t="s">
        <v>1470</v>
      </c>
      <c r="F70" s="32" t="s">
        <v>865</v>
      </c>
      <c r="G70" s="32" t="s">
        <v>865</v>
      </c>
      <c r="H70" s="32" t="s">
        <v>865</v>
      </c>
      <c r="I70" s="32" t="s">
        <v>865</v>
      </c>
      <c r="J70" s="32" t="s">
        <v>865</v>
      </c>
      <c r="K70" s="32" t="s">
        <v>865</v>
      </c>
    </row>
    <row r="71" spans="1:11" ht="15" customHeight="1" x14ac:dyDescent="0.2">
      <c r="A71" s="32" t="s">
        <v>1610</v>
      </c>
      <c r="B71" s="32" t="s">
        <v>1611</v>
      </c>
      <c r="C71" s="32" t="s">
        <v>1473</v>
      </c>
      <c r="D71" s="32" t="s">
        <v>1473</v>
      </c>
      <c r="E71" s="32" t="s">
        <v>1470</v>
      </c>
      <c r="F71" s="32" t="s">
        <v>865</v>
      </c>
      <c r="G71" s="32" t="s">
        <v>865</v>
      </c>
      <c r="H71" s="32" t="s">
        <v>865</v>
      </c>
      <c r="I71" s="32" t="s">
        <v>865</v>
      </c>
      <c r="J71" s="32" t="s">
        <v>865</v>
      </c>
      <c r="K71" s="32" t="s">
        <v>865</v>
      </c>
    </row>
    <row r="72" spans="1:11" ht="15" customHeight="1" x14ac:dyDescent="0.2">
      <c r="A72" s="32" t="s">
        <v>1612</v>
      </c>
      <c r="B72" s="32" t="s">
        <v>1613</v>
      </c>
      <c r="C72" s="32" t="s">
        <v>1494</v>
      </c>
      <c r="D72" s="32" t="s">
        <v>1495</v>
      </c>
      <c r="E72" s="32" t="s">
        <v>1470</v>
      </c>
      <c r="F72" s="32" t="s">
        <v>1513</v>
      </c>
      <c r="G72" s="32" t="s">
        <v>1614</v>
      </c>
      <c r="H72" s="32" t="s">
        <v>1615</v>
      </c>
      <c r="I72" s="32" t="s">
        <v>1494</v>
      </c>
      <c r="J72" s="32" t="s">
        <v>1495</v>
      </c>
      <c r="K72" s="32" t="s">
        <v>1470</v>
      </c>
    </row>
    <row r="73" spans="1:11" ht="15" customHeight="1" x14ac:dyDescent="0.2">
      <c r="A73" s="32" t="s">
        <v>1612</v>
      </c>
      <c r="B73" s="32" t="s">
        <v>1613</v>
      </c>
      <c r="C73" s="32" t="s">
        <v>1494</v>
      </c>
      <c r="D73" s="32" t="s">
        <v>1495</v>
      </c>
      <c r="E73" s="32" t="s">
        <v>1470</v>
      </c>
      <c r="F73" s="32" t="s">
        <v>1513</v>
      </c>
      <c r="G73" s="32" t="s">
        <v>1616</v>
      </c>
      <c r="H73" s="32" t="s">
        <v>1617</v>
      </c>
      <c r="I73" s="32" t="s">
        <v>1494</v>
      </c>
      <c r="J73" s="32" t="s">
        <v>1495</v>
      </c>
      <c r="K73" s="32" t="s">
        <v>1470</v>
      </c>
    </row>
    <row r="74" spans="1:11" ht="15" customHeight="1" x14ac:dyDescent="0.2">
      <c r="A74" s="32" t="s">
        <v>1612</v>
      </c>
      <c r="B74" s="32" t="s">
        <v>1613</v>
      </c>
      <c r="C74" s="32" t="s">
        <v>1494</v>
      </c>
      <c r="D74" s="32" t="s">
        <v>1495</v>
      </c>
      <c r="E74" s="32" t="s">
        <v>1470</v>
      </c>
      <c r="F74" s="32" t="s">
        <v>1513</v>
      </c>
      <c r="G74" s="32" t="s">
        <v>1618</v>
      </c>
      <c r="H74" s="32" t="s">
        <v>1619</v>
      </c>
      <c r="I74" s="32" t="s">
        <v>1494</v>
      </c>
      <c r="J74" s="32" t="s">
        <v>1495</v>
      </c>
      <c r="K74" s="32" t="s">
        <v>1470</v>
      </c>
    </row>
    <row r="75" spans="1:11" ht="15" customHeight="1" x14ac:dyDescent="0.2">
      <c r="A75" s="32" t="s">
        <v>1612</v>
      </c>
      <c r="B75" s="32" t="s">
        <v>1613</v>
      </c>
      <c r="C75" s="32" t="s">
        <v>1494</v>
      </c>
      <c r="D75" s="32" t="s">
        <v>1495</v>
      </c>
      <c r="E75" s="32" t="s">
        <v>1470</v>
      </c>
      <c r="F75" s="32" t="s">
        <v>1513</v>
      </c>
      <c r="G75" s="32" t="s">
        <v>1620</v>
      </c>
      <c r="H75" s="32" t="s">
        <v>1621</v>
      </c>
      <c r="I75" s="32" t="s">
        <v>1494</v>
      </c>
      <c r="J75" s="32" t="s">
        <v>1495</v>
      </c>
      <c r="K75" s="32" t="s">
        <v>1470</v>
      </c>
    </row>
    <row r="76" spans="1:11" ht="15" customHeight="1" x14ac:dyDescent="0.2">
      <c r="A76" s="32" t="s">
        <v>1612</v>
      </c>
      <c r="B76" s="32" t="s">
        <v>1613</v>
      </c>
      <c r="C76" s="32" t="s">
        <v>1494</v>
      </c>
      <c r="D76" s="32" t="s">
        <v>1495</v>
      </c>
      <c r="E76" s="32" t="s">
        <v>1470</v>
      </c>
      <c r="F76" s="32" t="s">
        <v>1513</v>
      </c>
      <c r="G76" s="32" t="s">
        <v>1622</v>
      </c>
      <c r="H76" s="32" t="s">
        <v>1623</v>
      </c>
      <c r="I76" s="32" t="s">
        <v>1494</v>
      </c>
      <c r="J76" s="32" t="s">
        <v>1495</v>
      </c>
      <c r="K76" s="32" t="s">
        <v>1470</v>
      </c>
    </row>
    <row r="77" spans="1:11" ht="15" customHeight="1" x14ac:dyDescent="0.2">
      <c r="A77" s="32" t="s">
        <v>1612</v>
      </c>
      <c r="B77" s="32" t="s">
        <v>1613</v>
      </c>
      <c r="C77" s="32" t="s">
        <v>1494</v>
      </c>
      <c r="D77" s="32" t="s">
        <v>1495</v>
      </c>
      <c r="E77" s="32" t="s">
        <v>1470</v>
      </c>
      <c r="F77" s="32" t="s">
        <v>1513</v>
      </c>
      <c r="G77" s="32" t="s">
        <v>1624</v>
      </c>
      <c r="H77" s="32" t="s">
        <v>1625</v>
      </c>
      <c r="I77" s="32" t="s">
        <v>1494</v>
      </c>
      <c r="J77" s="32" t="s">
        <v>1495</v>
      </c>
      <c r="K77" s="32" t="s">
        <v>1470</v>
      </c>
    </row>
    <row r="78" spans="1:11" ht="15" customHeight="1" x14ac:dyDescent="0.2">
      <c r="A78" s="32" t="s">
        <v>1612</v>
      </c>
      <c r="B78" s="32" t="s">
        <v>1613</v>
      </c>
      <c r="C78" s="32" t="s">
        <v>1494</v>
      </c>
      <c r="D78" s="32" t="s">
        <v>1495</v>
      </c>
      <c r="E78" s="32" t="s">
        <v>1470</v>
      </c>
      <c r="F78" s="32" t="s">
        <v>1513</v>
      </c>
      <c r="G78" s="32" t="s">
        <v>1626</v>
      </c>
      <c r="H78" s="32" t="s">
        <v>1627</v>
      </c>
      <c r="I78" s="32" t="s">
        <v>1494</v>
      </c>
      <c r="J78" s="32" t="s">
        <v>1495</v>
      </c>
      <c r="K78" s="32" t="s">
        <v>1470</v>
      </c>
    </row>
    <row r="79" spans="1:11" ht="15" customHeight="1" x14ac:dyDescent="0.2">
      <c r="A79" s="32" t="s">
        <v>1612</v>
      </c>
      <c r="B79" s="32" t="s">
        <v>1613</v>
      </c>
      <c r="C79" s="32" t="s">
        <v>1494</v>
      </c>
      <c r="D79" s="32" t="s">
        <v>1495</v>
      </c>
      <c r="E79" s="32" t="s">
        <v>1470</v>
      </c>
      <c r="F79" s="32" t="s">
        <v>1513</v>
      </c>
      <c r="G79" s="32" t="s">
        <v>1628</v>
      </c>
      <c r="H79" s="32" t="s">
        <v>1629</v>
      </c>
      <c r="I79" s="32" t="s">
        <v>1494</v>
      </c>
      <c r="J79" s="32" t="s">
        <v>1495</v>
      </c>
      <c r="K79" s="32" t="s">
        <v>1470</v>
      </c>
    </row>
    <row r="80" spans="1:11" ht="15" customHeight="1" x14ac:dyDescent="0.2">
      <c r="A80" s="32" t="s">
        <v>1612</v>
      </c>
      <c r="B80" s="32" t="s">
        <v>1613</v>
      </c>
      <c r="C80" s="32" t="s">
        <v>1494</v>
      </c>
      <c r="D80" s="32" t="s">
        <v>1495</v>
      </c>
      <c r="E80" s="32" t="s">
        <v>1470</v>
      </c>
      <c r="F80" s="32" t="s">
        <v>1513</v>
      </c>
      <c r="G80" s="32" t="s">
        <v>1630</v>
      </c>
      <c r="H80" s="32" t="s">
        <v>1631</v>
      </c>
      <c r="I80" s="32" t="s">
        <v>1494</v>
      </c>
      <c r="J80" s="32" t="s">
        <v>1495</v>
      </c>
      <c r="K80" s="32" t="s">
        <v>1470</v>
      </c>
    </row>
    <row r="81" spans="1:11" ht="15" customHeight="1" x14ac:dyDescent="0.2">
      <c r="A81" s="32" t="s">
        <v>1612</v>
      </c>
      <c r="B81" s="32" t="s">
        <v>1613</v>
      </c>
      <c r="C81" s="32" t="s">
        <v>1494</v>
      </c>
      <c r="D81" s="32" t="s">
        <v>1495</v>
      </c>
      <c r="E81" s="32" t="s">
        <v>1470</v>
      </c>
      <c r="F81" s="32" t="s">
        <v>1513</v>
      </c>
      <c r="G81" s="32" t="s">
        <v>1632</v>
      </c>
      <c r="H81" s="32" t="s">
        <v>1633</v>
      </c>
      <c r="I81" s="32" t="s">
        <v>1494</v>
      </c>
      <c r="J81" s="32" t="s">
        <v>1495</v>
      </c>
      <c r="K81" s="32" t="s">
        <v>1470</v>
      </c>
    </row>
    <row r="82" spans="1:11" ht="15" customHeight="1" x14ac:dyDescent="0.2">
      <c r="A82" s="32" t="s">
        <v>1612</v>
      </c>
      <c r="B82" s="32" t="s">
        <v>1613</v>
      </c>
      <c r="C82" s="32" t="s">
        <v>1494</v>
      </c>
      <c r="D82" s="32" t="s">
        <v>1495</v>
      </c>
      <c r="E82" s="32" t="s">
        <v>1470</v>
      </c>
      <c r="F82" s="32" t="s">
        <v>1513</v>
      </c>
      <c r="G82" s="32" t="s">
        <v>1634</v>
      </c>
      <c r="H82" s="32" t="s">
        <v>1635</v>
      </c>
      <c r="I82" s="32" t="s">
        <v>1494</v>
      </c>
      <c r="J82" s="32" t="s">
        <v>1495</v>
      </c>
      <c r="K82" s="32" t="s">
        <v>1470</v>
      </c>
    </row>
    <row r="83" spans="1:11" ht="15" customHeight="1" x14ac:dyDescent="0.2">
      <c r="A83" s="32" t="s">
        <v>1636</v>
      </c>
      <c r="B83" s="32" t="s">
        <v>1636</v>
      </c>
      <c r="C83" s="32" t="s">
        <v>1506</v>
      </c>
      <c r="D83" s="32" t="s">
        <v>1507</v>
      </c>
      <c r="E83" s="32" t="s">
        <v>1479</v>
      </c>
      <c r="F83" s="32" t="s">
        <v>865</v>
      </c>
      <c r="G83" s="32" t="s">
        <v>865</v>
      </c>
      <c r="H83" s="32" t="s">
        <v>865</v>
      </c>
      <c r="I83" s="32" t="s">
        <v>865</v>
      </c>
      <c r="J83" s="32" t="s">
        <v>865</v>
      </c>
      <c r="K83" s="32" t="s">
        <v>865</v>
      </c>
    </row>
    <row r="84" spans="1:11" ht="15" customHeight="1" x14ac:dyDescent="0.2">
      <c r="A84" s="32" t="s">
        <v>1637</v>
      </c>
      <c r="B84" s="32" t="s">
        <v>1638</v>
      </c>
      <c r="C84" s="32" t="s">
        <v>1639</v>
      </c>
      <c r="D84" s="32" t="s">
        <v>1639</v>
      </c>
      <c r="E84" s="32" t="s">
        <v>1470</v>
      </c>
      <c r="F84" s="32" t="s">
        <v>1513</v>
      </c>
      <c r="G84" s="32" t="s">
        <v>1640</v>
      </c>
      <c r="H84" s="32" t="s">
        <v>1641</v>
      </c>
      <c r="I84" s="32" t="s">
        <v>1639</v>
      </c>
      <c r="J84" s="32" t="s">
        <v>1639</v>
      </c>
      <c r="K84" s="32" t="s">
        <v>1470</v>
      </c>
    </row>
    <row r="85" spans="1:11" ht="15" customHeight="1" x14ac:dyDescent="0.2">
      <c r="A85" s="32" t="s">
        <v>1637</v>
      </c>
      <c r="B85" s="32" t="s">
        <v>1638</v>
      </c>
      <c r="C85" s="32" t="s">
        <v>1639</v>
      </c>
      <c r="D85" s="32" t="s">
        <v>1639</v>
      </c>
      <c r="E85" s="32" t="s">
        <v>1470</v>
      </c>
      <c r="F85" s="32" t="s">
        <v>1513</v>
      </c>
      <c r="G85" s="32" t="s">
        <v>1637</v>
      </c>
      <c r="H85" s="32" t="s">
        <v>1638</v>
      </c>
      <c r="I85" s="32" t="s">
        <v>1639</v>
      </c>
      <c r="J85" s="32" t="s">
        <v>1639</v>
      </c>
      <c r="K85" s="32" t="s">
        <v>1470</v>
      </c>
    </row>
    <row r="86" spans="1:11" ht="15" customHeight="1" x14ac:dyDescent="0.2">
      <c r="A86" s="32" t="s">
        <v>1637</v>
      </c>
      <c r="B86" s="32" t="s">
        <v>1638</v>
      </c>
      <c r="C86" s="32" t="s">
        <v>1639</v>
      </c>
      <c r="D86" s="32" t="s">
        <v>1639</v>
      </c>
      <c r="E86" s="32" t="s">
        <v>1470</v>
      </c>
      <c r="F86" s="32" t="s">
        <v>1513</v>
      </c>
      <c r="G86" s="32" t="s">
        <v>1642</v>
      </c>
      <c r="H86" s="32" t="s">
        <v>1643</v>
      </c>
      <c r="I86" s="32" t="s">
        <v>1639</v>
      </c>
      <c r="J86" s="32" t="s">
        <v>1639</v>
      </c>
      <c r="K86" s="32" t="s">
        <v>1470</v>
      </c>
    </row>
    <row r="87" spans="1:11" ht="15" customHeight="1" x14ac:dyDescent="0.2">
      <c r="A87" s="32" t="s">
        <v>1637</v>
      </c>
      <c r="B87" s="32" t="s">
        <v>1638</v>
      </c>
      <c r="C87" s="32" t="s">
        <v>1639</v>
      </c>
      <c r="D87" s="32" t="s">
        <v>1639</v>
      </c>
      <c r="E87" s="32" t="s">
        <v>1470</v>
      </c>
      <c r="F87" s="32" t="s">
        <v>1513</v>
      </c>
      <c r="G87" s="32" t="s">
        <v>1644</v>
      </c>
      <c r="H87" s="32" t="s">
        <v>1645</v>
      </c>
      <c r="I87" s="32" t="s">
        <v>1477</v>
      </c>
      <c r="J87" s="32" t="s">
        <v>1646</v>
      </c>
      <c r="K87" s="32" t="s">
        <v>1470</v>
      </c>
    </row>
    <row r="88" spans="1:11" ht="15" customHeight="1" x14ac:dyDescent="0.2">
      <c r="A88" s="32" t="s">
        <v>1647</v>
      </c>
      <c r="B88" s="32" t="s">
        <v>1648</v>
      </c>
      <c r="C88" s="32" t="s">
        <v>1506</v>
      </c>
      <c r="D88" s="32" t="s">
        <v>1507</v>
      </c>
      <c r="E88" s="32" t="s">
        <v>1470</v>
      </c>
      <c r="F88" s="32" t="s">
        <v>865</v>
      </c>
      <c r="G88" s="32" t="s">
        <v>865</v>
      </c>
      <c r="H88" s="32" t="s">
        <v>865</v>
      </c>
      <c r="I88" s="32" t="s">
        <v>865</v>
      </c>
      <c r="J88" s="32" t="s">
        <v>865</v>
      </c>
      <c r="K88" s="32" t="s">
        <v>865</v>
      </c>
    </row>
    <row r="89" spans="1:11" ht="15" customHeight="1" x14ac:dyDescent="0.2">
      <c r="A89" s="32" t="s">
        <v>1649</v>
      </c>
      <c r="B89" s="32" t="s">
        <v>1650</v>
      </c>
      <c r="C89" s="32" t="s">
        <v>1477</v>
      </c>
      <c r="D89" s="32" t="s">
        <v>1646</v>
      </c>
      <c r="E89" s="32" t="s">
        <v>1470</v>
      </c>
      <c r="F89" s="32" t="s">
        <v>865</v>
      </c>
      <c r="G89" s="32" t="s">
        <v>865</v>
      </c>
      <c r="H89" s="32" t="s">
        <v>865</v>
      </c>
      <c r="I89" s="32" t="s">
        <v>865</v>
      </c>
      <c r="J89" s="32" t="s">
        <v>865</v>
      </c>
      <c r="K89" s="32" t="s">
        <v>865</v>
      </c>
    </row>
    <row r="90" spans="1:11" ht="15" customHeight="1" x14ac:dyDescent="0.2">
      <c r="A90" s="32" t="s">
        <v>1651</v>
      </c>
      <c r="B90" s="32" t="s">
        <v>1652</v>
      </c>
      <c r="C90" s="32" t="s">
        <v>1488</v>
      </c>
      <c r="D90" s="32" t="s">
        <v>1498</v>
      </c>
      <c r="E90" s="32" t="s">
        <v>1470</v>
      </c>
      <c r="F90" s="32" t="s">
        <v>865</v>
      </c>
      <c r="G90" s="32" t="s">
        <v>865</v>
      </c>
      <c r="H90" s="32" t="s">
        <v>865</v>
      </c>
      <c r="I90" s="32" t="s">
        <v>865</v>
      </c>
      <c r="J90" s="32" t="s">
        <v>865</v>
      </c>
      <c r="K90" s="32" t="s">
        <v>865</v>
      </c>
    </row>
    <row r="91" spans="1:11" ht="15" customHeight="1" x14ac:dyDescent="0.2">
      <c r="A91" s="32" t="s">
        <v>1653</v>
      </c>
      <c r="B91" s="32" t="s">
        <v>1654</v>
      </c>
      <c r="C91" s="32" t="s">
        <v>1494</v>
      </c>
      <c r="D91" s="32" t="s">
        <v>1542</v>
      </c>
      <c r="E91" s="32" t="s">
        <v>1470</v>
      </c>
      <c r="F91" s="32" t="s">
        <v>865</v>
      </c>
      <c r="G91" s="32" t="s">
        <v>865</v>
      </c>
      <c r="H91" s="32" t="s">
        <v>865</v>
      </c>
      <c r="I91" s="32" t="s">
        <v>865</v>
      </c>
      <c r="J91" s="32" t="s">
        <v>865</v>
      </c>
      <c r="K91" s="32" t="s">
        <v>865</v>
      </c>
    </row>
    <row r="92" spans="1:11" ht="15" customHeight="1" x14ac:dyDescent="0.2">
      <c r="A92" s="32" t="s">
        <v>1655</v>
      </c>
      <c r="B92" s="32" t="s">
        <v>1656</v>
      </c>
      <c r="C92" s="32" t="s">
        <v>1506</v>
      </c>
      <c r="D92" s="32" t="s">
        <v>1522</v>
      </c>
      <c r="E92" s="32" t="s">
        <v>1470</v>
      </c>
      <c r="F92" s="32" t="s">
        <v>865</v>
      </c>
      <c r="G92" s="32" t="s">
        <v>865</v>
      </c>
      <c r="H92" s="32" t="s">
        <v>865</v>
      </c>
      <c r="I92" s="32" t="s">
        <v>865</v>
      </c>
      <c r="J92" s="32" t="s">
        <v>865</v>
      </c>
      <c r="K92" s="32" t="s">
        <v>865</v>
      </c>
    </row>
    <row r="93" spans="1:11" ht="15" customHeight="1" x14ac:dyDescent="0.2">
      <c r="A93" s="32" t="s">
        <v>1657</v>
      </c>
      <c r="B93" s="32" t="s">
        <v>1658</v>
      </c>
      <c r="C93" s="32" t="s">
        <v>1484</v>
      </c>
      <c r="D93" s="32" t="s">
        <v>1571</v>
      </c>
      <c r="E93" s="32" t="s">
        <v>1470</v>
      </c>
      <c r="F93" s="32" t="s">
        <v>865</v>
      </c>
      <c r="G93" s="32" t="s">
        <v>865</v>
      </c>
      <c r="H93" s="32" t="s">
        <v>865</v>
      </c>
      <c r="I93" s="32" t="s">
        <v>865</v>
      </c>
      <c r="J93" s="32" t="s">
        <v>865</v>
      </c>
      <c r="K93" s="32" t="s">
        <v>865</v>
      </c>
    </row>
    <row r="94" spans="1:11" ht="15" customHeight="1" x14ac:dyDescent="0.2">
      <c r="A94" s="32" t="s">
        <v>1659</v>
      </c>
      <c r="B94" s="32" t="s">
        <v>1660</v>
      </c>
      <c r="C94" s="32" t="s">
        <v>1488</v>
      </c>
      <c r="D94" s="32" t="s">
        <v>1498</v>
      </c>
      <c r="E94" s="32" t="s">
        <v>1470</v>
      </c>
      <c r="F94" s="32" t="s">
        <v>865</v>
      </c>
      <c r="G94" s="32" t="s">
        <v>865</v>
      </c>
      <c r="H94" s="32" t="s">
        <v>865</v>
      </c>
      <c r="I94" s="32" t="s">
        <v>865</v>
      </c>
      <c r="J94" s="32" t="s">
        <v>865</v>
      </c>
      <c r="K94" s="32" t="s">
        <v>865</v>
      </c>
    </row>
    <row r="95" spans="1:11" ht="15" customHeight="1" x14ac:dyDescent="0.2">
      <c r="A95" s="32" t="s">
        <v>1661</v>
      </c>
      <c r="B95" s="32" t="s">
        <v>1662</v>
      </c>
      <c r="C95" s="32" t="s">
        <v>1547</v>
      </c>
      <c r="D95" s="32" t="s">
        <v>1547</v>
      </c>
      <c r="E95" s="32" t="s">
        <v>1470</v>
      </c>
      <c r="F95" s="32" t="s">
        <v>865</v>
      </c>
      <c r="G95" s="32" t="s">
        <v>865</v>
      </c>
      <c r="H95" s="32" t="s">
        <v>865</v>
      </c>
      <c r="I95" s="32" t="s">
        <v>865</v>
      </c>
      <c r="J95" s="32" t="s">
        <v>865</v>
      </c>
      <c r="K95" s="32" t="s">
        <v>865</v>
      </c>
    </row>
    <row r="96" spans="1:11" ht="15" customHeight="1" x14ac:dyDescent="0.2">
      <c r="A96" s="32" t="s">
        <v>1663</v>
      </c>
      <c r="B96" s="32" t="s">
        <v>1663</v>
      </c>
      <c r="C96" s="32" t="s">
        <v>1488</v>
      </c>
      <c r="D96" s="32" t="s">
        <v>1489</v>
      </c>
      <c r="E96" s="32" t="s">
        <v>1470</v>
      </c>
      <c r="F96" s="32" t="s">
        <v>865</v>
      </c>
      <c r="G96" s="32" t="s">
        <v>865</v>
      </c>
      <c r="H96" s="32" t="s">
        <v>865</v>
      </c>
      <c r="I96" s="32" t="s">
        <v>865</v>
      </c>
      <c r="J96" s="32" t="s">
        <v>865</v>
      </c>
      <c r="K96" s="32" t="s">
        <v>865</v>
      </c>
    </row>
    <row r="97" spans="1:11" ht="15" customHeight="1" x14ac:dyDescent="0.2">
      <c r="A97" s="32" t="s">
        <v>1664</v>
      </c>
      <c r="B97" s="32" t="s">
        <v>1665</v>
      </c>
      <c r="C97" s="32" t="s">
        <v>1488</v>
      </c>
      <c r="D97" s="32" t="s">
        <v>1489</v>
      </c>
      <c r="E97" s="32" t="s">
        <v>1470</v>
      </c>
      <c r="F97" s="32" t="s">
        <v>865</v>
      </c>
      <c r="G97" s="32" t="s">
        <v>865</v>
      </c>
      <c r="H97" s="32" t="s">
        <v>865</v>
      </c>
      <c r="I97" s="32" t="s">
        <v>865</v>
      </c>
      <c r="J97" s="32" t="s">
        <v>865</v>
      </c>
      <c r="K97" s="32" t="s">
        <v>865</v>
      </c>
    </row>
    <row r="98" spans="1:11" ht="15" customHeight="1" x14ac:dyDescent="0.2">
      <c r="A98" s="32" t="s">
        <v>1666</v>
      </c>
      <c r="B98" s="32" t="s">
        <v>1667</v>
      </c>
      <c r="C98" s="32" t="s">
        <v>1547</v>
      </c>
      <c r="D98" s="32" t="s">
        <v>1547</v>
      </c>
      <c r="E98" s="32" t="s">
        <v>1470</v>
      </c>
      <c r="F98" s="32" t="s">
        <v>865</v>
      </c>
      <c r="G98" s="32" t="s">
        <v>865</v>
      </c>
      <c r="H98" s="32" t="s">
        <v>865</v>
      </c>
      <c r="I98" s="32" t="s">
        <v>865</v>
      </c>
      <c r="J98" s="32" t="s">
        <v>865</v>
      </c>
      <c r="K98" s="32" t="s">
        <v>865</v>
      </c>
    </row>
    <row r="99" spans="1:11" ht="15" customHeight="1" x14ac:dyDescent="0.2">
      <c r="A99" s="32" t="s">
        <v>1668</v>
      </c>
      <c r="B99" s="32" t="s">
        <v>1669</v>
      </c>
      <c r="C99" s="32" t="s">
        <v>1477</v>
      </c>
      <c r="D99" s="32" t="s">
        <v>1478</v>
      </c>
      <c r="E99" s="32" t="s">
        <v>1470</v>
      </c>
      <c r="F99" s="32" t="s">
        <v>865</v>
      </c>
      <c r="G99" s="32" t="s">
        <v>865</v>
      </c>
      <c r="H99" s="32" t="s">
        <v>865</v>
      </c>
      <c r="I99" s="32" t="s">
        <v>865</v>
      </c>
      <c r="J99" s="32" t="s">
        <v>865</v>
      </c>
      <c r="K99" s="32" t="s">
        <v>865</v>
      </c>
    </row>
    <row r="100" spans="1:11" ht="15" customHeight="1" x14ac:dyDescent="0.2">
      <c r="A100" s="32" t="s">
        <v>1670</v>
      </c>
      <c r="B100" s="32" t="s">
        <v>1671</v>
      </c>
      <c r="C100" s="32" t="s">
        <v>1469</v>
      </c>
      <c r="D100" s="32" t="s">
        <v>1469</v>
      </c>
      <c r="E100" s="32" t="s">
        <v>1470</v>
      </c>
      <c r="F100" s="32" t="s">
        <v>865</v>
      </c>
      <c r="G100" s="32" t="s">
        <v>865</v>
      </c>
      <c r="H100" s="32" t="s">
        <v>865</v>
      </c>
      <c r="I100" s="32" t="s">
        <v>865</v>
      </c>
      <c r="J100" s="32" t="s">
        <v>865</v>
      </c>
      <c r="K100" s="32" t="s">
        <v>865</v>
      </c>
    </row>
    <row r="101" spans="1:11" ht="15" customHeight="1" x14ac:dyDescent="0.2">
      <c r="A101" s="32" t="s">
        <v>1672</v>
      </c>
      <c r="B101" s="32" t="s">
        <v>1673</v>
      </c>
      <c r="C101" s="32" t="s">
        <v>1469</v>
      </c>
      <c r="D101" s="32" t="s">
        <v>1469</v>
      </c>
      <c r="E101" s="32" t="s">
        <v>1470</v>
      </c>
      <c r="F101" s="32" t="s">
        <v>865</v>
      </c>
      <c r="G101" s="32" t="s">
        <v>865</v>
      </c>
      <c r="H101" s="32" t="s">
        <v>865</v>
      </c>
      <c r="I101" s="32" t="s">
        <v>865</v>
      </c>
      <c r="J101" s="32" t="s">
        <v>865</v>
      </c>
      <c r="K101" s="32" t="s">
        <v>865</v>
      </c>
    </row>
    <row r="102" spans="1:11" ht="15" customHeight="1" x14ac:dyDescent="0.2">
      <c r="A102" s="32" t="s">
        <v>1674</v>
      </c>
      <c r="B102" s="32" t="s">
        <v>1674</v>
      </c>
      <c r="C102" s="32" t="s">
        <v>1477</v>
      </c>
      <c r="D102" s="32" t="s">
        <v>1478</v>
      </c>
      <c r="E102" s="32" t="s">
        <v>1470</v>
      </c>
      <c r="F102" s="32" t="s">
        <v>865</v>
      </c>
      <c r="G102" s="32" t="s">
        <v>865</v>
      </c>
      <c r="H102" s="32" t="s">
        <v>865</v>
      </c>
      <c r="I102" s="32" t="s">
        <v>865</v>
      </c>
      <c r="J102" s="32" t="s">
        <v>865</v>
      </c>
      <c r="K102" s="32" t="s">
        <v>865</v>
      </c>
    </row>
    <row r="103" spans="1:11" ht="15" customHeight="1" x14ac:dyDescent="0.2">
      <c r="A103" s="32" t="s">
        <v>1675</v>
      </c>
      <c r="B103" s="32" t="s">
        <v>1676</v>
      </c>
      <c r="C103" s="32" t="s">
        <v>1488</v>
      </c>
      <c r="D103" s="32" t="s">
        <v>1498</v>
      </c>
      <c r="E103" s="32" t="s">
        <v>1470</v>
      </c>
      <c r="F103" s="32" t="s">
        <v>865</v>
      </c>
      <c r="G103" s="32" t="s">
        <v>865</v>
      </c>
      <c r="H103" s="32" t="s">
        <v>865</v>
      </c>
      <c r="I103" s="32" t="s">
        <v>865</v>
      </c>
      <c r="J103" s="32" t="s">
        <v>865</v>
      </c>
      <c r="K103" s="32" t="s">
        <v>865</v>
      </c>
    </row>
    <row r="104" spans="1:11" ht="15" customHeight="1" x14ac:dyDescent="0.2">
      <c r="A104" s="32" t="s">
        <v>1677</v>
      </c>
      <c r="B104" s="32" t="s">
        <v>1678</v>
      </c>
      <c r="C104" s="32" t="s">
        <v>1494</v>
      </c>
      <c r="D104" s="32" t="s">
        <v>1542</v>
      </c>
      <c r="E104" s="32" t="s">
        <v>1470</v>
      </c>
      <c r="F104" s="32" t="s">
        <v>865</v>
      </c>
      <c r="G104" s="32" t="s">
        <v>865</v>
      </c>
      <c r="H104" s="32" t="s">
        <v>865</v>
      </c>
      <c r="I104" s="32" t="s">
        <v>865</v>
      </c>
      <c r="J104" s="32" t="s">
        <v>865</v>
      </c>
      <c r="K104" s="32" t="s">
        <v>865</v>
      </c>
    </row>
    <row r="105" spans="1:11" ht="15" customHeight="1" x14ac:dyDescent="0.2">
      <c r="A105" s="32" t="s">
        <v>1679</v>
      </c>
      <c r="B105" s="32" t="s">
        <v>1680</v>
      </c>
      <c r="C105" s="32" t="s">
        <v>1494</v>
      </c>
      <c r="D105" s="32" t="s">
        <v>1542</v>
      </c>
      <c r="E105" s="32" t="s">
        <v>1470</v>
      </c>
      <c r="F105" s="32" t="s">
        <v>1513</v>
      </c>
      <c r="G105" s="32" t="s">
        <v>1681</v>
      </c>
      <c r="H105" s="32" t="s">
        <v>1682</v>
      </c>
      <c r="I105" s="32" t="s">
        <v>1494</v>
      </c>
      <c r="J105" s="32" t="s">
        <v>1542</v>
      </c>
      <c r="K105" s="32" t="s">
        <v>1470</v>
      </c>
    </row>
    <row r="106" spans="1:11" ht="15" customHeight="1" x14ac:dyDescent="0.2">
      <c r="A106" s="32" t="s">
        <v>1679</v>
      </c>
      <c r="B106" s="32" t="s">
        <v>1680</v>
      </c>
      <c r="C106" s="32" t="s">
        <v>1494</v>
      </c>
      <c r="D106" s="32" t="s">
        <v>1542</v>
      </c>
      <c r="E106" s="32" t="s">
        <v>1470</v>
      </c>
      <c r="F106" s="32" t="s">
        <v>1513</v>
      </c>
      <c r="G106" s="32" t="s">
        <v>1683</v>
      </c>
      <c r="H106" s="32" t="s">
        <v>1684</v>
      </c>
      <c r="I106" s="32" t="s">
        <v>1494</v>
      </c>
      <c r="J106" s="32" t="s">
        <v>1542</v>
      </c>
      <c r="K106" s="32" t="s">
        <v>1470</v>
      </c>
    </row>
    <row r="107" spans="1:11" ht="15" customHeight="1" x14ac:dyDescent="0.2">
      <c r="A107" s="32" t="s">
        <v>1685</v>
      </c>
      <c r="B107" s="32" t="s">
        <v>1686</v>
      </c>
      <c r="C107" s="32" t="s">
        <v>1488</v>
      </c>
      <c r="D107" s="32" t="s">
        <v>1489</v>
      </c>
      <c r="E107" s="32" t="s">
        <v>1470</v>
      </c>
      <c r="F107" s="32" t="s">
        <v>865</v>
      </c>
      <c r="G107" s="32" t="s">
        <v>865</v>
      </c>
      <c r="H107" s="32" t="s">
        <v>865</v>
      </c>
      <c r="I107" s="32" t="s">
        <v>865</v>
      </c>
      <c r="J107" s="32" t="s">
        <v>865</v>
      </c>
      <c r="K107" s="32" t="s">
        <v>865</v>
      </c>
    </row>
    <row r="108" spans="1:11" ht="15" customHeight="1" x14ac:dyDescent="0.2">
      <c r="A108" s="32" t="s">
        <v>1687</v>
      </c>
      <c r="B108" s="32" t="s">
        <v>1688</v>
      </c>
      <c r="C108" s="32" t="s">
        <v>1506</v>
      </c>
      <c r="D108" s="32" t="s">
        <v>1536</v>
      </c>
      <c r="E108" s="32" t="s">
        <v>1470</v>
      </c>
      <c r="F108" s="32" t="s">
        <v>865</v>
      </c>
      <c r="G108" s="32" t="s">
        <v>865</v>
      </c>
      <c r="H108" s="32" t="s">
        <v>865</v>
      </c>
      <c r="I108" s="32" t="s">
        <v>865</v>
      </c>
      <c r="J108" s="32" t="s">
        <v>865</v>
      </c>
      <c r="K108" s="32" t="s">
        <v>865</v>
      </c>
    </row>
    <row r="109" spans="1:11" ht="15" customHeight="1" x14ac:dyDescent="0.2">
      <c r="A109" s="32" t="s">
        <v>1689</v>
      </c>
      <c r="B109" s="32" t="s">
        <v>1690</v>
      </c>
      <c r="C109" s="32" t="s">
        <v>1477</v>
      </c>
      <c r="D109" s="32" t="s">
        <v>1565</v>
      </c>
      <c r="E109" s="32" t="s">
        <v>1470</v>
      </c>
      <c r="F109" s="32" t="s">
        <v>865</v>
      </c>
      <c r="G109" s="32" t="s">
        <v>865</v>
      </c>
      <c r="H109" s="32" t="s">
        <v>865</v>
      </c>
      <c r="I109" s="32" t="s">
        <v>865</v>
      </c>
      <c r="J109" s="32" t="s">
        <v>865</v>
      </c>
      <c r="K109" s="32" t="s">
        <v>865</v>
      </c>
    </row>
    <row r="110" spans="1:11" ht="15" customHeight="1" x14ac:dyDescent="0.2">
      <c r="A110" s="32" t="s">
        <v>1691</v>
      </c>
      <c r="B110" s="32" t="s">
        <v>1692</v>
      </c>
      <c r="C110" s="32" t="s">
        <v>1477</v>
      </c>
      <c r="D110" s="32" t="s">
        <v>1565</v>
      </c>
      <c r="E110" s="32" t="s">
        <v>1470</v>
      </c>
      <c r="F110" s="32" t="s">
        <v>865</v>
      </c>
      <c r="G110" s="32" t="s">
        <v>865</v>
      </c>
      <c r="H110" s="32" t="s">
        <v>865</v>
      </c>
      <c r="I110" s="32" t="s">
        <v>865</v>
      </c>
      <c r="J110" s="32" t="s">
        <v>865</v>
      </c>
      <c r="K110" s="32" t="s">
        <v>865</v>
      </c>
    </row>
    <row r="111" spans="1:11" ht="15" customHeight="1" x14ac:dyDescent="0.2">
      <c r="A111" s="32" t="s">
        <v>1693</v>
      </c>
      <c r="B111" s="32" t="s">
        <v>1694</v>
      </c>
      <c r="C111" s="32" t="s">
        <v>1484</v>
      </c>
      <c r="D111" s="32" t="s">
        <v>1571</v>
      </c>
      <c r="E111" s="32" t="s">
        <v>1470</v>
      </c>
      <c r="F111" s="32" t="s">
        <v>1513</v>
      </c>
      <c r="G111" s="32" t="s">
        <v>1693</v>
      </c>
      <c r="H111" s="32" t="s">
        <v>1694</v>
      </c>
      <c r="I111" s="32" t="s">
        <v>1484</v>
      </c>
      <c r="J111" s="32" t="s">
        <v>1571</v>
      </c>
      <c r="K111" s="32" t="s">
        <v>1470</v>
      </c>
    </row>
    <row r="112" spans="1:11" ht="15" customHeight="1" x14ac:dyDescent="0.2">
      <c r="A112" s="32" t="s">
        <v>1693</v>
      </c>
      <c r="B112" s="32" t="s">
        <v>1694</v>
      </c>
      <c r="C112" s="32" t="s">
        <v>1484</v>
      </c>
      <c r="D112" s="32" t="s">
        <v>1571</v>
      </c>
      <c r="E112" s="32" t="s">
        <v>1470</v>
      </c>
      <c r="F112" s="32" t="s">
        <v>1513</v>
      </c>
      <c r="G112" s="32" t="s">
        <v>1695</v>
      </c>
      <c r="H112" s="32" t="s">
        <v>1696</v>
      </c>
      <c r="I112" s="32" t="s">
        <v>1484</v>
      </c>
      <c r="J112" s="32" t="s">
        <v>1571</v>
      </c>
      <c r="K112" s="32" t="s">
        <v>1470</v>
      </c>
    </row>
    <row r="113" spans="1:11" ht="15" customHeight="1" x14ac:dyDescent="0.2">
      <c r="A113" s="32" t="s">
        <v>447</v>
      </c>
      <c r="B113" s="32" t="s">
        <v>1697</v>
      </c>
      <c r="C113" s="32" t="s">
        <v>1494</v>
      </c>
      <c r="D113" s="32" t="s">
        <v>1542</v>
      </c>
      <c r="E113" s="32" t="s">
        <v>1479</v>
      </c>
      <c r="F113" s="32" t="s">
        <v>865</v>
      </c>
      <c r="G113" s="32" t="s">
        <v>865</v>
      </c>
      <c r="H113" s="32" t="s">
        <v>865</v>
      </c>
      <c r="I113" s="32" t="s">
        <v>865</v>
      </c>
      <c r="J113" s="32" t="s">
        <v>865</v>
      </c>
      <c r="K113" s="32" t="s">
        <v>865</v>
      </c>
    </row>
    <row r="114" spans="1:11" ht="15" customHeight="1" x14ac:dyDescent="0.2">
      <c r="A114" s="32" t="s">
        <v>1698</v>
      </c>
      <c r="B114" s="32" t="s">
        <v>1698</v>
      </c>
      <c r="C114" s="32" t="s">
        <v>1506</v>
      </c>
      <c r="D114" s="32" t="s">
        <v>1507</v>
      </c>
      <c r="E114" s="32" t="s">
        <v>1470</v>
      </c>
      <c r="F114" s="32" t="s">
        <v>865</v>
      </c>
      <c r="G114" s="32" t="s">
        <v>865</v>
      </c>
      <c r="H114" s="32" t="s">
        <v>865</v>
      </c>
      <c r="I114" s="32" t="s">
        <v>865</v>
      </c>
      <c r="J114" s="32" t="s">
        <v>865</v>
      </c>
      <c r="K114" s="32" t="s">
        <v>865</v>
      </c>
    </row>
    <row r="115" spans="1:11" ht="15" customHeight="1" x14ac:dyDescent="0.2">
      <c r="A115" s="32" t="s">
        <v>1699</v>
      </c>
      <c r="B115" s="32" t="s">
        <v>1700</v>
      </c>
      <c r="C115" s="32" t="s">
        <v>1477</v>
      </c>
      <c r="D115" s="32" t="s">
        <v>1565</v>
      </c>
      <c r="E115" s="32" t="s">
        <v>1470</v>
      </c>
      <c r="F115" s="32" t="s">
        <v>865</v>
      </c>
      <c r="G115" s="32" t="s">
        <v>865</v>
      </c>
      <c r="H115" s="32" t="s">
        <v>865</v>
      </c>
      <c r="I115" s="32" t="s">
        <v>865</v>
      </c>
      <c r="J115" s="32" t="s">
        <v>865</v>
      </c>
      <c r="K115" s="32" t="s">
        <v>865</v>
      </c>
    </row>
    <row r="116" spans="1:11" ht="15" customHeight="1" x14ac:dyDescent="0.2">
      <c r="A116" s="32" t="s">
        <v>1701</v>
      </c>
      <c r="B116" s="32" t="s">
        <v>1702</v>
      </c>
      <c r="C116" s="32" t="s">
        <v>1477</v>
      </c>
      <c r="D116" s="32" t="s">
        <v>1565</v>
      </c>
      <c r="E116" s="32" t="s">
        <v>1479</v>
      </c>
      <c r="F116" s="32" t="s">
        <v>865</v>
      </c>
      <c r="G116" s="32" t="s">
        <v>865</v>
      </c>
      <c r="H116" s="32" t="s">
        <v>865</v>
      </c>
      <c r="I116" s="32" t="s">
        <v>865</v>
      </c>
      <c r="J116" s="32" t="s">
        <v>865</v>
      </c>
      <c r="K116" s="32" t="s">
        <v>865</v>
      </c>
    </row>
    <row r="117" spans="1:11" ht="15" customHeight="1" x14ac:dyDescent="0.2">
      <c r="A117" s="32" t="s">
        <v>1703</v>
      </c>
      <c r="B117" s="32" t="s">
        <v>1703</v>
      </c>
      <c r="C117" s="32" t="s">
        <v>1494</v>
      </c>
      <c r="D117" s="32" t="s">
        <v>1542</v>
      </c>
      <c r="E117" s="32" t="s">
        <v>1479</v>
      </c>
      <c r="F117" s="32" t="s">
        <v>865</v>
      </c>
      <c r="G117" s="32" t="s">
        <v>865</v>
      </c>
      <c r="H117" s="32" t="s">
        <v>865</v>
      </c>
      <c r="I117" s="32" t="s">
        <v>865</v>
      </c>
      <c r="J117" s="32" t="s">
        <v>865</v>
      </c>
      <c r="K117" s="32" t="s">
        <v>865</v>
      </c>
    </row>
    <row r="118" spans="1:11" ht="15" customHeight="1" x14ac:dyDescent="0.2">
      <c r="A118" s="32" t="s">
        <v>1704</v>
      </c>
      <c r="B118" s="32" t="s">
        <v>1705</v>
      </c>
      <c r="C118" s="32" t="s">
        <v>1506</v>
      </c>
      <c r="D118" s="32" t="s">
        <v>1522</v>
      </c>
      <c r="E118" s="32" t="s">
        <v>1470</v>
      </c>
      <c r="F118" s="32" t="s">
        <v>865</v>
      </c>
      <c r="G118" s="32" t="s">
        <v>865</v>
      </c>
      <c r="H118" s="32" t="s">
        <v>865</v>
      </c>
      <c r="I118" s="32" t="s">
        <v>865</v>
      </c>
      <c r="J118" s="32" t="s">
        <v>865</v>
      </c>
      <c r="K118" s="32" t="s">
        <v>865</v>
      </c>
    </row>
    <row r="119" spans="1:11" ht="15" customHeight="1" x14ac:dyDescent="0.2">
      <c r="A119" s="32" t="s">
        <v>1706</v>
      </c>
      <c r="B119" s="32" t="s">
        <v>1707</v>
      </c>
      <c r="C119" s="32" t="s">
        <v>1473</v>
      </c>
      <c r="D119" s="32" t="s">
        <v>1473</v>
      </c>
      <c r="E119" s="32" t="s">
        <v>1470</v>
      </c>
      <c r="F119" s="32" t="s">
        <v>865</v>
      </c>
      <c r="G119" s="32" t="s">
        <v>865</v>
      </c>
      <c r="H119" s="32" t="s">
        <v>865</v>
      </c>
      <c r="I119" s="32" t="s">
        <v>865</v>
      </c>
      <c r="J119" s="32" t="s">
        <v>865</v>
      </c>
      <c r="K119" s="32" t="s">
        <v>865</v>
      </c>
    </row>
    <row r="120" spans="1:11" ht="15" customHeight="1" x14ac:dyDescent="0.2">
      <c r="A120" s="32" t="s">
        <v>1708</v>
      </c>
      <c r="B120" s="32" t="s">
        <v>1708</v>
      </c>
      <c r="C120" s="32" t="s">
        <v>1494</v>
      </c>
      <c r="D120" s="32" t="s">
        <v>1554</v>
      </c>
      <c r="E120" s="32" t="s">
        <v>1470</v>
      </c>
      <c r="F120" s="32" t="s">
        <v>865</v>
      </c>
      <c r="G120" s="32" t="s">
        <v>865</v>
      </c>
      <c r="H120" s="32" t="s">
        <v>865</v>
      </c>
      <c r="I120" s="32" t="s">
        <v>865</v>
      </c>
      <c r="J120" s="32" t="s">
        <v>865</v>
      </c>
      <c r="K120" s="32" t="s">
        <v>865</v>
      </c>
    </row>
    <row r="121" spans="1:11" ht="15" customHeight="1" x14ac:dyDescent="0.2">
      <c r="A121" s="32" t="s">
        <v>1709</v>
      </c>
      <c r="B121" s="32" t="s">
        <v>1710</v>
      </c>
      <c r="C121" s="32" t="s">
        <v>1494</v>
      </c>
      <c r="D121" s="32" t="s">
        <v>1495</v>
      </c>
      <c r="E121" s="32" t="s">
        <v>1470</v>
      </c>
      <c r="F121" s="32" t="s">
        <v>1513</v>
      </c>
      <c r="G121" s="32" t="s">
        <v>1711</v>
      </c>
      <c r="H121" s="32" t="s">
        <v>1712</v>
      </c>
      <c r="I121" s="32" t="s">
        <v>1494</v>
      </c>
      <c r="J121" s="32" t="s">
        <v>1495</v>
      </c>
      <c r="K121" s="32" t="s">
        <v>1470</v>
      </c>
    </row>
    <row r="122" spans="1:11" ht="15" customHeight="1" x14ac:dyDescent="0.2">
      <c r="A122" s="32" t="s">
        <v>1709</v>
      </c>
      <c r="B122" s="32" t="s">
        <v>1710</v>
      </c>
      <c r="C122" s="32" t="s">
        <v>1494</v>
      </c>
      <c r="D122" s="32" t="s">
        <v>1495</v>
      </c>
      <c r="E122" s="32" t="s">
        <v>1470</v>
      </c>
      <c r="F122" s="32" t="s">
        <v>1513</v>
      </c>
      <c r="G122" s="32" t="s">
        <v>1709</v>
      </c>
      <c r="H122" s="32" t="s">
        <v>1710</v>
      </c>
      <c r="I122" s="32" t="s">
        <v>1494</v>
      </c>
      <c r="J122" s="32" t="s">
        <v>1495</v>
      </c>
      <c r="K122" s="32" t="s">
        <v>1470</v>
      </c>
    </row>
    <row r="123" spans="1:11" ht="15" customHeight="1" x14ac:dyDescent="0.2">
      <c r="A123" s="32" t="s">
        <v>1713</v>
      </c>
      <c r="B123" s="32" t="s">
        <v>1714</v>
      </c>
      <c r="C123" s="32" t="s">
        <v>1484</v>
      </c>
      <c r="D123" s="32" t="s">
        <v>1485</v>
      </c>
      <c r="E123" s="32" t="s">
        <v>1470</v>
      </c>
      <c r="F123" s="32" t="s">
        <v>865</v>
      </c>
      <c r="G123" s="32" t="s">
        <v>865</v>
      </c>
      <c r="H123" s="32" t="s">
        <v>865</v>
      </c>
      <c r="I123" s="32" t="s">
        <v>865</v>
      </c>
      <c r="J123" s="32" t="s">
        <v>865</v>
      </c>
      <c r="K123" s="32" t="s">
        <v>865</v>
      </c>
    </row>
    <row r="124" spans="1:11" ht="15" customHeight="1" x14ac:dyDescent="0.2">
      <c r="A124" s="32" t="s">
        <v>1715</v>
      </c>
      <c r="B124" s="32" t="s">
        <v>1716</v>
      </c>
      <c r="C124" s="32" t="s">
        <v>1484</v>
      </c>
      <c r="D124" s="32" t="s">
        <v>1485</v>
      </c>
      <c r="E124" s="32" t="s">
        <v>1470</v>
      </c>
      <c r="F124" s="32" t="s">
        <v>865</v>
      </c>
      <c r="G124" s="32" t="s">
        <v>865</v>
      </c>
      <c r="H124" s="32" t="s">
        <v>865</v>
      </c>
      <c r="I124" s="32" t="s">
        <v>865</v>
      </c>
      <c r="J124" s="32" t="s">
        <v>865</v>
      </c>
      <c r="K124" s="32" t="s">
        <v>865</v>
      </c>
    </row>
    <row r="125" spans="1:11" ht="15" customHeight="1" x14ac:dyDescent="0.2">
      <c r="A125" s="32" t="s">
        <v>1717</v>
      </c>
      <c r="B125" s="32" t="s">
        <v>1717</v>
      </c>
      <c r="C125" s="32" t="s">
        <v>1477</v>
      </c>
      <c r="D125" s="32" t="s">
        <v>1478</v>
      </c>
      <c r="E125" s="32" t="s">
        <v>1470</v>
      </c>
      <c r="F125" s="32" t="s">
        <v>865</v>
      </c>
      <c r="G125" s="32" t="s">
        <v>865</v>
      </c>
      <c r="H125" s="32" t="s">
        <v>865</v>
      </c>
      <c r="I125" s="32" t="s">
        <v>865</v>
      </c>
      <c r="J125" s="32" t="s">
        <v>865</v>
      </c>
      <c r="K125" s="32" t="s">
        <v>865</v>
      </c>
    </row>
    <row r="126" spans="1:11" ht="15" customHeight="1" x14ac:dyDescent="0.2">
      <c r="A126" s="32" t="s">
        <v>1718</v>
      </c>
      <c r="B126" s="32" t="s">
        <v>1718</v>
      </c>
      <c r="C126" s="32" t="s">
        <v>1477</v>
      </c>
      <c r="D126" s="32" t="s">
        <v>1478</v>
      </c>
      <c r="E126" s="32" t="s">
        <v>1479</v>
      </c>
      <c r="F126" s="32" t="s">
        <v>865</v>
      </c>
      <c r="G126" s="32" t="s">
        <v>865</v>
      </c>
      <c r="H126" s="32" t="s">
        <v>865</v>
      </c>
      <c r="I126" s="32" t="s">
        <v>865</v>
      </c>
      <c r="J126" s="32" t="s">
        <v>865</v>
      </c>
      <c r="K126" s="32" t="s">
        <v>865</v>
      </c>
    </row>
    <row r="127" spans="1:11" ht="15" customHeight="1" x14ac:dyDescent="0.2">
      <c r="A127" s="32" t="s">
        <v>1719</v>
      </c>
      <c r="B127" s="32" t="s">
        <v>1719</v>
      </c>
      <c r="C127" s="32" t="s">
        <v>1477</v>
      </c>
      <c r="D127" s="32" t="s">
        <v>1478</v>
      </c>
      <c r="E127" s="32" t="s">
        <v>1470</v>
      </c>
      <c r="F127" s="32" t="s">
        <v>865</v>
      </c>
      <c r="G127" s="32" t="s">
        <v>865</v>
      </c>
      <c r="H127" s="32" t="s">
        <v>865</v>
      </c>
      <c r="I127" s="32" t="s">
        <v>865</v>
      </c>
      <c r="J127" s="32" t="s">
        <v>865</v>
      </c>
      <c r="K127" s="32" t="s">
        <v>865</v>
      </c>
    </row>
    <row r="128" spans="1:11" ht="15" customHeight="1" x14ac:dyDescent="0.2">
      <c r="A128" s="32" t="s">
        <v>1720</v>
      </c>
      <c r="B128" s="32" t="s">
        <v>1720</v>
      </c>
      <c r="C128" s="32" t="s">
        <v>1477</v>
      </c>
      <c r="D128" s="32" t="s">
        <v>1478</v>
      </c>
      <c r="E128" s="32" t="s">
        <v>1479</v>
      </c>
      <c r="F128" s="32" t="s">
        <v>865</v>
      </c>
      <c r="G128" s="32" t="s">
        <v>865</v>
      </c>
      <c r="H128" s="32" t="s">
        <v>865</v>
      </c>
      <c r="I128" s="32" t="s">
        <v>865</v>
      </c>
      <c r="J128" s="32" t="s">
        <v>865</v>
      </c>
      <c r="K128" s="32" t="s">
        <v>865</v>
      </c>
    </row>
    <row r="129" spans="1:11" ht="15" customHeight="1" x14ac:dyDescent="0.2">
      <c r="A129" s="32" t="s">
        <v>1721</v>
      </c>
      <c r="B129" s="32" t="s">
        <v>1721</v>
      </c>
      <c r="C129" s="32" t="s">
        <v>1477</v>
      </c>
      <c r="D129" s="32" t="s">
        <v>1478</v>
      </c>
      <c r="E129" s="32" t="s">
        <v>1479</v>
      </c>
      <c r="F129" s="32" t="s">
        <v>865</v>
      </c>
      <c r="G129" s="32" t="s">
        <v>865</v>
      </c>
      <c r="H129" s="32" t="s">
        <v>865</v>
      </c>
      <c r="I129" s="32" t="s">
        <v>865</v>
      </c>
      <c r="J129" s="32" t="s">
        <v>865</v>
      </c>
      <c r="K129" s="32" t="s">
        <v>865</v>
      </c>
    </row>
    <row r="130" spans="1:11" ht="15" customHeight="1" x14ac:dyDescent="0.2">
      <c r="A130" s="32" t="s">
        <v>1722</v>
      </c>
      <c r="B130" s="32" t="s">
        <v>1723</v>
      </c>
      <c r="C130" s="32" t="s">
        <v>1477</v>
      </c>
      <c r="D130" s="32" t="s">
        <v>1478</v>
      </c>
      <c r="E130" s="32" t="s">
        <v>1479</v>
      </c>
      <c r="F130" s="32" t="s">
        <v>865</v>
      </c>
      <c r="G130" s="32" t="s">
        <v>865</v>
      </c>
      <c r="H130" s="32" t="s">
        <v>865</v>
      </c>
      <c r="I130" s="32" t="s">
        <v>865</v>
      </c>
      <c r="J130" s="32" t="s">
        <v>865</v>
      </c>
      <c r="K130" s="32" t="s">
        <v>865</v>
      </c>
    </row>
    <row r="131" spans="1:11" ht="15" customHeight="1" x14ac:dyDescent="0.2">
      <c r="A131" s="32" t="s">
        <v>1724</v>
      </c>
      <c r="B131" s="32" t="s">
        <v>1725</v>
      </c>
      <c r="C131" s="32" t="s">
        <v>1477</v>
      </c>
      <c r="D131" s="32" t="s">
        <v>1478</v>
      </c>
      <c r="E131" s="32" t="s">
        <v>1470</v>
      </c>
      <c r="F131" s="32" t="s">
        <v>865</v>
      </c>
      <c r="G131" s="32" t="s">
        <v>865</v>
      </c>
      <c r="H131" s="32" t="s">
        <v>865</v>
      </c>
      <c r="I131" s="32" t="s">
        <v>865</v>
      </c>
      <c r="J131" s="32" t="s">
        <v>865</v>
      </c>
      <c r="K131" s="32" t="s">
        <v>865</v>
      </c>
    </row>
    <row r="132" spans="1:11" ht="15" customHeight="1" x14ac:dyDescent="0.2">
      <c r="A132" s="32" t="s">
        <v>1726</v>
      </c>
      <c r="B132" s="32" t="s">
        <v>1726</v>
      </c>
      <c r="C132" s="32" t="s">
        <v>1477</v>
      </c>
      <c r="D132" s="32" t="s">
        <v>1478</v>
      </c>
      <c r="E132" s="32" t="s">
        <v>1470</v>
      </c>
      <c r="F132" s="32" t="s">
        <v>865</v>
      </c>
      <c r="G132" s="32" t="s">
        <v>865</v>
      </c>
      <c r="H132" s="32" t="s">
        <v>865</v>
      </c>
      <c r="I132" s="32" t="s">
        <v>865</v>
      </c>
      <c r="J132" s="32" t="s">
        <v>865</v>
      </c>
      <c r="K132" s="32" t="s">
        <v>865</v>
      </c>
    </row>
    <row r="133" spans="1:11" ht="15" customHeight="1" x14ac:dyDescent="0.2">
      <c r="A133" s="32" t="s">
        <v>1727</v>
      </c>
      <c r="B133" s="32" t="s">
        <v>1728</v>
      </c>
      <c r="C133" s="32" t="s">
        <v>1477</v>
      </c>
      <c r="D133" s="32" t="s">
        <v>1478</v>
      </c>
      <c r="E133" s="32" t="s">
        <v>1470</v>
      </c>
      <c r="F133" s="32" t="s">
        <v>865</v>
      </c>
      <c r="G133" s="32" t="s">
        <v>865</v>
      </c>
      <c r="H133" s="32" t="s">
        <v>865</v>
      </c>
      <c r="I133" s="32" t="s">
        <v>865</v>
      </c>
      <c r="J133" s="32" t="s">
        <v>865</v>
      </c>
      <c r="K133" s="32" t="s">
        <v>865</v>
      </c>
    </row>
    <row r="134" spans="1:11" ht="15" customHeight="1" x14ac:dyDescent="0.2">
      <c r="A134" s="32" t="s">
        <v>1729</v>
      </c>
      <c r="B134" s="32" t="s">
        <v>1729</v>
      </c>
      <c r="C134" s="32" t="s">
        <v>1477</v>
      </c>
      <c r="D134" s="32" t="s">
        <v>1478</v>
      </c>
      <c r="E134" s="32" t="s">
        <v>1470</v>
      </c>
      <c r="F134" s="32" t="s">
        <v>865</v>
      </c>
      <c r="G134" s="32" t="s">
        <v>865</v>
      </c>
      <c r="H134" s="32" t="s">
        <v>865</v>
      </c>
      <c r="I134" s="32" t="s">
        <v>865</v>
      </c>
      <c r="J134" s="32" t="s">
        <v>865</v>
      </c>
      <c r="K134" s="32" t="s">
        <v>865</v>
      </c>
    </row>
    <row r="135" spans="1:11" ht="15" customHeight="1" x14ac:dyDescent="0.2">
      <c r="A135" s="32" t="s">
        <v>1730</v>
      </c>
      <c r="B135" s="32" t="s">
        <v>1730</v>
      </c>
      <c r="C135" s="32" t="s">
        <v>1477</v>
      </c>
      <c r="D135" s="32" t="s">
        <v>1478</v>
      </c>
      <c r="E135" s="32" t="s">
        <v>1470</v>
      </c>
      <c r="F135" s="32" t="s">
        <v>865</v>
      </c>
      <c r="G135" s="32" t="s">
        <v>865</v>
      </c>
      <c r="H135" s="32" t="s">
        <v>865</v>
      </c>
      <c r="I135" s="32" t="s">
        <v>865</v>
      </c>
      <c r="J135" s="32" t="s">
        <v>865</v>
      </c>
      <c r="K135" s="32" t="s">
        <v>865</v>
      </c>
    </row>
    <row r="136" spans="1:11" ht="15" customHeight="1" x14ac:dyDescent="0.2">
      <c r="A136" s="32" t="s">
        <v>1731</v>
      </c>
      <c r="B136" s="32" t="s">
        <v>1731</v>
      </c>
      <c r="C136" s="32" t="s">
        <v>1477</v>
      </c>
      <c r="D136" s="32" t="s">
        <v>1478</v>
      </c>
      <c r="E136" s="32" t="s">
        <v>1470</v>
      </c>
      <c r="F136" s="32" t="s">
        <v>865</v>
      </c>
      <c r="G136" s="32" t="s">
        <v>865</v>
      </c>
      <c r="H136" s="32" t="s">
        <v>865</v>
      </c>
      <c r="I136" s="32" t="s">
        <v>865</v>
      </c>
      <c r="J136" s="32" t="s">
        <v>865</v>
      </c>
      <c r="K136" s="32" t="s">
        <v>865</v>
      </c>
    </row>
    <row r="137" spans="1:11" ht="15" customHeight="1" x14ac:dyDescent="0.2">
      <c r="A137" s="32" t="s">
        <v>1732</v>
      </c>
      <c r="B137" s="32" t="s">
        <v>1732</v>
      </c>
      <c r="C137" s="32" t="s">
        <v>1477</v>
      </c>
      <c r="D137" s="32" t="s">
        <v>1478</v>
      </c>
      <c r="E137" s="32" t="s">
        <v>1470</v>
      </c>
      <c r="F137" s="32" t="s">
        <v>865</v>
      </c>
      <c r="G137" s="32" t="s">
        <v>865</v>
      </c>
      <c r="H137" s="32" t="s">
        <v>865</v>
      </c>
      <c r="I137" s="32" t="s">
        <v>865</v>
      </c>
      <c r="J137" s="32" t="s">
        <v>865</v>
      </c>
      <c r="K137" s="32" t="s">
        <v>865</v>
      </c>
    </row>
    <row r="138" spans="1:11" ht="15" customHeight="1" x14ac:dyDescent="0.2">
      <c r="A138" s="32" t="s">
        <v>1733</v>
      </c>
      <c r="B138" s="32" t="s">
        <v>1734</v>
      </c>
      <c r="C138" s="32" t="s">
        <v>1473</v>
      </c>
      <c r="D138" s="32" t="s">
        <v>1473</v>
      </c>
      <c r="E138" s="32" t="s">
        <v>1470</v>
      </c>
      <c r="F138" s="32" t="s">
        <v>865</v>
      </c>
      <c r="G138" s="32" t="s">
        <v>865</v>
      </c>
      <c r="H138" s="32" t="s">
        <v>865</v>
      </c>
      <c r="I138" s="32" t="s">
        <v>865</v>
      </c>
      <c r="J138" s="32" t="s">
        <v>865</v>
      </c>
      <c r="K138" s="32" t="s">
        <v>865</v>
      </c>
    </row>
    <row r="139" spans="1:11" ht="15" customHeight="1" x14ac:dyDescent="0.2">
      <c r="A139" s="32" t="s">
        <v>1735</v>
      </c>
      <c r="B139" s="32" t="s">
        <v>1736</v>
      </c>
      <c r="C139" s="32" t="s">
        <v>1477</v>
      </c>
      <c r="D139" s="32" t="s">
        <v>1565</v>
      </c>
      <c r="E139" s="32" t="s">
        <v>1470</v>
      </c>
      <c r="F139" s="32" t="s">
        <v>865</v>
      </c>
      <c r="G139" s="32" t="s">
        <v>865</v>
      </c>
      <c r="H139" s="32" t="s">
        <v>865</v>
      </c>
      <c r="I139" s="32" t="s">
        <v>865</v>
      </c>
      <c r="J139" s="32" t="s">
        <v>865</v>
      </c>
      <c r="K139" s="32" t="s">
        <v>865</v>
      </c>
    </row>
    <row r="140" spans="1:11" ht="15" customHeight="1" x14ac:dyDescent="0.2">
      <c r="A140" s="32" t="s">
        <v>1737</v>
      </c>
      <c r="B140" s="32" t="s">
        <v>1738</v>
      </c>
      <c r="C140" s="32" t="s">
        <v>1469</v>
      </c>
      <c r="D140" s="32" t="s">
        <v>1469</v>
      </c>
      <c r="E140" s="32" t="s">
        <v>1470</v>
      </c>
      <c r="F140" s="32" t="s">
        <v>865</v>
      </c>
      <c r="G140" s="32" t="s">
        <v>865</v>
      </c>
      <c r="H140" s="32" t="s">
        <v>865</v>
      </c>
      <c r="I140" s="32" t="s">
        <v>865</v>
      </c>
      <c r="J140" s="32" t="s">
        <v>865</v>
      </c>
      <c r="K140" s="32" t="s">
        <v>865</v>
      </c>
    </row>
    <row r="141" spans="1:11" ht="15" customHeight="1" x14ac:dyDescent="0.2">
      <c r="A141" s="32" t="s">
        <v>1739</v>
      </c>
      <c r="B141" s="32" t="s">
        <v>1740</v>
      </c>
      <c r="C141" s="32" t="s">
        <v>1488</v>
      </c>
      <c r="D141" s="32" t="s">
        <v>1498</v>
      </c>
      <c r="E141" s="32" t="s">
        <v>1470</v>
      </c>
      <c r="F141" s="32" t="s">
        <v>865</v>
      </c>
      <c r="G141" s="32" t="s">
        <v>865</v>
      </c>
      <c r="H141" s="32" t="s">
        <v>865</v>
      </c>
      <c r="I141" s="32" t="s">
        <v>865</v>
      </c>
      <c r="J141" s="32" t="s">
        <v>865</v>
      </c>
      <c r="K141" s="32" t="s">
        <v>865</v>
      </c>
    </row>
    <row r="142" spans="1:11" ht="15" customHeight="1" x14ac:dyDescent="0.2">
      <c r="A142" s="32" t="s">
        <v>1741</v>
      </c>
      <c r="B142" s="32" t="s">
        <v>1742</v>
      </c>
      <c r="C142" s="32" t="s">
        <v>1494</v>
      </c>
      <c r="D142" s="32" t="s">
        <v>1743</v>
      </c>
      <c r="E142" s="32" t="s">
        <v>1470</v>
      </c>
      <c r="F142" s="32" t="s">
        <v>865</v>
      </c>
      <c r="G142" s="32" t="s">
        <v>865</v>
      </c>
      <c r="H142" s="32" t="s">
        <v>865</v>
      </c>
      <c r="I142" s="32" t="s">
        <v>865</v>
      </c>
      <c r="J142" s="32" t="s">
        <v>865</v>
      </c>
      <c r="K142" s="32" t="s">
        <v>865</v>
      </c>
    </row>
    <row r="143" spans="1:11" ht="15" customHeight="1" x14ac:dyDescent="0.2">
      <c r="A143" s="32" t="s">
        <v>1744</v>
      </c>
      <c r="B143" s="32" t="s">
        <v>1745</v>
      </c>
      <c r="C143" s="32" t="s">
        <v>1506</v>
      </c>
      <c r="D143" s="32" t="s">
        <v>1507</v>
      </c>
      <c r="E143" s="32" t="s">
        <v>1470</v>
      </c>
      <c r="F143" s="32" t="s">
        <v>865</v>
      </c>
      <c r="G143" s="32" t="s">
        <v>865</v>
      </c>
      <c r="H143" s="32" t="s">
        <v>865</v>
      </c>
      <c r="I143" s="32" t="s">
        <v>865</v>
      </c>
      <c r="J143" s="32" t="s">
        <v>865</v>
      </c>
      <c r="K143" s="32" t="s">
        <v>865</v>
      </c>
    </row>
    <row r="144" spans="1:11" ht="15" customHeight="1" x14ac:dyDescent="0.2">
      <c r="A144" s="32" t="s">
        <v>1746</v>
      </c>
      <c r="B144" s="32" t="s">
        <v>1747</v>
      </c>
      <c r="C144" s="32" t="s">
        <v>1494</v>
      </c>
      <c r="D144" s="32" t="s">
        <v>1542</v>
      </c>
      <c r="E144" s="32" t="s">
        <v>1470</v>
      </c>
      <c r="F144" s="32" t="s">
        <v>865</v>
      </c>
      <c r="G144" s="32" t="s">
        <v>865</v>
      </c>
      <c r="H144" s="32" t="s">
        <v>865</v>
      </c>
      <c r="I144" s="32" t="s">
        <v>865</v>
      </c>
      <c r="J144" s="32" t="s">
        <v>865</v>
      </c>
      <c r="K144" s="32" t="s">
        <v>865</v>
      </c>
    </row>
    <row r="145" spans="1:11" ht="15" customHeight="1" x14ac:dyDescent="0.2">
      <c r="A145" s="32" t="s">
        <v>1748</v>
      </c>
      <c r="B145" s="32" t="s">
        <v>1749</v>
      </c>
      <c r="C145" s="32" t="s">
        <v>1473</v>
      </c>
      <c r="D145" s="32" t="s">
        <v>1473</v>
      </c>
      <c r="E145" s="32" t="s">
        <v>1470</v>
      </c>
      <c r="F145" s="32" t="s">
        <v>865</v>
      </c>
      <c r="G145" s="32" t="s">
        <v>865</v>
      </c>
      <c r="H145" s="32" t="s">
        <v>865</v>
      </c>
      <c r="I145" s="32" t="s">
        <v>865</v>
      </c>
      <c r="J145" s="32" t="s">
        <v>865</v>
      </c>
      <c r="K145" s="32" t="s">
        <v>865</v>
      </c>
    </row>
    <row r="146" spans="1:11" ht="15" customHeight="1" x14ac:dyDescent="0.2">
      <c r="A146" s="32" t="s">
        <v>1750</v>
      </c>
      <c r="B146" s="32" t="s">
        <v>1751</v>
      </c>
      <c r="C146" s="32" t="s">
        <v>1484</v>
      </c>
      <c r="D146" s="32" t="s">
        <v>1485</v>
      </c>
      <c r="E146" s="32" t="s">
        <v>1470</v>
      </c>
      <c r="F146" s="32" t="s">
        <v>865</v>
      </c>
      <c r="G146" s="32" t="s">
        <v>865</v>
      </c>
      <c r="H146" s="32" t="s">
        <v>865</v>
      </c>
      <c r="I146" s="32" t="s">
        <v>865</v>
      </c>
      <c r="J146" s="32" t="s">
        <v>865</v>
      </c>
      <c r="K146" s="32" t="s">
        <v>865</v>
      </c>
    </row>
    <row r="147" spans="1:11" ht="15" customHeight="1" x14ac:dyDescent="0.2">
      <c r="A147" s="32" t="s">
        <v>1752</v>
      </c>
      <c r="B147" s="32" t="s">
        <v>1753</v>
      </c>
      <c r="C147" s="32" t="s">
        <v>1477</v>
      </c>
      <c r="D147" s="32" t="s">
        <v>1754</v>
      </c>
      <c r="E147" s="32" t="s">
        <v>1479</v>
      </c>
      <c r="F147" s="32" t="s">
        <v>865</v>
      </c>
      <c r="G147" s="32" t="s">
        <v>865</v>
      </c>
      <c r="H147" s="32" t="s">
        <v>865</v>
      </c>
      <c r="I147" s="32" t="s">
        <v>865</v>
      </c>
      <c r="J147" s="32" t="s">
        <v>865</v>
      </c>
      <c r="K147" s="32" t="s">
        <v>865</v>
      </c>
    </row>
    <row r="148" spans="1:11" ht="15" customHeight="1" x14ac:dyDescent="0.2">
      <c r="A148" s="32" t="s">
        <v>1755</v>
      </c>
      <c r="B148" s="32" t="s">
        <v>1755</v>
      </c>
      <c r="C148" s="32" t="s">
        <v>1477</v>
      </c>
      <c r="D148" s="32" t="s">
        <v>1754</v>
      </c>
      <c r="E148" s="32" t="s">
        <v>1470</v>
      </c>
      <c r="F148" s="32" t="s">
        <v>865</v>
      </c>
      <c r="G148" s="32" t="s">
        <v>865</v>
      </c>
      <c r="H148" s="32" t="s">
        <v>865</v>
      </c>
      <c r="I148" s="32" t="s">
        <v>865</v>
      </c>
      <c r="J148" s="32" t="s">
        <v>865</v>
      </c>
      <c r="K148" s="32" t="s">
        <v>865</v>
      </c>
    </row>
    <row r="149" spans="1:11" ht="15" customHeight="1" x14ac:dyDescent="0.2">
      <c r="A149" s="32" t="s">
        <v>1756</v>
      </c>
      <c r="B149" s="32" t="s">
        <v>1757</v>
      </c>
      <c r="C149" s="32" t="s">
        <v>1477</v>
      </c>
      <c r="D149" s="32" t="s">
        <v>1754</v>
      </c>
      <c r="E149" s="32" t="s">
        <v>1479</v>
      </c>
      <c r="F149" s="32" t="s">
        <v>865</v>
      </c>
      <c r="G149" s="32" t="s">
        <v>865</v>
      </c>
      <c r="H149" s="32" t="s">
        <v>865</v>
      </c>
      <c r="I149" s="32" t="s">
        <v>865</v>
      </c>
      <c r="J149" s="32" t="s">
        <v>865</v>
      </c>
      <c r="K149" s="32" t="s">
        <v>865</v>
      </c>
    </row>
    <row r="150" spans="1:11" ht="15" customHeight="1" x14ac:dyDescent="0.2">
      <c r="A150" s="32" t="s">
        <v>1758</v>
      </c>
      <c r="B150" s="32" t="s">
        <v>1758</v>
      </c>
      <c r="C150" s="32" t="s">
        <v>1477</v>
      </c>
      <c r="D150" s="32" t="s">
        <v>1754</v>
      </c>
      <c r="E150" s="32" t="s">
        <v>1470</v>
      </c>
      <c r="F150" s="32" t="s">
        <v>865</v>
      </c>
      <c r="G150" s="32" t="s">
        <v>865</v>
      </c>
      <c r="H150" s="32" t="s">
        <v>865</v>
      </c>
      <c r="I150" s="32" t="s">
        <v>865</v>
      </c>
      <c r="J150" s="32" t="s">
        <v>865</v>
      </c>
      <c r="K150" s="32" t="s">
        <v>865</v>
      </c>
    </row>
    <row r="151" spans="1:11" ht="15" customHeight="1" x14ac:dyDescent="0.2">
      <c r="A151" s="32" t="s">
        <v>1759</v>
      </c>
      <c r="B151" s="32" t="s">
        <v>1760</v>
      </c>
      <c r="C151" s="32" t="s">
        <v>1477</v>
      </c>
      <c r="D151" s="32" t="s">
        <v>1754</v>
      </c>
      <c r="E151" s="32" t="s">
        <v>1479</v>
      </c>
      <c r="F151" s="32" t="s">
        <v>865</v>
      </c>
      <c r="G151" s="32" t="s">
        <v>865</v>
      </c>
      <c r="H151" s="32" t="s">
        <v>865</v>
      </c>
      <c r="I151" s="32" t="s">
        <v>865</v>
      </c>
      <c r="J151" s="32" t="s">
        <v>865</v>
      </c>
      <c r="K151" s="32" t="s">
        <v>865</v>
      </c>
    </row>
    <row r="152" spans="1:11" ht="15" customHeight="1" x14ac:dyDescent="0.2">
      <c r="A152" s="32" t="s">
        <v>1761</v>
      </c>
      <c r="B152" s="32" t="s">
        <v>1762</v>
      </c>
      <c r="C152" s="32" t="s">
        <v>1477</v>
      </c>
      <c r="D152" s="32" t="s">
        <v>1754</v>
      </c>
      <c r="E152" s="32" t="s">
        <v>1479</v>
      </c>
      <c r="F152" s="32" t="s">
        <v>865</v>
      </c>
      <c r="G152" s="32" t="s">
        <v>865</v>
      </c>
      <c r="H152" s="32" t="s">
        <v>865</v>
      </c>
      <c r="I152" s="32" t="s">
        <v>865</v>
      </c>
      <c r="J152" s="32" t="s">
        <v>865</v>
      </c>
      <c r="K152" s="32" t="s">
        <v>865</v>
      </c>
    </row>
    <row r="153" spans="1:11" ht="15" customHeight="1" x14ac:dyDescent="0.2">
      <c r="A153" s="32" t="s">
        <v>1763</v>
      </c>
      <c r="B153" s="32" t="s">
        <v>1764</v>
      </c>
      <c r="C153" s="32" t="s">
        <v>1477</v>
      </c>
      <c r="D153" s="32" t="s">
        <v>1754</v>
      </c>
      <c r="E153" s="32" t="s">
        <v>1479</v>
      </c>
      <c r="F153" s="32" t="s">
        <v>865</v>
      </c>
      <c r="G153" s="32" t="s">
        <v>865</v>
      </c>
      <c r="H153" s="32" t="s">
        <v>865</v>
      </c>
      <c r="I153" s="32" t="s">
        <v>865</v>
      </c>
      <c r="J153" s="32" t="s">
        <v>865</v>
      </c>
      <c r="K153" s="32" t="s">
        <v>865</v>
      </c>
    </row>
    <row r="154" spans="1:11" ht="15" customHeight="1" x14ac:dyDescent="0.2">
      <c r="A154" s="32" t="s">
        <v>1765</v>
      </c>
      <c r="B154" s="32" t="s">
        <v>1765</v>
      </c>
      <c r="C154" s="32" t="s">
        <v>1477</v>
      </c>
      <c r="D154" s="32" t="s">
        <v>1754</v>
      </c>
      <c r="E154" s="32" t="s">
        <v>1479</v>
      </c>
      <c r="F154" s="32" t="s">
        <v>865</v>
      </c>
      <c r="G154" s="32" t="s">
        <v>865</v>
      </c>
      <c r="H154" s="32" t="s">
        <v>865</v>
      </c>
      <c r="I154" s="32" t="s">
        <v>865</v>
      </c>
      <c r="J154" s="32" t="s">
        <v>865</v>
      </c>
      <c r="K154" s="32" t="s">
        <v>865</v>
      </c>
    </row>
    <row r="155" spans="1:11" ht="15" customHeight="1" x14ac:dyDescent="0.2">
      <c r="A155" s="32" t="s">
        <v>1766</v>
      </c>
      <c r="B155" s="32" t="s">
        <v>1767</v>
      </c>
      <c r="C155" s="32" t="s">
        <v>1477</v>
      </c>
      <c r="D155" s="32" t="s">
        <v>1754</v>
      </c>
      <c r="E155" s="32" t="s">
        <v>1479</v>
      </c>
      <c r="F155" s="32" t="s">
        <v>865</v>
      </c>
      <c r="G155" s="32" t="s">
        <v>865</v>
      </c>
      <c r="H155" s="32" t="s">
        <v>865</v>
      </c>
      <c r="I155" s="32" t="s">
        <v>865</v>
      </c>
      <c r="J155" s="32" t="s">
        <v>865</v>
      </c>
      <c r="K155" s="32" t="s">
        <v>865</v>
      </c>
    </row>
    <row r="156" spans="1:11" ht="15" customHeight="1" x14ac:dyDescent="0.2">
      <c r="A156" s="32" t="s">
        <v>1768</v>
      </c>
      <c r="B156" s="32" t="s">
        <v>1769</v>
      </c>
      <c r="C156" s="32" t="s">
        <v>1477</v>
      </c>
      <c r="D156" s="32" t="s">
        <v>1754</v>
      </c>
      <c r="E156" s="32" t="s">
        <v>1470</v>
      </c>
      <c r="F156" s="32" t="s">
        <v>865</v>
      </c>
      <c r="G156" s="32" t="s">
        <v>865</v>
      </c>
      <c r="H156" s="32" t="s">
        <v>865</v>
      </c>
      <c r="I156" s="32" t="s">
        <v>865</v>
      </c>
      <c r="J156" s="32" t="s">
        <v>865</v>
      </c>
      <c r="K156" s="32" t="s">
        <v>865</v>
      </c>
    </row>
    <row r="157" spans="1:11" ht="15" customHeight="1" x14ac:dyDescent="0.2">
      <c r="A157" s="32" t="s">
        <v>1770</v>
      </c>
      <c r="B157" s="32" t="s">
        <v>1771</v>
      </c>
      <c r="C157" s="32" t="s">
        <v>1477</v>
      </c>
      <c r="D157" s="32" t="s">
        <v>1754</v>
      </c>
      <c r="E157" s="32" t="s">
        <v>1470</v>
      </c>
      <c r="F157" s="32" t="s">
        <v>865</v>
      </c>
      <c r="G157" s="32" t="s">
        <v>865</v>
      </c>
      <c r="H157" s="32" t="s">
        <v>865</v>
      </c>
      <c r="I157" s="32" t="s">
        <v>865</v>
      </c>
      <c r="J157" s="32" t="s">
        <v>865</v>
      </c>
      <c r="K157" s="32" t="s">
        <v>865</v>
      </c>
    </row>
    <row r="158" spans="1:11" ht="15" customHeight="1" x14ac:dyDescent="0.2">
      <c r="A158" s="32" t="s">
        <v>1772</v>
      </c>
      <c r="B158" s="32" t="s">
        <v>1773</v>
      </c>
      <c r="C158" s="32" t="s">
        <v>1477</v>
      </c>
      <c r="D158" s="32" t="s">
        <v>1754</v>
      </c>
      <c r="E158" s="32" t="s">
        <v>1470</v>
      </c>
      <c r="F158" s="32" t="s">
        <v>865</v>
      </c>
      <c r="G158" s="32" t="s">
        <v>865</v>
      </c>
      <c r="H158" s="32" t="s">
        <v>865</v>
      </c>
      <c r="I158" s="32" t="s">
        <v>865</v>
      </c>
      <c r="J158" s="32" t="s">
        <v>865</v>
      </c>
      <c r="K158" s="32" t="s">
        <v>865</v>
      </c>
    </row>
    <row r="159" spans="1:11" ht="15" customHeight="1" x14ac:dyDescent="0.2">
      <c r="A159" s="32" t="s">
        <v>1774</v>
      </c>
      <c r="B159" s="32" t="s">
        <v>1775</v>
      </c>
      <c r="C159" s="32" t="s">
        <v>1477</v>
      </c>
      <c r="D159" s="32" t="s">
        <v>1754</v>
      </c>
      <c r="E159" s="32" t="s">
        <v>1470</v>
      </c>
      <c r="F159" s="32" t="s">
        <v>865</v>
      </c>
      <c r="G159" s="32" t="s">
        <v>865</v>
      </c>
      <c r="H159" s="32" t="s">
        <v>865</v>
      </c>
      <c r="I159" s="32" t="s">
        <v>865</v>
      </c>
      <c r="J159" s="32" t="s">
        <v>865</v>
      </c>
      <c r="K159" s="32" t="s">
        <v>865</v>
      </c>
    </row>
    <row r="160" spans="1:11" ht="15" customHeight="1" x14ac:dyDescent="0.2">
      <c r="A160" s="32" t="s">
        <v>1776</v>
      </c>
      <c r="B160" s="32" t="s">
        <v>1777</v>
      </c>
      <c r="C160" s="32" t="s">
        <v>1488</v>
      </c>
      <c r="D160" s="32" t="s">
        <v>1489</v>
      </c>
      <c r="E160" s="32" t="s">
        <v>1470</v>
      </c>
      <c r="F160" s="32" t="s">
        <v>865</v>
      </c>
      <c r="G160" s="32" t="s">
        <v>865</v>
      </c>
      <c r="H160" s="32" t="s">
        <v>865</v>
      </c>
      <c r="I160" s="32" t="s">
        <v>865</v>
      </c>
      <c r="J160" s="32" t="s">
        <v>865</v>
      </c>
      <c r="K160" s="32" t="s">
        <v>865</v>
      </c>
    </row>
    <row r="161" spans="1:11" ht="15" customHeight="1" x14ac:dyDescent="0.2">
      <c r="A161" s="32" t="s">
        <v>1778</v>
      </c>
      <c r="B161" s="32" t="s">
        <v>1779</v>
      </c>
      <c r="C161" s="32" t="s">
        <v>1506</v>
      </c>
      <c r="D161" s="32" t="s">
        <v>1522</v>
      </c>
      <c r="E161" s="32" t="s">
        <v>1479</v>
      </c>
      <c r="F161" s="32" t="s">
        <v>865</v>
      </c>
      <c r="G161" s="32" t="s">
        <v>865</v>
      </c>
      <c r="H161" s="32" t="s">
        <v>865</v>
      </c>
      <c r="I161" s="32" t="s">
        <v>865</v>
      </c>
      <c r="J161" s="32" t="s">
        <v>865</v>
      </c>
      <c r="K161" s="32" t="s">
        <v>865</v>
      </c>
    </row>
    <row r="162" spans="1:11" ht="15" customHeight="1" x14ac:dyDescent="0.2">
      <c r="A162" s="32" t="s">
        <v>1780</v>
      </c>
      <c r="B162" s="32" t="s">
        <v>865</v>
      </c>
      <c r="C162" s="32" t="s">
        <v>1506</v>
      </c>
      <c r="D162" s="32" t="s">
        <v>1536</v>
      </c>
      <c r="E162" s="32" t="s">
        <v>1470</v>
      </c>
      <c r="F162" s="32" t="s">
        <v>865</v>
      </c>
      <c r="G162" s="32" t="s">
        <v>865</v>
      </c>
      <c r="H162" s="32" t="s">
        <v>865</v>
      </c>
      <c r="I162" s="32" t="s">
        <v>865</v>
      </c>
      <c r="J162" s="32" t="s">
        <v>865</v>
      </c>
      <c r="K162" s="32" t="s">
        <v>865</v>
      </c>
    </row>
    <row r="163" spans="1:11" ht="15" customHeight="1" x14ac:dyDescent="0.2">
      <c r="A163" s="32" t="s">
        <v>1781</v>
      </c>
      <c r="B163" s="32" t="s">
        <v>1781</v>
      </c>
      <c r="C163" s="32" t="s">
        <v>1473</v>
      </c>
      <c r="D163" s="32" t="s">
        <v>1473</v>
      </c>
      <c r="E163" s="32" t="s">
        <v>1479</v>
      </c>
      <c r="F163" s="32" t="s">
        <v>865</v>
      </c>
      <c r="G163" s="32" t="s">
        <v>865</v>
      </c>
      <c r="H163" s="32" t="s">
        <v>865</v>
      </c>
      <c r="I163" s="32" t="s">
        <v>865</v>
      </c>
      <c r="J163" s="32" t="s">
        <v>865</v>
      </c>
      <c r="K163" s="32" t="s">
        <v>865</v>
      </c>
    </row>
    <row r="164" spans="1:11" ht="15" customHeight="1" x14ac:dyDescent="0.2">
      <c r="A164" s="32" t="s">
        <v>1782</v>
      </c>
      <c r="B164" s="32" t="s">
        <v>1783</v>
      </c>
      <c r="C164" s="32" t="s">
        <v>1484</v>
      </c>
      <c r="D164" s="32" t="s">
        <v>1485</v>
      </c>
      <c r="E164" s="32" t="s">
        <v>1470</v>
      </c>
      <c r="F164" s="32" t="s">
        <v>865</v>
      </c>
      <c r="G164" s="32" t="s">
        <v>865</v>
      </c>
      <c r="H164" s="32" t="s">
        <v>865</v>
      </c>
      <c r="I164" s="32" t="s">
        <v>865</v>
      </c>
      <c r="J164" s="32" t="s">
        <v>865</v>
      </c>
      <c r="K164" s="32" t="s">
        <v>865</v>
      </c>
    </row>
    <row r="165" spans="1:11" ht="15" customHeight="1" x14ac:dyDescent="0.2">
      <c r="A165" s="32" t="s">
        <v>1784</v>
      </c>
      <c r="B165" s="32" t="s">
        <v>1784</v>
      </c>
      <c r="C165" s="32" t="s">
        <v>1494</v>
      </c>
      <c r="D165" s="32" t="s">
        <v>1785</v>
      </c>
      <c r="E165" s="32" t="s">
        <v>1470</v>
      </c>
      <c r="F165" s="32" t="s">
        <v>865</v>
      </c>
      <c r="G165" s="32" t="s">
        <v>865</v>
      </c>
      <c r="H165" s="32" t="s">
        <v>865</v>
      </c>
      <c r="I165" s="32" t="s">
        <v>865</v>
      </c>
      <c r="J165" s="32" t="s">
        <v>865</v>
      </c>
      <c r="K165" s="32" t="s">
        <v>865</v>
      </c>
    </row>
    <row r="166" spans="1:11" ht="15" customHeight="1" x14ac:dyDescent="0.2">
      <c r="A166" s="32" t="s">
        <v>1786</v>
      </c>
      <c r="B166" s="32" t="s">
        <v>1787</v>
      </c>
      <c r="C166" s="32" t="s">
        <v>1488</v>
      </c>
      <c r="D166" s="32" t="s">
        <v>1489</v>
      </c>
      <c r="E166" s="32" t="s">
        <v>1470</v>
      </c>
      <c r="F166" s="32" t="s">
        <v>865</v>
      </c>
      <c r="G166" s="32" t="s">
        <v>865</v>
      </c>
      <c r="H166" s="32" t="s">
        <v>865</v>
      </c>
      <c r="I166" s="32" t="s">
        <v>865</v>
      </c>
      <c r="J166" s="32" t="s">
        <v>865</v>
      </c>
      <c r="K166" s="32" t="s">
        <v>865</v>
      </c>
    </row>
    <row r="167" spans="1:11" ht="15" customHeight="1" x14ac:dyDescent="0.2">
      <c r="A167" s="32" t="s">
        <v>1788</v>
      </c>
      <c r="B167" s="32" t="s">
        <v>865</v>
      </c>
      <c r="C167" s="32" t="s">
        <v>1488</v>
      </c>
      <c r="D167" s="32" t="s">
        <v>1489</v>
      </c>
      <c r="E167" s="32" t="s">
        <v>1470</v>
      </c>
      <c r="F167" s="32" t="s">
        <v>865</v>
      </c>
      <c r="G167" s="32" t="s">
        <v>865</v>
      </c>
      <c r="H167" s="32" t="s">
        <v>865</v>
      </c>
      <c r="I167" s="32" t="s">
        <v>865</v>
      </c>
      <c r="J167" s="32" t="s">
        <v>865</v>
      </c>
      <c r="K167" s="32" t="s">
        <v>865</v>
      </c>
    </row>
    <row r="168" spans="1:11" ht="15" customHeight="1" x14ac:dyDescent="0.2">
      <c r="A168" s="32" t="s">
        <v>1789</v>
      </c>
      <c r="B168" s="32" t="s">
        <v>865</v>
      </c>
      <c r="C168" s="32" t="s">
        <v>1488</v>
      </c>
      <c r="D168" s="32" t="s">
        <v>1489</v>
      </c>
      <c r="E168" s="32" t="s">
        <v>1470</v>
      </c>
      <c r="F168" s="32" t="s">
        <v>865</v>
      </c>
      <c r="G168" s="32" t="s">
        <v>865</v>
      </c>
      <c r="H168" s="32" t="s">
        <v>865</v>
      </c>
      <c r="I168" s="32" t="s">
        <v>865</v>
      </c>
      <c r="J168" s="32" t="s">
        <v>865</v>
      </c>
      <c r="K168" s="32" t="s">
        <v>865</v>
      </c>
    </row>
    <row r="169" spans="1:11" ht="15" customHeight="1" x14ac:dyDescent="0.2">
      <c r="A169" s="32" t="s">
        <v>1790</v>
      </c>
      <c r="B169" s="32" t="s">
        <v>865</v>
      </c>
      <c r="C169" s="32" t="s">
        <v>1488</v>
      </c>
      <c r="D169" s="32" t="s">
        <v>1489</v>
      </c>
      <c r="E169" s="32" t="s">
        <v>1470</v>
      </c>
      <c r="F169" s="32" t="s">
        <v>865</v>
      </c>
      <c r="G169" s="32" t="s">
        <v>865</v>
      </c>
      <c r="H169" s="32" t="s">
        <v>865</v>
      </c>
      <c r="I169" s="32" t="s">
        <v>865</v>
      </c>
      <c r="J169" s="32" t="s">
        <v>865</v>
      </c>
      <c r="K169" s="32" t="s">
        <v>865</v>
      </c>
    </row>
    <row r="170" spans="1:11" ht="15" customHeight="1" x14ac:dyDescent="0.2">
      <c r="A170" s="32" t="s">
        <v>1791</v>
      </c>
      <c r="B170" s="32" t="s">
        <v>1792</v>
      </c>
      <c r="C170" s="32" t="s">
        <v>1488</v>
      </c>
      <c r="D170" s="32" t="s">
        <v>1489</v>
      </c>
      <c r="E170" s="32" t="s">
        <v>1470</v>
      </c>
      <c r="F170" s="32" t="s">
        <v>865</v>
      </c>
      <c r="G170" s="32" t="s">
        <v>865</v>
      </c>
      <c r="H170" s="32" t="s">
        <v>865</v>
      </c>
      <c r="I170" s="32" t="s">
        <v>865</v>
      </c>
      <c r="J170" s="32" t="s">
        <v>865</v>
      </c>
      <c r="K170" s="32" t="s">
        <v>865</v>
      </c>
    </row>
    <row r="171" spans="1:11" ht="15" customHeight="1" x14ac:dyDescent="0.2">
      <c r="A171" s="32" t="s">
        <v>1793</v>
      </c>
      <c r="B171" s="32" t="s">
        <v>1794</v>
      </c>
      <c r="C171" s="32" t="s">
        <v>1488</v>
      </c>
      <c r="D171" s="32" t="s">
        <v>1489</v>
      </c>
      <c r="E171" s="32" t="s">
        <v>1470</v>
      </c>
      <c r="F171" s="32" t="s">
        <v>865</v>
      </c>
      <c r="G171" s="32" t="s">
        <v>865</v>
      </c>
      <c r="H171" s="32" t="s">
        <v>865</v>
      </c>
      <c r="I171" s="32" t="s">
        <v>865</v>
      </c>
      <c r="J171" s="32" t="s">
        <v>865</v>
      </c>
      <c r="K171" s="32" t="s">
        <v>865</v>
      </c>
    </row>
    <row r="172" spans="1:11" ht="15" customHeight="1" x14ac:dyDescent="0.2">
      <c r="A172" s="32" t="s">
        <v>1795</v>
      </c>
      <c r="B172" s="32" t="s">
        <v>1796</v>
      </c>
      <c r="C172" s="32" t="s">
        <v>1547</v>
      </c>
      <c r="D172" s="32" t="s">
        <v>1547</v>
      </c>
      <c r="E172" s="32" t="s">
        <v>1470</v>
      </c>
      <c r="F172" s="32" t="s">
        <v>865</v>
      </c>
      <c r="G172" s="32" t="s">
        <v>865</v>
      </c>
      <c r="H172" s="32" t="s">
        <v>865</v>
      </c>
      <c r="I172" s="32" t="s">
        <v>865</v>
      </c>
      <c r="J172" s="32" t="s">
        <v>865</v>
      </c>
      <c r="K172" s="32" t="s">
        <v>865</v>
      </c>
    </row>
    <row r="173" spans="1:11" ht="15" customHeight="1" x14ac:dyDescent="0.2">
      <c r="A173" s="32" t="s">
        <v>1797</v>
      </c>
      <c r="B173" s="32" t="s">
        <v>1798</v>
      </c>
      <c r="C173" s="32" t="s">
        <v>1488</v>
      </c>
      <c r="D173" s="32" t="s">
        <v>1489</v>
      </c>
      <c r="E173" s="32" t="s">
        <v>1470</v>
      </c>
      <c r="F173" s="32" t="s">
        <v>865</v>
      </c>
      <c r="G173" s="32" t="s">
        <v>865</v>
      </c>
      <c r="H173" s="32" t="s">
        <v>865</v>
      </c>
      <c r="I173" s="32" t="s">
        <v>865</v>
      </c>
      <c r="J173" s="32" t="s">
        <v>865</v>
      </c>
      <c r="K173" s="32" t="s">
        <v>865</v>
      </c>
    </row>
    <row r="174" spans="1:11" ht="15" customHeight="1" x14ac:dyDescent="0.2">
      <c r="A174" s="32" t="s">
        <v>1799</v>
      </c>
      <c r="B174" s="32" t="s">
        <v>1800</v>
      </c>
      <c r="C174" s="32" t="s">
        <v>1484</v>
      </c>
      <c r="D174" s="32" t="s">
        <v>1551</v>
      </c>
      <c r="E174" s="32" t="s">
        <v>1470</v>
      </c>
      <c r="F174" s="32" t="s">
        <v>865</v>
      </c>
      <c r="G174" s="32" t="s">
        <v>865</v>
      </c>
      <c r="H174" s="32" t="s">
        <v>865</v>
      </c>
      <c r="I174" s="32" t="s">
        <v>865</v>
      </c>
      <c r="J174" s="32" t="s">
        <v>865</v>
      </c>
      <c r="K174" s="32" t="s">
        <v>865</v>
      </c>
    </row>
    <row r="175" spans="1:11" ht="15" customHeight="1" x14ac:dyDescent="0.2">
      <c r="A175" s="32" t="s">
        <v>1801</v>
      </c>
      <c r="B175" s="32" t="s">
        <v>1802</v>
      </c>
      <c r="C175" s="32" t="s">
        <v>1484</v>
      </c>
      <c r="D175" s="32" t="s">
        <v>1485</v>
      </c>
      <c r="E175" s="32" t="s">
        <v>1470</v>
      </c>
      <c r="F175" s="32" t="s">
        <v>865</v>
      </c>
      <c r="G175" s="32" t="s">
        <v>865</v>
      </c>
      <c r="H175" s="32" t="s">
        <v>865</v>
      </c>
      <c r="I175" s="32" t="s">
        <v>865</v>
      </c>
      <c r="J175" s="32" t="s">
        <v>865</v>
      </c>
      <c r="K175" s="32" t="s">
        <v>865</v>
      </c>
    </row>
    <row r="176" spans="1:11" ht="15" customHeight="1" x14ac:dyDescent="0.2">
      <c r="A176" s="32" t="s">
        <v>1803</v>
      </c>
      <c r="B176" s="32" t="s">
        <v>1804</v>
      </c>
      <c r="C176" s="32" t="s">
        <v>1484</v>
      </c>
      <c r="D176" s="32" t="s">
        <v>1485</v>
      </c>
      <c r="E176" s="32" t="s">
        <v>1470</v>
      </c>
      <c r="F176" s="32" t="s">
        <v>865</v>
      </c>
      <c r="G176" s="32" t="s">
        <v>865</v>
      </c>
      <c r="H176" s="32" t="s">
        <v>865</v>
      </c>
      <c r="I176" s="32" t="s">
        <v>865</v>
      </c>
      <c r="J176" s="32" t="s">
        <v>865</v>
      </c>
      <c r="K176" s="32" t="s">
        <v>865</v>
      </c>
    </row>
    <row r="177" spans="1:11" ht="15" customHeight="1" x14ac:dyDescent="0.2">
      <c r="A177" s="32" t="s">
        <v>1805</v>
      </c>
      <c r="B177" s="32" t="s">
        <v>1806</v>
      </c>
      <c r="C177" s="32" t="s">
        <v>1484</v>
      </c>
      <c r="D177" s="32" t="s">
        <v>1571</v>
      </c>
      <c r="E177" s="32" t="s">
        <v>1470</v>
      </c>
      <c r="F177" s="32" t="s">
        <v>865</v>
      </c>
      <c r="G177" s="32" t="s">
        <v>865</v>
      </c>
      <c r="H177" s="32" t="s">
        <v>865</v>
      </c>
      <c r="I177" s="32" t="s">
        <v>865</v>
      </c>
      <c r="J177" s="32" t="s">
        <v>865</v>
      </c>
      <c r="K177" s="32" t="s">
        <v>865</v>
      </c>
    </row>
    <row r="178" spans="1:11" ht="15" customHeight="1" x14ac:dyDescent="0.2">
      <c r="A178" s="32" t="s">
        <v>1807</v>
      </c>
      <c r="B178" s="32" t="s">
        <v>1808</v>
      </c>
      <c r="C178" s="32" t="s">
        <v>1484</v>
      </c>
      <c r="D178" s="32" t="s">
        <v>1485</v>
      </c>
      <c r="E178" s="32" t="s">
        <v>1470</v>
      </c>
      <c r="F178" s="32" t="s">
        <v>865</v>
      </c>
      <c r="G178" s="32" t="s">
        <v>865</v>
      </c>
      <c r="H178" s="32" t="s">
        <v>865</v>
      </c>
      <c r="I178" s="32" t="s">
        <v>865</v>
      </c>
      <c r="J178" s="32" t="s">
        <v>865</v>
      </c>
      <c r="K178" s="32" t="s">
        <v>865</v>
      </c>
    </row>
    <row r="179" spans="1:11" ht="15" customHeight="1" x14ac:dyDescent="0.2">
      <c r="A179" s="32" t="s">
        <v>1809</v>
      </c>
      <c r="B179" s="32" t="s">
        <v>1810</v>
      </c>
      <c r="C179" s="32" t="s">
        <v>1484</v>
      </c>
      <c r="D179" s="32" t="s">
        <v>1571</v>
      </c>
      <c r="E179" s="32" t="s">
        <v>1470</v>
      </c>
      <c r="F179" s="32" t="s">
        <v>865</v>
      </c>
      <c r="G179" s="32" t="s">
        <v>865</v>
      </c>
      <c r="H179" s="32" t="s">
        <v>865</v>
      </c>
      <c r="I179" s="32" t="s">
        <v>865</v>
      </c>
      <c r="J179" s="32" t="s">
        <v>865</v>
      </c>
      <c r="K179" s="32" t="s">
        <v>865</v>
      </c>
    </row>
    <row r="180" spans="1:11" ht="15" customHeight="1" x14ac:dyDescent="0.2">
      <c r="A180" s="32" t="s">
        <v>1811</v>
      </c>
      <c r="B180" s="32" t="s">
        <v>1812</v>
      </c>
      <c r="C180" s="32" t="s">
        <v>1484</v>
      </c>
      <c r="D180" s="32" t="s">
        <v>1571</v>
      </c>
      <c r="E180" s="32" t="s">
        <v>1470</v>
      </c>
      <c r="F180" s="32" t="s">
        <v>865</v>
      </c>
      <c r="G180" s="32" t="s">
        <v>865</v>
      </c>
      <c r="H180" s="32" t="s">
        <v>865</v>
      </c>
      <c r="I180" s="32" t="s">
        <v>865</v>
      </c>
      <c r="J180" s="32" t="s">
        <v>865</v>
      </c>
      <c r="K180" s="32" t="s">
        <v>865</v>
      </c>
    </row>
    <row r="181" spans="1:11" ht="15" customHeight="1" x14ac:dyDescent="0.2">
      <c r="A181" s="32" t="s">
        <v>1813</v>
      </c>
      <c r="B181" s="32" t="s">
        <v>1814</v>
      </c>
      <c r="C181" s="32" t="s">
        <v>1484</v>
      </c>
      <c r="D181" s="32" t="s">
        <v>1485</v>
      </c>
      <c r="E181" s="32" t="s">
        <v>1470</v>
      </c>
      <c r="F181" s="32" t="s">
        <v>865</v>
      </c>
      <c r="G181" s="32" t="s">
        <v>865</v>
      </c>
      <c r="H181" s="32" t="s">
        <v>865</v>
      </c>
      <c r="I181" s="32" t="s">
        <v>865</v>
      </c>
      <c r="J181" s="32" t="s">
        <v>865</v>
      </c>
      <c r="K181" s="32" t="s">
        <v>865</v>
      </c>
    </row>
    <row r="182" spans="1:11" ht="15" customHeight="1" x14ac:dyDescent="0.2">
      <c r="A182" s="32" t="s">
        <v>1815</v>
      </c>
      <c r="B182" s="32" t="s">
        <v>1816</v>
      </c>
      <c r="C182" s="32" t="s">
        <v>1477</v>
      </c>
      <c r="D182" s="32" t="s">
        <v>1646</v>
      </c>
      <c r="E182" s="32" t="s">
        <v>1470</v>
      </c>
      <c r="F182" s="32" t="s">
        <v>865</v>
      </c>
      <c r="G182" s="32" t="s">
        <v>865</v>
      </c>
      <c r="H182" s="32" t="s">
        <v>865</v>
      </c>
      <c r="I182" s="32" t="s">
        <v>865</v>
      </c>
      <c r="J182" s="32" t="s">
        <v>865</v>
      </c>
      <c r="K182" s="32" t="s">
        <v>865</v>
      </c>
    </row>
    <row r="183" spans="1:11" ht="15" customHeight="1" x14ac:dyDescent="0.2">
      <c r="A183" s="32" t="s">
        <v>1817</v>
      </c>
      <c r="B183" s="32" t="s">
        <v>1818</v>
      </c>
      <c r="C183" s="32" t="s">
        <v>1494</v>
      </c>
      <c r="D183" s="32" t="s">
        <v>1542</v>
      </c>
      <c r="E183" s="32" t="s">
        <v>1470</v>
      </c>
      <c r="F183" s="32" t="s">
        <v>865</v>
      </c>
      <c r="G183" s="32" t="s">
        <v>865</v>
      </c>
      <c r="H183" s="32" t="s">
        <v>865</v>
      </c>
      <c r="I183" s="32" t="s">
        <v>865</v>
      </c>
      <c r="J183" s="32" t="s">
        <v>865</v>
      </c>
      <c r="K183" s="32" t="s">
        <v>865</v>
      </c>
    </row>
    <row r="184" spans="1:11" ht="15" customHeight="1" x14ac:dyDescent="0.2">
      <c r="A184" s="32" t="s">
        <v>1819</v>
      </c>
      <c r="B184" s="32" t="s">
        <v>1820</v>
      </c>
      <c r="C184" s="32" t="s">
        <v>1484</v>
      </c>
      <c r="D184" s="32" t="s">
        <v>1551</v>
      </c>
      <c r="E184" s="32" t="s">
        <v>1470</v>
      </c>
      <c r="F184" s="32" t="s">
        <v>865</v>
      </c>
      <c r="G184" s="32" t="s">
        <v>865</v>
      </c>
      <c r="H184" s="32" t="s">
        <v>865</v>
      </c>
      <c r="I184" s="32" t="s">
        <v>865</v>
      </c>
      <c r="J184" s="32" t="s">
        <v>865</v>
      </c>
      <c r="K184" s="32" t="s">
        <v>865</v>
      </c>
    </row>
    <row r="185" spans="1:11" ht="15" customHeight="1" x14ac:dyDescent="0.2">
      <c r="A185" s="32" t="s">
        <v>1821</v>
      </c>
      <c r="B185" s="32" t="s">
        <v>1822</v>
      </c>
      <c r="C185" s="32" t="s">
        <v>1506</v>
      </c>
      <c r="D185" s="32" t="s">
        <v>1507</v>
      </c>
      <c r="E185" s="32" t="s">
        <v>1470</v>
      </c>
      <c r="F185" s="32" t="s">
        <v>865</v>
      </c>
      <c r="G185" s="32" t="s">
        <v>865</v>
      </c>
      <c r="H185" s="32" t="s">
        <v>865</v>
      </c>
      <c r="I185" s="32" t="s">
        <v>865</v>
      </c>
      <c r="J185" s="32" t="s">
        <v>865</v>
      </c>
      <c r="K185" s="32" t="s">
        <v>865</v>
      </c>
    </row>
    <row r="186" spans="1:11" ht="15" customHeight="1" x14ac:dyDescent="0.2">
      <c r="A186" s="32" t="s">
        <v>1823</v>
      </c>
      <c r="B186" s="32" t="s">
        <v>1824</v>
      </c>
      <c r="C186" s="32" t="s">
        <v>1469</v>
      </c>
      <c r="D186" s="32" t="s">
        <v>1469</v>
      </c>
      <c r="E186" s="32" t="s">
        <v>1470</v>
      </c>
      <c r="F186" s="32" t="s">
        <v>865</v>
      </c>
      <c r="G186" s="32" t="s">
        <v>865</v>
      </c>
      <c r="H186" s="32" t="s">
        <v>865</v>
      </c>
      <c r="I186" s="32" t="s">
        <v>865</v>
      </c>
      <c r="J186" s="32" t="s">
        <v>865</v>
      </c>
      <c r="K186" s="32" t="s">
        <v>865</v>
      </c>
    </row>
    <row r="187" spans="1:11" ht="15" customHeight="1" x14ac:dyDescent="0.2">
      <c r="A187" s="32" t="s">
        <v>1825</v>
      </c>
      <c r="B187" s="32" t="s">
        <v>1825</v>
      </c>
      <c r="C187" s="32" t="s">
        <v>1488</v>
      </c>
      <c r="D187" s="32" t="s">
        <v>1498</v>
      </c>
      <c r="E187" s="32" t="s">
        <v>1470</v>
      </c>
      <c r="F187" s="32" t="s">
        <v>865</v>
      </c>
      <c r="G187" s="32" t="s">
        <v>865</v>
      </c>
      <c r="H187" s="32" t="s">
        <v>865</v>
      </c>
      <c r="I187" s="32" t="s">
        <v>865</v>
      </c>
      <c r="J187" s="32" t="s">
        <v>865</v>
      </c>
      <c r="K187" s="32" t="s">
        <v>865</v>
      </c>
    </row>
    <row r="188" spans="1:11" ht="15" customHeight="1" x14ac:dyDescent="0.2">
      <c r="A188" s="32" t="s">
        <v>1826</v>
      </c>
      <c r="B188" s="32" t="s">
        <v>1827</v>
      </c>
      <c r="C188" s="32" t="s">
        <v>1494</v>
      </c>
      <c r="D188" s="32" t="s">
        <v>1554</v>
      </c>
      <c r="E188" s="32" t="s">
        <v>1470</v>
      </c>
      <c r="F188" s="32" t="s">
        <v>865</v>
      </c>
      <c r="G188" s="32" t="s">
        <v>865</v>
      </c>
      <c r="H188" s="32" t="s">
        <v>865</v>
      </c>
      <c r="I188" s="32" t="s">
        <v>865</v>
      </c>
      <c r="J188" s="32" t="s">
        <v>865</v>
      </c>
      <c r="K188" s="32" t="s">
        <v>865</v>
      </c>
    </row>
    <row r="189" spans="1:11" ht="15" customHeight="1" x14ac:dyDescent="0.2">
      <c r="A189" s="32" t="s">
        <v>1828</v>
      </c>
      <c r="B189" s="32" t="s">
        <v>1829</v>
      </c>
      <c r="C189" s="32" t="s">
        <v>1494</v>
      </c>
      <c r="D189" s="32" t="s">
        <v>1554</v>
      </c>
      <c r="E189" s="32" t="s">
        <v>1470</v>
      </c>
      <c r="F189" s="32" t="s">
        <v>1513</v>
      </c>
      <c r="G189" s="32" t="s">
        <v>1830</v>
      </c>
      <c r="H189" s="32" t="s">
        <v>1831</v>
      </c>
      <c r="I189" s="32" t="s">
        <v>1494</v>
      </c>
      <c r="J189" s="32" t="s">
        <v>1554</v>
      </c>
      <c r="K189" s="32" t="s">
        <v>1470</v>
      </c>
    </row>
    <row r="190" spans="1:11" ht="15" customHeight="1" x14ac:dyDescent="0.2">
      <c r="A190" s="32" t="s">
        <v>1828</v>
      </c>
      <c r="B190" s="32" t="s">
        <v>1829</v>
      </c>
      <c r="C190" s="32" t="s">
        <v>1494</v>
      </c>
      <c r="D190" s="32" t="s">
        <v>1554</v>
      </c>
      <c r="E190" s="32" t="s">
        <v>1470</v>
      </c>
      <c r="F190" s="32" t="s">
        <v>1513</v>
      </c>
      <c r="G190" s="32" t="s">
        <v>1832</v>
      </c>
      <c r="H190" s="32" t="s">
        <v>1833</v>
      </c>
      <c r="I190" s="32" t="s">
        <v>1494</v>
      </c>
      <c r="J190" s="32" t="s">
        <v>1554</v>
      </c>
      <c r="K190" s="32" t="s">
        <v>1470</v>
      </c>
    </row>
    <row r="191" spans="1:11" ht="15" customHeight="1" x14ac:dyDescent="0.2">
      <c r="A191" s="32" t="s">
        <v>1828</v>
      </c>
      <c r="B191" s="32" t="s">
        <v>1829</v>
      </c>
      <c r="C191" s="32" t="s">
        <v>1494</v>
      </c>
      <c r="D191" s="32" t="s">
        <v>1554</v>
      </c>
      <c r="E191" s="32" t="s">
        <v>1470</v>
      </c>
      <c r="F191" s="32" t="s">
        <v>1513</v>
      </c>
      <c r="G191" s="32" t="s">
        <v>1828</v>
      </c>
      <c r="H191" s="32" t="s">
        <v>1829</v>
      </c>
      <c r="I191" s="32" t="s">
        <v>1494</v>
      </c>
      <c r="J191" s="32" t="s">
        <v>1554</v>
      </c>
      <c r="K191" s="32" t="s">
        <v>1470</v>
      </c>
    </row>
    <row r="192" spans="1:11" ht="15" customHeight="1" x14ac:dyDescent="0.2">
      <c r="A192" s="32" t="s">
        <v>1834</v>
      </c>
      <c r="B192" s="32" t="s">
        <v>1835</v>
      </c>
      <c r="C192" s="32" t="s">
        <v>1488</v>
      </c>
      <c r="D192" s="32" t="s">
        <v>1836</v>
      </c>
      <c r="E192" s="32" t="s">
        <v>1470</v>
      </c>
      <c r="F192" s="32" t="s">
        <v>865</v>
      </c>
      <c r="G192" s="32" t="s">
        <v>865</v>
      </c>
      <c r="H192" s="32" t="s">
        <v>865</v>
      </c>
      <c r="I192" s="32" t="s">
        <v>865</v>
      </c>
      <c r="J192" s="32" t="s">
        <v>865</v>
      </c>
      <c r="K192" s="32" t="s">
        <v>865</v>
      </c>
    </row>
    <row r="193" spans="1:11" ht="15" customHeight="1" x14ac:dyDescent="0.2">
      <c r="A193" s="32" t="s">
        <v>1837</v>
      </c>
      <c r="B193" s="32" t="s">
        <v>1838</v>
      </c>
      <c r="C193" s="32" t="s">
        <v>1484</v>
      </c>
      <c r="D193" s="32" t="s">
        <v>1485</v>
      </c>
      <c r="E193" s="32" t="s">
        <v>1470</v>
      </c>
      <c r="F193" s="32" t="s">
        <v>865</v>
      </c>
      <c r="G193" s="32" t="s">
        <v>865</v>
      </c>
      <c r="H193" s="32" t="s">
        <v>865</v>
      </c>
      <c r="I193" s="32" t="s">
        <v>865</v>
      </c>
      <c r="J193" s="32" t="s">
        <v>865</v>
      </c>
      <c r="K193" s="32" t="s">
        <v>865</v>
      </c>
    </row>
    <row r="194" spans="1:11" ht="15" customHeight="1" x14ac:dyDescent="0.2">
      <c r="A194" s="32" t="s">
        <v>1839</v>
      </c>
      <c r="B194" s="32" t="s">
        <v>1840</v>
      </c>
      <c r="C194" s="32" t="s">
        <v>1506</v>
      </c>
      <c r="D194" s="32" t="s">
        <v>1841</v>
      </c>
      <c r="E194" s="32" t="s">
        <v>1470</v>
      </c>
      <c r="F194" s="32" t="s">
        <v>865</v>
      </c>
      <c r="G194" s="32" t="s">
        <v>865</v>
      </c>
      <c r="H194" s="32" t="s">
        <v>865</v>
      </c>
      <c r="I194" s="32" t="s">
        <v>865</v>
      </c>
      <c r="J194" s="32" t="s">
        <v>865</v>
      </c>
      <c r="K194" s="32" t="s">
        <v>865</v>
      </c>
    </row>
    <row r="195" spans="1:11" ht="15" customHeight="1" x14ac:dyDescent="0.2">
      <c r="A195" s="32" t="s">
        <v>1842</v>
      </c>
      <c r="B195" s="32" t="s">
        <v>1843</v>
      </c>
      <c r="C195" s="32" t="s">
        <v>1506</v>
      </c>
      <c r="D195" s="32" t="s">
        <v>1841</v>
      </c>
      <c r="E195" s="32" t="s">
        <v>1470</v>
      </c>
      <c r="F195" s="32" t="s">
        <v>865</v>
      </c>
      <c r="G195" s="32" t="s">
        <v>865</v>
      </c>
      <c r="H195" s="32" t="s">
        <v>865</v>
      </c>
      <c r="I195" s="32" t="s">
        <v>865</v>
      </c>
      <c r="J195" s="32" t="s">
        <v>865</v>
      </c>
      <c r="K195" s="32" t="s">
        <v>865</v>
      </c>
    </row>
    <row r="196" spans="1:11" ht="15" customHeight="1" x14ac:dyDescent="0.2">
      <c r="A196" s="32" t="s">
        <v>1844</v>
      </c>
      <c r="B196" s="32" t="s">
        <v>865</v>
      </c>
      <c r="C196" s="32" t="s">
        <v>1506</v>
      </c>
      <c r="D196" s="32" t="s">
        <v>1841</v>
      </c>
      <c r="E196" s="32" t="s">
        <v>1470</v>
      </c>
      <c r="F196" s="32" t="s">
        <v>865</v>
      </c>
      <c r="G196" s="32" t="s">
        <v>865</v>
      </c>
      <c r="H196" s="32" t="s">
        <v>865</v>
      </c>
      <c r="I196" s="32" t="s">
        <v>865</v>
      </c>
      <c r="J196" s="32" t="s">
        <v>865</v>
      </c>
      <c r="K196" s="32" t="s">
        <v>865</v>
      </c>
    </row>
    <row r="197" spans="1:11" ht="15" customHeight="1" x14ac:dyDescent="0.2">
      <c r="A197" s="32" t="s">
        <v>1845</v>
      </c>
      <c r="B197" s="32" t="s">
        <v>865</v>
      </c>
      <c r="C197" s="32" t="s">
        <v>1506</v>
      </c>
      <c r="D197" s="32" t="s">
        <v>1841</v>
      </c>
      <c r="E197" s="32" t="s">
        <v>1470</v>
      </c>
      <c r="F197" s="32" t="s">
        <v>865</v>
      </c>
      <c r="G197" s="32" t="s">
        <v>865</v>
      </c>
      <c r="H197" s="32" t="s">
        <v>865</v>
      </c>
      <c r="I197" s="32" t="s">
        <v>865</v>
      </c>
      <c r="J197" s="32" t="s">
        <v>865</v>
      </c>
      <c r="K197" s="32" t="s">
        <v>865</v>
      </c>
    </row>
    <row r="198" spans="1:11" ht="15" customHeight="1" x14ac:dyDescent="0.2">
      <c r="A198" s="32" t="s">
        <v>1846</v>
      </c>
      <c r="B198" s="32" t="s">
        <v>865</v>
      </c>
      <c r="C198" s="32" t="s">
        <v>1506</v>
      </c>
      <c r="D198" s="32" t="s">
        <v>1841</v>
      </c>
      <c r="E198" s="32" t="s">
        <v>1470</v>
      </c>
      <c r="F198" s="32" t="s">
        <v>865</v>
      </c>
      <c r="G198" s="32" t="s">
        <v>865</v>
      </c>
      <c r="H198" s="32" t="s">
        <v>865</v>
      </c>
      <c r="I198" s="32" t="s">
        <v>865</v>
      </c>
      <c r="J198" s="32" t="s">
        <v>865</v>
      </c>
      <c r="K198" s="32" t="s">
        <v>865</v>
      </c>
    </row>
    <row r="199" spans="1:11" ht="15" customHeight="1" x14ac:dyDescent="0.2">
      <c r="A199" s="32" t="s">
        <v>1847</v>
      </c>
      <c r="B199" s="32" t="s">
        <v>865</v>
      </c>
      <c r="C199" s="32" t="s">
        <v>1506</v>
      </c>
      <c r="D199" s="32" t="s">
        <v>1841</v>
      </c>
      <c r="E199" s="32" t="s">
        <v>1470</v>
      </c>
      <c r="F199" s="32" t="s">
        <v>865</v>
      </c>
      <c r="G199" s="32" t="s">
        <v>865</v>
      </c>
      <c r="H199" s="32" t="s">
        <v>865</v>
      </c>
      <c r="I199" s="32" t="s">
        <v>865</v>
      </c>
      <c r="J199" s="32" t="s">
        <v>865</v>
      </c>
      <c r="K199" s="32" t="s">
        <v>865</v>
      </c>
    </row>
    <row r="200" spans="1:11" ht="15" customHeight="1" x14ac:dyDescent="0.2">
      <c r="A200" s="32" t="s">
        <v>1848</v>
      </c>
      <c r="B200" s="32" t="s">
        <v>865</v>
      </c>
      <c r="C200" s="32" t="s">
        <v>1506</v>
      </c>
      <c r="D200" s="32" t="s">
        <v>1841</v>
      </c>
      <c r="E200" s="32" t="s">
        <v>1470</v>
      </c>
      <c r="F200" s="32" t="s">
        <v>865</v>
      </c>
      <c r="G200" s="32" t="s">
        <v>865</v>
      </c>
      <c r="H200" s="32" t="s">
        <v>865</v>
      </c>
      <c r="I200" s="32" t="s">
        <v>865</v>
      </c>
      <c r="J200" s="32" t="s">
        <v>865</v>
      </c>
      <c r="K200" s="32" t="s">
        <v>865</v>
      </c>
    </row>
    <row r="201" spans="1:11" ht="15" customHeight="1" x14ac:dyDescent="0.2">
      <c r="A201" s="32" t="s">
        <v>1849</v>
      </c>
      <c r="B201" s="32" t="s">
        <v>865</v>
      </c>
      <c r="C201" s="32" t="s">
        <v>1506</v>
      </c>
      <c r="D201" s="32" t="s">
        <v>1841</v>
      </c>
      <c r="E201" s="32" t="s">
        <v>1470</v>
      </c>
      <c r="F201" s="32" t="s">
        <v>865</v>
      </c>
      <c r="G201" s="32" t="s">
        <v>865</v>
      </c>
      <c r="H201" s="32" t="s">
        <v>865</v>
      </c>
      <c r="I201" s="32" t="s">
        <v>865</v>
      </c>
      <c r="J201" s="32" t="s">
        <v>865</v>
      </c>
      <c r="K201" s="32" t="s">
        <v>865</v>
      </c>
    </row>
    <row r="202" spans="1:11" ht="15" customHeight="1" x14ac:dyDescent="0.2">
      <c r="A202" s="32" t="s">
        <v>1850</v>
      </c>
      <c r="B202" s="32" t="s">
        <v>1851</v>
      </c>
      <c r="C202" s="32" t="s">
        <v>1506</v>
      </c>
      <c r="D202" s="32" t="s">
        <v>1507</v>
      </c>
      <c r="E202" s="32" t="s">
        <v>1470</v>
      </c>
      <c r="F202" s="32" t="s">
        <v>865</v>
      </c>
      <c r="G202" s="32" t="s">
        <v>865</v>
      </c>
      <c r="H202" s="32" t="s">
        <v>865</v>
      </c>
      <c r="I202" s="32" t="s">
        <v>865</v>
      </c>
      <c r="J202" s="32" t="s">
        <v>865</v>
      </c>
      <c r="K202" s="32" t="s">
        <v>865</v>
      </c>
    </row>
    <row r="203" spans="1:11" ht="15" customHeight="1" x14ac:dyDescent="0.2">
      <c r="A203" s="32" t="s">
        <v>1852</v>
      </c>
      <c r="B203" s="32" t="s">
        <v>1853</v>
      </c>
      <c r="C203" s="32" t="s">
        <v>1469</v>
      </c>
      <c r="D203" s="32" t="s">
        <v>1469</v>
      </c>
      <c r="E203" s="32" t="s">
        <v>1470</v>
      </c>
      <c r="F203" s="32" t="s">
        <v>1513</v>
      </c>
      <c r="G203" s="32" t="s">
        <v>1854</v>
      </c>
      <c r="H203" s="32" t="s">
        <v>1855</v>
      </c>
      <c r="I203" s="32" t="s">
        <v>1469</v>
      </c>
      <c r="J203" s="32" t="s">
        <v>1469</v>
      </c>
      <c r="K203" s="32" t="s">
        <v>1470</v>
      </c>
    </row>
    <row r="204" spans="1:11" ht="15" customHeight="1" x14ac:dyDescent="0.2">
      <c r="A204" s="32" t="s">
        <v>1852</v>
      </c>
      <c r="B204" s="32" t="s">
        <v>1853</v>
      </c>
      <c r="C204" s="32" t="s">
        <v>1469</v>
      </c>
      <c r="D204" s="32" t="s">
        <v>1469</v>
      </c>
      <c r="E204" s="32" t="s">
        <v>1470</v>
      </c>
      <c r="F204" s="32" t="s">
        <v>1513</v>
      </c>
      <c r="G204" s="32" t="s">
        <v>1856</v>
      </c>
      <c r="H204" s="32" t="s">
        <v>1857</v>
      </c>
      <c r="I204" s="32" t="s">
        <v>1469</v>
      </c>
      <c r="J204" s="32" t="s">
        <v>1469</v>
      </c>
      <c r="K204" s="32" t="s">
        <v>1470</v>
      </c>
    </row>
    <row r="205" spans="1:11" ht="15" customHeight="1" x14ac:dyDescent="0.2">
      <c r="A205" s="32" t="s">
        <v>1852</v>
      </c>
      <c r="B205" s="32" t="s">
        <v>1853</v>
      </c>
      <c r="C205" s="32" t="s">
        <v>1469</v>
      </c>
      <c r="D205" s="32" t="s">
        <v>1469</v>
      </c>
      <c r="E205" s="32" t="s">
        <v>1470</v>
      </c>
      <c r="F205" s="32" t="s">
        <v>1513</v>
      </c>
      <c r="G205" s="32" t="s">
        <v>1858</v>
      </c>
      <c r="H205" s="32" t="s">
        <v>1859</v>
      </c>
      <c r="I205" s="32" t="s">
        <v>1469</v>
      </c>
      <c r="J205" s="32" t="s">
        <v>1469</v>
      </c>
      <c r="K205" s="32" t="s">
        <v>1470</v>
      </c>
    </row>
    <row r="206" spans="1:11" ht="15" customHeight="1" x14ac:dyDescent="0.2">
      <c r="A206" s="32" t="s">
        <v>1852</v>
      </c>
      <c r="B206" s="32" t="s">
        <v>1853</v>
      </c>
      <c r="C206" s="32" t="s">
        <v>1469</v>
      </c>
      <c r="D206" s="32" t="s">
        <v>1469</v>
      </c>
      <c r="E206" s="32" t="s">
        <v>1470</v>
      </c>
      <c r="F206" s="32" t="s">
        <v>1513</v>
      </c>
      <c r="G206" s="32" t="s">
        <v>1860</v>
      </c>
      <c r="H206" s="32" t="s">
        <v>1861</v>
      </c>
      <c r="I206" s="32" t="s">
        <v>1469</v>
      </c>
      <c r="J206" s="32" t="s">
        <v>1469</v>
      </c>
      <c r="K206" s="32" t="s">
        <v>1470</v>
      </c>
    </row>
    <row r="207" spans="1:11" ht="15" customHeight="1" x14ac:dyDescent="0.2">
      <c r="A207" s="32" t="s">
        <v>1852</v>
      </c>
      <c r="B207" s="32" t="s">
        <v>1853</v>
      </c>
      <c r="C207" s="32" t="s">
        <v>1469</v>
      </c>
      <c r="D207" s="32" t="s">
        <v>1469</v>
      </c>
      <c r="E207" s="32" t="s">
        <v>1470</v>
      </c>
      <c r="F207" s="32" t="s">
        <v>1513</v>
      </c>
      <c r="G207" s="32" t="s">
        <v>1862</v>
      </c>
      <c r="H207" s="32" t="s">
        <v>1863</v>
      </c>
      <c r="I207" s="32" t="s">
        <v>1469</v>
      </c>
      <c r="J207" s="32" t="s">
        <v>1469</v>
      </c>
      <c r="K207" s="32" t="s">
        <v>1470</v>
      </c>
    </row>
    <row r="208" spans="1:11" ht="15" customHeight="1" x14ac:dyDescent="0.2">
      <c r="A208" s="32" t="s">
        <v>1852</v>
      </c>
      <c r="B208" s="32" t="s">
        <v>1853</v>
      </c>
      <c r="C208" s="32" t="s">
        <v>1469</v>
      </c>
      <c r="D208" s="32" t="s">
        <v>1469</v>
      </c>
      <c r="E208" s="32" t="s">
        <v>1470</v>
      </c>
      <c r="F208" s="32" t="s">
        <v>1513</v>
      </c>
      <c r="G208" s="32" t="s">
        <v>1864</v>
      </c>
      <c r="H208" s="32" t="s">
        <v>1865</v>
      </c>
      <c r="I208" s="32" t="s">
        <v>1469</v>
      </c>
      <c r="J208" s="32" t="s">
        <v>1469</v>
      </c>
      <c r="K208" s="32" t="s">
        <v>1470</v>
      </c>
    </row>
    <row r="209" spans="1:11" ht="15" customHeight="1" x14ac:dyDescent="0.2">
      <c r="A209" s="32" t="s">
        <v>1852</v>
      </c>
      <c r="B209" s="32" t="s">
        <v>1853</v>
      </c>
      <c r="C209" s="32" t="s">
        <v>1469</v>
      </c>
      <c r="D209" s="32" t="s">
        <v>1469</v>
      </c>
      <c r="E209" s="32" t="s">
        <v>1470</v>
      </c>
      <c r="F209" s="32" t="s">
        <v>1513</v>
      </c>
      <c r="G209" s="32" t="s">
        <v>1866</v>
      </c>
      <c r="H209" s="32" t="s">
        <v>1867</v>
      </c>
      <c r="I209" s="32" t="s">
        <v>1469</v>
      </c>
      <c r="J209" s="32" t="s">
        <v>1469</v>
      </c>
      <c r="K209" s="32" t="s">
        <v>1470</v>
      </c>
    </row>
    <row r="210" spans="1:11" ht="15" customHeight="1" x14ac:dyDescent="0.2">
      <c r="A210" s="32" t="s">
        <v>1868</v>
      </c>
      <c r="B210" s="32" t="s">
        <v>1869</v>
      </c>
      <c r="C210" s="32" t="s">
        <v>1473</v>
      </c>
      <c r="D210" s="32" t="s">
        <v>1473</v>
      </c>
      <c r="E210" s="32" t="s">
        <v>1470</v>
      </c>
      <c r="F210" s="32" t="s">
        <v>865</v>
      </c>
      <c r="G210" s="32" t="s">
        <v>865</v>
      </c>
      <c r="H210" s="32" t="s">
        <v>865</v>
      </c>
      <c r="I210" s="32" t="s">
        <v>865</v>
      </c>
      <c r="J210" s="32" t="s">
        <v>865</v>
      </c>
      <c r="K210" s="32" t="s">
        <v>865</v>
      </c>
    </row>
    <row r="211" spans="1:11" ht="15" customHeight="1" x14ac:dyDescent="0.2">
      <c r="A211" s="32" t="s">
        <v>1870</v>
      </c>
      <c r="B211" s="32" t="s">
        <v>1870</v>
      </c>
      <c r="C211" s="32" t="s">
        <v>1473</v>
      </c>
      <c r="D211" s="32" t="s">
        <v>1473</v>
      </c>
      <c r="E211" s="32" t="s">
        <v>1470</v>
      </c>
      <c r="F211" s="32" t="s">
        <v>865</v>
      </c>
      <c r="G211" s="32" t="s">
        <v>865</v>
      </c>
      <c r="H211" s="32" t="s">
        <v>865</v>
      </c>
      <c r="I211" s="32" t="s">
        <v>865</v>
      </c>
      <c r="J211" s="32" t="s">
        <v>865</v>
      </c>
      <c r="K211" s="32" t="s">
        <v>865</v>
      </c>
    </row>
    <row r="212" spans="1:11" ht="15" customHeight="1" x14ac:dyDescent="0.2">
      <c r="A212" s="32" t="s">
        <v>1871</v>
      </c>
      <c r="B212" s="32" t="s">
        <v>1872</v>
      </c>
      <c r="C212" s="32" t="s">
        <v>1506</v>
      </c>
      <c r="D212" s="32" t="s">
        <v>1507</v>
      </c>
      <c r="E212" s="32" t="s">
        <v>1470</v>
      </c>
      <c r="F212" s="32" t="s">
        <v>865</v>
      </c>
      <c r="G212" s="32" t="s">
        <v>865</v>
      </c>
      <c r="H212" s="32" t="s">
        <v>865</v>
      </c>
      <c r="I212" s="32" t="s">
        <v>865</v>
      </c>
      <c r="J212" s="32" t="s">
        <v>865</v>
      </c>
      <c r="K212" s="32" t="s">
        <v>865</v>
      </c>
    </row>
    <row r="213" spans="1:11" ht="15" customHeight="1" x14ac:dyDescent="0.2">
      <c r="A213" s="32" t="s">
        <v>1873</v>
      </c>
      <c r="B213" s="32" t="s">
        <v>1874</v>
      </c>
      <c r="C213" s="32" t="s">
        <v>1484</v>
      </c>
      <c r="D213" s="32" t="s">
        <v>1571</v>
      </c>
      <c r="E213" s="32" t="s">
        <v>1470</v>
      </c>
      <c r="F213" s="32" t="s">
        <v>865</v>
      </c>
      <c r="G213" s="32" t="s">
        <v>865</v>
      </c>
      <c r="H213" s="32" t="s">
        <v>865</v>
      </c>
      <c r="I213" s="32" t="s">
        <v>865</v>
      </c>
      <c r="J213" s="32" t="s">
        <v>865</v>
      </c>
      <c r="K213" s="32" t="s">
        <v>865</v>
      </c>
    </row>
    <row r="214" spans="1:11" ht="15" customHeight="1" x14ac:dyDescent="0.2">
      <c r="A214" s="32" t="s">
        <v>1875</v>
      </c>
      <c r="B214" s="32" t="s">
        <v>1876</v>
      </c>
      <c r="C214" s="32" t="s">
        <v>1494</v>
      </c>
      <c r="D214" s="32" t="s">
        <v>1554</v>
      </c>
      <c r="E214" s="32" t="s">
        <v>1470</v>
      </c>
      <c r="F214" s="32" t="s">
        <v>865</v>
      </c>
      <c r="G214" s="32" t="s">
        <v>865</v>
      </c>
      <c r="H214" s="32" t="s">
        <v>865</v>
      </c>
      <c r="I214" s="32" t="s">
        <v>865</v>
      </c>
      <c r="J214" s="32" t="s">
        <v>865</v>
      </c>
      <c r="K214" s="32" t="s">
        <v>865</v>
      </c>
    </row>
    <row r="215" spans="1:11" ht="15" customHeight="1" x14ac:dyDescent="0.2">
      <c r="A215" s="32" t="s">
        <v>1877</v>
      </c>
      <c r="B215" s="32" t="s">
        <v>1878</v>
      </c>
      <c r="C215" s="32" t="s">
        <v>1484</v>
      </c>
      <c r="D215" s="32" t="s">
        <v>1485</v>
      </c>
      <c r="E215" s="32" t="s">
        <v>1470</v>
      </c>
      <c r="F215" s="32" t="s">
        <v>865</v>
      </c>
      <c r="G215" s="32" t="s">
        <v>865</v>
      </c>
      <c r="H215" s="32" t="s">
        <v>865</v>
      </c>
      <c r="I215" s="32" t="s">
        <v>865</v>
      </c>
      <c r="J215" s="32" t="s">
        <v>865</v>
      </c>
      <c r="K215" s="32" t="s">
        <v>865</v>
      </c>
    </row>
    <row r="216" spans="1:11" ht="15" customHeight="1" x14ac:dyDescent="0.2">
      <c r="A216" s="32" t="s">
        <v>1879</v>
      </c>
      <c r="B216" s="32" t="s">
        <v>1879</v>
      </c>
      <c r="C216" s="32" t="s">
        <v>1494</v>
      </c>
      <c r="D216" s="32" t="s">
        <v>1554</v>
      </c>
      <c r="E216" s="32" t="s">
        <v>1470</v>
      </c>
      <c r="F216" s="32" t="s">
        <v>865</v>
      </c>
      <c r="G216" s="32" t="s">
        <v>865</v>
      </c>
      <c r="H216" s="32" t="s">
        <v>865</v>
      </c>
      <c r="I216" s="32" t="s">
        <v>865</v>
      </c>
      <c r="J216" s="32" t="s">
        <v>865</v>
      </c>
      <c r="K216" s="32" t="s">
        <v>865</v>
      </c>
    </row>
    <row r="217" spans="1:11" ht="15" customHeight="1" x14ac:dyDescent="0.2">
      <c r="A217" s="32" t="s">
        <v>1880</v>
      </c>
      <c r="B217" s="32" t="s">
        <v>1881</v>
      </c>
      <c r="C217" s="32" t="s">
        <v>1494</v>
      </c>
      <c r="D217" s="32" t="s">
        <v>1743</v>
      </c>
      <c r="E217" s="32" t="s">
        <v>1470</v>
      </c>
      <c r="F217" s="32" t="s">
        <v>865</v>
      </c>
      <c r="G217" s="32" t="s">
        <v>865</v>
      </c>
      <c r="H217" s="32" t="s">
        <v>865</v>
      </c>
      <c r="I217" s="32" t="s">
        <v>865</v>
      </c>
      <c r="J217" s="32" t="s">
        <v>865</v>
      </c>
      <c r="K217" s="32" t="s">
        <v>865</v>
      </c>
    </row>
    <row r="218" spans="1:11" ht="15" customHeight="1" x14ac:dyDescent="0.2">
      <c r="A218" s="32" t="s">
        <v>1882</v>
      </c>
      <c r="B218" s="32" t="s">
        <v>1883</v>
      </c>
      <c r="C218" s="32" t="s">
        <v>1494</v>
      </c>
      <c r="D218" s="32" t="s">
        <v>1542</v>
      </c>
      <c r="E218" s="32" t="s">
        <v>1470</v>
      </c>
      <c r="F218" s="32" t="s">
        <v>865</v>
      </c>
      <c r="G218" s="32" t="s">
        <v>865</v>
      </c>
      <c r="H218" s="32" t="s">
        <v>865</v>
      </c>
      <c r="I218" s="32" t="s">
        <v>865</v>
      </c>
      <c r="J218" s="32" t="s">
        <v>865</v>
      </c>
      <c r="K218" s="32" t="s">
        <v>865</v>
      </c>
    </row>
    <row r="219" spans="1:11" ht="15" customHeight="1" x14ac:dyDescent="0.2">
      <c r="A219" s="32" t="s">
        <v>1884</v>
      </c>
      <c r="B219" s="32" t="s">
        <v>1884</v>
      </c>
      <c r="C219" s="32" t="s">
        <v>1477</v>
      </c>
      <c r="D219" s="32" t="s">
        <v>1646</v>
      </c>
      <c r="E219" s="32" t="s">
        <v>1470</v>
      </c>
      <c r="F219" s="32" t="s">
        <v>865</v>
      </c>
      <c r="G219" s="32" t="s">
        <v>865</v>
      </c>
      <c r="H219" s="32" t="s">
        <v>865</v>
      </c>
      <c r="I219" s="32" t="s">
        <v>865</v>
      </c>
      <c r="J219" s="32" t="s">
        <v>865</v>
      </c>
      <c r="K219" s="32" t="s">
        <v>865</v>
      </c>
    </row>
    <row r="220" spans="1:11" ht="15" customHeight="1" x14ac:dyDescent="0.2">
      <c r="A220" s="32" t="s">
        <v>1885</v>
      </c>
      <c r="B220" s="32" t="s">
        <v>1886</v>
      </c>
      <c r="C220" s="32" t="s">
        <v>1477</v>
      </c>
      <c r="D220" s="32" t="s">
        <v>1646</v>
      </c>
      <c r="E220" s="32" t="s">
        <v>1470</v>
      </c>
      <c r="F220" s="32" t="s">
        <v>865</v>
      </c>
      <c r="G220" s="32" t="s">
        <v>865</v>
      </c>
      <c r="H220" s="32" t="s">
        <v>865</v>
      </c>
      <c r="I220" s="32" t="s">
        <v>865</v>
      </c>
      <c r="J220" s="32" t="s">
        <v>865</v>
      </c>
      <c r="K220" s="32" t="s">
        <v>865</v>
      </c>
    </row>
    <row r="221" spans="1:11" ht="15" customHeight="1" x14ac:dyDescent="0.2">
      <c r="A221" s="32" t="s">
        <v>1887</v>
      </c>
      <c r="B221" s="32" t="s">
        <v>1888</v>
      </c>
      <c r="C221" s="32" t="s">
        <v>1506</v>
      </c>
      <c r="D221" s="32" t="s">
        <v>1507</v>
      </c>
      <c r="E221" s="32" t="s">
        <v>1470</v>
      </c>
      <c r="F221" s="32" t="s">
        <v>865</v>
      </c>
      <c r="G221" s="32" t="s">
        <v>865</v>
      </c>
      <c r="H221" s="32" t="s">
        <v>865</v>
      </c>
      <c r="I221" s="32" t="s">
        <v>865</v>
      </c>
      <c r="J221" s="32" t="s">
        <v>865</v>
      </c>
      <c r="K221" s="32" t="s">
        <v>865</v>
      </c>
    </row>
    <row r="222" spans="1:11" ht="15" customHeight="1" x14ac:dyDescent="0.2">
      <c r="A222" s="32" t="s">
        <v>313</v>
      </c>
      <c r="B222" s="32" t="s">
        <v>1889</v>
      </c>
      <c r="C222" s="32" t="s">
        <v>1506</v>
      </c>
      <c r="D222" s="32" t="s">
        <v>1507</v>
      </c>
      <c r="E222" s="32" t="s">
        <v>1470</v>
      </c>
      <c r="F222" s="32" t="s">
        <v>865</v>
      </c>
      <c r="G222" s="32" t="s">
        <v>865</v>
      </c>
      <c r="H222" s="32" t="s">
        <v>865</v>
      </c>
      <c r="I222" s="32" t="s">
        <v>865</v>
      </c>
      <c r="J222" s="32" t="s">
        <v>865</v>
      </c>
      <c r="K222" s="32" t="s">
        <v>865</v>
      </c>
    </row>
    <row r="223" spans="1:11" ht="15" customHeight="1" x14ac:dyDescent="0.2">
      <c r="A223" s="32" t="s">
        <v>1890</v>
      </c>
      <c r="B223" s="32" t="s">
        <v>1891</v>
      </c>
      <c r="C223" s="32" t="s">
        <v>1484</v>
      </c>
      <c r="D223" s="32" t="s">
        <v>1571</v>
      </c>
      <c r="E223" s="32" t="s">
        <v>1470</v>
      </c>
      <c r="F223" s="32" t="s">
        <v>865</v>
      </c>
      <c r="G223" s="32" t="s">
        <v>865</v>
      </c>
      <c r="H223" s="32" t="s">
        <v>865</v>
      </c>
      <c r="I223" s="32" t="s">
        <v>865</v>
      </c>
      <c r="J223" s="32" t="s">
        <v>865</v>
      </c>
      <c r="K223" s="32" t="s">
        <v>865</v>
      </c>
    </row>
    <row r="224" spans="1:11" ht="15" customHeight="1" x14ac:dyDescent="0.2">
      <c r="A224" s="32" t="s">
        <v>1892</v>
      </c>
      <c r="B224" s="32" t="s">
        <v>1893</v>
      </c>
      <c r="C224" s="32" t="s">
        <v>1484</v>
      </c>
      <c r="D224" s="32" t="s">
        <v>1485</v>
      </c>
      <c r="E224" s="32" t="s">
        <v>1470</v>
      </c>
      <c r="F224" s="32" t="s">
        <v>865</v>
      </c>
      <c r="G224" s="32" t="s">
        <v>865</v>
      </c>
      <c r="H224" s="32" t="s">
        <v>865</v>
      </c>
      <c r="I224" s="32" t="s">
        <v>865</v>
      </c>
      <c r="J224" s="32" t="s">
        <v>865</v>
      </c>
      <c r="K224" s="32" t="s">
        <v>865</v>
      </c>
    </row>
    <row r="225" spans="1:11" ht="15" customHeight="1" x14ac:dyDescent="0.2">
      <c r="A225" s="32" t="s">
        <v>1894</v>
      </c>
      <c r="B225" s="32" t="s">
        <v>1895</v>
      </c>
      <c r="C225" s="32" t="s">
        <v>1477</v>
      </c>
      <c r="D225" s="32" t="s">
        <v>1478</v>
      </c>
      <c r="E225" s="32" t="s">
        <v>1470</v>
      </c>
      <c r="F225" s="32" t="s">
        <v>865</v>
      </c>
      <c r="G225" s="32" t="s">
        <v>865</v>
      </c>
      <c r="H225" s="32" t="s">
        <v>865</v>
      </c>
      <c r="I225" s="32" t="s">
        <v>865</v>
      </c>
      <c r="J225" s="32" t="s">
        <v>865</v>
      </c>
      <c r="K225" s="32" t="s">
        <v>865</v>
      </c>
    </row>
    <row r="226" spans="1:11" ht="15" customHeight="1" x14ac:dyDescent="0.2">
      <c r="A226" s="32" t="s">
        <v>1896</v>
      </c>
      <c r="B226" s="32" t="s">
        <v>1897</v>
      </c>
      <c r="C226" s="32" t="s">
        <v>1477</v>
      </c>
      <c r="D226" s="32" t="s">
        <v>1646</v>
      </c>
      <c r="E226" s="32" t="s">
        <v>1470</v>
      </c>
      <c r="F226" s="32" t="s">
        <v>865</v>
      </c>
      <c r="G226" s="32" t="s">
        <v>865</v>
      </c>
      <c r="H226" s="32" t="s">
        <v>865</v>
      </c>
      <c r="I226" s="32" t="s">
        <v>865</v>
      </c>
      <c r="J226" s="32" t="s">
        <v>865</v>
      </c>
      <c r="K226" s="32" t="s">
        <v>865</v>
      </c>
    </row>
    <row r="227" spans="1:11" ht="15" customHeight="1" x14ac:dyDescent="0.2">
      <c r="A227" s="32" t="s">
        <v>1898</v>
      </c>
      <c r="B227" s="32" t="s">
        <v>1899</v>
      </c>
      <c r="C227" s="32" t="s">
        <v>1494</v>
      </c>
      <c r="D227" s="32" t="s">
        <v>1785</v>
      </c>
      <c r="E227" s="32" t="s">
        <v>1470</v>
      </c>
      <c r="F227" s="32" t="s">
        <v>1513</v>
      </c>
      <c r="G227" s="32" t="s">
        <v>1900</v>
      </c>
      <c r="H227" s="32" t="s">
        <v>1901</v>
      </c>
      <c r="I227" s="32" t="s">
        <v>1494</v>
      </c>
      <c r="J227" s="32" t="s">
        <v>1785</v>
      </c>
      <c r="K227" s="32" t="s">
        <v>1470</v>
      </c>
    </row>
    <row r="228" spans="1:11" ht="15" customHeight="1" x14ac:dyDescent="0.2">
      <c r="A228" s="32" t="s">
        <v>1898</v>
      </c>
      <c r="B228" s="32" t="s">
        <v>1899</v>
      </c>
      <c r="C228" s="32" t="s">
        <v>1494</v>
      </c>
      <c r="D228" s="32" t="s">
        <v>1785</v>
      </c>
      <c r="E228" s="32" t="s">
        <v>1470</v>
      </c>
      <c r="F228" s="32" t="s">
        <v>1513</v>
      </c>
      <c r="G228" s="32" t="s">
        <v>1902</v>
      </c>
      <c r="H228" s="32" t="s">
        <v>1903</v>
      </c>
      <c r="I228" s="32" t="s">
        <v>1494</v>
      </c>
      <c r="J228" s="32" t="s">
        <v>1785</v>
      </c>
      <c r="K228" s="32" t="s">
        <v>1470</v>
      </c>
    </row>
    <row r="229" spans="1:11" ht="15" customHeight="1" x14ac:dyDescent="0.2">
      <c r="A229" s="32" t="s">
        <v>1898</v>
      </c>
      <c r="B229" s="32" t="s">
        <v>1899</v>
      </c>
      <c r="C229" s="32" t="s">
        <v>1494</v>
      </c>
      <c r="D229" s="32" t="s">
        <v>1785</v>
      </c>
      <c r="E229" s="32" t="s">
        <v>1470</v>
      </c>
      <c r="F229" s="32" t="s">
        <v>1513</v>
      </c>
      <c r="G229" s="32" t="s">
        <v>1904</v>
      </c>
      <c r="H229" s="32" t="s">
        <v>1861</v>
      </c>
      <c r="I229" s="32" t="s">
        <v>1494</v>
      </c>
      <c r="J229" s="32" t="s">
        <v>1785</v>
      </c>
      <c r="K229" s="32" t="s">
        <v>1470</v>
      </c>
    </row>
    <row r="230" spans="1:11" ht="15" customHeight="1" x14ac:dyDescent="0.2">
      <c r="A230" s="32" t="s">
        <v>1898</v>
      </c>
      <c r="B230" s="32" t="s">
        <v>1899</v>
      </c>
      <c r="C230" s="32" t="s">
        <v>1494</v>
      </c>
      <c r="D230" s="32" t="s">
        <v>1785</v>
      </c>
      <c r="E230" s="32" t="s">
        <v>1470</v>
      </c>
      <c r="F230" s="32" t="s">
        <v>1513</v>
      </c>
      <c r="G230" s="32" t="s">
        <v>1905</v>
      </c>
      <c r="H230" s="32" t="s">
        <v>1906</v>
      </c>
      <c r="I230" s="32" t="s">
        <v>1494</v>
      </c>
      <c r="J230" s="32" t="s">
        <v>1785</v>
      </c>
      <c r="K230" s="32" t="s">
        <v>1470</v>
      </c>
    </row>
    <row r="231" spans="1:11" ht="15" customHeight="1" x14ac:dyDescent="0.2">
      <c r="A231" s="32" t="s">
        <v>1898</v>
      </c>
      <c r="B231" s="32" t="s">
        <v>1899</v>
      </c>
      <c r="C231" s="32" t="s">
        <v>1494</v>
      </c>
      <c r="D231" s="32" t="s">
        <v>1785</v>
      </c>
      <c r="E231" s="32" t="s">
        <v>1470</v>
      </c>
      <c r="F231" s="32" t="s">
        <v>1513</v>
      </c>
      <c r="G231" s="32" t="s">
        <v>1907</v>
      </c>
      <c r="H231" s="32" t="s">
        <v>1908</v>
      </c>
      <c r="I231" s="32" t="s">
        <v>1494</v>
      </c>
      <c r="J231" s="32" t="s">
        <v>1785</v>
      </c>
      <c r="K231" s="32" t="s">
        <v>1470</v>
      </c>
    </row>
    <row r="232" spans="1:11" ht="15" customHeight="1" x14ac:dyDescent="0.2">
      <c r="A232" s="32" t="s">
        <v>1909</v>
      </c>
      <c r="B232" s="32" t="s">
        <v>1910</v>
      </c>
      <c r="C232" s="32" t="s">
        <v>1473</v>
      </c>
      <c r="D232" s="32" t="s">
        <v>1473</v>
      </c>
      <c r="E232" s="32" t="s">
        <v>1470</v>
      </c>
      <c r="F232" s="32" t="s">
        <v>865</v>
      </c>
      <c r="G232" s="32" t="s">
        <v>865</v>
      </c>
      <c r="H232" s="32" t="s">
        <v>865</v>
      </c>
      <c r="I232" s="32" t="s">
        <v>865</v>
      </c>
      <c r="J232" s="32" t="s">
        <v>865</v>
      </c>
      <c r="K232" s="32" t="s">
        <v>865</v>
      </c>
    </row>
    <row r="233" spans="1:11" ht="15" customHeight="1" x14ac:dyDescent="0.2">
      <c r="A233" s="32" t="s">
        <v>1911</v>
      </c>
      <c r="B233" s="32" t="s">
        <v>1912</v>
      </c>
      <c r="C233" s="32" t="s">
        <v>1494</v>
      </c>
      <c r="D233" s="32" t="s">
        <v>1542</v>
      </c>
      <c r="E233" s="32" t="s">
        <v>1470</v>
      </c>
      <c r="F233" s="32" t="s">
        <v>1513</v>
      </c>
      <c r="G233" s="32" t="s">
        <v>1913</v>
      </c>
      <c r="H233" s="32" t="s">
        <v>1914</v>
      </c>
      <c r="I233" s="32" t="s">
        <v>1494</v>
      </c>
      <c r="J233" s="32" t="s">
        <v>1542</v>
      </c>
      <c r="K233" s="32" t="s">
        <v>1470</v>
      </c>
    </row>
    <row r="234" spans="1:11" ht="15" customHeight="1" x14ac:dyDescent="0.2">
      <c r="A234" s="32" t="s">
        <v>1911</v>
      </c>
      <c r="B234" s="32" t="s">
        <v>1912</v>
      </c>
      <c r="C234" s="32" t="s">
        <v>1494</v>
      </c>
      <c r="D234" s="32" t="s">
        <v>1542</v>
      </c>
      <c r="E234" s="32" t="s">
        <v>1470</v>
      </c>
      <c r="F234" s="32" t="s">
        <v>1513</v>
      </c>
      <c r="G234" s="32" t="s">
        <v>1911</v>
      </c>
      <c r="H234" s="32" t="s">
        <v>1912</v>
      </c>
      <c r="I234" s="32" t="s">
        <v>1494</v>
      </c>
      <c r="J234" s="32" t="s">
        <v>1542</v>
      </c>
      <c r="K234" s="32" t="s">
        <v>1470</v>
      </c>
    </row>
    <row r="235" spans="1:11" ht="15" customHeight="1" x14ac:dyDescent="0.2">
      <c r="A235" s="32" t="s">
        <v>1915</v>
      </c>
      <c r="B235" s="32" t="s">
        <v>1916</v>
      </c>
      <c r="C235" s="32" t="s">
        <v>1473</v>
      </c>
      <c r="D235" s="32" t="s">
        <v>1473</v>
      </c>
      <c r="E235" s="32" t="s">
        <v>1470</v>
      </c>
      <c r="F235" s="32" t="s">
        <v>865</v>
      </c>
      <c r="G235" s="32" t="s">
        <v>865</v>
      </c>
      <c r="H235" s="32" t="s">
        <v>865</v>
      </c>
      <c r="I235" s="32" t="s">
        <v>865</v>
      </c>
      <c r="J235" s="32" t="s">
        <v>865</v>
      </c>
      <c r="K235" s="32" t="s">
        <v>865</v>
      </c>
    </row>
    <row r="236" spans="1:11" ht="15" customHeight="1" x14ac:dyDescent="0.2">
      <c r="A236" s="32" t="s">
        <v>1917</v>
      </c>
      <c r="B236" s="32" t="s">
        <v>1918</v>
      </c>
      <c r="C236" s="32" t="s">
        <v>1473</v>
      </c>
      <c r="D236" s="32" t="s">
        <v>1473</v>
      </c>
      <c r="E236" s="32" t="s">
        <v>1470</v>
      </c>
      <c r="F236" s="32" t="s">
        <v>865</v>
      </c>
      <c r="G236" s="32" t="s">
        <v>865</v>
      </c>
      <c r="H236" s="32" t="s">
        <v>865</v>
      </c>
      <c r="I236" s="32" t="s">
        <v>865</v>
      </c>
      <c r="J236" s="32" t="s">
        <v>865</v>
      </c>
      <c r="K236" s="32" t="s">
        <v>865</v>
      </c>
    </row>
    <row r="237" spans="1:11" ht="15" customHeight="1" x14ac:dyDescent="0.2">
      <c r="A237" s="32" t="s">
        <v>1919</v>
      </c>
      <c r="B237" s="32" t="s">
        <v>1920</v>
      </c>
      <c r="C237" s="32" t="s">
        <v>1473</v>
      </c>
      <c r="D237" s="32" t="s">
        <v>1510</v>
      </c>
      <c r="E237" s="32" t="s">
        <v>1470</v>
      </c>
      <c r="F237" s="32" t="s">
        <v>865</v>
      </c>
      <c r="G237" s="32" t="s">
        <v>865</v>
      </c>
      <c r="H237" s="32" t="s">
        <v>865</v>
      </c>
      <c r="I237" s="32" t="s">
        <v>865</v>
      </c>
      <c r="J237" s="32" t="s">
        <v>865</v>
      </c>
      <c r="K237" s="32" t="s">
        <v>865</v>
      </c>
    </row>
    <row r="238" spans="1:11" ht="15" customHeight="1" x14ac:dyDescent="0.2">
      <c r="A238" s="32" t="s">
        <v>1921</v>
      </c>
      <c r="B238" s="32" t="s">
        <v>1922</v>
      </c>
      <c r="C238" s="32" t="s">
        <v>1477</v>
      </c>
      <c r="D238" s="32" t="s">
        <v>1923</v>
      </c>
      <c r="E238" s="32" t="s">
        <v>1470</v>
      </c>
      <c r="F238" s="32" t="s">
        <v>865</v>
      </c>
      <c r="G238" s="32" t="s">
        <v>865</v>
      </c>
      <c r="H238" s="32" t="s">
        <v>865</v>
      </c>
      <c r="I238" s="32" t="s">
        <v>865</v>
      </c>
      <c r="J238" s="32" t="s">
        <v>865</v>
      </c>
      <c r="K238" s="32" t="s">
        <v>865</v>
      </c>
    </row>
    <row r="239" spans="1:11" ht="15" customHeight="1" x14ac:dyDescent="0.2">
      <c r="A239" s="32" t="s">
        <v>1924</v>
      </c>
      <c r="B239" s="32" t="s">
        <v>1925</v>
      </c>
      <c r="C239" s="32" t="s">
        <v>1477</v>
      </c>
      <c r="D239" s="32" t="s">
        <v>1923</v>
      </c>
      <c r="E239" s="32" t="s">
        <v>1470</v>
      </c>
      <c r="F239" s="32" t="s">
        <v>865</v>
      </c>
      <c r="G239" s="32" t="s">
        <v>865</v>
      </c>
      <c r="H239" s="32" t="s">
        <v>865</v>
      </c>
      <c r="I239" s="32" t="s">
        <v>865</v>
      </c>
      <c r="J239" s="32" t="s">
        <v>865</v>
      </c>
      <c r="K239" s="32" t="s">
        <v>865</v>
      </c>
    </row>
    <row r="240" spans="1:11" ht="15" customHeight="1" x14ac:dyDescent="0.2">
      <c r="A240" s="32" t="s">
        <v>1926</v>
      </c>
      <c r="B240" s="32" t="s">
        <v>1927</v>
      </c>
      <c r="C240" s="32" t="s">
        <v>1477</v>
      </c>
      <c r="D240" s="32" t="s">
        <v>1923</v>
      </c>
      <c r="E240" s="32" t="s">
        <v>1470</v>
      </c>
      <c r="F240" s="32" t="s">
        <v>865</v>
      </c>
      <c r="G240" s="32" t="s">
        <v>865</v>
      </c>
      <c r="H240" s="32" t="s">
        <v>865</v>
      </c>
      <c r="I240" s="32" t="s">
        <v>865</v>
      </c>
      <c r="J240" s="32" t="s">
        <v>865</v>
      </c>
      <c r="K240" s="32" t="s">
        <v>865</v>
      </c>
    </row>
    <row r="241" spans="1:11" ht="15" customHeight="1" x14ac:dyDescent="0.2">
      <c r="A241" s="32" t="s">
        <v>1928</v>
      </c>
      <c r="B241" s="32" t="s">
        <v>1929</v>
      </c>
      <c r="C241" s="32" t="s">
        <v>1477</v>
      </c>
      <c r="D241" s="32" t="s">
        <v>1923</v>
      </c>
      <c r="E241" s="32" t="s">
        <v>1470</v>
      </c>
      <c r="F241" s="32" t="s">
        <v>865</v>
      </c>
      <c r="G241" s="32" t="s">
        <v>865</v>
      </c>
      <c r="H241" s="32" t="s">
        <v>865</v>
      </c>
      <c r="I241" s="32" t="s">
        <v>865</v>
      </c>
      <c r="J241" s="32" t="s">
        <v>865</v>
      </c>
      <c r="K241" s="32" t="s">
        <v>865</v>
      </c>
    </row>
    <row r="242" spans="1:11" ht="15" customHeight="1" x14ac:dyDescent="0.2">
      <c r="A242" s="32" t="s">
        <v>1930</v>
      </c>
      <c r="B242" s="32" t="s">
        <v>1931</v>
      </c>
      <c r="C242" s="32" t="s">
        <v>1477</v>
      </c>
      <c r="D242" s="32" t="s">
        <v>1923</v>
      </c>
      <c r="E242" s="32" t="s">
        <v>1470</v>
      </c>
      <c r="F242" s="32" t="s">
        <v>865</v>
      </c>
      <c r="G242" s="32" t="s">
        <v>865</v>
      </c>
      <c r="H242" s="32" t="s">
        <v>865</v>
      </c>
      <c r="I242" s="32" t="s">
        <v>865</v>
      </c>
      <c r="J242" s="32" t="s">
        <v>865</v>
      </c>
      <c r="K242" s="32" t="s">
        <v>865</v>
      </c>
    </row>
    <row r="243" spans="1:11" ht="15" customHeight="1" x14ac:dyDescent="0.2">
      <c r="A243" s="32" t="s">
        <v>1932</v>
      </c>
      <c r="B243" s="32" t="s">
        <v>1932</v>
      </c>
      <c r="C243" s="32" t="s">
        <v>1473</v>
      </c>
      <c r="D243" s="32" t="s">
        <v>1473</v>
      </c>
      <c r="E243" s="32" t="s">
        <v>1933</v>
      </c>
      <c r="F243" s="32" t="s">
        <v>865</v>
      </c>
      <c r="G243" s="32" t="s">
        <v>865</v>
      </c>
      <c r="H243" s="32" t="s">
        <v>865</v>
      </c>
      <c r="I243" s="32" t="s">
        <v>865</v>
      </c>
      <c r="J243" s="32" t="s">
        <v>865</v>
      </c>
      <c r="K243" s="32" t="s">
        <v>865</v>
      </c>
    </row>
    <row r="244" spans="1:11" ht="15" customHeight="1" x14ac:dyDescent="0.2">
      <c r="A244" s="32" t="s">
        <v>1934</v>
      </c>
      <c r="B244" s="32" t="s">
        <v>1934</v>
      </c>
      <c r="C244" s="32" t="s">
        <v>1477</v>
      </c>
      <c r="D244" s="32" t="s">
        <v>1478</v>
      </c>
      <c r="E244" s="32" t="s">
        <v>1470</v>
      </c>
      <c r="F244" s="32" t="s">
        <v>865</v>
      </c>
      <c r="G244" s="32" t="s">
        <v>865</v>
      </c>
      <c r="H244" s="32" t="s">
        <v>865</v>
      </c>
      <c r="I244" s="32" t="s">
        <v>865</v>
      </c>
      <c r="J244" s="32" t="s">
        <v>865</v>
      </c>
      <c r="K244" s="32" t="s">
        <v>865</v>
      </c>
    </row>
    <row r="245" spans="1:11" ht="15" customHeight="1" x14ac:dyDescent="0.2">
      <c r="A245" s="32" t="s">
        <v>1935</v>
      </c>
      <c r="B245" s="32" t="s">
        <v>1935</v>
      </c>
      <c r="C245" s="32" t="s">
        <v>1477</v>
      </c>
      <c r="D245" s="32" t="s">
        <v>1478</v>
      </c>
      <c r="E245" s="32" t="s">
        <v>1470</v>
      </c>
      <c r="F245" s="32" t="s">
        <v>865</v>
      </c>
      <c r="G245" s="32" t="s">
        <v>865</v>
      </c>
      <c r="H245" s="32" t="s">
        <v>865</v>
      </c>
      <c r="I245" s="32" t="s">
        <v>865</v>
      </c>
      <c r="J245" s="32" t="s">
        <v>865</v>
      </c>
      <c r="K245" s="32" t="s">
        <v>865</v>
      </c>
    </row>
    <row r="246" spans="1:11" ht="15" customHeight="1" x14ac:dyDescent="0.2">
      <c r="A246" s="32" t="s">
        <v>1936</v>
      </c>
      <c r="B246" s="32" t="s">
        <v>1728</v>
      </c>
      <c r="C246" s="32" t="s">
        <v>1477</v>
      </c>
      <c r="D246" s="32" t="s">
        <v>1478</v>
      </c>
      <c r="E246" s="32" t="s">
        <v>1470</v>
      </c>
      <c r="F246" s="32" t="s">
        <v>865</v>
      </c>
      <c r="G246" s="32" t="s">
        <v>865</v>
      </c>
      <c r="H246" s="32" t="s">
        <v>865</v>
      </c>
      <c r="I246" s="32" t="s">
        <v>865</v>
      </c>
      <c r="J246" s="32" t="s">
        <v>865</v>
      </c>
      <c r="K246" s="32" t="s">
        <v>865</v>
      </c>
    </row>
    <row r="247" spans="1:11" ht="15" customHeight="1" x14ac:dyDescent="0.2">
      <c r="A247" s="32" t="s">
        <v>1937</v>
      </c>
      <c r="B247" s="32" t="s">
        <v>1937</v>
      </c>
      <c r="C247" s="32" t="s">
        <v>1477</v>
      </c>
      <c r="D247" s="32" t="s">
        <v>1478</v>
      </c>
      <c r="E247" s="32" t="s">
        <v>1470</v>
      </c>
      <c r="F247" s="32" t="s">
        <v>865</v>
      </c>
      <c r="G247" s="32" t="s">
        <v>865</v>
      </c>
      <c r="H247" s="32" t="s">
        <v>865</v>
      </c>
      <c r="I247" s="32" t="s">
        <v>865</v>
      </c>
      <c r="J247" s="32" t="s">
        <v>865</v>
      </c>
      <c r="K247" s="32" t="s">
        <v>865</v>
      </c>
    </row>
    <row r="248" spans="1:11" ht="15" customHeight="1" x14ac:dyDescent="0.2">
      <c r="A248" s="32" t="s">
        <v>1938</v>
      </c>
      <c r="B248" s="32" t="s">
        <v>1939</v>
      </c>
      <c r="C248" s="32" t="s">
        <v>1477</v>
      </c>
      <c r="D248" s="32" t="s">
        <v>1478</v>
      </c>
      <c r="E248" s="32" t="s">
        <v>1470</v>
      </c>
      <c r="F248" s="32" t="s">
        <v>865</v>
      </c>
      <c r="G248" s="32" t="s">
        <v>865</v>
      </c>
      <c r="H248" s="32" t="s">
        <v>865</v>
      </c>
      <c r="I248" s="32" t="s">
        <v>865</v>
      </c>
      <c r="J248" s="32" t="s">
        <v>865</v>
      </c>
      <c r="K248" s="32" t="s">
        <v>865</v>
      </c>
    </row>
    <row r="249" spans="1:11" ht="15" customHeight="1" x14ac:dyDescent="0.2">
      <c r="A249" s="32" t="s">
        <v>1940</v>
      </c>
      <c r="B249" s="32" t="s">
        <v>1940</v>
      </c>
      <c r="C249" s="32" t="s">
        <v>1477</v>
      </c>
      <c r="D249" s="32" t="s">
        <v>1478</v>
      </c>
      <c r="E249" s="32" t="s">
        <v>1470</v>
      </c>
      <c r="F249" s="32" t="s">
        <v>865</v>
      </c>
      <c r="G249" s="32" t="s">
        <v>865</v>
      </c>
      <c r="H249" s="32" t="s">
        <v>865</v>
      </c>
      <c r="I249" s="32" t="s">
        <v>865</v>
      </c>
      <c r="J249" s="32" t="s">
        <v>865</v>
      </c>
      <c r="K249" s="32" t="s">
        <v>865</v>
      </c>
    </row>
    <row r="250" spans="1:11" ht="15" customHeight="1" x14ac:dyDescent="0.2">
      <c r="A250" s="32" t="s">
        <v>1941</v>
      </c>
      <c r="B250" s="32" t="s">
        <v>1942</v>
      </c>
      <c r="C250" s="32" t="s">
        <v>1477</v>
      </c>
      <c r="D250" s="32" t="s">
        <v>1478</v>
      </c>
      <c r="E250" s="32" t="s">
        <v>1470</v>
      </c>
      <c r="F250" s="32" t="s">
        <v>865</v>
      </c>
      <c r="G250" s="32" t="s">
        <v>865</v>
      </c>
      <c r="H250" s="32" t="s">
        <v>865</v>
      </c>
      <c r="I250" s="32" t="s">
        <v>865</v>
      </c>
      <c r="J250" s="32" t="s">
        <v>865</v>
      </c>
      <c r="K250" s="32" t="s">
        <v>865</v>
      </c>
    </row>
    <row r="251" spans="1:11" ht="15" customHeight="1" x14ac:dyDescent="0.2">
      <c r="A251" s="32" t="s">
        <v>1943</v>
      </c>
      <c r="B251" s="32" t="s">
        <v>1943</v>
      </c>
      <c r="C251" s="32" t="s">
        <v>1477</v>
      </c>
      <c r="D251" s="32" t="s">
        <v>1478</v>
      </c>
      <c r="E251" s="32" t="s">
        <v>1470</v>
      </c>
      <c r="F251" s="32" t="s">
        <v>865</v>
      </c>
      <c r="G251" s="32" t="s">
        <v>865</v>
      </c>
      <c r="H251" s="32" t="s">
        <v>865</v>
      </c>
      <c r="I251" s="32" t="s">
        <v>865</v>
      </c>
      <c r="J251" s="32" t="s">
        <v>865</v>
      </c>
      <c r="K251" s="32" t="s">
        <v>865</v>
      </c>
    </row>
    <row r="252" spans="1:11" ht="15" customHeight="1" x14ac:dyDescent="0.2">
      <c r="A252" s="32" t="s">
        <v>1944</v>
      </c>
      <c r="B252" s="32" t="s">
        <v>1944</v>
      </c>
      <c r="C252" s="32" t="s">
        <v>1477</v>
      </c>
      <c r="D252" s="32" t="s">
        <v>1478</v>
      </c>
      <c r="E252" s="32" t="s">
        <v>1470</v>
      </c>
      <c r="F252" s="32" t="s">
        <v>865</v>
      </c>
      <c r="G252" s="32" t="s">
        <v>865</v>
      </c>
      <c r="H252" s="32" t="s">
        <v>865</v>
      </c>
      <c r="I252" s="32" t="s">
        <v>865</v>
      </c>
      <c r="J252" s="32" t="s">
        <v>865</v>
      </c>
      <c r="K252" s="32" t="s">
        <v>865</v>
      </c>
    </row>
    <row r="253" spans="1:11" ht="15" customHeight="1" x14ac:dyDescent="0.2">
      <c r="A253" s="32" t="s">
        <v>1945</v>
      </c>
      <c r="B253" s="32" t="s">
        <v>1945</v>
      </c>
      <c r="C253" s="32" t="s">
        <v>1477</v>
      </c>
      <c r="D253" s="32" t="s">
        <v>1478</v>
      </c>
      <c r="E253" s="32" t="s">
        <v>1470</v>
      </c>
      <c r="F253" s="32" t="s">
        <v>865</v>
      </c>
      <c r="G253" s="32" t="s">
        <v>865</v>
      </c>
      <c r="H253" s="32" t="s">
        <v>865</v>
      </c>
      <c r="I253" s="32" t="s">
        <v>865</v>
      </c>
      <c r="J253" s="32" t="s">
        <v>865</v>
      </c>
      <c r="K253" s="32" t="s">
        <v>865</v>
      </c>
    </row>
    <row r="254" spans="1:11" ht="15" customHeight="1" x14ac:dyDescent="0.2">
      <c r="A254" s="32" t="s">
        <v>1946</v>
      </c>
      <c r="B254" s="32" t="s">
        <v>1946</v>
      </c>
      <c r="C254" s="32" t="s">
        <v>1477</v>
      </c>
      <c r="D254" s="32" t="s">
        <v>1478</v>
      </c>
      <c r="E254" s="32" t="s">
        <v>1470</v>
      </c>
      <c r="F254" s="32" t="s">
        <v>865</v>
      </c>
      <c r="G254" s="32" t="s">
        <v>865</v>
      </c>
      <c r="H254" s="32" t="s">
        <v>865</v>
      </c>
      <c r="I254" s="32" t="s">
        <v>865</v>
      </c>
      <c r="J254" s="32" t="s">
        <v>865</v>
      </c>
      <c r="K254" s="32" t="s">
        <v>865</v>
      </c>
    </row>
    <row r="255" spans="1:11" ht="15" customHeight="1" x14ac:dyDescent="0.2">
      <c r="A255" s="32" t="s">
        <v>1947</v>
      </c>
      <c r="B255" s="32" t="s">
        <v>1948</v>
      </c>
      <c r="C255" s="32" t="s">
        <v>1494</v>
      </c>
      <c r="D255" s="32" t="s">
        <v>1554</v>
      </c>
      <c r="E255" s="32" t="s">
        <v>1470</v>
      </c>
      <c r="F255" s="32" t="s">
        <v>865</v>
      </c>
      <c r="G255" s="32" t="s">
        <v>865</v>
      </c>
      <c r="H255" s="32" t="s">
        <v>865</v>
      </c>
      <c r="I255" s="32" t="s">
        <v>865</v>
      </c>
      <c r="J255" s="32" t="s">
        <v>865</v>
      </c>
      <c r="K255" s="32" t="s">
        <v>865</v>
      </c>
    </row>
    <row r="256" spans="1:11" ht="15" customHeight="1" x14ac:dyDescent="0.2">
      <c r="A256" s="32" t="s">
        <v>1949</v>
      </c>
      <c r="B256" s="32" t="s">
        <v>1950</v>
      </c>
      <c r="C256" s="32" t="s">
        <v>1477</v>
      </c>
      <c r="D256" s="32" t="s">
        <v>1565</v>
      </c>
      <c r="E256" s="32" t="s">
        <v>1470</v>
      </c>
      <c r="F256" s="32" t="s">
        <v>865</v>
      </c>
      <c r="G256" s="32" t="s">
        <v>865</v>
      </c>
      <c r="H256" s="32" t="s">
        <v>865</v>
      </c>
      <c r="I256" s="32" t="s">
        <v>865</v>
      </c>
      <c r="J256" s="32" t="s">
        <v>865</v>
      </c>
      <c r="K256" s="32" t="s">
        <v>865</v>
      </c>
    </row>
    <row r="257" spans="1:11" ht="15" customHeight="1" x14ac:dyDescent="0.2">
      <c r="A257" s="32" t="s">
        <v>1951</v>
      </c>
      <c r="B257" s="32" t="s">
        <v>1952</v>
      </c>
      <c r="C257" s="32" t="s">
        <v>1484</v>
      </c>
      <c r="D257" s="32" t="s">
        <v>1485</v>
      </c>
      <c r="E257" s="32" t="s">
        <v>1470</v>
      </c>
      <c r="F257" s="32" t="s">
        <v>865</v>
      </c>
      <c r="G257" s="32" t="s">
        <v>865</v>
      </c>
      <c r="H257" s="32" t="s">
        <v>865</v>
      </c>
      <c r="I257" s="32" t="s">
        <v>865</v>
      </c>
      <c r="J257" s="32" t="s">
        <v>865</v>
      </c>
      <c r="K257" s="32" t="s">
        <v>865</v>
      </c>
    </row>
    <row r="258" spans="1:11" ht="15" customHeight="1" x14ac:dyDescent="0.2">
      <c r="A258" s="32" t="s">
        <v>1953</v>
      </c>
      <c r="B258" s="32" t="s">
        <v>1954</v>
      </c>
      <c r="C258" s="32" t="s">
        <v>1494</v>
      </c>
      <c r="D258" s="32" t="s">
        <v>1743</v>
      </c>
      <c r="E258" s="32" t="s">
        <v>1470</v>
      </c>
      <c r="F258" s="32" t="s">
        <v>865</v>
      </c>
      <c r="G258" s="32" t="s">
        <v>865</v>
      </c>
      <c r="H258" s="32" t="s">
        <v>865</v>
      </c>
      <c r="I258" s="32" t="s">
        <v>865</v>
      </c>
      <c r="J258" s="32" t="s">
        <v>865</v>
      </c>
      <c r="K258" s="32" t="s">
        <v>865</v>
      </c>
    </row>
    <row r="259" spans="1:11" ht="15" customHeight="1" x14ac:dyDescent="0.2">
      <c r="A259" s="32" t="s">
        <v>1955</v>
      </c>
      <c r="B259" s="32" t="s">
        <v>1956</v>
      </c>
      <c r="C259" s="32" t="s">
        <v>1494</v>
      </c>
      <c r="D259" s="32" t="s">
        <v>1542</v>
      </c>
      <c r="E259" s="32" t="s">
        <v>1470</v>
      </c>
      <c r="F259" s="32" t="s">
        <v>865</v>
      </c>
      <c r="G259" s="32" t="s">
        <v>865</v>
      </c>
      <c r="H259" s="32" t="s">
        <v>865</v>
      </c>
      <c r="I259" s="32" t="s">
        <v>865</v>
      </c>
      <c r="J259" s="32" t="s">
        <v>865</v>
      </c>
      <c r="K259" s="32" t="s">
        <v>865</v>
      </c>
    </row>
    <row r="260" spans="1:11" ht="15" customHeight="1" x14ac:dyDescent="0.2">
      <c r="A260" s="32" t="s">
        <v>1957</v>
      </c>
      <c r="B260" s="32" t="s">
        <v>1958</v>
      </c>
      <c r="C260" s="32" t="s">
        <v>1494</v>
      </c>
      <c r="D260" s="32" t="s">
        <v>1743</v>
      </c>
      <c r="E260" s="32" t="s">
        <v>1470</v>
      </c>
      <c r="F260" s="32" t="s">
        <v>1513</v>
      </c>
      <c r="G260" s="32" t="s">
        <v>1959</v>
      </c>
      <c r="H260" s="32" t="s">
        <v>1960</v>
      </c>
      <c r="I260" s="32" t="s">
        <v>1494</v>
      </c>
      <c r="J260" s="32" t="s">
        <v>1743</v>
      </c>
      <c r="K260" s="32" t="s">
        <v>1470</v>
      </c>
    </row>
    <row r="261" spans="1:11" ht="15" customHeight="1" x14ac:dyDescent="0.2">
      <c r="A261" s="32" t="s">
        <v>1957</v>
      </c>
      <c r="B261" s="32" t="s">
        <v>1958</v>
      </c>
      <c r="C261" s="32" t="s">
        <v>1494</v>
      </c>
      <c r="D261" s="32" t="s">
        <v>1743</v>
      </c>
      <c r="E261" s="32" t="s">
        <v>1470</v>
      </c>
      <c r="F261" s="32" t="s">
        <v>1513</v>
      </c>
      <c r="G261" s="32" t="s">
        <v>1957</v>
      </c>
      <c r="H261" s="32" t="s">
        <v>1958</v>
      </c>
      <c r="I261" s="32" t="s">
        <v>1494</v>
      </c>
      <c r="J261" s="32" t="s">
        <v>1743</v>
      </c>
      <c r="K261" s="32" t="s">
        <v>1470</v>
      </c>
    </row>
    <row r="262" spans="1:11" ht="15" customHeight="1" x14ac:dyDescent="0.2">
      <c r="A262" s="32" t="s">
        <v>1961</v>
      </c>
      <c r="B262" s="32" t="s">
        <v>1962</v>
      </c>
      <c r="C262" s="32" t="s">
        <v>1506</v>
      </c>
      <c r="D262" s="32" t="s">
        <v>1507</v>
      </c>
      <c r="E262" s="32" t="s">
        <v>1470</v>
      </c>
      <c r="F262" s="32" t="s">
        <v>865</v>
      </c>
      <c r="G262" s="32" t="s">
        <v>865</v>
      </c>
      <c r="H262" s="32" t="s">
        <v>865</v>
      </c>
      <c r="I262" s="32" t="s">
        <v>865</v>
      </c>
      <c r="J262" s="32" t="s">
        <v>865</v>
      </c>
      <c r="K262" s="32" t="s">
        <v>865</v>
      </c>
    </row>
    <row r="263" spans="1:11" ht="15" customHeight="1" x14ac:dyDescent="0.2">
      <c r="A263" s="32" t="s">
        <v>1963</v>
      </c>
      <c r="B263" s="32" t="s">
        <v>1964</v>
      </c>
      <c r="C263" s="32" t="s">
        <v>1494</v>
      </c>
      <c r="D263" s="32" t="s">
        <v>1554</v>
      </c>
      <c r="E263" s="32" t="s">
        <v>1470</v>
      </c>
      <c r="F263" s="32" t="s">
        <v>865</v>
      </c>
      <c r="G263" s="32" t="s">
        <v>865</v>
      </c>
      <c r="H263" s="32" t="s">
        <v>865</v>
      </c>
      <c r="I263" s="32" t="s">
        <v>865</v>
      </c>
      <c r="J263" s="32" t="s">
        <v>865</v>
      </c>
      <c r="K263" s="32" t="s">
        <v>865</v>
      </c>
    </row>
    <row r="264" spans="1:11" ht="15" customHeight="1" x14ac:dyDescent="0.2">
      <c r="A264" s="32" t="s">
        <v>1965</v>
      </c>
      <c r="B264" s="32" t="s">
        <v>1966</v>
      </c>
      <c r="C264" s="32" t="s">
        <v>1477</v>
      </c>
      <c r="D264" s="32" t="s">
        <v>1478</v>
      </c>
      <c r="E264" s="32" t="s">
        <v>1470</v>
      </c>
      <c r="F264" s="32" t="s">
        <v>865</v>
      </c>
      <c r="G264" s="32" t="s">
        <v>865</v>
      </c>
      <c r="H264" s="32" t="s">
        <v>865</v>
      </c>
      <c r="I264" s="32" t="s">
        <v>865</v>
      </c>
      <c r="J264" s="32" t="s">
        <v>865</v>
      </c>
      <c r="K264" s="32" t="s">
        <v>865</v>
      </c>
    </row>
    <row r="265" spans="1:11" ht="15" customHeight="1" x14ac:dyDescent="0.2">
      <c r="A265" s="32" t="s">
        <v>1967</v>
      </c>
      <c r="B265" s="32" t="s">
        <v>1967</v>
      </c>
      <c r="C265" s="32" t="s">
        <v>1488</v>
      </c>
      <c r="D265" s="32" t="s">
        <v>1498</v>
      </c>
      <c r="E265" s="32" t="s">
        <v>1470</v>
      </c>
      <c r="F265" s="32" t="s">
        <v>865</v>
      </c>
      <c r="G265" s="32" t="s">
        <v>865</v>
      </c>
      <c r="H265" s="32" t="s">
        <v>865</v>
      </c>
      <c r="I265" s="32" t="s">
        <v>865</v>
      </c>
      <c r="J265" s="32" t="s">
        <v>865</v>
      </c>
      <c r="K265" s="32" t="s">
        <v>865</v>
      </c>
    </row>
  </sheetData>
  <autoFilter ref="A6:K265" xr:uid="{00000000-0009-0000-0000-00000A000000}"/>
  <mergeCells count="1">
    <mergeCell ref="C3:G3"/>
  </mergeCell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0">
    <tabColor theme="0" tint="-0.499984740745262"/>
  </sheetPr>
  <dimension ref="B1:H1217"/>
  <sheetViews>
    <sheetView workbookViewId="0">
      <pane ySplit="6" topLeftCell="A7" activePane="bottomLeft" state="frozen"/>
      <selection pane="bottomLeft" activeCell="A813" sqref="A813"/>
    </sheetView>
  </sheetViews>
  <sheetFormatPr baseColWidth="10" defaultColWidth="9.1640625" defaultRowHeight="15" outlineLevelRow="1" x14ac:dyDescent="0.2"/>
  <cols>
    <col min="1" max="1" width="8" style="37" customWidth="1"/>
    <col min="2" max="2" width="9.1640625" style="37"/>
    <col min="3" max="3" width="18.83203125" style="37" customWidth="1"/>
    <col min="4" max="4" width="13.83203125" style="53" customWidth="1"/>
    <col min="5" max="5" width="13.5" style="53" customWidth="1"/>
    <col min="6" max="6" width="141.5" style="37" customWidth="1"/>
    <col min="7" max="7" width="14.6640625" style="37" customWidth="1"/>
    <col min="8" max="16384" width="9.1640625" style="37"/>
  </cols>
  <sheetData>
    <row r="1" spans="2:8" s="2" customFormat="1" outlineLevel="1" x14ac:dyDescent="0.2">
      <c r="C1" s="10"/>
      <c r="D1" s="10"/>
      <c r="E1" s="10"/>
    </row>
    <row r="2" spans="2:8" s="2" customFormat="1" ht="9.75" customHeight="1" outlineLevel="1" x14ac:dyDescent="0.2">
      <c r="B2" s="5"/>
      <c r="C2" s="8"/>
      <c r="D2" s="8"/>
      <c r="E2" s="8"/>
      <c r="F2" s="12"/>
      <c r="G2" s="5"/>
      <c r="H2" s="5"/>
    </row>
    <row r="3" spans="2:8" s="2" customFormat="1" ht="26" outlineLevel="1" x14ac:dyDescent="0.3">
      <c r="B3" s="8"/>
      <c r="C3" s="241" t="s">
        <v>1968</v>
      </c>
      <c r="D3" s="241"/>
      <c r="E3" s="241"/>
      <c r="F3" s="241"/>
      <c r="G3" s="241"/>
      <c r="H3" s="5"/>
    </row>
    <row r="4" spans="2:8" s="2" customFormat="1" ht="9" customHeight="1" outlineLevel="1" x14ac:dyDescent="0.2">
      <c r="B4" s="5"/>
      <c r="C4" s="8"/>
      <c r="D4" s="8"/>
      <c r="E4" s="8"/>
      <c r="F4" s="33"/>
      <c r="G4" s="5"/>
      <c r="H4" s="5"/>
    </row>
    <row r="5" spans="2:8" s="2" customFormat="1" outlineLevel="1" x14ac:dyDescent="0.2">
      <c r="B5" s="10"/>
      <c r="C5" s="10"/>
      <c r="D5" s="10"/>
      <c r="E5" s="10"/>
      <c r="F5" s="10"/>
      <c r="G5" s="10"/>
      <c r="H5" s="10"/>
    </row>
    <row r="6" spans="2:8" ht="18" x14ac:dyDescent="0.2">
      <c r="C6" s="52" t="s">
        <v>1969</v>
      </c>
      <c r="D6" s="52" t="s">
        <v>1092</v>
      </c>
      <c r="E6" s="52" t="s">
        <v>1092</v>
      </c>
      <c r="F6" s="51" t="s">
        <v>137</v>
      </c>
      <c r="G6" s="52" t="s">
        <v>1970</v>
      </c>
    </row>
    <row r="7" spans="2:8" ht="15" customHeight="1" x14ac:dyDescent="0.2">
      <c r="C7" s="9">
        <v>0</v>
      </c>
      <c r="D7" s="9" t="s">
        <v>1971</v>
      </c>
      <c r="E7" s="9"/>
      <c r="F7" s="7" t="s">
        <v>1972</v>
      </c>
      <c r="G7" s="9" t="s">
        <v>1973</v>
      </c>
    </row>
    <row r="8" spans="2:8" x14ac:dyDescent="0.2">
      <c r="C8" s="9">
        <v>1</v>
      </c>
      <c r="D8" s="9" t="s">
        <v>1971</v>
      </c>
      <c r="E8" s="9"/>
      <c r="F8" s="7" t="s">
        <v>1974</v>
      </c>
      <c r="G8" s="9" t="s">
        <v>1973</v>
      </c>
    </row>
    <row r="9" spans="2:8" x14ac:dyDescent="0.2">
      <c r="C9" s="9">
        <v>5</v>
      </c>
      <c r="D9" s="9" t="s">
        <v>1971</v>
      </c>
      <c r="E9" s="9"/>
      <c r="F9" s="7" t="s">
        <v>1975</v>
      </c>
      <c r="G9" s="9" t="s">
        <v>1973</v>
      </c>
    </row>
    <row r="10" spans="2:8" x14ac:dyDescent="0.2">
      <c r="C10" s="9">
        <v>7</v>
      </c>
      <c r="D10" s="9" t="s">
        <v>1971</v>
      </c>
      <c r="E10" s="9"/>
      <c r="F10" s="7" t="s">
        <v>1976</v>
      </c>
      <c r="G10" s="9" t="s">
        <v>1973</v>
      </c>
    </row>
    <row r="11" spans="2:8" x14ac:dyDescent="0.2">
      <c r="C11" s="9">
        <v>9</v>
      </c>
      <c r="D11" s="9" t="s">
        <v>1971</v>
      </c>
      <c r="E11" s="9"/>
      <c r="F11" s="7" t="s">
        <v>1977</v>
      </c>
      <c r="G11" s="9" t="s">
        <v>1973</v>
      </c>
    </row>
    <row r="12" spans="2:8" x14ac:dyDescent="0.2">
      <c r="C12" s="9">
        <v>11</v>
      </c>
      <c r="D12" s="9" t="s">
        <v>1971</v>
      </c>
      <c r="E12" s="9"/>
      <c r="F12" s="7" t="s">
        <v>1978</v>
      </c>
      <c r="G12" s="9" t="s">
        <v>1973</v>
      </c>
    </row>
    <row r="13" spans="2:8" x14ac:dyDescent="0.2">
      <c r="C13" s="9">
        <v>13</v>
      </c>
      <c r="D13" s="9" t="s">
        <v>1971</v>
      </c>
      <c r="E13" s="9"/>
      <c r="F13" s="7" t="s">
        <v>1979</v>
      </c>
      <c r="G13" s="9" t="s">
        <v>1973</v>
      </c>
    </row>
    <row r="14" spans="2:8" x14ac:dyDescent="0.2">
      <c r="C14" s="9">
        <v>17</v>
      </c>
      <c r="D14" s="9" t="s">
        <v>1971</v>
      </c>
      <c r="E14" s="9"/>
      <c r="F14" s="7" t="s">
        <v>1980</v>
      </c>
      <c r="G14" s="9" t="s">
        <v>1973</v>
      </c>
    </row>
    <row r="15" spans="2:8" x14ac:dyDescent="0.2">
      <c r="C15" s="9">
        <v>18</v>
      </c>
      <c r="D15" s="9" t="s">
        <v>1971</v>
      </c>
      <c r="E15" s="9"/>
      <c r="F15" s="7" t="s">
        <v>1981</v>
      </c>
      <c r="G15" s="9" t="s">
        <v>1973</v>
      </c>
    </row>
    <row r="16" spans="2:8" x14ac:dyDescent="0.2">
      <c r="C16" s="9">
        <v>19</v>
      </c>
      <c r="D16" s="9" t="s">
        <v>1971</v>
      </c>
      <c r="E16" s="9"/>
      <c r="F16" s="7" t="s">
        <v>1982</v>
      </c>
      <c r="G16" s="9" t="s">
        <v>1973</v>
      </c>
    </row>
    <row r="17" spans="3:7" x14ac:dyDescent="0.2">
      <c r="C17" s="9">
        <v>20</v>
      </c>
      <c r="D17" s="9" t="s">
        <v>755</v>
      </c>
      <c r="E17" s="9"/>
      <c r="F17" s="7" t="s">
        <v>1983</v>
      </c>
      <c r="G17" s="9" t="s">
        <v>1973</v>
      </c>
    </row>
    <row r="18" spans="3:7" x14ac:dyDescent="0.2">
      <c r="C18" s="9">
        <v>21</v>
      </c>
      <c r="D18" s="9" t="s">
        <v>755</v>
      </c>
      <c r="E18" s="9"/>
      <c r="F18" s="7" t="s">
        <v>1984</v>
      </c>
      <c r="G18" s="9" t="s">
        <v>1973</v>
      </c>
    </row>
    <row r="19" spans="3:7" x14ac:dyDescent="0.2">
      <c r="C19" s="9">
        <v>22</v>
      </c>
      <c r="D19" s="9" t="s">
        <v>1971</v>
      </c>
      <c r="E19" s="9"/>
      <c r="F19" s="7" t="s">
        <v>1985</v>
      </c>
      <c r="G19" s="9" t="s">
        <v>1973</v>
      </c>
    </row>
    <row r="20" spans="3:7" x14ac:dyDescent="0.2">
      <c r="C20" s="9">
        <v>23</v>
      </c>
      <c r="D20" s="9" t="s">
        <v>1971</v>
      </c>
      <c r="E20" s="9"/>
      <c r="F20" s="7" t="s">
        <v>1986</v>
      </c>
      <c r="G20" s="9" t="s">
        <v>1973</v>
      </c>
    </row>
    <row r="21" spans="3:7" x14ac:dyDescent="0.2">
      <c r="C21" s="9">
        <v>25</v>
      </c>
      <c r="D21" s="9" t="s">
        <v>1971</v>
      </c>
      <c r="E21" s="9"/>
      <c r="F21" s="7" t="s">
        <v>1987</v>
      </c>
      <c r="G21" s="9" t="s">
        <v>1973</v>
      </c>
    </row>
    <row r="22" spans="3:7" x14ac:dyDescent="0.2">
      <c r="C22" s="9">
        <v>26</v>
      </c>
      <c r="D22" s="9" t="s">
        <v>1971</v>
      </c>
      <c r="E22" s="9"/>
      <c r="F22" s="7" t="s">
        <v>1988</v>
      </c>
      <c r="G22" s="9" t="s">
        <v>1989</v>
      </c>
    </row>
    <row r="23" spans="3:7" x14ac:dyDescent="0.2">
      <c r="C23" s="9">
        <v>35</v>
      </c>
      <c r="D23" s="9" t="s">
        <v>1971</v>
      </c>
      <c r="E23" s="9"/>
      <c r="F23" s="7" t="s">
        <v>1990</v>
      </c>
      <c r="G23" s="9" t="s">
        <v>1989</v>
      </c>
    </row>
    <row r="24" spans="3:7" x14ac:dyDescent="0.2">
      <c r="C24" s="9">
        <v>37</v>
      </c>
      <c r="D24" s="9" t="s">
        <v>1971</v>
      </c>
      <c r="E24" s="9"/>
      <c r="F24" s="7" t="s">
        <v>1991</v>
      </c>
      <c r="G24" s="9" t="s">
        <v>1973</v>
      </c>
    </row>
    <row r="25" spans="3:7" x14ac:dyDescent="0.2">
      <c r="C25" s="9">
        <v>38</v>
      </c>
      <c r="D25" s="9" t="s">
        <v>1971</v>
      </c>
      <c r="E25" s="9"/>
      <c r="F25" s="7" t="s">
        <v>1992</v>
      </c>
      <c r="G25" s="9" t="s">
        <v>1973</v>
      </c>
    </row>
    <row r="26" spans="3:7" x14ac:dyDescent="0.2">
      <c r="C26" s="9">
        <v>39</v>
      </c>
      <c r="D26" s="9" t="s">
        <v>1971</v>
      </c>
      <c r="E26" s="9"/>
      <c r="F26" s="7" t="s">
        <v>1993</v>
      </c>
      <c r="G26" s="9" t="s">
        <v>1973</v>
      </c>
    </row>
    <row r="27" spans="3:7" x14ac:dyDescent="0.2">
      <c r="C27" s="9">
        <v>41</v>
      </c>
      <c r="D27" s="9" t="s">
        <v>1971</v>
      </c>
      <c r="E27" s="9"/>
      <c r="F27" s="7" t="s">
        <v>1994</v>
      </c>
      <c r="G27" s="9" t="s">
        <v>1973</v>
      </c>
    </row>
    <row r="28" spans="3:7" x14ac:dyDescent="0.2">
      <c r="C28" s="9">
        <v>42</v>
      </c>
      <c r="D28" s="9" t="s">
        <v>1971</v>
      </c>
      <c r="E28" s="9"/>
      <c r="F28" s="7" t="s">
        <v>1995</v>
      </c>
      <c r="G28" s="9" t="s">
        <v>1973</v>
      </c>
    </row>
    <row r="29" spans="3:7" x14ac:dyDescent="0.2">
      <c r="C29" s="9">
        <v>43</v>
      </c>
      <c r="D29" s="9" t="s">
        <v>755</v>
      </c>
      <c r="E29" s="9"/>
      <c r="F29" s="7" t="s">
        <v>1996</v>
      </c>
      <c r="G29" s="9" t="s">
        <v>1973</v>
      </c>
    </row>
    <row r="30" spans="3:7" x14ac:dyDescent="0.2">
      <c r="C30" s="9">
        <v>49</v>
      </c>
      <c r="D30" s="9" t="s">
        <v>1971</v>
      </c>
      <c r="E30" s="9"/>
      <c r="F30" s="7" t="s">
        <v>1997</v>
      </c>
      <c r="G30" s="9" t="s">
        <v>1973</v>
      </c>
    </row>
    <row r="31" spans="3:7" x14ac:dyDescent="0.2">
      <c r="C31" s="9">
        <v>53</v>
      </c>
      <c r="D31" s="9" t="s">
        <v>1971</v>
      </c>
      <c r="E31" s="9"/>
      <c r="F31" s="7" t="s">
        <v>1998</v>
      </c>
      <c r="G31" s="9" t="s">
        <v>1973</v>
      </c>
    </row>
    <row r="32" spans="3:7" x14ac:dyDescent="0.2">
      <c r="C32" s="9">
        <v>57</v>
      </c>
      <c r="D32" s="9" t="s">
        <v>755</v>
      </c>
      <c r="E32" s="9"/>
      <c r="F32" s="7" t="s">
        <v>1999</v>
      </c>
      <c r="G32" s="9" t="s">
        <v>1973</v>
      </c>
    </row>
    <row r="33" spans="3:7" x14ac:dyDescent="0.2">
      <c r="C33" s="9">
        <v>67</v>
      </c>
      <c r="D33" s="9" t="s">
        <v>1121</v>
      </c>
      <c r="E33" s="9"/>
      <c r="F33" s="7" t="s">
        <v>2000</v>
      </c>
      <c r="G33" s="9" t="s">
        <v>1973</v>
      </c>
    </row>
    <row r="34" spans="3:7" x14ac:dyDescent="0.2">
      <c r="C34" s="9">
        <v>68</v>
      </c>
      <c r="D34" s="9" t="s">
        <v>1121</v>
      </c>
      <c r="E34" s="9"/>
      <c r="F34" s="7" t="s">
        <v>2001</v>
      </c>
      <c r="G34" s="9" t="s">
        <v>1973</v>
      </c>
    </row>
    <row r="35" spans="3:7" x14ac:dyDescent="0.2">
      <c r="C35" s="9">
        <v>69</v>
      </c>
      <c r="D35" s="9" t="s">
        <v>1121</v>
      </c>
      <c r="E35" s="9"/>
      <c r="F35" s="7" t="s">
        <v>2002</v>
      </c>
      <c r="G35" s="9" t="s">
        <v>1973</v>
      </c>
    </row>
    <row r="36" spans="3:7" x14ac:dyDescent="0.2">
      <c r="C36" s="9">
        <v>70</v>
      </c>
      <c r="D36" s="9" t="s">
        <v>755</v>
      </c>
      <c r="E36" s="9"/>
      <c r="F36" s="7" t="s">
        <v>2003</v>
      </c>
      <c r="G36" s="9" t="s">
        <v>1973</v>
      </c>
    </row>
    <row r="37" spans="3:7" x14ac:dyDescent="0.2">
      <c r="C37" s="9">
        <v>79</v>
      </c>
      <c r="D37" s="9" t="s">
        <v>755</v>
      </c>
      <c r="E37" s="9"/>
      <c r="F37" s="7" t="s">
        <v>2004</v>
      </c>
      <c r="G37" s="9" t="s">
        <v>1973</v>
      </c>
    </row>
    <row r="38" spans="3:7" x14ac:dyDescent="0.2">
      <c r="C38" s="9">
        <v>80</v>
      </c>
      <c r="D38" s="9" t="s">
        <v>755</v>
      </c>
      <c r="E38" s="9"/>
      <c r="F38" s="7" t="s">
        <v>2005</v>
      </c>
      <c r="G38" s="9" t="s">
        <v>1973</v>
      </c>
    </row>
    <row r="39" spans="3:7" x14ac:dyDescent="0.2">
      <c r="C39" s="9">
        <v>81</v>
      </c>
      <c r="D39" s="9" t="s">
        <v>755</v>
      </c>
      <c r="E39" s="9"/>
      <c r="F39" s="7" t="s">
        <v>2006</v>
      </c>
      <c r="G39" s="9" t="s">
        <v>1989</v>
      </c>
    </row>
    <row r="40" spans="3:7" x14ac:dyDescent="0.2">
      <c r="C40" s="9">
        <v>82</v>
      </c>
      <c r="D40" s="9" t="s">
        <v>1121</v>
      </c>
      <c r="E40" s="9"/>
      <c r="F40" s="7" t="s">
        <v>2007</v>
      </c>
      <c r="G40" s="9" t="s">
        <v>1989</v>
      </c>
    </row>
    <row r="41" spans="3:7" x14ac:dyDescent="0.2">
      <c r="C41" s="9">
        <v>88</v>
      </c>
      <c r="D41" s="9" t="s">
        <v>755</v>
      </c>
      <c r="E41" s="9"/>
      <c r="F41" s="7" t="s">
        <v>2008</v>
      </c>
      <c r="G41" s="9" t="s">
        <v>1973</v>
      </c>
    </row>
    <row r="42" spans="3:7" x14ac:dyDescent="0.2">
      <c r="C42" s="9">
        <v>101</v>
      </c>
      <c r="D42" s="9" t="s">
        <v>755</v>
      </c>
      <c r="E42" s="9"/>
      <c r="F42" s="7" t="s">
        <v>2009</v>
      </c>
      <c r="G42" s="9"/>
    </row>
    <row r="43" spans="3:7" x14ac:dyDescent="0.2">
      <c r="C43" s="9">
        <v>102</v>
      </c>
      <c r="D43" s="9" t="s">
        <v>755</v>
      </c>
      <c r="E43" s="9"/>
      <c r="F43" s="7" t="s">
        <v>2010</v>
      </c>
      <c r="G43" s="9"/>
    </row>
    <row r="44" spans="3:7" x14ac:dyDescent="0.2">
      <c r="C44" s="9">
        <v>107</v>
      </c>
      <c r="D44" s="9" t="s">
        <v>755</v>
      </c>
      <c r="E44" s="9"/>
      <c r="F44" s="7" t="s">
        <v>2011</v>
      </c>
      <c r="G44" s="9"/>
    </row>
    <row r="45" spans="3:7" x14ac:dyDescent="0.2">
      <c r="C45" s="9">
        <v>109</v>
      </c>
      <c r="D45" s="9" t="s">
        <v>755</v>
      </c>
      <c r="E45" s="9"/>
      <c r="F45" s="7" t="s">
        <v>2012</v>
      </c>
      <c r="G45" s="9"/>
    </row>
    <row r="46" spans="3:7" x14ac:dyDescent="0.2">
      <c r="C46" s="9">
        <v>110</v>
      </c>
      <c r="D46" s="9" t="s">
        <v>755</v>
      </c>
      <c r="E46" s="9"/>
      <c r="F46" s="7" t="s">
        <v>2013</v>
      </c>
      <c r="G46" s="9" t="s">
        <v>1973</v>
      </c>
    </row>
    <row r="47" spans="3:7" x14ac:dyDescent="0.2">
      <c r="C47" s="9">
        <v>111</v>
      </c>
      <c r="D47" s="9" t="s">
        <v>1971</v>
      </c>
      <c r="E47" s="9"/>
      <c r="F47" s="7" t="s">
        <v>2014</v>
      </c>
      <c r="G47" s="9"/>
    </row>
    <row r="48" spans="3:7" x14ac:dyDescent="0.2">
      <c r="C48" s="9">
        <v>113</v>
      </c>
      <c r="D48" s="9" t="s">
        <v>755</v>
      </c>
      <c r="E48" s="9"/>
      <c r="F48" s="7" t="s">
        <v>2015</v>
      </c>
      <c r="G48" s="9" t="s">
        <v>1973</v>
      </c>
    </row>
    <row r="49" spans="3:7" x14ac:dyDescent="0.2">
      <c r="C49" s="9">
        <v>115</v>
      </c>
      <c r="D49" s="9" t="s">
        <v>755</v>
      </c>
      <c r="E49" s="9"/>
      <c r="F49" s="7" t="s">
        <v>2016</v>
      </c>
      <c r="G49" s="9"/>
    </row>
    <row r="50" spans="3:7" x14ac:dyDescent="0.2">
      <c r="C50" s="9">
        <v>117</v>
      </c>
      <c r="D50" s="9" t="s">
        <v>755</v>
      </c>
      <c r="E50" s="9"/>
      <c r="F50" s="7" t="s">
        <v>2017</v>
      </c>
      <c r="G50" s="9"/>
    </row>
    <row r="51" spans="3:7" x14ac:dyDescent="0.2">
      <c r="C51" s="9">
        <v>118</v>
      </c>
      <c r="D51" s="9" t="s">
        <v>1971</v>
      </c>
      <c r="E51" s="9"/>
      <c r="F51" s="7" t="s">
        <v>2018</v>
      </c>
      <c r="G51" s="9" t="s">
        <v>1973</v>
      </c>
    </row>
    <row r="52" spans="3:7" x14ac:dyDescent="0.2">
      <c r="C52" s="9">
        <v>119</v>
      </c>
      <c r="D52" s="9" t="s">
        <v>755</v>
      </c>
      <c r="E52" s="9"/>
      <c r="F52" s="7" t="s">
        <v>2019</v>
      </c>
      <c r="G52" s="9" t="s">
        <v>1973</v>
      </c>
    </row>
    <row r="53" spans="3:7" x14ac:dyDescent="0.2">
      <c r="C53" s="9">
        <v>123</v>
      </c>
      <c r="D53" s="9" t="s">
        <v>1121</v>
      </c>
      <c r="E53" s="9"/>
      <c r="F53" s="7" t="s">
        <v>2020</v>
      </c>
      <c r="G53" s="9" t="s">
        <v>1973</v>
      </c>
    </row>
    <row r="54" spans="3:7" x14ac:dyDescent="0.2">
      <c r="C54" s="9">
        <v>135</v>
      </c>
      <c r="D54" s="9" t="s">
        <v>1971</v>
      </c>
      <c r="E54" s="9"/>
      <c r="F54" s="7" t="s">
        <v>2021</v>
      </c>
      <c r="G54" s="9" t="s">
        <v>1973</v>
      </c>
    </row>
    <row r="55" spans="3:7" x14ac:dyDescent="0.2">
      <c r="C55" s="9">
        <v>137</v>
      </c>
      <c r="D55" s="9" t="s">
        <v>1971</v>
      </c>
      <c r="E55" s="9"/>
      <c r="F55" s="7" t="s">
        <v>2022</v>
      </c>
      <c r="G55" s="9" t="s">
        <v>1973</v>
      </c>
    </row>
    <row r="56" spans="3:7" x14ac:dyDescent="0.2">
      <c r="C56" s="9">
        <v>138</v>
      </c>
      <c r="D56" s="9" t="s">
        <v>1971</v>
      </c>
      <c r="E56" s="9"/>
      <c r="F56" s="7" t="s">
        <v>2023</v>
      </c>
      <c r="G56" s="9" t="s">
        <v>1973</v>
      </c>
    </row>
    <row r="57" spans="3:7" x14ac:dyDescent="0.2">
      <c r="C57" s="9">
        <v>139</v>
      </c>
      <c r="D57" s="9" t="s">
        <v>1971</v>
      </c>
      <c r="E57" s="9"/>
      <c r="F57" s="7" t="s">
        <v>2024</v>
      </c>
      <c r="G57" s="9" t="s">
        <v>1973</v>
      </c>
    </row>
    <row r="58" spans="3:7" x14ac:dyDescent="0.2">
      <c r="C58" s="9">
        <v>143</v>
      </c>
      <c r="D58" s="9" t="s">
        <v>1971</v>
      </c>
      <c r="E58" s="9"/>
      <c r="F58" s="7" t="s">
        <v>2025</v>
      </c>
      <c r="G58" s="9" t="s">
        <v>1973</v>
      </c>
    </row>
    <row r="59" spans="3:7" x14ac:dyDescent="0.2">
      <c r="C59" s="9">
        <v>152</v>
      </c>
      <c r="D59" s="9" t="s">
        <v>1971</v>
      </c>
      <c r="E59" s="9"/>
      <c r="F59" s="7" t="s">
        <v>2026</v>
      </c>
      <c r="G59" s="9"/>
    </row>
    <row r="60" spans="3:7" x14ac:dyDescent="0.2">
      <c r="C60" s="9">
        <v>153</v>
      </c>
      <c r="D60" s="9" t="s">
        <v>1971</v>
      </c>
      <c r="E60" s="9"/>
      <c r="F60" s="7" t="s">
        <v>2027</v>
      </c>
      <c r="G60" s="9"/>
    </row>
    <row r="61" spans="3:7" x14ac:dyDescent="0.2">
      <c r="C61" s="9">
        <v>156</v>
      </c>
      <c r="D61" s="9" t="s">
        <v>1971</v>
      </c>
      <c r="E61" s="9"/>
      <c r="F61" s="7" t="s">
        <v>2028</v>
      </c>
      <c r="G61" s="9" t="s">
        <v>1973</v>
      </c>
    </row>
    <row r="62" spans="3:7" x14ac:dyDescent="0.2">
      <c r="C62" s="9">
        <v>157</v>
      </c>
      <c r="D62" s="9" t="s">
        <v>1971</v>
      </c>
      <c r="E62" s="9"/>
      <c r="F62" s="7" t="s">
        <v>2029</v>
      </c>
      <c r="G62" s="9"/>
    </row>
    <row r="63" spans="3:7" x14ac:dyDescent="0.2">
      <c r="C63" s="9">
        <v>158</v>
      </c>
      <c r="D63" s="9" t="s">
        <v>1971</v>
      </c>
      <c r="E63" s="9"/>
      <c r="F63" s="7" t="s">
        <v>2030</v>
      </c>
      <c r="G63" s="9"/>
    </row>
    <row r="64" spans="3:7" x14ac:dyDescent="0.2">
      <c r="C64" s="9">
        <v>159</v>
      </c>
      <c r="D64" s="9" t="s">
        <v>1971</v>
      </c>
      <c r="E64" s="9"/>
      <c r="F64" s="7" t="s">
        <v>2031</v>
      </c>
      <c r="G64" s="9"/>
    </row>
    <row r="65" spans="3:7" x14ac:dyDescent="0.2">
      <c r="C65" s="9">
        <v>160</v>
      </c>
      <c r="D65" s="9" t="s">
        <v>1971</v>
      </c>
      <c r="E65" s="9"/>
      <c r="F65" s="7" t="s">
        <v>2032</v>
      </c>
      <c r="G65" s="9"/>
    </row>
    <row r="66" spans="3:7" x14ac:dyDescent="0.2">
      <c r="C66" s="9">
        <v>161</v>
      </c>
      <c r="D66" s="9" t="s">
        <v>1971</v>
      </c>
      <c r="E66" s="9"/>
      <c r="F66" s="7" t="s">
        <v>2033</v>
      </c>
      <c r="G66" s="9" t="s">
        <v>1973</v>
      </c>
    </row>
    <row r="67" spans="3:7" x14ac:dyDescent="0.2">
      <c r="C67" s="9">
        <v>162</v>
      </c>
      <c r="D67" s="9" t="s">
        <v>1971</v>
      </c>
      <c r="E67" s="9"/>
      <c r="F67" s="7" t="s">
        <v>2034</v>
      </c>
      <c r="G67" s="9" t="s">
        <v>1973</v>
      </c>
    </row>
    <row r="68" spans="3:7" x14ac:dyDescent="0.2">
      <c r="C68" s="9">
        <v>170</v>
      </c>
      <c r="D68" s="9" t="s">
        <v>755</v>
      </c>
      <c r="E68" s="9"/>
      <c r="F68" s="7" t="s">
        <v>2035</v>
      </c>
      <c r="G68" s="9"/>
    </row>
    <row r="69" spans="3:7" x14ac:dyDescent="0.2">
      <c r="C69" s="9">
        <v>179</v>
      </c>
      <c r="D69" s="9" t="s">
        <v>755</v>
      </c>
      <c r="E69" s="9"/>
      <c r="F69" s="7" t="s">
        <v>2036</v>
      </c>
      <c r="G69" s="9" t="s">
        <v>1973</v>
      </c>
    </row>
    <row r="70" spans="3:7" x14ac:dyDescent="0.2">
      <c r="C70" s="9">
        <v>190</v>
      </c>
      <c r="D70" s="9" t="s">
        <v>1971</v>
      </c>
      <c r="E70" s="9"/>
      <c r="F70" s="7" t="s">
        <v>2037</v>
      </c>
      <c r="G70" s="9"/>
    </row>
    <row r="71" spans="3:7" x14ac:dyDescent="0.2">
      <c r="C71" s="9">
        <v>191</v>
      </c>
      <c r="D71" s="9" t="s">
        <v>1971</v>
      </c>
      <c r="E71" s="9"/>
      <c r="F71" s="7" t="s">
        <v>2038</v>
      </c>
      <c r="G71" s="9"/>
    </row>
    <row r="72" spans="3:7" x14ac:dyDescent="0.2">
      <c r="C72" s="9">
        <v>192</v>
      </c>
      <c r="D72" s="9" t="s">
        <v>1971</v>
      </c>
      <c r="E72" s="9"/>
      <c r="F72" s="7" t="s">
        <v>2039</v>
      </c>
      <c r="G72" s="9"/>
    </row>
    <row r="73" spans="3:7" x14ac:dyDescent="0.2">
      <c r="C73" s="9">
        <v>192</v>
      </c>
      <c r="D73" s="9" t="s">
        <v>2040</v>
      </c>
      <c r="E73" s="9"/>
      <c r="F73" s="7" t="s">
        <v>2041</v>
      </c>
      <c r="G73" s="9"/>
    </row>
    <row r="74" spans="3:7" x14ac:dyDescent="0.2">
      <c r="C74" s="9">
        <v>194</v>
      </c>
      <c r="D74" s="9" t="s">
        <v>755</v>
      </c>
      <c r="E74" s="9"/>
      <c r="F74" s="7" t="s">
        <v>2042</v>
      </c>
      <c r="G74" s="9" t="s">
        <v>1973</v>
      </c>
    </row>
    <row r="75" spans="3:7" x14ac:dyDescent="0.2">
      <c r="C75" s="9">
        <v>201</v>
      </c>
      <c r="D75" s="9" t="s">
        <v>1971</v>
      </c>
      <c r="E75" s="9"/>
      <c r="F75" s="7" t="s">
        <v>2043</v>
      </c>
      <c r="G75" s="9"/>
    </row>
    <row r="76" spans="3:7" x14ac:dyDescent="0.2">
      <c r="C76" s="9">
        <v>209</v>
      </c>
      <c r="D76" s="9" t="s">
        <v>1971</v>
      </c>
      <c r="E76" s="9"/>
      <c r="F76" s="7" t="s">
        <v>2044</v>
      </c>
      <c r="G76" s="9"/>
    </row>
    <row r="77" spans="3:7" x14ac:dyDescent="0.2">
      <c r="C77" s="9">
        <v>213</v>
      </c>
      <c r="D77" s="9" t="s">
        <v>1971</v>
      </c>
      <c r="E77" s="9"/>
      <c r="F77" s="7" t="s">
        <v>2045</v>
      </c>
      <c r="G77" s="9" t="s">
        <v>1973</v>
      </c>
    </row>
    <row r="78" spans="3:7" x14ac:dyDescent="0.2">
      <c r="C78" s="9">
        <v>218</v>
      </c>
      <c r="D78" s="9" t="s">
        <v>1971</v>
      </c>
      <c r="E78" s="9"/>
      <c r="F78" s="7" t="s">
        <v>2046</v>
      </c>
      <c r="G78" s="9"/>
    </row>
    <row r="79" spans="3:7" x14ac:dyDescent="0.2">
      <c r="C79" s="9">
        <v>220</v>
      </c>
      <c r="D79" s="9" t="s">
        <v>1971</v>
      </c>
      <c r="E79" s="9"/>
      <c r="F79" s="7" t="s">
        <v>2047</v>
      </c>
      <c r="G79" s="9"/>
    </row>
    <row r="80" spans="3:7" x14ac:dyDescent="0.2">
      <c r="C80" s="9">
        <v>259</v>
      </c>
      <c r="D80" s="9" t="s">
        <v>1971</v>
      </c>
      <c r="E80" s="9"/>
      <c r="F80" s="7" t="s">
        <v>2048</v>
      </c>
      <c r="G80" s="9"/>
    </row>
    <row r="81" spans="3:7" x14ac:dyDescent="0.2">
      <c r="C81" s="9">
        <v>264</v>
      </c>
      <c r="D81" s="9" t="s">
        <v>1971</v>
      </c>
      <c r="E81" s="9"/>
      <c r="F81" s="7" t="s">
        <v>2049</v>
      </c>
      <c r="G81" s="9"/>
    </row>
    <row r="82" spans="3:7" x14ac:dyDescent="0.2">
      <c r="C82" s="9">
        <v>311</v>
      </c>
      <c r="D82" s="9" t="s">
        <v>755</v>
      </c>
      <c r="E82" s="9"/>
      <c r="F82" s="7" t="s">
        <v>2050</v>
      </c>
      <c r="G82" s="9"/>
    </row>
    <row r="83" spans="3:7" x14ac:dyDescent="0.2">
      <c r="C83" s="9">
        <v>318</v>
      </c>
      <c r="D83" s="9" t="s">
        <v>1971</v>
      </c>
      <c r="E83" s="9"/>
      <c r="F83" s="7" t="s">
        <v>2051</v>
      </c>
      <c r="G83" s="9"/>
    </row>
    <row r="84" spans="3:7" x14ac:dyDescent="0.2">
      <c r="C84" s="9">
        <v>323</v>
      </c>
      <c r="D84" s="9" t="s">
        <v>1971</v>
      </c>
      <c r="E84" s="9"/>
      <c r="F84" s="7" t="s">
        <v>2052</v>
      </c>
      <c r="G84" s="9"/>
    </row>
    <row r="85" spans="3:7" x14ac:dyDescent="0.2">
      <c r="C85" s="9">
        <v>383</v>
      </c>
      <c r="D85" s="9" t="s">
        <v>1971</v>
      </c>
      <c r="E85" s="9"/>
      <c r="F85" s="7" t="s">
        <v>2053</v>
      </c>
      <c r="G85" s="9"/>
    </row>
    <row r="86" spans="3:7" x14ac:dyDescent="0.2">
      <c r="C86" s="9">
        <v>366</v>
      </c>
      <c r="D86" s="9" t="s">
        <v>1971</v>
      </c>
      <c r="E86" s="9"/>
      <c r="F86" s="7" t="s">
        <v>2054</v>
      </c>
      <c r="G86" s="9"/>
    </row>
    <row r="87" spans="3:7" x14ac:dyDescent="0.2">
      <c r="C87" s="9">
        <v>369</v>
      </c>
      <c r="D87" s="9" t="s">
        <v>1971</v>
      </c>
      <c r="E87" s="9"/>
      <c r="F87" s="7" t="s">
        <v>2055</v>
      </c>
      <c r="G87" s="9" t="s">
        <v>1973</v>
      </c>
    </row>
    <row r="88" spans="3:7" x14ac:dyDescent="0.2">
      <c r="C88" s="9">
        <v>371</v>
      </c>
      <c r="D88" s="9" t="s">
        <v>1971</v>
      </c>
      <c r="E88" s="9"/>
      <c r="F88" s="7" t="s">
        <v>2056</v>
      </c>
      <c r="G88" s="9" t="s">
        <v>1973</v>
      </c>
    </row>
    <row r="89" spans="3:7" x14ac:dyDescent="0.2">
      <c r="C89" s="9">
        <v>384</v>
      </c>
      <c r="D89" s="9" t="s">
        <v>1971</v>
      </c>
      <c r="E89" s="9"/>
      <c r="F89" s="7" t="s">
        <v>2057</v>
      </c>
      <c r="G89" s="9"/>
    </row>
    <row r="90" spans="3:7" x14ac:dyDescent="0.2">
      <c r="C90" s="9">
        <v>387</v>
      </c>
      <c r="D90" s="9" t="s">
        <v>1971</v>
      </c>
      <c r="E90" s="9"/>
      <c r="F90" s="7" t="s">
        <v>2058</v>
      </c>
      <c r="G90" s="9"/>
    </row>
    <row r="91" spans="3:7" x14ac:dyDescent="0.2">
      <c r="C91" s="9">
        <v>389</v>
      </c>
      <c r="D91" s="9" t="s">
        <v>1971</v>
      </c>
      <c r="E91" s="9"/>
      <c r="F91" s="7" t="s">
        <v>2059</v>
      </c>
      <c r="G91" s="9" t="s">
        <v>1973</v>
      </c>
    </row>
    <row r="92" spans="3:7" x14ac:dyDescent="0.2">
      <c r="C92" s="9">
        <v>401</v>
      </c>
      <c r="D92" s="9" t="s">
        <v>1971</v>
      </c>
      <c r="E92" s="9"/>
      <c r="F92" s="7" t="s">
        <v>2060</v>
      </c>
      <c r="G92" s="9" t="s">
        <v>1973</v>
      </c>
    </row>
    <row r="93" spans="3:7" x14ac:dyDescent="0.2">
      <c r="C93" s="9">
        <v>411</v>
      </c>
      <c r="D93" s="9" t="s">
        <v>755</v>
      </c>
      <c r="E93" s="9"/>
      <c r="F93" s="7" t="s">
        <v>2061</v>
      </c>
      <c r="G93" s="9" t="s">
        <v>1989</v>
      </c>
    </row>
    <row r="94" spans="3:7" x14ac:dyDescent="0.2">
      <c r="C94" s="9">
        <v>427</v>
      </c>
      <c r="D94" s="9" t="s">
        <v>1971</v>
      </c>
      <c r="E94" s="9"/>
      <c r="F94" s="7" t="s">
        <v>2062</v>
      </c>
      <c r="G94" s="9" t="s">
        <v>1973</v>
      </c>
    </row>
    <row r="95" spans="3:7" x14ac:dyDescent="0.2">
      <c r="C95" s="9">
        <v>443</v>
      </c>
      <c r="D95" s="9" t="s">
        <v>755</v>
      </c>
      <c r="E95" s="9"/>
      <c r="F95" s="7" t="s">
        <v>2063</v>
      </c>
      <c r="G95" s="9" t="s">
        <v>1973</v>
      </c>
    </row>
    <row r="96" spans="3:7" x14ac:dyDescent="0.2">
      <c r="C96" s="9">
        <v>444</v>
      </c>
      <c r="D96" s="9" t="s">
        <v>1971</v>
      </c>
      <c r="E96" s="9"/>
      <c r="F96" s="7" t="s">
        <v>2064</v>
      </c>
      <c r="G96" s="9"/>
    </row>
    <row r="97" spans="3:7" x14ac:dyDescent="0.2">
      <c r="C97" s="9">
        <v>445</v>
      </c>
      <c r="D97" s="9" t="s">
        <v>755</v>
      </c>
      <c r="E97" s="9"/>
      <c r="F97" s="7" t="s">
        <v>2065</v>
      </c>
      <c r="G97" s="9" t="s">
        <v>1973</v>
      </c>
    </row>
    <row r="98" spans="3:7" x14ac:dyDescent="0.2">
      <c r="C98" s="9">
        <v>445</v>
      </c>
      <c r="D98" s="9" t="s">
        <v>1121</v>
      </c>
      <c r="E98" s="9"/>
      <c r="F98" s="7" t="s">
        <v>2066</v>
      </c>
      <c r="G98" s="9" t="s">
        <v>1973</v>
      </c>
    </row>
    <row r="99" spans="3:7" x14ac:dyDescent="0.2">
      <c r="C99" s="9">
        <v>464</v>
      </c>
      <c r="D99" s="9" t="s">
        <v>1971</v>
      </c>
      <c r="E99" s="9"/>
      <c r="F99" s="7" t="s">
        <v>2067</v>
      </c>
      <c r="G99" s="9" t="s">
        <v>1973</v>
      </c>
    </row>
    <row r="100" spans="3:7" x14ac:dyDescent="0.2">
      <c r="C100" s="9">
        <v>465</v>
      </c>
      <c r="D100" s="9" t="s">
        <v>755</v>
      </c>
      <c r="E100" s="9"/>
      <c r="F100" s="7" t="s">
        <v>2068</v>
      </c>
      <c r="G100" s="9" t="s">
        <v>2069</v>
      </c>
    </row>
    <row r="101" spans="3:7" x14ac:dyDescent="0.2">
      <c r="C101" s="9">
        <v>500</v>
      </c>
      <c r="D101" s="9" t="s">
        <v>1971</v>
      </c>
      <c r="E101" s="9"/>
      <c r="F101" s="7" t="s">
        <v>2070</v>
      </c>
      <c r="G101" s="9" t="s">
        <v>1973</v>
      </c>
    </row>
    <row r="102" spans="3:7" x14ac:dyDescent="0.2">
      <c r="C102" s="9">
        <v>512</v>
      </c>
      <c r="D102" s="9" t="s">
        <v>755</v>
      </c>
      <c r="E102" s="9"/>
      <c r="F102" s="7" t="s">
        <v>2071</v>
      </c>
      <c r="G102" s="9"/>
    </row>
    <row r="103" spans="3:7" x14ac:dyDescent="0.2">
      <c r="C103" s="9">
        <v>512</v>
      </c>
      <c r="D103" s="9" t="s">
        <v>1121</v>
      </c>
      <c r="E103" s="9"/>
      <c r="F103" s="7" t="s">
        <v>2072</v>
      </c>
      <c r="G103" s="9"/>
    </row>
    <row r="104" spans="3:7" x14ac:dyDescent="0.2">
      <c r="C104" s="9">
        <v>513</v>
      </c>
      <c r="D104" s="9" t="s">
        <v>755</v>
      </c>
      <c r="E104" s="9"/>
      <c r="F104" s="7" t="s">
        <v>2073</v>
      </c>
      <c r="G104" s="9"/>
    </row>
    <row r="105" spans="3:7" x14ac:dyDescent="0.2">
      <c r="C105" s="9">
        <v>513</v>
      </c>
      <c r="D105" s="9" t="s">
        <v>1121</v>
      </c>
      <c r="E105" s="9"/>
      <c r="F105" s="7" t="s">
        <v>2074</v>
      </c>
      <c r="G105" s="9"/>
    </row>
    <row r="106" spans="3:7" x14ac:dyDescent="0.2">
      <c r="C106" s="9">
        <v>514</v>
      </c>
      <c r="D106" s="9" t="s">
        <v>755</v>
      </c>
      <c r="E106" s="9"/>
      <c r="F106" s="7" t="s">
        <v>2075</v>
      </c>
      <c r="G106" s="9"/>
    </row>
    <row r="107" spans="3:7" x14ac:dyDescent="0.2">
      <c r="C107" s="9">
        <v>514</v>
      </c>
      <c r="D107" s="9" t="s">
        <v>1121</v>
      </c>
      <c r="E107" s="9"/>
      <c r="F107" s="7" t="s">
        <v>2076</v>
      </c>
      <c r="G107" s="9" t="s">
        <v>1973</v>
      </c>
    </row>
    <row r="108" spans="3:7" x14ac:dyDescent="0.2">
      <c r="C108" s="9">
        <v>515</v>
      </c>
      <c r="D108" s="9" t="s">
        <v>755</v>
      </c>
      <c r="E108" s="9"/>
      <c r="F108" s="7" t="s">
        <v>2077</v>
      </c>
      <c r="G108" s="9"/>
    </row>
    <row r="109" spans="3:7" x14ac:dyDescent="0.2">
      <c r="C109" s="9">
        <v>517</v>
      </c>
      <c r="D109" s="9" t="s">
        <v>755</v>
      </c>
      <c r="E109" s="9"/>
      <c r="F109" s="7" t="s">
        <v>2078</v>
      </c>
      <c r="G109" s="9"/>
    </row>
    <row r="110" spans="3:7" x14ac:dyDescent="0.2">
      <c r="C110" s="9">
        <v>518</v>
      </c>
      <c r="D110" s="9" t="s">
        <v>1121</v>
      </c>
      <c r="E110" s="9"/>
      <c r="F110" s="7" t="s">
        <v>2079</v>
      </c>
      <c r="G110" s="9"/>
    </row>
    <row r="111" spans="3:7" x14ac:dyDescent="0.2">
      <c r="C111" s="9">
        <v>520</v>
      </c>
      <c r="D111" s="9" t="s">
        <v>755</v>
      </c>
      <c r="E111" s="9"/>
      <c r="F111" s="7" t="s">
        <v>2080</v>
      </c>
      <c r="G111" s="9"/>
    </row>
    <row r="112" spans="3:7" x14ac:dyDescent="0.2">
      <c r="C112" s="9">
        <v>520</v>
      </c>
      <c r="D112" s="9" t="s">
        <v>1121</v>
      </c>
      <c r="E112" s="9"/>
      <c r="F112" s="7" t="s">
        <v>2081</v>
      </c>
      <c r="G112" s="9" t="s">
        <v>1973</v>
      </c>
    </row>
    <row r="113" spans="3:7" x14ac:dyDescent="0.2">
      <c r="C113" s="9">
        <v>513</v>
      </c>
      <c r="D113" s="9" t="s">
        <v>1121</v>
      </c>
      <c r="E113" s="9"/>
      <c r="F113" s="7" t="s">
        <v>2082</v>
      </c>
      <c r="G113" s="9"/>
    </row>
    <row r="114" spans="3:7" x14ac:dyDescent="0.2">
      <c r="C114" s="9">
        <v>524</v>
      </c>
      <c r="D114" s="9" t="s">
        <v>1971</v>
      </c>
      <c r="E114" s="9"/>
      <c r="F114" s="7" t="s">
        <v>2083</v>
      </c>
      <c r="G114" s="9" t="s">
        <v>1973</v>
      </c>
    </row>
    <row r="115" spans="3:7" x14ac:dyDescent="0.2">
      <c r="C115" s="9">
        <v>525</v>
      </c>
      <c r="D115" s="9" t="s">
        <v>1121</v>
      </c>
      <c r="E115" s="9"/>
      <c r="F115" s="7" t="s">
        <v>2084</v>
      </c>
      <c r="G115" s="9"/>
    </row>
    <row r="116" spans="3:7" x14ac:dyDescent="0.2">
      <c r="C116" s="9">
        <v>530</v>
      </c>
      <c r="D116" s="9" t="s">
        <v>1971</v>
      </c>
      <c r="E116" s="9"/>
      <c r="F116" s="7" t="s">
        <v>2085</v>
      </c>
      <c r="G116" s="9" t="s">
        <v>1973</v>
      </c>
    </row>
    <row r="117" spans="3:7" x14ac:dyDescent="0.2">
      <c r="C117" s="9">
        <v>531</v>
      </c>
      <c r="D117" s="9" t="s">
        <v>1971</v>
      </c>
      <c r="E117" s="9"/>
      <c r="F117" s="7" t="s">
        <v>2086</v>
      </c>
      <c r="G117" s="9"/>
    </row>
    <row r="118" spans="3:7" x14ac:dyDescent="0.2">
      <c r="C118" s="9">
        <v>532</v>
      </c>
      <c r="D118" s="9" t="s">
        <v>755</v>
      </c>
      <c r="E118" s="9"/>
      <c r="F118" s="7" t="s">
        <v>2087</v>
      </c>
      <c r="G118" s="9"/>
    </row>
    <row r="119" spans="3:7" x14ac:dyDescent="0.2">
      <c r="C119" s="9">
        <v>533</v>
      </c>
      <c r="D119" s="9" t="s">
        <v>1121</v>
      </c>
      <c r="E119" s="9"/>
      <c r="F119" s="7" t="s">
        <v>2088</v>
      </c>
      <c r="G119" s="9"/>
    </row>
    <row r="120" spans="3:7" x14ac:dyDescent="0.2">
      <c r="C120" s="9">
        <v>540</v>
      </c>
      <c r="D120" s="9" t="s">
        <v>755</v>
      </c>
      <c r="E120" s="9"/>
      <c r="F120" s="7" t="s">
        <v>2089</v>
      </c>
      <c r="G120" s="9"/>
    </row>
    <row r="121" spans="3:7" x14ac:dyDescent="0.2">
      <c r="C121" s="9">
        <v>542</v>
      </c>
      <c r="D121" s="9" t="s">
        <v>1971</v>
      </c>
      <c r="E121" s="9"/>
      <c r="F121" s="7" t="s">
        <v>2090</v>
      </c>
      <c r="G121" s="9"/>
    </row>
    <row r="122" spans="3:7" x14ac:dyDescent="0.2">
      <c r="C122" s="9">
        <v>543</v>
      </c>
      <c r="D122" s="9" t="s">
        <v>755</v>
      </c>
      <c r="E122" s="9"/>
      <c r="F122" s="7" t="s">
        <v>2091</v>
      </c>
      <c r="G122" s="9"/>
    </row>
    <row r="123" spans="3:7" x14ac:dyDescent="0.2">
      <c r="C123" s="9">
        <v>544</v>
      </c>
      <c r="D123" s="9" t="s">
        <v>755</v>
      </c>
      <c r="E123" s="9"/>
      <c r="F123" s="7" t="s">
        <v>2092</v>
      </c>
      <c r="G123" s="9"/>
    </row>
    <row r="124" spans="3:7" x14ac:dyDescent="0.2">
      <c r="C124" s="9">
        <v>546</v>
      </c>
      <c r="D124" s="9" t="s">
        <v>1971</v>
      </c>
      <c r="E124" s="9"/>
      <c r="F124" s="7" t="s">
        <v>2093</v>
      </c>
      <c r="G124" s="9"/>
    </row>
    <row r="125" spans="3:7" x14ac:dyDescent="0.2">
      <c r="C125" s="9">
        <v>547</v>
      </c>
      <c r="D125" s="9" t="s">
        <v>1971</v>
      </c>
      <c r="E125" s="9"/>
      <c r="F125" s="7" t="s">
        <v>2094</v>
      </c>
      <c r="G125" s="9"/>
    </row>
    <row r="126" spans="3:7" x14ac:dyDescent="0.2">
      <c r="C126" s="9">
        <v>548</v>
      </c>
      <c r="D126" s="9" t="s">
        <v>755</v>
      </c>
      <c r="E126" s="9"/>
      <c r="F126" s="7" t="s">
        <v>2095</v>
      </c>
      <c r="G126" s="9"/>
    </row>
    <row r="127" spans="3:7" x14ac:dyDescent="0.2">
      <c r="C127" s="9">
        <v>550</v>
      </c>
      <c r="D127" s="9" t="s">
        <v>1121</v>
      </c>
      <c r="E127" s="9"/>
      <c r="F127" s="7" t="s">
        <v>2096</v>
      </c>
      <c r="G127" s="9"/>
    </row>
    <row r="128" spans="3:7" x14ac:dyDescent="0.2">
      <c r="C128" s="9">
        <v>554</v>
      </c>
      <c r="D128" s="9" t="s">
        <v>1971</v>
      </c>
      <c r="E128" s="9"/>
      <c r="F128" s="7" t="s">
        <v>2097</v>
      </c>
      <c r="G128" s="9" t="s">
        <v>1973</v>
      </c>
    </row>
    <row r="129" spans="3:7" x14ac:dyDescent="0.2">
      <c r="C129" s="9">
        <v>556</v>
      </c>
      <c r="D129" s="9" t="s">
        <v>755</v>
      </c>
      <c r="E129" s="9"/>
      <c r="F129" s="7" t="s">
        <v>2098</v>
      </c>
      <c r="G129" s="9"/>
    </row>
    <row r="130" spans="3:7" x14ac:dyDescent="0.2">
      <c r="C130" s="9">
        <v>560</v>
      </c>
      <c r="D130" s="9" t="s">
        <v>1121</v>
      </c>
      <c r="E130" s="9"/>
      <c r="F130" s="7" t="s">
        <v>2099</v>
      </c>
      <c r="G130" s="9"/>
    </row>
    <row r="131" spans="3:7" x14ac:dyDescent="0.2">
      <c r="C131" s="9">
        <v>561</v>
      </c>
      <c r="D131" s="9" t="s">
        <v>1121</v>
      </c>
      <c r="E131" s="9"/>
      <c r="F131" s="7" t="s">
        <v>2100</v>
      </c>
      <c r="G131" s="9"/>
    </row>
    <row r="132" spans="3:7" x14ac:dyDescent="0.2">
      <c r="C132" s="9">
        <v>561</v>
      </c>
      <c r="D132" s="9" t="s">
        <v>1971</v>
      </c>
      <c r="E132" s="9"/>
      <c r="F132" s="7" t="s">
        <v>2101</v>
      </c>
      <c r="G132" s="9"/>
    </row>
    <row r="133" spans="3:7" x14ac:dyDescent="0.2">
      <c r="C133" s="9">
        <v>563</v>
      </c>
      <c r="D133" s="9" t="s">
        <v>1971</v>
      </c>
      <c r="E133" s="9"/>
      <c r="F133" s="7" t="s">
        <v>2102</v>
      </c>
      <c r="G133" s="9" t="s">
        <v>1973</v>
      </c>
    </row>
    <row r="134" spans="3:7" x14ac:dyDescent="0.2">
      <c r="C134" s="9">
        <v>587</v>
      </c>
      <c r="D134" s="9" t="s">
        <v>755</v>
      </c>
      <c r="E134" s="9"/>
      <c r="F134" s="7" t="s">
        <v>2103</v>
      </c>
      <c r="G134" s="9" t="s">
        <v>1973</v>
      </c>
    </row>
    <row r="135" spans="3:7" x14ac:dyDescent="0.2">
      <c r="C135" s="9">
        <v>591</v>
      </c>
      <c r="D135" s="9" t="s">
        <v>755</v>
      </c>
      <c r="E135" s="9"/>
      <c r="F135" s="7" t="s">
        <v>2104</v>
      </c>
      <c r="G135" s="9" t="s">
        <v>1973</v>
      </c>
    </row>
    <row r="136" spans="3:7" x14ac:dyDescent="0.2">
      <c r="C136" s="9">
        <v>593</v>
      </c>
      <c r="D136" s="9" t="s">
        <v>1971</v>
      </c>
      <c r="E136" s="9"/>
      <c r="F136" s="7" t="s">
        <v>2105</v>
      </c>
      <c r="G136" s="9" t="s">
        <v>1973</v>
      </c>
    </row>
    <row r="137" spans="3:7" x14ac:dyDescent="0.2">
      <c r="C137" s="9">
        <v>604</v>
      </c>
      <c r="D137" s="9" t="s">
        <v>755</v>
      </c>
      <c r="E137" s="9"/>
      <c r="F137" s="7" t="s">
        <v>2106</v>
      </c>
      <c r="G137" s="9"/>
    </row>
    <row r="138" spans="3:7" x14ac:dyDescent="0.2">
      <c r="C138" s="9">
        <v>631</v>
      </c>
      <c r="D138" s="9" t="s">
        <v>1971</v>
      </c>
      <c r="E138" s="9"/>
      <c r="F138" s="7" t="s">
        <v>2107</v>
      </c>
      <c r="G138" s="9"/>
    </row>
    <row r="139" spans="3:7" x14ac:dyDescent="0.2">
      <c r="C139" s="9">
        <v>636</v>
      </c>
      <c r="D139" s="9" t="s">
        <v>1971</v>
      </c>
      <c r="E139" s="9"/>
      <c r="F139" s="7" t="s">
        <v>2108</v>
      </c>
      <c r="G139" s="9" t="s">
        <v>1973</v>
      </c>
    </row>
    <row r="140" spans="3:7" x14ac:dyDescent="0.2">
      <c r="C140" s="9">
        <v>639</v>
      </c>
      <c r="D140" s="9" t="s">
        <v>1971</v>
      </c>
      <c r="E140" s="9"/>
      <c r="F140" s="7" t="s">
        <v>2109</v>
      </c>
      <c r="G140" s="9"/>
    </row>
    <row r="141" spans="3:7" x14ac:dyDescent="0.2">
      <c r="C141" s="9">
        <v>646</v>
      </c>
      <c r="D141" s="9" t="s">
        <v>755</v>
      </c>
      <c r="E141" s="9"/>
      <c r="F141" s="7" t="s">
        <v>2110</v>
      </c>
      <c r="G141" s="9"/>
    </row>
    <row r="142" spans="3:7" x14ac:dyDescent="0.2">
      <c r="C142" s="9">
        <v>647</v>
      </c>
      <c r="D142" s="9" t="s">
        <v>755</v>
      </c>
      <c r="E142" s="9"/>
      <c r="F142" s="7" t="s">
        <v>2111</v>
      </c>
      <c r="G142" s="9"/>
    </row>
    <row r="143" spans="3:7" x14ac:dyDescent="0.2">
      <c r="C143" s="9">
        <v>648</v>
      </c>
      <c r="D143" s="9" t="s">
        <v>755</v>
      </c>
      <c r="E143" s="9"/>
      <c r="F143" s="7" t="s">
        <v>2112</v>
      </c>
      <c r="G143" s="9"/>
    </row>
    <row r="144" spans="3:7" x14ac:dyDescent="0.2">
      <c r="C144" s="9">
        <v>652</v>
      </c>
      <c r="D144" s="9" t="s">
        <v>755</v>
      </c>
      <c r="E144" s="9"/>
      <c r="F144" s="7" t="s">
        <v>2113</v>
      </c>
      <c r="G144" s="9"/>
    </row>
    <row r="145" spans="3:7" x14ac:dyDescent="0.2">
      <c r="C145" s="9">
        <v>654</v>
      </c>
      <c r="D145" s="9" t="s">
        <v>755</v>
      </c>
      <c r="E145" s="9"/>
      <c r="F145" s="7" t="s">
        <v>2114</v>
      </c>
      <c r="G145" s="9"/>
    </row>
    <row r="146" spans="3:7" x14ac:dyDescent="0.2">
      <c r="C146" s="9">
        <v>665</v>
      </c>
      <c r="D146" s="9" t="s">
        <v>755</v>
      </c>
      <c r="E146" s="9"/>
      <c r="F146" s="7" t="s">
        <v>2115</v>
      </c>
      <c r="G146" s="9" t="s">
        <v>1989</v>
      </c>
    </row>
    <row r="147" spans="3:7" x14ac:dyDescent="0.2">
      <c r="C147" s="9">
        <v>666</v>
      </c>
      <c r="D147" s="9" t="s">
        <v>1121</v>
      </c>
      <c r="E147" s="9"/>
      <c r="F147" s="7" t="s">
        <v>2116</v>
      </c>
      <c r="G147" s="9"/>
    </row>
    <row r="148" spans="3:7" x14ac:dyDescent="0.2">
      <c r="C148" s="9">
        <v>674</v>
      </c>
      <c r="D148" s="9" t="s">
        <v>755</v>
      </c>
      <c r="E148" s="9"/>
      <c r="F148" s="7" t="s">
        <v>2117</v>
      </c>
      <c r="G148" s="9"/>
    </row>
    <row r="149" spans="3:7" x14ac:dyDescent="0.2">
      <c r="C149" s="9">
        <v>691</v>
      </c>
      <c r="D149" s="9" t="s">
        <v>755</v>
      </c>
      <c r="E149" s="9"/>
      <c r="F149" s="7" t="s">
        <v>2118</v>
      </c>
      <c r="G149" s="9" t="s">
        <v>1973</v>
      </c>
    </row>
    <row r="150" spans="3:7" x14ac:dyDescent="0.2">
      <c r="C150" s="9">
        <v>692</v>
      </c>
      <c r="D150" s="9" t="s">
        <v>755</v>
      </c>
      <c r="E150" s="9"/>
      <c r="F150" s="7" t="s">
        <v>2119</v>
      </c>
      <c r="G150" s="9"/>
    </row>
    <row r="151" spans="3:7" x14ac:dyDescent="0.2">
      <c r="C151" s="9">
        <v>695</v>
      </c>
      <c r="D151" s="9" t="s">
        <v>755</v>
      </c>
      <c r="E151" s="9"/>
      <c r="F151" s="7" t="s">
        <v>2120</v>
      </c>
      <c r="G151" s="9"/>
    </row>
    <row r="152" spans="3:7" x14ac:dyDescent="0.2">
      <c r="C152" s="9">
        <v>698</v>
      </c>
      <c r="D152" s="9" t="s">
        <v>755</v>
      </c>
      <c r="E152" s="9"/>
      <c r="F152" s="7" t="s">
        <v>2121</v>
      </c>
      <c r="G152" s="9"/>
    </row>
    <row r="153" spans="3:7" x14ac:dyDescent="0.2">
      <c r="C153" s="9">
        <v>699</v>
      </c>
      <c r="D153" s="9" t="s">
        <v>755</v>
      </c>
      <c r="E153" s="9"/>
      <c r="F153" s="7" t="s">
        <v>2122</v>
      </c>
      <c r="G153" s="9"/>
    </row>
    <row r="154" spans="3:7" x14ac:dyDescent="0.2">
      <c r="C154" s="9">
        <v>700</v>
      </c>
      <c r="D154" s="9" t="s">
        <v>755</v>
      </c>
      <c r="E154" s="9"/>
      <c r="F154" s="7" t="s">
        <v>2123</v>
      </c>
      <c r="G154" s="9"/>
    </row>
    <row r="155" spans="3:7" x14ac:dyDescent="0.2">
      <c r="C155" s="9">
        <v>701</v>
      </c>
      <c r="D155" s="9" t="s">
        <v>755</v>
      </c>
      <c r="E155" s="9"/>
      <c r="F155" s="7" t="s">
        <v>2124</v>
      </c>
      <c r="G155" s="9"/>
    </row>
    <row r="156" spans="3:7" x14ac:dyDescent="0.2">
      <c r="C156" s="9">
        <v>702</v>
      </c>
      <c r="D156" s="9" t="s">
        <v>755</v>
      </c>
      <c r="E156" s="9"/>
      <c r="F156" s="7" t="s">
        <v>2125</v>
      </c>
      <c r="G156" s="9"/>
    </row>
    <row r="157" spans="3:7" x14ac:dyDescent="0.2">
      <c r="C157" s="9">
        <v>706</v>
      </c>
      <c r="D157" s="9" t="s">
        <v>755</v>
      </c>
      <c r="E157" s="9"/>
      <c r="F157" s="7" t="s">
        <v>2126</v>
      </c>
      <c r="G157" s="9"/>
    </row>
    <row r="158" spans="3:7" x14ac:dyDescent="0.2">
      <c r="C158" s="9">
        <v>711</v>
      </c>
      <c r="D158" s="9" t="s">
        <v>755</v>
      </c>
      <c r="E158" s="9"/>
      <c r="F158" s="7" t="s">
        <v>2127</v>
      </c>
      <c r="G158" s="9"/>
    </row>
    <row r="159" spans="3:7" x14ac:dyDescent="0.2">
      <c r="C159" s="9">
        <v>712</v>
      </c>
      <c r="D159" s="9" t="s">
        <v>755</v>
      </c>
      <c r="E159" s="9"/>
      <c r="F159" s="7" t="s">
        <v>2128</v>
      </c>
      <c r="G159" s="9"/>
    </row>
    <row r="160" spans="3:7" x14ac:dyDescent="0.2">
      <c r="C160" s="9">
        <v>720</v>
      </c>
      <c r="D160" s="9" t="s">
        <v>755</v>
      </c>
      <c r="E160" s="9"/>
      <c r="F160" s="7" t="s">
        <v>2129</v>
      </c>
      <c r="G160" s="9"/>
    </row>
    <row r="161" spans="3:7" x14ac:dyDescent="0.2">
      <c r="C161" s="9">
        <v>749</v>
      </c>
      <c r="D161" s="9" t="s">
        <v>1971</v>
      </c>
      <c r="E161" s="9"/>
      <c r="F161" s="7" t="s">
        <v>2130</v>
      </c>
      <c r="G161" s="9"/>
    </row>
    <row r="162" spans="3:7" x14ac:dyDescent="0.2">
      <c r="C162" s="9">
        <v>750</v>
      </c>
      <c r="D162" s="9" t="s">
        <v>1121</v>
      </c>
      <c r="E162" s="9"/>
      <c r="F162" s="7" t="s">
        <v>2131</v>
      </c>
      <c r="G162" s="9"/>
    </row>
    <row r="163" spans="3:7" x14ac:dyDescent="0.2">
      <c r="C163" s="9">
        <v>782</v>
      </c>
      <c r="D163" s="9" t="s">
        <v>755</v>
      </c>
      <c r="E163" s="9"/>
      <c r="F163" s="7" t="s">
        <v>2132</v>
      </c>
      <c r="G163" s="9"/>
    </row>
    <row r="164" spans="3:7" x14ac:dyDescent="0.2">
      <c r="C164" s="9">
        <v>829</v>
      </c>
      <c r="D164" s="9" t="s">
        <v>755</v>
      </c>
      <c r="E164" s="9"/>
      <c r="F164" s="7" t="s">
        <v>2133</v>
      </c>
      <c r="G164" s="9"/>
    </row>
    <row r="165" spans="3:7" x14ac:dyDescent="0.2">
      <c r="C165" s="9">
        <v>860</v>
      </c>
      <c r="D165" s="9" t="s">
        <v>755</v>
      </c>
      <c r="E165" s="9"/>
      <c r="F165" s="7" t="s">
        <v>2134</v>
      </c>
      <c r="G165" s="9"/>
    </row>
    <row r="166" spans="3:7" x14ac:dyDescent="0.2">
      <c r="C166" s="9">
        <v>873</v>
      </c>
      <c r="D166" s="9" t="s">
        <v>755</v>
      </c>
      <c r="E166" s="9"/>
      <c r="F166" s="7" t="s">
        <v>2135</v>
      </c>
      <c r="G166" s="9" t="s">
        <v>1973</v>
      </c>
    </row>
    <row r="167" spans="3:7" x14ac:dyDescent="0.2">
      <c r="C167" s="9">
        <v>901</v>
      </c>
      <c r="D167" s="9" t="s">
        <v>755</v>
      </c>
      <c r="E167" s="9"/>
      <c r="F167" s="7" t="s">
        <v>2136</v>
      </c>
      <c r="G167" s="9" t="s">
        <v>1989</v>
      </c>
    </row>
    <row r="168" spans="3:7" x14ac:dyDescent="0.2">
      <c r="C168" s="9">
        <v>902</v>
      </c>
      <c r="D168" s="9"/>
      <c r="E168" s="9"/>
      <c r="F168" s="7" t="s">
        <v>2137</v>
      </c>
      <c r="G168" s="9" t="s">
        <v>1989</v>
      </c>
    </row>
    <row r="169" spans="3:7" x14ac:dyDescent="0.2">
      <c r="C169" s="9">
        <v>911</v>
      </c>
      <c r="D169" s="9" t="s">
        <v>755</v>
      </c>
      <c r="E169" s="9"/>
      <c r="F169" s="7" t="s">
        <v>2138</v>
      </c>
      <c r="G169" s="9"/>
    </row>
    <row r="170" spans="3:7" x14ac:dyDescent="0.2">
      <c r="C170" s="9">
        <v>981</v>
      </c>
      <c r="D170" s="9" t="s">
        <v>755</v>
      </c>
      <c r="E170" s="9"/>
      <c r="F170" s="7" t="s">
        <v>2139</v>
      </c>
      <c r="G170" s="9" t="s">
        <v>1989</v>
      </c>
    </row>
    <row r="171" spans="3:7" x14ac:dyDescent="0.2">
      <c r="C171" s="9">
        <v>989</v>
      </c>
      <c r="D171" s="9" t="s">
        <v>1971</v>
      </c>
      <c r="E171" s="9"/>
      <c r="F171" s="7" t="s">
        <v>2140</v>
      </c>
      <c r="G171" s="9" t="s">
        <v>1973</v>
      </c>
    </row>
    <row r="172" spans="3:7" x14ac:dyDescent="0.2">
      <c r="C172" s="9">
        <v>990</v>
      </c>
      <c r="D172" s="9" t="s">
        <v>1971</v>
      </c>
      <c r="E172" s="9"/>
      <c r="F172" s="7" t="s">
        <v>2141</v>
      </c>
      <c r="G172" s="9" t="s">
        <v>1973</v>
      </c>
    </row>
    <row r="173" spans="3:7" x14ac:dyDescent="0.2">
      <c r="C173" s="9">
        <v>991</v>
      </c>
      <c r="D173" s="9" t="s">
        <v>1971</v>
      </c>
      <c r="E173" s="9"/>
      <c r="F173" s="7" t="s">
        <v>2142</v>
      </c>
      <c r="G173" s="9"/>
    </row>
    <row r="174" spans="3:7" x14ac:dyDescent="0.2">
      <c r="C174" s="9">
        <v>992</v>
      </c>
      <c r="D174" s="9" t="s">
        <v>1971</v>
      </c>
      <c r="E174" s="9"/>
      <c r="F174" s="7" t="s">
        <v>2143</v>
      </c>
      <c r="G174" s="9" t="s">
        <v>1973</v>
      </c>
    </row>
    <row r="175" spans="3:7" x14ac:dyDescent="0.2">
      <c r="C175" s="9">
        <v>993</v>
      </c>
      <c r="D175" s="9" t="s">
        <v>755</v>
      </c>
      <c r="E175" s="9"/>
      <c r="F175" s="7" t="s">
        <v>2144</v>
      </c>
      <c r="G175" s="9" t="s">
        <v>1973</v>
      </c>
    </row>
    <row r="176" spans="3:7" x14ac:dyDescent="0.2">
      <c r="C176" s="9">
        <v>995</v>
      </c>
      <c r="D176" s="9" t="s">
        <v>755</v>
      </c>
      <c r="E176" s="9"/>
      <c r="F176" s="7" t="s">
        <v>2145</v>
      </c>
      <c r="G176" s="9" t="s">
        <v>1973</v>
      </c>
    </row>
    <row r="177" spans="3:7" x14ac:dyDescent="0.2">
      <c r="C177" s="9">
        <v>1024</v>
      </c>
      <c r="D177" s="9" t="s">
        <v>2146</v>
      </c>
      <c r="E177" s="9" t="s">
        <v>2146</v>
      </c>
      <c r="F177" s="7" t="s">
        <v>2146</v>
      </c>
      <c r="G177" s="9"/>
    </row>
    <row r="178" spans="3:7" x14ac:dyDescent="0.2">
      <c r="C178" s="9">
        <v>1027</v>
      </c>
      <c r="D178" s="9" t="s">
        <v>2146</v>
      </c>
      <c r="E178" s="9"/>
      <c r="F178" s="7" t="s">
        <v>2146</v>
      </c>
      <c r="G178" s="9" t="s">
        <v>2147</v>
      </c>
    </row>
    <row r="179" spans="3:7" x14ac:dyDescent="0.2">
      <c r="C179" s="9">
        <v>1027</v>
      </c>
      <c r="D179" s="9"/>
      <c r="E179" s="9" t="s">
        <v>1083</v>
      </c>
      <c r="F179" s="7" t="s">
        <v>2148</v>
      </c>
      <c r="G179" s="9" t="s">
        <v>2147</v>
      </c>
    </row>
    <row r="180" spans="3:7" x14ac:dyDescent="0.2">
      <c r="C180" s="9">
        <v>1028</v>
      </c>
      <c r="D180" s="9" t="s">
        <v>2146</v>
      </c>
      <c r="E180" s="9" t="s">
        <v>2146</v>
      </c>
      <c r="F180" s="7"/>
      <c r="G180" s="9" t="s">
        <v>2147</v>
      </c>
    </row>
    <row r="181" spans="3:7" x14ac:dyDescent="0.2">
      <c r="C181" s="9">
        <v>1029</v>
      </c>
      <c r="D181" s="9" t="s">
        <v>1989</v>
      </c>
      <c r="E181" s="9" t="s">
        <v>1989</v>
      </c>
      <c r="F181" s="7" t="s">
        <v>2149</v>
      </c>
      <c r="G181" s="9" t="s">
        <v>2147</v>
      </c>
    </row>
    <row r="182" spans="3:7" x14ac:dyDescent="0.2">
      <c r="C182" s="9">
        <v>1058</v>
      </c>
      <c r="D182" s="9" t="s">
        <v>1083</v>
      </c>
      <c r="E182" s="9" t="s">
        <v>1083</v>
      </c>
      <c r="F182" s="7" t="s">
        <v>2150</v>
      </c>
      <c r="G182" s="9" t="s">
        <v>2147</v>
      </c>
    </row>
    <row r="183" spans="3:7" x14ac:dyDescent="0.2">
      <c r="C183" s="9">
        <v>1059</v>
      </c>
      <c r="D183" s="9" t="s">
        <v>1083</v>
      </c>
      <c r="E183" s="9" t="s">
        <v>1083</v>
      </c>
      <c r="F183" s="7" t="s">
        <v>2151</v>
      </c>
      <c r="G183" s="9" t="s">
        <v>2147</v>
      </c>
    </row>
    <row r="184" spans="3:7" x14ac:dyDescent="0.2">
      <c r="C184" s="9">
        <v>1080</v>
      </c>
      <c r="D184" s="9" t="s">
        <v>1083</v>
      </c>
      <c r="E184" s="9" t="s">
        <v>1083</v>
      </c>
      <c r="F184" s="7" t="s">
        <v>2152</v>
      </c>
      <c r="G184" s="9" t="s">
        <v>2147</v>
      </c>
    </row>
    <row r="185" spans="3:7" x14ac:dyDescent="0.2">
      <c r="C185" s="9">
        <v>1085</v>
      </c>
      <c r="D185" s="9" t="s">
        <v>1083</v>
      </c>
      <c r="E185" s="9" t="s">
        <v>1083</v>
      </c>
      <c r="F185" s="7" t="s">
        <v>2153</v>
      </c>
      <c r="G185" s="9" t="s">
        <v>2147</v>
      </c>
    </row>
    <row r="186" spans="3:7" x14ac:dyDescent="0.2">
      <c r="C186" s="9">
        <v>1098</v>
      </c>
      <c r="D186" s="9" t="s">
        <v>1083</v>
      </c>
      <c r="E186" s="9" t="s">
        <v>1083</v>
      </c>
      <c r="F186" s="7" t="s">
        <v>2154</v>
      </c>
      <c r="G186" s="9" t="s">
        <v>2147</v>
      </c>
    </row>
    <row r="187" spans="3:7" x14ac:dyDescent="0.2">
      <c r="C187" s="9">
        <v>1099</v>
      </c>
      <c r="D187" s="9" t="s">
        <v>1083</v>
      </c>
      <c r="E187" s="9" t="s">
        <v>2155</v>
      </c>
      <c r="F187" s="7" t="s">
        <v>2156</v>
      </c>
      <c r="G187" s="9" t="s">
        <v>2147</v>
      </c>
    </row>
    <row r="188" spans="3:7" x14ac:dyDescent="0.2">
      <c r="C188" s="9">
        <v>1109</v>
      </c>
      <c r="D188" s="9" t="s">
        <v>2146</v>
      </c>
      <c r="E188" s="9" t="s">
        <v>2146</v>
      </c>
      <c r="F188" s="7" t="s">
        <v>2146</v>
      </c>
      <c r="G188" s="9" t="s">
        <v>2147</v>
      </c>
    </row>
    <row r="189" spans="3:7" x14ac:dyDescent="0.2">
      <c r="C189" s="9">
        <v>1109</v>
      </c>
      <c r="D189" s="9" t="s">
        <v>1989</v>
      </c>
      <c r="E189" s="9"/>
      <c r="F189" s="7" t="s">
        <v>2157</v>
      </c>
      <c r="G189" s="9" t="s">
        <v>2147</v>
      </c>
    </row>
    <row r="190" spans="3:7" x14ac:dyDescent="0.2">
      <c r="C190" s="9">
        <v>1113</v>
      </c>
      <c r="D190" s="9" t="s">
        <v>2155</v>
      </c>
      <c r="E190" s="9" t="s">
        <v>2158</v>
      </c>
      <c r="F190" s="7" t="s">
        <v>2159</v>
      </c>
      <c r="G190" s="9" t="s">
        <v>2147</v>
      </c>
    </row>
    <row r="191" spans="3:7" x14ac:dyDescent="0.2">
      <c r="C191" s="9">
        <v>1113</v>
      </c>
      <c r="D191" s="9" t="s">
        <v>2160</v>
      </c>
      <c r="E191" s="9"/>
      <c r="F191" s="7"/>
      <c r="G191" s="9" t="s">
        <v>2147</v>
      </c>
    </row>
    <row r="192" spans="3:7" x14ac:dyDescent="0.2">
      <c r="C192" s="9">
        <v>1119</v>
      </c>
      <c r="D192" s="9" t="s">
        <v>1083</v>
      </c>
      <c r="E192" s="9" t="s">
        <v>1083</v>
      </c>
      <c r="F192" s="7" t="s">
        <v>2161</v>
      </c>
      <c r="G192" s="9" t="s">
        <v>2147</v>
      </c>
    </row>
    <row r="193" spans="3:7" x14ac:dyDescent="0.2">
      <c r="C193" s="9">
        <v>1167</v>
      </c>
      <c r="D193" s="9" t="s">
        <v>1083</v>
      </c>
      <c r="E193" s="9" t="s">
        <v>1083</v>
      </c>
      <c r="F193" s="7" t="s">
        <v>2162</v>
      </c>
      <c r="G193" s="9" t="s">
        <v>2147</v>
      </c>
    </row>
    <row r="194" spans="3:7" x14ac:dyDescent="0.2">
      <c r="C194" s="9">
        <v>1194</v>
      </c>
      <c r="D194" s="9" t="s">
        <v>1083</v>
      </c>
      <c r="E194" s="9" t="s">
        <v>1083</v>
      </c>
      <c r="F194" s="7" t="s">
        <v>2163</v>
      </c>
      <c r="G194" s="9" t="s">
        <v>2147</v>
      </c>
    </row>
    <row r="195" spans="3:7" x14ac:dyDescent="0.2">
      <c r="C195" s="9">
        <v>1198</v>
      </c>
      <c r="D195" s="9" t="s">
        <v>1083</v>
      </c>
      <c r="E195" s="9" t="s">
        <v>1083</v>
      </c>
      <c r="F195" s="7" t="s">
        <v>2164</v>
      </c>
      <c r="G195" s="9" t="s">
        <v>2147</v>
      </c>
    </row>
    <row r="196" spans="3:7" x14ac:dyDescent="0.2">
      <c r="C196" s="9">
        <v>1214</v>
      </c>
      <c r="D196" s="9" t="s">
        <v>1083</v>
      </c>
      <c r="E196" s="9" t="s">
        <v>1083</v>
      </c>
      <c r="F196" s="7" t="s">
        <v>2165</v>
      </c>
      <c r="G196" s="9" t="s">
        <v>2147</v>
      </c>
    </row>
    <row r="197" spans="3:7" x14ac:dyDescent="0.2">
      <c r="C197" s="9">
        <v>1220</v>
      </c>
      <c r="D197" s="9" t="s">
        <v>1083</v>
      </c>
      <c r="E197" s="9" t="s">
        <v>2155</v>
      </c>
      <c r="F197" s="7" t="s">
        <v>2166</v>
      </c>
      <c r="G197" s="9" t="s">
        <v>2147</v>
      </c>
    </row>
    <row r="198" spans="3:7" x14ac:dyDescent="0.2">
      <c r="C198" s="9">
        <v>1234</v>
      </c>
      <c r="D198" s="9" t="s">
        <v>1083</v>
      </c>
      <c r="E198" s="9" t="s">
        <v>1083</v>
      </c>
      <c r="F198" s="7" t="s">
        <v>2167</v>
      </c>
      <c r="G198" s="9" t="s">
        <v>2147</v>
      </c>
    </row>
    <row r="199" spans="3:7" x14ac:dyDescent="0.2">
      <c r="C199" s="9">
        <v>1234</v>
      </c>
      <c r="D199" s="9"/>
      <c r="E199" s="9" t="s">
        <v>1989</v>
      </c>
      <c r="F199" s="7" t="s">
        <v>2168</v>
      </c>
      <c r="G199" s="9" t="s">
        <v>2147</v>
      </c>
    </row>
    <row r="200" spans="3:7" x14ac:dyDescent="0.2">
      <c r="C200" s="9">
        <v>1241</v>
      </c>
      <c r="D200" s="9" t="s">
        <v>1083</v>
      </c>
      <c r="E200" s="9" t="s">
        <v>1083</v>
      </c>
      <c r="F200" s="7" t="s">
        <v>2169</v>
      </c>
      <c r="G200" s="9" t="s">
        <v>2147</v>
      </c>
    </row>
    <row r="201" spans="3:7" x14ac:dyDescent="0.2">
      <c r="C201" s="9">
        <v>1270</v>
      </c>
      <c r="D201" s="9" t="s">
        <v>1083</v>
      </c>
      <c r="E201" s="9" t="s">
        <v>1083</v>
      </c>
      <c r="F201" s="7" t="s">
        <v>2170</v>
      </c>
      <c r="G201" s="9" t="s">
        <v>2147</v>
      </c>
    </row>
    <row r="202" spans="3:7" x14ac:dyDescent="0.2">
      <c r="C202" s="9">
        <v>1293</v>
      </c>
      <c r="D202" s="9" t="s">
        <v>1083</v>
      </c>
      <c r="E202" s="9" t="s">
        <v>1083</v>
      </c>
      <c r="F202" s="7" t="s">
        <v>2171</v>
      </c>
      <c r="G202" s="9" t="s">
        <v>2147</v>
      </c>
    </row>
    <row r="203" spans="3:7" x14ac:dyDescent="0.2">
      <c r="C203" s="9">
        <v>1311</v>
      </c>
      <c r="D203" s="9" t="s">
        <v>1083</v>
      </c>
      <c r="E203" s="9" t="s">
        <v>1083</v>
      </c>
      <c r="F203" s="7" t="s">
        <v>2172</v>
      </c>
      <c r="G203" s="9" t="s">
        <v>2147</v>
      </c>
    </row>
    <row r="204" spans="3:7" x14ac:dyDescent="0.2">
      <c r="C204" s="9">
        <v>1311</v>
      </c>
      <c r="D204" s="9" t="s">
        <v>1989</v>
      </c>
      <c r="E204" s="9"/>
      <c r="F204" s="7" t="s">
        <v>2173</v>
      </c>
      <c r="G204" s="9" t="s">
        <v>2147</v>
      </c>
    </row>
    <row r="205" spans="3:7" x14ac:dyDescent="0.2">
      <c r="C205" s="9">
        <v>1314</v>
      </c>
      <c r="D205" s="9" t="s">
        <v>1989</v>
      </c>
      <c r="E205" s="9" t="s">
        <v>1989</v>
      </c>
      <c r="F205" s="7" t="s">
        <v>2174</v>
      </c>
      <c r="G205" s="9" t="s">
        <v>2147</v>
      </c>
    </row>
    <row r="206" spans="3:7" x14ac:dyDescent="0.2">
      <c r="C206" s="9">
        <v>1319</v>
      </c>
      <c r="D206" s="9" t="s">
        <v>1083</v>
      </c>
      <c r="E206" s="9" t="s">
        <v>1083</v>
      </c>
      <c r="F206" s="7" t="s">
        <v>2175</v>
      </c>
      <c r="G206" s="9" t="s">
        <v>2147</v>
      </c>
    </row>
    <row r="207" spans="3:7" x14ac:dyDescent="0.2">
      <c r="C207" s="9">
        <v>1337</v>
      </c>
      <c r="D207" s="9" t="s">
        <v>1989</v>
      </c>
      <c r="E207" s="9"/>
      <c r="F207" s="7" t="s">
        <v>2176</v>
      </c>
      <c r="G207" s="9" t="s">
        <v>2147</v>
      </c>
    </row>
    <row r="208" spans="3:7" x14ac:dyDescent="0.2">
      <c r="C208" s="9">
        <v>1337</v>
      </c>
      <c r="D208" s="9" t="s">
        <v>1989</v>
      </c>
      <c r="E208" s="9"/>
      <c r="F208" s="7" t="s">
        <v>2177</v>
      </c>
      <c r="G208" s="9" t="s">
        <v>2147</v>
      </c>
    </row>
    <row r="209" spans="3:7" x14ac:dyDescent="0.2">
      <c r="C209" s="9">
        <v>1337</v>
      </c>
      <c r="D209" s="9" t="s">
        <v>1989</v>
      </c>
      <c r="E209" s="9"/>
      <c r="F209" s="7" t="s">
        <v>2178</v>
      </c>
      <c r="G209" s="9" t="s">
        <v>2147</v>
      </c>
    </row>
    <row r="210" spans="3:7" x14ac:dyDescent="0.2">
      <c r="C210" s="9">
        <v>1337</v>
      </c>
      <c r="D210" s="9" t="s">
        <v>1989</v>
      </c>
      <c r="E210" s="9"/>
      <c r="F210" s="7" t="s">
        <v>2179</v>
      </c>
      <c r="G210" s="9" t="s">
        <v>2147</v>
      </c>
    </row>
    <row r="211" spans="3:7" x14ac:dyDescent="0.2">
      <c r="C211" s="9">
        <v>1341</v>
      </c>
      <c r="D211" s="9" t="s">
        <v>1083</v>
      </c>
      <c r="E211" s="9" t="s">
        <v>1083</v>
      </c>
      <c r="F211" s="7" t="s">
        <v>2180</v>
      </c>
      <c r="G211" s="9" t="s">
        <v>2147</v>
      </c>
    </row>
    <row r="212" spans="3:7" x14ac:dyDescent="0.2">
      <c r="C212" s="9">
        <v>1344</v>
      </c>
      <c r="D212" s="9" t="s">
        <v>1083</v>
      </c>
      <c r="E212" s="9" t="s">
        <v>1083</v>
      </c>
      <c r="F212" s="7" t="s">
        <v>2181</v>
      </c>
      <c r="G212" s="9" t="s">
        <v>2147</v>
      </c>
    </row>
    <row r="213" spans="3:7" x14ac:dyDescent="0.2">
      <c r="C213" s="9">
        <v>1352</v>
      </c>
      <c r="D213" s="9" t="s">
        <v>1083</v>
      </c>
      <c r="E213" s="9" t="s">
        <v>1083</v>
      </c>
      <c r="F213" s="7" t="s">
        <v>2182</v>
      </c>
      <c r="G213" s="9" t="s">
        <v>2147</v>
      </c>
    </row>
    <row r="214" spans="3:7" x14ac:dyDescent="0.2">
      <c r="C214" s="9">
        <v>1360</v>
      </c>
      <c r="D214" s="9" t="s">
        <v>1083</v>
      </c>
      <c r="E214" s="9" t="s">
        <v>1083</v>
      </c>
      <c r="F214" s="7" t="s">
        <v>2183</v>
      </c>
      <c r="G214" s="9" t="s">
        <v>2147</v>
      </c>
    </row>
    <row r="215" spans="3:7" x14ac:dyDescent="0.2">
      <c r="C215" s="9">
        <v>1414</v>
      </c>
      <c r="D215" s="9" t="s">
        <v>1083</v>
      </c>
      <c r="E215" s="9" t="s">
        <v>1083</v>
      </c>
      <c r="F215" s="7" t="s">
        <v>2184</v>
      </c>
      <c r="G215" s="9" t="s">
        <v>2147</v>
      </c>
    </row>
    <row r="216" spans="3:7" x14ac:dyDescent="0.2">
      <c r="C216" s="9">
        <v>1417</v>
      </c>
      <c r="D216" s="9" t="s">
        <v>1083</v>
      </c>
      <c r="E216" s="9" t="s">
        <v>1083</v>
      </c>
      <c r="F216" s="7" t="s">
        <v>2185</v>
      </c>
      <c r="G216" s="9" t="s">
        <v>2147</v>
      </c>
    </row>
    <row r="217" spans="3:7" x14ac:dyDescent="0.2">
      <c r="C217" s="9">
        <v>1418</v>
      </c>
      <c r="D217" s="9" t="s">
        <v>1083</v>
      </c>
      <c r="E217" s="9" t="s">
        <v>1083</v>
      </c>
      <c r="F217" s="7" t="s">
        <v>2186</v>
      </c>
      <c r="G217" s="9" t="s">
        <v>2147</v>
      </c>
    </row>
    <row r="218" spans="3:7" x14ac:dyDescent="0.2">
      <c r="C218" s="9">
        <v>1419</v>
      </c>
      <c r="D218" s="9" t="s">
        <v>1083</v>
      </c>
      <c r="E218" s="9" t="s">
        <v>1083</v>
      </c>
      <c r="F218" s="7" t="s">
        <v>2187</v>
      </c>
      <c r="G218" s="9" t="s">
        <v>2147</v>
      </c>
    </row>
    <row r="219" spans="3:7" x14ac:dyDescent="0.2">
      <c r="C219" s="9">
        <v>1420</v>
      </c>
      <c r="D219" s="9" t="s">
        <v>1083</v>
      </c>
      <c r="E219" s="9" t="s">
        <v>1083</v>
      </c>
      <c r="F219" s="7" t="s">
        <v>2188</v>
      </c>
      <c r="G219" s="9" t="s">
        <v>2147</v>
      </c>
    </row>
    <row r="220" spans="3:7" x14ac:dyDescent="0.2">
      <c r="C220" s="9">
        <v>1431</v>
      </c>
      <c r="D220" s="9" t="s">
        <v>1083</v>
      </c>
      <c r="E220" s="9"/>
      <c r="F220" s="7" t="s">
        <v>2189</v>
      </c>
      <c r="G220" s="9" t="s">
        <v>2147</v>
      </c>
    </row>
    <row r="221" spans="3:7" x14ac:dyDescent="0.2">
      <c r="C221" s="9">
        <v>1433</v>
      </c>
      <c r="D221" s="9" t="s">
        <v>1083</v>
      </c>
      <c r="E221" s="9" t="s">
        <v>1083</v>
      </c>
      <c r="F221" s="7" t="s">
        <v>2190</v>
      </c>
      <c r="G221" s="9" t="s">
        <v>2147</v>
      </c>
    </row>
    <row r="222" spans="3:7" x14ac:dyDescent="0.2">
      <c r="C222" s="9">
        <v>1434</v>
      </c>
      <c r="D222" s="9" t="s">
        <v>1083</v>
      </c>
      <c r="E222" s="9" t="s">
        <v>1083</v>
      </c>
      <c r="F222" s="7" t="s">
        <v>2191</v>
      </c>
      <c r="G222" s="9" t="s">
        <v>2147</v>
      </c>
    </row>
    <row r="223" spans="3:7" x14ac:dyDescent="0.2">
      <c r="C223" s="9">
        <v>1481</v>
      </c>
      <c r="D223" s="9" t="s">
        <v>1083</v>
      </c>
      <c r="E223" s="9" t="s">
        <v>1083</v>
      </c>
      <c r="F223" s="7" t="s">
        <v>2192</v>
      </c>
      <c r="G223" s="9" t="s">
        <v>2147</v>
      </c>
    </row>
    <row r="224" spans="3:7" x14ac:dyDescent="0.2">
      <c r="C224" s="9">
        <v>1492</v>
      </c>
      <c r="D224" s="9" t="s">
        <v>1989</v>
      </c>
      <c r="E224" s="9"/>
      <c r="F224" s="7" t="s">
        <v>2193</v>
      </c>
      <c r="G224" s="9" t="s">
        <v>2147</v>
      </c>
    </row>
    <row r="225" spans="3:7" x14ac:dyDescent="0.2">
      <c r="C225" s="9">
        <v>1494</v>
      </c>
      <c r="D225" s="9" t="s">
        <v>1989</v>
      </c>
      <c r="E225" s="9" t="s">
        <v>1989</v>
      </c>
      <c r="F225" s="7" t="s">
        <v>2194</v>
      </c>
      <c r="G225" s="9" t="s">
        <v>2147</v>
      </c>
    </row>
    <row r="226" spans="3:7" x14ac:dyDescent="0.2">
      <c r="C226" s="9">
        <v>1500</v>
      </c>
      <c r="D226" s="9" t="s">
        <v>1989</v>
      </c>
      <c r="E226" s="9"/>
      <c r="F226" s="7" t="s">
        <v>2195</v>
      </c>
      <c r="G226" s="9" t="s">
        <v>2147</v>
      </c>
    </row>
    <row r="227" spans="3:7" x14ac:dyDescent="0.2">
      <c r="C227" s="9">
        <v>1501</v>
      </c>
      <c r="D227" s="9" t="s">
        <v>1989</v>
      </c>
      <c r="E227" s="9"/>
      <c r="F227" s="7" t="s">
        <v>2196</v>
      </c>
      <c r="G227" s="9" t="s">
        <v>2147</v>
      </c>
    </row>
    <row r="228" spans="3:7" x14ac:dyDescent="0.2">
      <c r="C228" s="9">
        <v>1503</v>
      </c>
      <c r="D228" s="9" t="s">
        <v>1989</v>
      </c>
      <c r="E228" s="9" t="s">
        <v>1989</v>
      </c>
      <c r="F228" s="7" t="s">
        <v>2197</v>
      </c>
      <c r="G228" s="9" t="s">
        <v>2147</v>
      </c>
    </row>
    <row r="229" spans="3:7" x14ac:dyDescent="0.2">
      <c r="C229" s="9">
        <v>1512</v>
      </c>
      <c r="D229" s="9" t="s">
        <v>1083</v>
      </c>
      <c r="E229" s="9" t="s">
        <v>1083</v>
      </c>
      <c r="F229" s="7" t="s">
        <v>2198</v>
      </c>
      <c r="G229" s="9" t="s">
        <v>2147</v>
      </c>
    </row>
    <row r="230" spans="3:7" x14ac:dyDescent="0.2">
      <c r="C230" s="9">
        <v>1513</v>
      </c>
      <c r="D230" s="9" t="s">
        <v>1989</v>
      </c>
      <c r="E230" s="9" t="s">
        <v>1989</v>
      </c>
      <c r="F230" s="7" t="s">
        <v>2199</v>
      </c>
      <c r="G230" s="9" t="s">
        <v>2147</v>
      </c>
    </row>
    <row r="231" spans="3:7" x14ac:dyDescent="0.2">
      <c r="C231" s="9">
        <v>1521</v>
      </c>
      <c r="D231" s="9" t="s">
        <v>1083</v>
      </c>
      <c r="E231" s="9" t="s">
        <v>1083</v>
      </c>
      <c r="F231" s="7" t="s">
        <v>2200</v>
      </c>
      <c r="G231" s="9" t="s">
        <v>2147</v>
      </c>
    </row>
    <row r="232" spans="3:7" x14ac:dyDescent="0.2">
      <c r="C232" s="9">
        <v>1521</v>
      </c>
      <c r="D232" s="9" t="s">
        <v>1989</v>
      </c>
      <c r="E232" s="9"/>
      <c r="F232" s="7" t="s">
        <v>2201</v>
      </c>
      <c r="G232" s="9" t="s">
        <v>2147</v>
      </c>
    </row>
    <row r="233" spans="3:7" x14ac:dyDescent="0.2">
      <c r="C233" s="9">
        <v>1524</v>
      </c>
      <c r="D233" s="9" t="s">
        <v>1083</v>
      </c>
      <c r="E233" s="9" t="s">
        <v>1083</v>
      </c>
      <c r="F233" s="7" t="s">
        <v>2202</v>
      </c>
      <c r="G233" s="9" t="s">
        <v>2147</v>
      </c>
    </row>
    <row r="234" spans="3:7" x14ac:dyDescent="0.2">
      <c r="C234" s="9">
        <v>1527</v>
      </c>
      <c r="D234" s="9" t="s">
        <v>1083</v>
      </c>
      <c r="E234" s="9" t="s">
        <v>1083</v>
      </c>
      <c r="F234" s="7" t="s">
        <v>2203</v>
      </c>
      <c r="G234" s="9" t="s">
        <v>2147</v>
      </c>
    </row>
    <row r="235" spans="3:7" x14ac:dyDescent="0.2">
      <c r="C235" s="9">
        <v>1527</v>
      </c>
      <c r="D235" s="9" t="s">
        <v>1989</v>
      </c>
      <c r="E235" s="9"/>
      <c r="F235" s="7" t="s">
        <v>2204</v>
      </c>
      <c r="G235" s="9" t="s">
        <v>2147</v>
      </c>
    </row>
    <row r="236" spans="3:7" x14ac:dyDescent="0.2">
      <c r="C236" s="9">
        <v>1533</v>
      </c>
      <c r="D236" s="9" t="s">
        <v>1083</v>
      </c>
      <c r="E236" s="9" t="s">
        <v>1083</v>
      </c>
      <c r="F236" s="7" t="s">
        <v>2205</v>
      </c>
      <c r="G236" s="9" t="s">
        <v>2147</v>
      </c>
    </row>
    <row r="237" spans="3:7" x14ac:dyDescent="0.2">
      <c r="C237" s="9">
        <v>1534</v>
      </c>
      <c r="D237" s="9" t="s">
        <v>293</v>
      </c>
      <c r="E237" s="9" t="s">
        <v>1989</v>
      </c>
      <c r="F237" s="7" t="s">
        <v>2206</v>
      </c>
      <c r="G237" s="9" t="s">
        <v>2147</v>
      </c>
    </row>
    <row r="238" spans="3:7" x14ac:dyDescent="0.2">
      <c r="C238" s="9">
        <v>1540</v>
      </c>
      <c r="D238" s="9" t="s">
        <v>1989</v>
      </c>
      <c r="E238" s="9" t="s">
        <v>1989</v>
      </c>
      <c r="F238" s="7" t="s">
        <v>2207</v>
      </c>
      <c r="G238" s="9" t="s">
        <v>2147</v>
      </c>
    </row>
    <row r="239" spans="3:7" x14ac:dyDescent="0.2">
      <c r="C239" s="9">
        <v>1541</v>
      </c>
      <c r="D239" s="9" t="s">
        <v>1989</v>
      </c>
      <c r="E239" s="9" t="s">
        <v>1989</v>
      </c>
      <c r="F239" s="7" t="s">
        <v>2208</v>
      </c>
      <c r="G239" s="9" t="s">
        <v>2147</v>
      </c>
    </row>
    <row r="240" spans="3:7" x14ac:dyDescent="0.2">
      <c r="C240" s="9">
        <v>1542</v>
      </c>
      <c r="D240" s="9" t="s">
        <v>1989</v>
      </c>
      <c r="E240" s="9" t="s">
        <v>1989</v>
      </c>
      <c r="F240" s="7" t="s">
        <v>2209</v>
      </c>
      <c r="G240" s="9" t="s">
        <v>2147</v>
      </c>
    </row>
    <row r="241" spans="3:7" x14ac:dyDescent="0.2">
      <c r="C241" s="9">
        <v>1545</v>
      </c>
      <c r="D241" s="9" t="s">
        <v>1989</v>
      </c>
      <c r="E241" s="9" t="s">
        <v>1989</v>
      </c>
      <c r="F241" s="7" t="s">
        <v>2210</v>
      </c>
      <c r="G241" s="9" t="s">
        <v>2147</v>
      </c>
    </row>
    <row r="242" spans="3:7" x14ac:dyDescent="0.2">
      <c r="C242" s="9">
        <v>1547</v>
      </c>
      <c r="D242" s="9" t="s">
        <v>1083</v>
      </c>
      <c r="E242" s="9" t="s">
        <v>1083</v>
      </c>
      <c r="F242" s="7" t="s">
        <v>2211</v>
      </c>
      <c r="G242" s="9" t="s">
        <v>2147</v>
      </c>
    </row>
    <row r="243" spans="3:7" x14ac:dyDescent="0.2">
      <c r="C243" s="9">
        <v>1550</v>
      </c>
      <c r="D243" s="9" t="s">
        <v>1989</v>
      </c>
      <c r="E243" s="9" t="s">
        <v>1989</v>
      </c>
      <c r="F243" s="7" t="s">
        <v>2212</v>
      </c>
      <c r="G243" s="9" t="s">
        <v>2147</v>
      </c>
    </row>
    <row r="244" spans="3:7" x14ac:dyDescent="0.2">
      <c r="C244" s="9">
        <v>1550</v>
      </c>
      <c r="D244" s="9" t="s">
        <v>1989</v>
      </c>
      <c r="E244" s="9"/>
      <c r="F244" s="7" t="s">
        <v>2213</v>
      </c>
      <c r="G244" s="9" t="s">
        <v>2147</v>
      </c>
    </row>
    <row r="245" spans="3:7" x14ac:dyDescent="0.2">
      <c r="C245" s="9" t="s">
        <v>2214</v>
      </c>
      <c r="D245" s="9" t="s">
        <v>1989</v>
      </c>
      <c r="E245" s="9" t="s">
        <v>1989</v>
      </c>
      <c r="F245" s="7" t="s">
        <v>2215</v>
      </c>
      <c r="G245" s="9" t="s">
        <v>2147</v>
      </c>
    </row>
    <row r="246" spans="3:7" x14ac:dyDescent="0.2">
      <c r="C246" s="9">
        <v>1581</v>
      </c>
      <c r="D246" s="9" t="s">
        <v>1083</v>
      </c>
      <c r="E246" s="9" t="s">
        <v>1083</v>
      </c>
      <c r="F246" s="7" t="s">
        <v>2216</v>
      </c>
      <c r="G246" s="9" t="s">
        <v>2147</v>
      </c>
    </row>
    <row r="247" spans="3:7" x14ac:dyDescent="0.2">
      <c r="C247" s="9">
        <v>1581</v>
      </c>
      <c r="D247" s="9" t="s">
        <v>1989</v>
      </c>
      <c r="E247" s="9"/>
      <c r="F247" s="7" t="s">
        <v>2217</v>
      </c>
      <c r="G247" s="9" t="s">
        <v>2147</v>
      </c>
    </row>
    <row r="248" spans="3:7" x14ac:dyDescent="0.2">
      <c r="C248" s="9" t="s">
        <v>2218</v>
      </c>
      <c r="D248" s="9" t="s">
        <v>1989</v>
      </c>
      <c r="E248" s="9"/>
      <c r="F248" s="7" t="s">
        <v>2219</v>
      </c>
      <c r="G248" s="9" t="s">
        <v>2147</v>
      </c>
    </row>
    <row r="249" spans="3:7" x14ac:dyDescent="0.2">
      <c r="C249" s="9">
        <v>1583</v>
      </c>
      <c r="D249" s="9" t="s">
        <v>1989</v>
      </c>
      <c r="E249" s="9"/>
      <c r="F249" s="7" t="s">
        <v>2220</v>
      </c>
      <c r="G249" s="9" t="s">
        <v>2147</v>
      </c>
    </row>
    <row r="250" spans="3:7" x14ac:dyDescent="0.2">
      <c r="C250" s="9">
        <v>1589</v>
      </c>
      <c r="D250" s="9" t="s">
        <v>1083</v>
      </c>
      <c r="E250" s="9" t="s">
        <v>1083</v>
      </c>
      <c r="F250" s="7" t="s">
        <v>2221</v>
      </c>
      <c r="G250" s="9" t="s">
        <v>2147</v>
      </c>
    </row>
    <row r="251" spans="3:7" x14ac:dyDescent="0.2">
      <c r="C251" s="9">
        <v>1604</v>
      </c>
      <c r="D251" s="9" t="s">
        <v>1989</v>
      </c>
      <c r="E251" s="9" t="s">
        <v>1989</v>
      </c>
      <c r="F251" s="7" t="s">
        <v>2222</v>
      </c>
      <c r="G251" s="9" t="s">
        <v>2147</v>
      </c>
    </row>
    <row r="252" spans="3:7" x14ac:dyDescent="0.2">
      <c r="C252" s="9">
        <v>1626</v>
      </c>
      <c r="D252" s="9" t="s">
        <v>1989</v>
      </c>
      <c r="E252" s="9"/>
      <c r="F252" s="7" t="s">
        <v>2223</v>
      </c>
      <c r="G252" s="9" t="s">
        <v>2147</v>
      </c>
    </row>
    <row r="253" spans="3:7" x14ac:dyDescent="0.2">
      <c r="C253" s="9">
        <v>1627</v>
      </c>
      <c r="D253" s="9" t="s">
        <v>1989</v>
      </c>
      <c r="E253" s="9"/>
      <c r="F253" s="7" t="s">
        <v>2223</v>
      </c>
      <c r="G253" s="9" t="s">
        <v>2147</v>
      </c>
    </row>
    <row r="254" spans="3:7" x14ac:dyDescent="0.2">
      <c r="C254" s="9">
        <v>1628</v>
      </c>
      <c r="D254" s="9" t="s">
        <v>1083</v>
      </c>
      <c r="E254" s="9" t="s">
        <v>1083</v>
      </c>
      <c r="F254" s="7" t="s">
        <v>2224</v>
      </c>
      <c r="G254" s="9" t="s">
        <v>2147</v>
      </c>
    </row>
    <row r="255" spans="3:7" x14ac:dyDescent="0.2">
      <c r="C255" s="9">
        <v>1629</v>
      </c>
      <c r="D255" s="9" t="s">
        <v>1083</v>
      </c>
      <c r="E255" s="9" t="s">
        <v>1083</v>
      </c>
      <c r="F255" s="7" t="s">
        <v>2225</v>
      </c>
      <c r="G255" s="9" t="s">
        <v>2147</v>
      </c>
    </row>
    <row r="256" spans="3:7" x14ac:dyDescent="0.2">
      <c r="C256" s="9">
        <v>1645</v>
      </c>
      <c r="D256" s="9" t="s">
        <v>293</v>
      </c>
      <c r="E256" s="9" t="s">
        <v>1989</v>
      </c>
      <c r="F256" s="7" t="s">
        <v>2226</v>
      </c>
      <c r="G256" s="9" t="s">
        <v>2147</v>
      </c>
    </row>
    <row r="257" spans="3:7" x14ac:dyDescent="0.2">
      <c r="C257" s="9">
        <v>1646</v>
      </c>
      <c r="D257" s="9" t="s">
        <v>293</v>
      </c>
      <c r="E257" s="9" t="s">
        <v>1989</v>
      </c>
      <c r="F257" s="7" t="s">
        <v>2227</v>
      </c>
      <c r="G257" s="9" t="s">
        <v>2147</v>
      </c>
    </row>
    <row r="258" spans="3:7" x14ac:dyDescent="0.2">
      <c r="C258" s="9">
        <v>1666</v>
      </c>
      <c r="D258" s="9" t="s">
        <v>1989</v>
      </c>
      <c r="E258" s="9"/>
      <c r="F258" s="7" t="s">
        <v>2228</v>
      </c>
      <c r="G258" s="9" t="s">
        <v>2147</v>
      </c>
    </row>
    <row r="259" spans="3:7" x14ac:dyDescent="0.2">
      <c r="C259" s="9">
        <v>1677</v>
      </c>
      <c r="D259" s="9" t="s">
        <v>1083</v>
      </c>
      <c r="E259" s="9" t="s">
        <v>1083</v>
      </c>
      <c r="F259" s="7" t="s">
        <v>2229</v>
      </c>
      <c r="G259" s="9" t="s">
        <v>2147</v>
      </c>
    </row>
    <row r="260" spans="3:7" x14ac:dyDescent="0.2">
      <c r="C260" s="9">
        <v>1688</v>
      </c>
      <c r="D260" s="9" t="s">
        <v>1989</v>
      </c>
      <c r="E260" s="9"/>
      <c r="F260" s="7" t="s">
        <v>2230</v>
      </c>
      <c r="G260" s="9" t="s">
        <v>2147</v>
      </c>
    </row>
    <row r="261" spans="3:7" x14ac:dyDescent="0.2">
      <c r="C261" s="9">
        <v>1701</v>
      </c>
      <c r="D261" s="9" t="s">
        <v>1083</v>
      </c>
      <c r="E261" s="9" t="s">
        <v>1083</v>
      </c>
      <c r="F261" s="7" t="s">
        <v>2231</v>
      </c>
      <c r="G261" s="9" t="s">
        <v>2147</v>
      </c>
    </row>
    <row r="262" spans="3:7" x14ac:dyDescent="0.2">
      <c r="C262" s="9">
        <v>1701</v>
      </c>
      <c r="D262" s="9" t="s">
        <v>2155</v>
      </c>
      <c r="E262" s="9" t="s">
        <v>1083</v>
      </c>
      <c r="F262" s="7" t="s">
        <v>2232</v>
      </c>
      <c r="G262" s="9" t="s">
        <v>2147</v>
      </c>
    </row>
    <row r="263" spans="3:7" x14ac:dyDescent="0.2">
      <c r="C263" s="9">
        <v>1707</v>
      </c>
      <c r="D263" s="9" t="s">
        <v>1083</v>
      </c>
      <c r="E263" s="9" t="s">
        <v>1083</v>
      </c>
      <c r="F263" s="7" t="s">
        <v>2233</v>
      </c>
      <c r="G263" s="9" t="s">
        <v>2147</v>
      </c>
    </row>
    <row r="264" spans="3:7" x14ac:dyDescent="0.2">
      <c r="C264" s="9">
        <v>1707</v>
      </c>
      <c r="D264" s="9"/>
      <c r="E264" s="9" t="s">
        <v>1989</v>
      </c>
      <c r="F264" s="7" t="s">
        <v>2234</v>
      </c>
      <c r="G264" s="9" t="s">
        <v>2147</v>
      </c>
    </row>
    <row r="265" spans="3:7" x14ac:dyDescent="0.2">
      <c r="C265" s="9">
        <v>1716</v>
      </c>
      <c r="D265" s="9"/>
      <c r="E265" s="9" t="s">
        <v>1989</v>
      </c>
      <c r="F265" s="7" t="s">
        <v>2235</v>
      </c>
      <c r="G265" s="9" t="s">
        <v>2147</v>
      </c>
    </row>
    <row r="266" spans="3:7" x14ac:dyDescent="0.2">
      <c r="C266" s="9">
        <v>1719</v>
      </c>
      <c r="D266" s="9" t="s">
        <v>1083</v>
      </c>
      <c r="E266" s="9" t="s">
        <v>1083</v>
      </c>
      <c r="F266" s="7" t="s">
        <v>2236</v>
      </c>
      <c r="G266" s="9" t="s">
        <v>2147</v>
      </c>
    </row>
    <row r="267" spans="3:7" x14ac:dyDescent="0.2">
      <c r="C267" s="9">
        <v>1720</v>
      </c>
      <c r="D267" s="9" t="s">
        <v>1083</v>
      </c>
      <c r="E267" s="9" t="s">
        <v>1083</v>
      </c>
      <c r="F267" s="7" t="s">
        <v>2237</v>
      </c>
      <c r="G267" s="9" t="s">
        <v>2147</v>
      </c>
    </row>
    <row r="268" spans="3:7" x14ac:dyDescent="0.2">
      <c r="C268" s="9">
        <v>1723</v>
      </c>
      <c r="D268" s="9" t="s">
        <v>1083</v>
      </c>
      <c r="E268" s="9" t="s">
        <v>2155</v>
      </c>
      <c r="F268" s="7" t="s">
        <v>2238</v>
      </c>
      <c r="G268" s="9" t="s">
        <v>2147</v>
      </c>
    </row>
    <row r="269" spans="3:7" x14ac:dyDescent="0.2">
      <c r="C269" s="9">
        <v>1755</v>
      </c>
      <c r="D269" s="9" t="s">
        <v>1083</v>
      </c>
      <c r="E269" s="9" t="s">
        <v>1083</v>
      </c>
      <c r="F269" s="7" t="s">
        <v>2239</v>
      </c>
      <c r="G269" s="9" t="s">
        <v>2147</v>
      </c>
    </row>
    <row r="270" spans="3:7" x14ac:dyDescent="0.2">
      <c r="C270" s="9">
        <v>1761</v>
      </c>
      <c r="D270" s="9" t="s">
        <v>1989</v>
      </c>
      <c r="E270" s="9" t="s">
        <v>1989</v>
      </c>
      <c r="F270" s="7" t="s">
        <v>2240</v>
      </c>
      <c r="G270" s="9" t="s">
        <v>2147</v>
      </c>
    </row>
    <row r="271" spans="3:7" x14ac:dyDescent="0.2">
      <c r="C271" s="9">
        <v>1776</v>
      </c>
      <c r="D271" s="9" t="s">
        <v>1083</v>
      </c>
      <c r="E271" s="9" t="s">
        <v>1083</v>
      </c>
      <c r="F271" s="7" t="s">
        <v>2241</v>
      </c>
      <c r="G271" s="9" t="s">
        <v>2147</v>
      </c>
    </row>
    <row r="272" spans="3:7" x14ac:dyDescent="0.2">
      <c r="C272" s="9">
        <v>1783</v>
      </c>
      <c r="D272" s="9" t="s">
        <v>2146</v>
      </c>
      <c r="E272" s="9"/>
      <c r="F272" s="7" t="s">
        <v>2242</v>
      </c>
      <c r="G272" s="9" t="s">
        <v>2147</v>
      </c>
    </row>
    <row r="273" spans="3:7" x14ac:dyDescent="0.2">
      <c r="C273" s="9">
        <v>1801</v>
      </c>
      <c r="D273" s="9" t="s">
        <v>1083</v>
      </c>
      <c r="E273" s="9" t="s">
        <v>1083</v>
      </c>
      <c r="F273" s="7" t="s">
        <v>2243</v>
      </c>
      <c r="G273" s="9" t="s">
        <v>2147</v>
      </c>
    </row>
    <row r="274" spans="3:7" x14ac:dyDescent="0.2">
      <c r="C274" s="9">
        <v>1812</v>
      </c>
      <c r="D274" s="9" t="s">
        <v>1083</v>
      </c>
      <c r="E274" s="9" t="s">
        <v>1083</v>
      </c>
      <c r="F274" s="7" t="s">
        <v>2244</v>
      </c>
      <c r="G274" s="9" t="s">
        <v>2147</v>
      </c>
    </row>
    <row r="275" spans="3:7" x14ac:dyDescent="0.2">
      <c r="C275" s="9">
        <v>1813</v>
      </c>
      <c r="D275" s="9" t="s">
        <v>1083</v>
      </c>
      <c r="E275" s="9" t="s">
        <v>1083</v>
      </c>
      <c r="F275" s="7" t="s">
        <v>2245</v>
      </c>
      <c r="G275" s="9" t="s">
        <v>2147</v>
      </c>
    </row>
    <row r="276" spans="3:7" x14ac:dyDescent="0.2">
      <c r="C276" s="9">
        <v>1863</v>
      </c>
      <c r="D276" s="9" t="s">
        <v>1083</v>
      </c>
      <c r="E276" s="9" t="s">
        <v>1083</v>
      </c>
      <c r="F276" s="7" t="s">
        <v>2246</v>
      </c>
      <c r="G276" s="9" t="s">
        <v>2147</v>
      </c>
    </row>
    <row r="277" spans="3:7" x14ac:dyDescent="0.2">
      <c r="C277" s="9">
        <v>1880</v>
      </c>
      <c r="D277" s="9" t="s">
        <v>1989</v>
      </c>
      <c r="E277" s="9"/>
      <c r="F277" s="7" t="s">
        <v>2247</v>
      </c>
      <c r="G277" s="9" t="s">
        <v>2147</v>
      </c>
    </row>
    <row r="278" spans="3:7" x14ac:dyDescent="0.2">
      <c r="C278" s="9">
        <v>1883</v>
      </c>
      <c r="D278" s="9" t="s">
        <v>1083</v>
      </c>
      <c r="E278" s="9" t="s">
        <v>1083</v>
      </c>
      <c r="F278" s="7" t="s">
        <v>2248</v>
      </c>
      <c r="G278" s="9" t="s">
        <v>2147</v>
      </c>
    </row>
    <row r="279" spans="3:7" x14ac:dyDescent="0.2">
      <c r="C279" s="9">
        <v>1900</v>
      </c>
      <c r="D279" s="9" t="s">
        <v>2155</v>
      </c>
      <c r="E279" s="9" t="s">
        <v>1083</v>
      </c>
      <c r="F279" s="7" t="s">
        <v>2249</v>
      </c>
      <c r="G279" s="9" t="s">
        <v>2147</v>
      </c>
    </row>
    <row r="280" spans="3:7" x14ac:dyDescent="0.2">
      <c r="C280" s="9">
        <v>1935</v>
      </c>
      <c r="D280" s="9" t="s">
        <v>1083</v>
      </c>
      <c r="E280" s="9" t="s">
        <v>1083</v>
      </c>
      <c r="F280" s="7" t="s">
        <v>2250</v>
      </c>
      <c r="G280" s="9" t="s">
        <v>2147</v>
      </c>
    </row>
    <row r="281" spans="3:7" x14ac:dyDescent="0.2">
      <c r="C281" s="9">
        <v>1935</v>
      </c>
      <c r="D281" s="9" t="s">
        <v>1989</v>
      </c>
      <c r="E281" s="9" t="s">
        <v>1989</v>
      </c>
      <c r="F281" s="7" t="s">
        <v>2251</v>
      </c>
      <c r="G281" s="9" t="s">
        <v>2147</v>
      </c>
    </row>
    <row r="282" spans="3:7" x14ac:dyDescent="0.2">
      <c r="C282" s="9">
        <v>1965</v>
      </c>
      <c r="D282" s="9" t="s">
        <v>1989</v>
      </c>
      <c r="E282" s="9" t="s">
        <v>293</v>
      </c>
      <c r="F282" s="7" t="s">
        <v>2252</v>
      </c>
      <c r="G282" s="9" t="s">
        <v>2147</v>
      </c>
    </row>
    <row r="283" spans="3:7" x14ac:dyDescent="0.2">
      <c r="C283" s="9">
        <v>1967</v>
      </c>
      <c r="D283" s="9"/>
      <c r="E283" s="9" t="s">
        <v>1989</v>
      </c>
      <c r="F283" s="7" t="s">
        <v>2253</v>
      </c>
      <c r="G283" s="9" t="s">
        <v>2147</v>
      </c>
    </row>
    <row r="284" spans="3:7" x14ac:dyDescent="0.2">
      <c r="C284" s="9">
        <v>1970</v>
      </c>
      <c r="D284" s="9" t="s">
        <v>1083</v>
      </c>
      <c r="E284" s="9" t="s">
        <v>1083</v>
      </c>
      <c r="F284" s="7" t="s">
        <v>2254</v>
      </c>
      <c r="G284" s="9" t="s">
        <v>2147</v>
      </c>
    </row>
    <row r="285" spans="3:7" x14ac:dyDescent="0.2">
      <c r="C285" s="9">
        <v>1972</v>
      </c>
      <c r="D285" s="9" t="s">
        <v>1083</v>
      </c>
      <c r="E285" s="9" t="s">
        <v>1083</v>
      </c>
      <c r="F285" s="7" t="s">
        <v>2255</v>
      </c>
      <c r="G285" s="9" t="s">
        <v>2147</v>
      </c>
    </row>
    <row r="286" spans="3:7" x14ac:dyDescent="0.2">
      <c r="C286" s="9">
        <v>1984</v>
      </c>
      <c r="D286" s="9" t="s">
        <v>1083</v>
      </c>
      <c r="E286" s="9" t="s">
        <v>1083</v>
      </c>
      <c r="F286" s="7" t="s">
        <v>2256</v>
      </c>
      <c r="G286" s="9" t="s">
        <v>2147</v>
      </c>
    </row>
    <row r="287" spans="3:7" x14ac:dyDescent="0.2">
      <c r="C287" s="9">
        <v>1985</v>
      </c>
      <c r="D287" s="9" t="s">
        <v>2155</v>
      </c>
      <c r="E287" s="9" t="s">
        <v>1083</v>
      </c>
      <c r="F287" s="7" t="s">
        <v>2257</v>
      </c>
      <c r="G287" s="9" t="s">
        <v>2147</v>
      </c>
    </row>
    <row r="288" spans="3:7" x14ac:dyDescent="0.2">
      <c r="C288" s="9">
        <v>1998</v>
      </c>
      <c r="D288" s="9" t="s">
        <v>1083</v>
      </c>
      <c r="E288" s="9" t="s">
        <v>1083</v>
      </c>
      <c r="F288" s="7" t="s">
        <v>2258</v>
      </c>
      <c r="G288" s="9" t="s">
        <v>2147</v>
      </c>
    </row>
    <row r="289" spans="3:7" x14ac:dyDescent="0.2">
      <c r="C289" s="9">
        <v>2000</v>
      </c>
      <c r="D289" s="9" t="s">
        <v>1083</v>
      </c>
      <c r="E289" s="9" t="s">
        <v>1083</v>
      </c>
      <c r="F289" s="7" t="s">
        <v>2259</v>
      </c>
      <c r="G289" s="9" t="s">
        <v>2147</v>
      </c>
    </row>
    <row r="290" spans="3:7" x14ac:dyDescent="0.2">
      <c r="C290" s="9">
        <v>2010</v>
      </c>
      <c r="D290" s="9" t="s">
        <v>1989</v>
      </c>
      <c r="E290" s="9"/>
      <c r="F290" s="7" t="s">
        <v>2260</v>
      </c>
      <c r="G290" s="9" t="s">
        <v>2147</v>
      </c>
    </row>
    <row r="291" spans="3:7" x14ac:dyDescent="0.2">
      <c r="C291" s="9">
        <v>2033</v>
      </c>
      <c r="D291" s="9" t="s">
        <v>1989</v>
      </c>
      <c r="E291" s="9" t="s">
        <v>1989</v>
      </c>
      <c r="F291" s="7" t="s">
        <v>2261</v>
      </c>
      <c r="G291" s="9" t="s">
        <v>2147</v>
      </c>
    </row>
    <row r="292" spans="3:7" x14ac:dyDescent="0.2">
      <c r="C292" s="9">
        <v>2049</v>
      </c>
      <c r="D292" s="9" t="s">
        <v>1083</v>
      </c>
      <c r="E292" s="9" t="s">
        <v>1083</v>
      </c>
      <c r="F292" s="7" t="s">
        <v>2262</v>
      </c>
      <c r="G292" s="9" t="s">
        <v>2147</v>
      </c>
    </row>
    <row r="293" spans="3:7" x14ac:dyDescent="0.2">
      <c r="C293" s="9">
        <v>2056</v>
      </c>
      <c r="D293" s="9" t="s">
        <v>1989</v>
      </c>
      <c r="E293" s="9" t="s">
        <v>1989</v>
      </c>
      <c r="F293" s="7" t="s">
        <v>2263</v>
      </c>
      <c r="G293" s="9" t="s">
        <v>2147</v>
      </c>
    </row>
    <row r="294" spans="3:7" x14ac:dyDescent="0.2">
      <c r="C294" s="9">
        <v>2080</v>
      </c>
      <c r="D294" s="9" t="s">
        <v>1083</v>
      </c>
      <c r="E294" s="9" t="s">
        <v>1083</v>
      </c>
      <c r="F294" s="7" t="s">
        <v>2264</v>
      </c>
      <c r="G294" s="9" t="s">
        <v>2147</v>
      </c>
    </row>
    <row r="295" spans="3:7" x14ac:dyDescent="0.2">
      <c r="C295" s="9">
        <v>2082</v>
      </c>
      <c r="D295" s="9" t="s">
        <v>1989</v>
      </c>
      <c r="E295" s="9"/>
      <c r="F295" s="7" t="s">
        <v>2265</v>
      </c>
      <c r="G295" s="9" t="s">
        <v>2147</v>
      </c>
    </row>
    <row r="296" spans="3:7" x14ac:dyDescent="0.2">
      <c r="C296" s="9">
        <v>2083</v>
      </c>
      <c r="D296" s="9" t="s">
        <v>1083</v>
      </c>
      <c r="E296" s="9" t="s">
        <v>1083</v>
      </c>
      <c r="F296" s="7" t="s">
        <v>2266</v>
      </c>
      <c r="G296" s="9" t="s">
        <v>2147</v>
      </c>
    </row>
    <row r="297" spans="3:7" x14ac:dyDescent="0.2">
      <c r="C297" s="9">
        <v>2083</v>
      </c>
      <c r="D297" s="9" t="s">
        <v>1989</v>
      </c>
      <c r="E297" s="9"/>
      <c r="F297" s="7" t="s">
        <v>2267</v>
      </c>
      <c r="G297" s="9" t="s">
        <v>2147</v>
      </c>
    </row>
    <row r="298" spans="3:7" x14ac:dyDescent="0.2">
      <c r="C298" s="9">
        <v>2086</v>
      </c>
      <c r="D298" s="9" t="s">
        <v>1083</v>
      </c>
      <c r="E298" s="9" t="s">
        <v>1083</v>
      </c>
      <c r="F298" s="7" t="s">
        <v>2268</v>
      </c>
      <c r="G298" s="9" t="s">
        <v>2147</v>
      </c>
    </row>
    <row r="299" spans="3:7" x14ac:dyDescent="0.2">
      <c r="C299" s="9">
        <v>2086</v>
      </c>
      <c r="D299" s="9" t="s">
        <v>1989</v>
      </c>
      <c r="E299" s="9"/>
      <c r="F299" s="7" t="s">
        <v>2269</v>
      </c>
      <c r="G299" s="9" t="s">
        <v>2147</v>
      </c>
    </row>
    <row r="300" spans="3:7" x14ac:dyDescent="0.2">
      <c r="C300" s="9">
        <v>2087</v>
      </c>
      <c r="D300" s="9" t="s">
        <v>1989</v>
      </c>
      <c r="E300" s="9"/>
      <c r="F300" s="7" t="s">
        <v>2270</v>
      </c>
      <c r="G300" s="9" t="s">
        <v>2147</v>
      </c>
    </row>
    <row r="301" spans="3:7" x14ac:dyDescent="0.2">
      <c r="C301" s="9">
        <v>2095</v>
      </c>
      <c r="D301" s="9" t="s">
        <v>1083</v>
      </c>
      <c r="E301" s="9"/>
      <c r="F301" s="7" t="s">
        <v>2271</v>
      </c>
      <c r="G301" s="9" t="s">
        <v>2147</v>
      </c>
    </row>
    <row r="302" spans="3:7" x14ac:dyDescent="0.2">
      <c r="C302" s="9">
        <v>2096</v>
      </c>
      <c r="D302" s="9" t="s">
        <v>1989</v>
      </c>
      <c r="E302" s="9"/>
      <c r="F302" s="7" t="s">
        <v>2272</v>
      </c>
      <c r="G302" s="9" t="s">
        <v>2147</v>
      </c>
    </row>
    <row r="303" spans="3:7" x14ac:dyDescent="0.2">
      <c r="C303" s="9">
        <v>2100</v>
      </c>
      <c r="D303" s="9" t="s">
        <v>1989</v>
      </c>
      <c r="E303" s="9"/>
      <c r="F303" s="7" t="s">
        <v>2273</v>
      </c>
      <c r="G303" s="9" t="s">
        <v>2147</v>
      </c>
    </row>
    <row r="304" spans="3:7" x14ac:dyDescent="0.2">
      <c r="C304" s="9">
        <v>2101</v>
      </c>
      <c r="D304" s="9" t="s">
        <v>1989</v>
      </c>
      <c r="E304" s="9"/>
      <c r="F304" s="7" t="s">
        <v>2274</v>
      </c>
      <c r="G304" s="9" t="s">
        <v>2147</v>
      </c>
    </row>
    <row r="305" spans="3:7" x14ac:dyDescent="0.2">
      <c r="C305" s="9">
        <v>2102</v>
      </c>
      <c r="D305" s="9" t="s">
        <v>1083</v>
      </c>
      <c r="E305" s="9" t="s">
        <v>1083</v>
      </c>
      <c r="F305" s="7" t="s">
        <v>2275</v>
      </c>
      <c r="G305" s="9" t="s">
        <v>2147</v>
      </c>
    </row>
    <row r="306" spans="3:7" x14ac:dyDescent="0.2">
      <c r="C306" s="9">
        <v>2103</v>
      </c>
      <c r="D306" s="9" t="s">
        <v>1083</v>
      </c>
      <c r="E306" s="9" t="s">
        <v>1083</v>
      </c>
      <c r="F306" s="7" t="s">
        <v>2276</v>
      </c>
      <c r="G306" s="9" t="s">
        <v>2147</v>
      </c>
    </row>
    <row r="307" spans="3:7" x14ac:dyDescent="0.2">
      <c r="C307" s="9">
        <v>2104</v>
      </c>
      <c r="D307" s="9" t="s">
        <v>1083</v>
      </c>
      <c r="E307" s="9" t="s">
        <v>1083</v>
      </c>
      <c r="F307" s="7" t="s">
        <v>2277</v>
      </c>
      <c r="G307" s="9" t="s">
        <v>2147</v>
      </c>
    </row>
    <row r="308" spans="3:7" x14ac:dyDescent="0.2">
      <c r="C308" s="9">
        <v>2123</v>
      </c>
      <c r="D308" s="9" t="s">
        <v>1083</v>
      </c>
      <c r="E308" s="9" t="s">
        <v>1083</v>
      </c>
      <c r="F308" s="7" t="s">
        <v>2278</v>
      </c>
      <c r="G308" s="9" t="s">
        <v>2147</v>
      </c>
    </row>
    <row r="309" spans="3:7" x14ac:dyDescent="0.2">
      <c r="C309" s="9">
        <v>2142</v>
      </c>
      <c r="D309" s="9" t="s">
        <v>1083</v>
      </c>
      <c r="E309" s="9" t="s">
        <v>1083</v>
      </c>
      <c r="F309" s="7" t="s">
        <v>2279</v>
      </c>
      <c r="G309" s="9" t="s">
        <v>2147</v>
      </c>
    </row>
    <row r="310" spans="3:7" x14ac:dyDescent="0.2">
      <c r="C310" s="9">
        <v>2152</v>
      </c>
      <c r="D310" s="9" t="s">
        <v>1083</v>
      </c>
      <c r="E310" s="9" t="s">
        <v>1083</v>
      </c>
      <c r="F310" s="7" t="s">
        <v>2280</v>
      </c>
      <c r="G310" s="9" t="s">
        <v>2147</v>
      </c>
    </row>
    <row r="311" spans="3:7" x14ac:dyDescent="0.2">
      <c r="C311" s="9">
        <v>2159</v>
      </c>
      <c r="D311" s="9" t="s">
        <v>1083</v>
      </c>
      <c r="E311" s="9" t="s">
        <v>1083</v>
      </c>
      <c r="F311" s="7" t="s">
        <v>2281</v>
      </c>
      <c r="G311" s="9" t="s">
        <v>2147</v>
      </c>
    </row>
    <row r="312" spans="3:7" x14ac:dyDescent="0.2">
      <c r="C312" s="9">
        <v>2181</v>
      </c>
      <c r="D312" s="9" t="s">
        <v>1083</v>
      </c>
      <c r="E312" s="9" t="s">
        <v>1083</v>
      </c>
      <c r="F312" s="7" t="s">
        <v>2282</v>
      </c>
      <c r="G312" s="9" t="s">
        <v>2147</v>
      </c>
    </row>
    <row r="313" spans="3:7" x14ac:dyDescent="0.2">
      <c r="C313" s="9">
        <v>2181</v>
      </c>
      <c r="D313" s="9" t="s">
        <v>1989</v>
      </c>
      <c r="E313" s="9"/>
      <c r="F313" s="7" t="s">
        <v>2283</v>
      </c>
      <c r="G313" s="9" t="s">
        <v>2147</v>
      </c>
    </row>
    <row r="314" spans="3:7" x14ac:dyDescent="0.2">
      <c r="C314" s="9">
        <v>2195</v>
      </c>
      <c r="D314" s="9" t="s">
        <v>1989</v>
      </c>
      <c r="E314" s="9"/>
      <c r="F314" s="7" t="s">
        <v>2284</v>
      </c>
      <c r="G314" s="9" t="s">
        <v>2147</v>
      </c>
    </row>
    <row r="315" spans="3:7" x14ac:dyDescent="0.2">
      <c r="C315" s="9">
        <v>2196</v>
      </c>
      <c r="D315" s="9" t="s">
        <v>1989</v>
      </c>
      <c r="E315" s="9"/>
      <c r="F315" s="7" t="s">
        <v>2285</v>
      </c>
      <c r="G315" s="9" t="s">
        <v>2147</v>
      </c>
    </row>
    <row r="316" spans="3:7" x14ac:dyDescent="0.2">
      <c r="C316" s="9">
        <v>2210</v>
      </c>
      <c r="D316" s="9" t="s">
        <v>1083</v>
      </c>
      <c r="E316" s="9" t="s">
        <v>1083</v>
      </c>
      <c r="F316" s="7" t="s">
        <v>2286</v>
      </c>
      <c r="G316" s="9" t="s">
        <v>2147</v>
      </c>
    </row>
    <row r="317" spans="3:7" x14ac:dyDescent="0.2">
      <c r="C317" s="9">
        <v>2211</v>
      </c>
      <c r="D317" s="9" t="s">
        <v>1083</v>
      </c>
      <c r="E317" s="9" t="s">
        <v>1083</v>
      </c>
      <c r="F317" s="7" t="s">
        <v>2287</v>
      </c>
      <c r="G317" s="9" t="s">
        <v>2147</v>
      </c>
    </row>
    <row r="318" spans="3:7" x14ac:dyDescent="0.2">
      <c r="C318" s="9">
        <v>2221</v>
      </c>
      <c r="D318" s="9" t="s">
        <v>1989</v>
      </c>
      <c r="E318" s="9"/>
      <c r="F318" s="7" t="s">
        <v>2288</v>
      </c>
      <c r="G318" s="9" t="s">
        <v>2147</v>
      </c>
    </row>
    <row r="319" spans="3:7" x14ac:dyDescent="0.2">
      <c r="C319" s="9">
        <v>2222</v>
      </c>
      <c r="D319" s="9" t="s">
        <v>1083</v>
      </c>
      <c r="E319" s="9" t="s">
        <v>1083</v>
      </c>
      <c r="F319" s="7" t="s">
        <v>2289</v>
      </c>
      <c r="G319" s="9" t="s">
        <v>2147</v>
      </c>
    </row>
    <row r="320" spans="3:7" x14ac:dyDescent="0.2">
      <c r="C320" s="9">
        <v>2222</v>
      </c>
      <c r="D320" s="9" t="s">
        <v>1989</v>
      </c>
      <c r="E320" s="9"/>
      <c r="F320" s="7" t="s">
        <v>2290</v>
      </c>
      <c r="G320" s="9" t="s">
        <v>2147</v>
      </c>
    </row>
    <row r="321" spans="3:7" x14ac:dyDescent="0.2">
      <c r="C321" s="9" t="s">
        <v>2291</v>
      </c>
      <c r="D321" s="9" t="s">
        <v>1083</v>
      </c>
      <c r="E321" s="9"/>
      <c r="F321" s="7" t="s">
        <v>2292</v>
      </c>
      <c r="G321" s="9" t="s">
        <v>2147</v>
      </c>
    </row>
    <row r="322" spans="3:7" x14ac:dyDescent="0.2">
      <c r="C322" s="9">
        <v>2240</v>
      </c>
      <c r="D322" s="9" t="s">
        <v>1083</v>
      </c>
      <c r="E322" s="9" t="s">
        <v>1083</v>
      </c>
      <c r="F322" s="7" t="s">
        <v>2293</v>
      </c>
      <c r="G322" s="9" t="s">
        <v>2147</v>
      </c>
    </row>
    <row r="323" spans="3:7" x14ac:dyDescent="0.2">
      <c r="C323" s="9">
        <v>2261</v>
      </c>
      <c r="D323" s="9" t="s">
        <v>1083</v>
      </c>
      <c r="E323" s="9" t="s">
        <v>1083</v>
      </c>
      <c r="F323" s="7" t="s">
        <v>2294</v>
      </c>
      <c r="G323" s="9" t="s">
        <v>2147</v>
      </c>
    </row>
    <row r="324" spans="3:7" x14ac:dyDescent="0.2">
      <c r="C324" s="9">
        <v>2262</v>
      </c>
      <c r="D324" s="9" t="s">
        <v>1083</v>
      </c>
      <c r="E324" s="9" t="s">
        <v>1083</v>
      </c>
      <c r="F324" s="7" t="s">
        <v>2295</v>
      </c>
      <c r="G324" s="9" t="s">
        <v>2147</v>
      </c>
    </row>
    <row r="325" spans="3:7" x14ac:dyDescent="0.2">
      <c r="C325" s="9">
        <v>2302</v>
      </c>
      <c r="D325" s="9"/>
      <c r="E325" s="9" t="s">
        <v>1989</v>
      </c>
      <c r="F325" s="7" t="s">
        <v>2296</v>
      </c>
      <c r="G325" s="9" t="s">
        <v>2147</v>
      </c>
    </row>
    <row r="326" spans="3:7" x14ac:dyDescent="0.2">
      <c r="C326" s="9">
        <v>2302</v>
      </c>
      <c r="D326" s="9"/>
      <c r="E326" s="9" t="s">
        <v>1989</v>
      </c>
      <c r="F326" s="7" t="s">
        <v>2297</v>
      </c>
      <c r="G326" s="9" t="s">
        <v>2147</v>
      </c>
    </row>
    <row r="327" spans="3:7" x14ac:dyDescent="0.2">
      <c r="C327" s="9">
        <v>2303</v>
      </c>
      <c r="D327" s="9"/>
      <c r="E327" s="9" t="s">
        <v>1989</v>
      </c>
      <c r="F327" s="7" t="s">
        <v>2298</v>
      </c>
      <c r="G327" s="9" t="s">
        <v>2147</v>
      </c>
    </row>
    <row r="328" spans="3:7" x14ac:dyDescent="0.2">
      <c r="C328" s="9">
        <v>2303</v>
      </c>
      <c r="D328" s="9"/>
      <c r="E328" s="9" t="s">
        <v>1989</v>
      </c>
      <c r="F328" s="7" t="s">
        <v>2299</v>
      </c>
      <c r="G328" s="9" t="s">
        <v>2147</v>
      </c>
    </row>
    <row r="329" spans="3:7" x14ac:dyDescent="0.2">
      <c r="C329" s="9">
        <v>2305</v>
      </c>
      <c r="D329" s="9"/>
      <c r="E329" s="9" t="s">
        <v>1989</v>
      </c>
      <c r="F329" s="7" t="s">
        <v>2300</v>
      </c>
      <c r="G329" s="9" t="s">
        <v>2147</v>
      </c>
    </row>
    <row r="330" spans="3:7" x14ac:dyDescent="0.2">
      <c r="C330" s="9">
        <v>2351</v>
      </c>
      <c r="D330" s="9" t="s">
        <v>1989</v>
      </c>
      <c r="E330" s="9"/>
      <c r="F330" s="7" t="s">
        <v>2301</v>
      </c>
      <c r="G330" s="9" t="s">
        <v>2147</v>
      </c>
    </row>
    <row r="331" spans="3:7" x14ac:dyDescent="0.2">
      <c r="C331" s="9">
        <v>2368</v>
      </c>
      <c r="D331" s="9" t="s">
        <v>1989</v>
      </c>
      <c r="E331" s="9"/>
      <c r="F331" s="7" t="s">
        <v>2302</v>
      </c>
      <c r="G331" s="9" t="s">
        <v>2147</v>
      </c>
    </row>
    <row r="332" spans="3:7" x14ac:dyDescent="0.2">
      <c r="C332" s="9">
        <v>2369</v>
      </c>
      <c r="D332" s="9" t="s">
        <v>1989</v>
      </c>
      <c r="E332" s="9"/>
      <c r="F332" s="7" t="s">
        <v>2303</v>
      </c>
      <c r="G332" s="9" t="s">
        <v>2147</v>
      </c>
    </row>
    <row r="333" spans="3:7" x14ac:dyDescent="0.2">
      <c r="C333" s="9">
        <v>2370</v>
      </c>
      <c r="D333" s="9" t="s">
        <v>1989</v>
      </c>
      <c r="E333" s="9"/>
      <c r="F333" s="7" t="s">
        <v>2304</v>
      </c>
      <c r="G333" s="9" t="s">
        <v>2147</v>
      </c>
    </row>
    <row r="334" spans="3:7" x14ac:dyDescent="0.2">
      <c r="C334" s="9">
        <v>2372</v>
      </c>
      <c r="D334" s="9" t="s">
        <v>1989</v>
      </c>
      <c r="E334" s="9"/>
      <c r="F334" s="7" t="s">
        <v>2305</v>
      </c>
      <c r="G334" s="9" t="s">
        <v>2147</v>
      </c>
    </row>
    <row r="335" spans="3:7" x14ac:dyDescent="0.2">
      <c r="C335" s="9">
        <v>2375</v>
      </c>
      <c r="D335" s="9" t="s">
        <v>1083</v>
      </c>
      <c r="E335" s="9" t="s">
        <v>2146</v>
      </c>
      <c r="F335" s="7" t="s">
        <v>2306</v>
      </c>
      <c r="G335" s="9" t="s">
        <v>2147</v>
      </c>
    </row>
    <row r="336" spans="3:7" x14ac:dyDescent="0.2">
      <c r="C336" s="9">
        <v>2376</v>
      </c>
      <c r="D336" s="9" t="s">
        <v>1083</v>
      </c>
      <c r="E336" s="9" t="s">
        <v>2146</v>
      </c>
      <c r="F336" s="7" t="s">
        <v>2307</v>
      </c>
      <c r="G336" s="9" t="s">
        <v>2147</v>
      </c>
    </row>
    <row r="337" spans="3:7" x14ac:dyDescent="0.2">
      <c r="C337" s="9">
        <v>2377</v>
      </c>
      <c r="D337" s="9" t="s">
        <v>1083</v>
      </c>
      <c r="E337" s="9" t="s">
        <v>2146</v>
      </c>
      <c r="F337" s="7" t="s">
        <v>2308</v>
      </c>
      <c r="G337" s="9" t="s">
        <v>2147</v>
      </c>
    </row>
    <row r="338" spans="3:7" x14ac:dyDescent="0.2">
      <c r="C338" s="9">
        <v>2379</v>
      </c>
      <c r="D338" s="9" t="s">
        <v>1083</v>
      </c>
      <c r="E338" s="9" t="s">
        <v>2146</v>
      </c>
      <c r="F338" s="7" t="s">
        <v>2309</v>
      </c>
      <c r="G338" s="9" t="s">
        <v>2147</v>
      </c>
    </row>
    <row r="339" spans="3:7" x14ac:dyDescent="0.2">
      <c r="C339" s="9">
        <v>2379</v>
      </c>
      <c r="D339" s="9" t="s">
        <v>1989</v>
      </c>
      <c r="E339" s="9"/>
      <c r="F339" s="7" t="s">
        <v>2310</v>
      </c>
      <c r="G339" s="9" t="s">
        <v>2147</v>
      </c>
    </row>
    <row r="340" spans="3:7" x14ac:dyDescent="0.2">
      <c r="C340" s="9">
        <v>2380</v>
      </c>
      <c r="D340" s="9" t="s">
        <v>1083</v>
      </c>
      <c r="E340" s="9" t="s">
        <v>2146</v>
      </c>
      <c r="F340" s="7" t="s">
        <v>2311</v>
      </c>
      <c r="G340" s="9" t="s">
        <v>2147</v>
      </c>
    </row>
    <row r="341" spans="3:7" x14ac:dyDescent="0.2">
      <c r="C341" s="9">
        <v>2389</v>
      </c>
      <c r="D341" s="9" t="s">
        <v>2155</v>
      </c>
      <c r="E341" s="9" t="s">
        <v>2155</v>
      </c>
      <c r="F341" s="7" t="s">
        <v>2312</v>
      </c>
      <c r="G341" s="9" t="s">
        <v>2147</v>
      </c>
    </row>
    <row r="342" spans="3:7" x14ac:dyDescent="0.2">
      <c r="C342" s="9">
        <v>2399</v>
      </c>
      <c r="D342" s="9" t="s">
        <v>1083</v>
      </c>
      <c r="E342" s="9" t="s">
        <v>1083</v>
      </c>
      <c r="F342" s="7" t="s">
        <v>2313</v>
      </c>
      <c r="G342" s="9" t="s">
        <v>2147</v>
      </c>
    </row>
    <row r="343" spans="3:7" x14ac:dyDescent="0.2">
      <c r="C343" s="9">
        <v>2401</v>
      </c>
      <c r="D343" s="9" t="s">
        <v>1083</v>
      </c>
      <c r="E343" s="9" t="s">
        <v>1083</v>
      </c>
      <c r="F343" s="7" t="s">
        <v>2314</v>
      </c>
      <c r="G343" s="9" t="s">
        <v>2147</v>
      </c>
    </row>
    <row r="344" spans="3:7" x14ac:dyDescent="0.2">
      <c r="C344" s="9">
        <v>2404</v>
      </c>
      <c r="D344" s="9" t="s">
        <v>1083</v>
      </c>
      <c r="E344" s="9" t="s">
        <v>1083</v>
      </c>
      <c r="F344" s="7" t="s">
        <v>2315</v>
      </c>
      <c r="G344" s="9" t="s">
        <v>2147</v>
      </c>
    </row>
    <row r="345" spans="3:7" x14ac:dyDescent="0.2">
      <c r="C345" s="9">
        <v>2424</v>
      </c>
      <c r="D345" s="9" t="s">
        <v>1989</v>
      </c>
      <c r="E345" s="9"/>
      <c r="F345" s="7" t="s">
        <v>2316</v>
      </c>
      <c r="G345" s="9" t="s">
        <v>2147</v>
      </c>
    </row>
    <row r="346" spans="3:7" x14ac:dyDescent="0.2">
      <c r="C346" s="9">
        <v>2427</v>
      </c>
      <c r="D346" s="9" t="s">
        <v>1083</v>
      </c>
      <c r="E346" s="9" t="s">
        <v>1083</v>
      </c>
      <c r="F346" s="7" t="s">
        <v>2317</v>
      </c>
      <c r="G346" s="9" t="s">
        <v>2147</v>
      </c>
    </row>
    <row r="347" spans="3:7" x14ac:dyDescent="0.2">
      <c r="C347" s="9">
        <v>2447</v>
      </c>
      <c r="D347" s="9" t="s">
        <v>1083</v>
      </c>
      <c r="E347" s="9" t="s">
        <v>1083</v>
      </c>
      <c r="F347" s="7" t="s">
        <v>2318</v>
      </c>
      <c r="G347" s="9" t="s">
        <v>2147</v>
      </c>
    </row>
    <row r="348" spans="3:7" x14ac:dyDescent="0.2">
      <c r="C348" s="9">
        <v>2459</v>
      </c>
      <c r="D348" s="9" t="s">
        <v>1083</v>
      </c>
      <c r="E348" s="9" t="s">
        <v>1083</v>
      </c>
      <c r="F348" s="7" t="s">
        <v>2319</v>
      </c>
      <c r="G348" s="9" t="s">
        <v>2147</v>
      </c>
    </row>
    <row r="349" spans="3:7" x14ac:dyDescent="0.2">
      <c r="C349" s="9">
        <v>2480</v>
      </c>
      <c r="D349" s="9" t="s">
        <v>1989</v>
      </c>
      <c r="E349" s="9"/>
      <c r="F349" s="7" t="s">
        <v>2320</v>
      </c>
      <c r="G349" s="9" t="s">
        <v>2147</v>
      </c>
    </row>
    <row r="350" spans="3:7" x14ac:dyDescent="0.2">
      <c r="C350" s="9">
        <v>2483</v>
      </c>
      <c r="D350" s="9" t="s">
        <v>1083</v>
      </c>
      <c r="E350" s="9" t="s">
        <v>1083</v>
      </c>
      <c r="F350" s="7" t="s">
        <v>2321</v>
      </c>
      <c r="G350" s="9" t="s">
        <v>2147</v>
      </c>
    </row>
    <row r="351" spans="3:7" x14ac:dyDescent="0.2">
      <c r="C351" s="9">
        <v>2484</v>
      </c>
      <c r="D351" s="9" t="s">
        <v>1083</v>
      </c>
      <c r="E351" s="9" t="s">
        <v>1083</v>
      </c>
      <c r="F351" s="7" t="s">
        <v>2322</v>
      </c>
      <c r="G351" s="9" t="s">
        <v>2147</v>
      </c>
    </row>
    <row r="352" spans="3:7" x14ac:dyDescent="0.2">
      <c r="C352" s="9">
        <v>2500</v>
      </c>
      <c r="D352" s="9" t="s">
        <v>1989</v>
      </c>
      <c r="E352" s="9" t="s">
        <v>1989</v>
      </c>
      <c r="F352" s="7" t="s">
        <v>2323</v>
      </c>
      <c r="G352" s="9" t="s">
        <v>2147</v>
      </c>
    </row>
    <row r="353" spans="3:7" x14ac:dyDescent="0.2">
      <c r="C353" s="9">
        <v>2501</v>
      </c>
      <c r="D353" s="9"/>
      <c r="E353" s="9" t="s">
        <v>1989</v>
      </c>
      <c r="F353" s="7" t="s">
        <v>2324</v>
      </c>
      <c r="G353" s="9" t="s">
        <v>2147</v>
      </c>
    </row>
    <row r="354" spans="3:7" x14ac:dyDescent="0.2">
      <c r="C354" s="9">
        <v>2535</v>
      </c>
      <c r="D354" s="9" t="s">
        <v>1083</v>
      </c>
      <c r="E354" s="9" t="s">
        <v>1083</v>
      </c>
      <c r="F354" s="7" t="s">
        <v>2325</v>
      </c>
      <c r="G354" s="9" t="s">
        <v>2147</v>
      </c>
    </row>
    <row r="355" spans="3:7" x14ac:dyDescent="0.2">
      <c r="C355" s="9">
        <v>2541</v>
      </c>
      <c r="D355" s="9" t="s">
        <v>1083</v>
      </c>
      <c r="E355" s="9" t="s">
        <v>1083</v>
      </c>
      <c r="F355" s="7" t="s">
        <v>2326</v>
      </c>
      <c r="G355" s="9" t="s">
        <v>2147</v>
      </c>
    </row>
    <row r="356" spans="3:7" x14ac:dyDescent="0.2">
      <c r="C356" s="9" t="s">
        <v>2327</v>
      </c>
      <c r="D356" s="9" t="s">
        <v>1083</v>
      </c>
      <c r="E356" s="9" t="s">
        <v>1083</v>
      </c>
      <c r="F356" s="7" t="s">
        <v>2328</v>
      </c>
      <c r="G356" s="9" t="s">
        <v>2147</v>
      </c>
    </row>
    <row r="357" spans="3:7" x14ac:dyDescent="0.2">
      <c r="C357" s="9">
        <v>2593</v>
      </c>
      <c r="D357" s="9" t="s">
        <v>1989</v>
      </c>
      <c r="E357" s="9" t="s">
        <v>1989</v>
      </c>
      <c r="F357" s="7" t="s">
        <v>2329</v>
      </c>
      <c r="G357" s="9" t="s">
        <v>2147</v>
      </c>
    </row>
    <row r="358" spans="3:7" x14ac:dyDescent="0.2">
      <c r="C358" s="9">
        <v>2598</v>
      </c>
      <c r="D358" s="9" t="s">
        <v>1989</v>
      </c>
      <c r="E358" s="9"/>
      <c r="F358" s="7" t="s">
        <v>2330</v>
      </c>
      <c r="G358" s="9" t="s">
        <v>2147</v>
      </c>
    </row>
    <row r="359" spans="3:7" x14ac:dyDescent="0.2">
      <c r="C359" s="9">
        <v>2599</v>
      </c>
      <c r="D359" s="9" t="s">
        <v>1989</v>
      </c>
      <c r="E359" s="9" t="s">
        <v>1989</v>
      </c>
      <c r="F359" s="7" t="s">
        <v>2329</v>
      </c>
      <c r="G359" s="9" t="s">
        <v>2147</v>
      </c>
    </row>
    <row r="360" spans="3:7" x14ac:dyDescent="0.2">
      <c r="C360" s="9">
        <v>2628</v>
      </c>
      <c r="D360" s="9" t="s">
        <v>1083</v>
      </c>
      <c r="E360" s="9" t="s">
        <v>1083</v>
      </c>
      <c r="F360" s="7" t="s">
        <v>2331</v>
      </c>
      <c r="G360" s="9" t="s">
        <v>2147</v>
      </c>
    </row>
    <row r="361" spans="3:7" x14ac:dyDescent="0.2">
      <c r="C361" s="9">
        <v>2638</v>
      </c>
      <c r="D361" s="9" t="s">
        <v>1083</v>
      </c>
      <c r="E361" s="9" t="s">
        <v>1083</v>
      </c>
      <c r="F361" s="7" t="s">
        <v>2332</v>
      </c>
      <c r="G361" s="9" t="s">
        <v>2147</v>
      </c>
    </row>
    <row r="362" spans="3:7" x14ac:dyDescent="0.2">
      <c r="C362" s="9">
        <v>2710</v>
      </c>
      <c r="D362" s="9" t="s">
        <v>1989</v>
      </c>
      <c r="E362" s="9" t="s">
        <v>1989</v>
      </c>
      <c r="F362" s="7" t="s">
        <v>2333</v>
      </c>
      <c r="G362" s="9" t="s">
        <v>2147</v>
      </c>
    </row>
    <row r="363" spans="3:7" x14ac:dyDescent="0.2">
      <c r="C363" s="9">
        <v>2727</v>
      </c>
      <c r="D363" s="9" t="s">
        <v>1083</v>
      </c>
      <c r="E363" s="9" t="s">
        <v>1083</v>
      </c>
      <c r="F363" s="7" t="s">
        <v>2334</v>
      </c>
      <c r="G363" s="9" t="s">
        <v>2147</v>
      </c>
    </row>
    <row r="364" spans="3:7" x14ac:dyDescent="0.2">
      <c r="C364" s="9">
        <v>2775</v>
      </c>
      <c r="D364" s="9" t="s">
        <v>1083</v>
      </c>
      <c r="E364" s="9" t="s">
        <v>1083</v>
      </c>
      <c r="F364" s="7" t="s">
        <v>2335</v>
      </c>
      <c r="G364" s="9" t="s">
        <v>2147</v>
      </c>
    </row>
    <row r="365" spans="3:7" x14ac:dyDescent="0.2">
      <c r="C365" s="9">
        <v>2809</v>
      </c>
      <c r="D365" s="9" t="s">
        <v>1083</v>
      </c>
      <c r="E365" s="9" t="s">
        <v>1083</v>
      </c>
      <c r="F365" s="7" t="s">
        <v>2336</v>
      </c>
      <c r="G365" s="9" t="s">
        <v>2147</v>
      </c>
    </row>
    <row r="366" spans="3:7" x14ac:dyDescent="0.2">
      <c r="C366" s="9">
        <v>2811</v>
      </c>
      <c r="D366" s="9" t="s">
        <v>1083</v>
      </c>
      <c r="E366" s="9" t="s">
        <v>1083</v>
      </c>
      <c r="F366" s="7" t="s">
        <v>2337</v>
      </c>
      <c r="G366" s="9" t="s">
        <v>2147</v>
      </c>
    </row>
    <row r="367" spans="3:7" x14ac:dyDescent="0.2">
      <c r="C367" s="9">
        <v>2827</v>
      </c>
      <c r="D367" s="9" t="s">
        <v>1989</v>
      </c>
      <c r="E367" s="9"/>
      <c r="F367" s="7" t="s">
        <v>2338</v>
      </c>
      <c r="G367" s="9" t="s">
        <v>2147</v>
      </c>
    </row>
    <row r="368" spans="3:7" x14ac:dyDescent="0.2">
      <c r="C368" s="9">
        <v>2944</v>
      </c>
      <c r="D368" s="9" t="s">
        <v>1083</v>
      </c>
      <c r="E368" s="9" t="s">
        <v>1083</v>
      </c>
      <c r="F368" s="7" t="s">
        <v>2339</v>
      </c>
      <c r="G368" s="9" t="s">
        <v>2147</v>
      </c>
    </row>
    <row r="369" spans="3:7" x14ac:dyDescent="0.2">
      <c r="C369" s="9">
        <v>2945</v>
      </c>
      <c r="D369" s="9" t="s">
        <v>1083</v>
      </c>
      <c r="E369" s="9" t="s">
        <v>1083</v>
      </c>
      <c r="F369" s="7" t="s">
        <v>2340</v>
      </c>
      <c r="G369" s="9" t="s">
        <v>2147</v>
      </c>
    </row>
    <row r="370" spans="3:7" x14ac:dyDescent="0.2">
      <c r="C370" s="9">
        <v>2947</v>
      </c>
      <c r="D370" s="9" t="s">
        <v>1083</v>
      </c>
      <c r="E370" s="9" t="s">
        <v>1083</v>
      </c>
      <c r="F370" s="7" t="s">
        <v>2341</v>
      </c>
      <c r="G370" s="9" t="s">
        <v>2147</v>
      </c>
    </row>
    <row r="371" spans="3:7" x14ac:dyDescent="0.2">
      <c r="C371" s="9">
        <v>2948</v>
      </c>
      <c r="D371" s="9" t="s">
        <v>1083</v>
      </c>
      <c r="E371" s="9" t="s">
        <v>1083</v>
      </c>
      <c r="F371" s="7" t="s">
        <v>2342</v>
      </c>
      <c r="G371" s="9" t="s">
        <v>2147</v>
      </c>
    </row>
    <row r="372" spans="3:7" x14ac:dyDescent="0.2">
      <c r="C372" s="9">
        <v>2949</v>
      </c>
      <c r="D372" s="9" t="s">
        <v>1083</v>
      </c>
      <c r="E372" s="9" t="s">
        <v>1083</v>
      </c>
      <c r="F372" s="7" t="s">
        <v>2343</v>
      </c>
      <c r="G372" s="9" t="s">
        <v>2147</v>
      </c>
    </row>
    <row r="373" spans="3:7" x14ac:dyDescent="0.2">
      <c r="C373" s="9">
        <v>2967</v>
      </c>
      <c r="D373" s="9" t="s">
        <v>1083</v>
      </c>
      <c r="E373" s="9" t="s">
        <v>1083</v>
      </c>
      <c r="F373" s="7" t="s">
        <v>2344</v>
      </c>
      <c r="G373" s="9" t="s">
        <v>2147</v>
      </c>
    </row>
    <row r="374" spans="3:7" x14ac:dyDescent="0.2">
      <c r="C374" s="9">
        <v>3000</v>
      </c>
      <c r="D374" s="9" t="s">
        <v>1989</v>
      </c>
      <c r="E374" s="9"/>
      <c r="F374" s="7" t="s">
        <v>2345</v>
      </c>
      <c r="G374" s="9" t="s">
        <v>2147</v>
      </c>
    </row>
    <row r="375" spans="3:7" x14ac:dyDescent="0.2">
      <c r="C375" s="9">
        <v>3000</v>
      </c>
      <c r="D375" s="9" t="s">
        <v>1989</v>
      </c>
      <c r="E375" s="9"/>
      <c r="F375" s="7" t="s">
        <v>2346</v>
      </c>
      <c r="G375" s="9" t="s">
        <v>2147</v>
      </c>
    </row>
    <row r="376" spans="3:7" x14ac:dyDescent="0.2">
      <c r="C376" s="9">
        <v>3000</v>
      </c>
      <c r="D376" s="9" t="s">
        <v>1989</v>
      </c>
      <c r="E376" s="9"/>
      <c r="F376" s="7" t="s">
        <v>2347</v>
      </c>
      <c r="G376" s="9" t="s">
        <v>2147</v>
      </c>
    </row>
    <row r="377" spans="3:7" x14ac:dyDescent="0.2">
      <c r="C377" s="9">
        <v>3000</v>
      </c>
      <c r="D377" s="9" t="s">
        <v>1989</v>
      </c>
      <c r="E377" s="9" t="s">
        <v>1989</v>
      </c>
      <c r="F377" s="7" t="s">
        <v>2348</v>
      </c>
      <c r="G377" s="9" t="s">
        <v>2147</v>
      </c>
    </row>
    <row r="378" spans="3:7" x14ac:dyDescent="0.2">
      <c r="C378" s="9">
        <v>3000</v>
      </c>
      <c r="D378" s="9"/>
      <c r="E378" s="9" t="s">
        <v>1989</v>
      </c>
      <c r="F378" s="7" t="s">
        <v>2349</v>
      </c>
      <c r="G378" s="9" t="s">
        <v>2147</v>
      </c>
    </row>
    <row r="379" spans="3:7" x14ac:dyDescent="0.2">
      <c r="C379" s="9">
        <v>3000</v>
      </c>
      <c r="D379" s="9" t="s">
        <v>1989</v>
      </c>
      <c r="E379" s="9"/>
      <c r="F379" s="7" t="s">
        <v>2350</v>
      </c>
      <c r="G379" s="9" t="s">
        <v>2147</v>
      </c>
    </row>
    <row r="380" spans="3:7" x14ac:dyDescent="0.2">
      <c r="C380" s="9">
        <v>3004</v>
      </c>
      <c r="D380" s="9" t="s">
        <v>1989</v>
      </c>
      <c r="E380" s="9"/>
      <c r="F380" s="7" t="s">
        <v>2351</v>
      </c>
      <c r="G380" s="9" t="s">
        <v>2147</v>
      </c>
    </row>
    <row r="381" spans="3:7" x14ac:dyDescent="0.2">
      <c r="C381" s="9">
        <v>3020</v>
      </c>
      <c r="D381" s="9" t="s">
        <v>1083</v>
      </c>
      <c r="E381" s="9" t="s">
        <v>1083</v>
      </c>
      <c r="F381" s="7" t="s">
        <v>2352</v>
      </c>
      <c r="G381" s="9" t="s">
        <v>2147</v>
      </c>
    </row>
    <row r="382" spans="3:7" x14ac:dyDescent="0.2">
      <c r="C382" s="9">
        <v>3050</v>
      </c>
      <c r="D382" s="9" t="s">
        <v>1083</v>
      </c>
      <c r="E382" s="9" t="s">
        <v>1083</v>
      </c>
      <c r="F382" s="7" t="s">
        <v>2353</v>
      </c>
      <c r="G382" s="9" t="s">
        <v>2147</v>
      </c>
    </row>
    <row r="383" spans="3:7" x14ac:dyDescent="0.2">
      <c r="C383" s="9">
        <v>3052</v>
      </c>
      <c r="D383" s="9" t="s">
        <v>1083</v>
      </c>
      <c r="E383" s="9" t="s">
        <v>1083</v>
      </c>
      <c r="F383" s="7" t="s">
        <v>2354</v>
      </c>
      <c r="G383" s="9" t="s">
        <v>2147</v>
      </c>
    </row>
    <row r="384" spans="3:7" x14ac:dyDescent="0.2">
      <c r="C384" s="9">
        <v>3074</v>
      </c>
      <c r="D384" s="9" t="s">
        <v>1083</v>
      </c>
      <c r="E384" s="9" t="s">
        <v>1083</v>
      </c>
      <c r="F384" s="7" t="s">
        <v>2355</v>
      </c>
      <c r="G384" s="9" t="s">
        <v>2147</v>
      </c>
    </row>
    <row r="385" spans="3:7" x14ac:dyDescent="0.2">
      <c r="C385" s="9">
        <v>3101</v>
      </c>
      <c r="D385" s="9" t="s">
        <v>1989</v>
      </c>
      <c r="E385" s="9"/>
      <c r="F385" s="7" t="s">
        <v>2356</v>
      </c>
      <c r="G385" s="9" t="s">
        <v>2147</v>
      </c>
    </row>
    <row r="386" spans="3:7" x14ac:dyDescent="0.2">
      <c r="C386" s="9">
        <v>3128</v>
      </c>
      <c r="D386" s="9" t="s">
        <v>1989</v>
      </c>
      <c r="E386" s="9" t="s">
        <v>293</v>
      </c>
      <c r="F386" s="7" t="s">
        <v>2357</v>
      </c>
      <c r="G386" s="9" t="s">
        <v>2147</v>
      </c>
    </row>
    <row r="387" spans="3:7" x14ac:dyDescent="0.2">
      <c r="C387" s="9">
        <v>3225</v>
      </c>
      <c r="D387" s="9" t="s">
        <v>1083</v>
      </c>
      <c r="E387" s="9" t="s">
        <v>1083</v>
      </c>
      <c r="F387" s="7" t="s">
        <v>2358</v>
      </c>
      <c r="G387" s="9" t="s">
        <v>2147</v>
      </c>
    </row>
    <row r="388" spans="3:7" x14ac:dyDescent="0.2">
      <c r="C388" s="9">
        <v>3233</v>
      </c>
      <c r="D388" s="9" t="s">
        <v>1083</v>
      </c>
      <c r="E388" s="9" t="s">
        <v>1083</v>
      </c>
      <c r="F388" s="7" t="s">
        <v>2359</v>
      </c>
      <c r="G388" s="9" t="s">
        <v>2147</v>
      </c>
    </row>
    <row r="389" spans="3:7" x14ac:dyDescent="0.2">
      <c r="C389" s="9">
        <v>3260</v>
      </c>
      <c r="D389" s="9" t="s">
        <v>1083</v>
      </c>
      <c r="E389" s="9" t="s">
        <v>1083</v>
      </c>
      <c r="F389" s="7" t="s">
        <v>2134</v>
      </c>
      <c r="G389" s="9" t="s">
        <v>2147</v>
      </c>
    </row>
    <row r="390" spans="3:7" x14ac:dyDescent="0.2">
      <c r="C390" s="9">
        <v>3268</v>
      </c>
      <c r="D390" s="9" t="s">
        <v>1083</v>
      </c>
      <c r="E390" s="9" t="s">
        <v>1083</v>
      </c>
      <c r="F390" s="7" t="s">
        <v>2360</v>
      </c>
      <c r="G390" s="9" t="s">
        <v>2147</v>
      </c>
    </row>
    <row r="391" spans="3:7" x14ac:dyDescent="0.2">
      <c r="C391" s="9">
        <v>3269</v>
      </c>
      <c r="D391" s="9" t="s">
        <v>1083</v>
      </c>
      <c r="E391" s="9" t="s">
        <v>1083</v>
      </c>
      <c r="F391" s="7" t="s">
        <v>2361</v>
      </c>
      <c r="G391" s="9" t="s">
        <v>2147</v>
      </c>
    </row>
    <row r="392" spans="3:7" x14ac:dyDescent="0.2">
      <c r="C392" s="9">
        <v>3283</v>
      </c>
      <c r="D392" s="9" t="s">
        <v>1083</v>
      </c>
      <c r="E392" s="9" t="s">
        <v>1083</v>
      </c>
      <c r="F392" s="7" t="s">
        <v>2362</v>
      </c>
      <c r="G392" s="9" t="s">
        <v>2147</v>
      </c>
    </row>
    <row r="393" spans="3:7" x14ac:dyDescent="0.2">
      <c r="C393" s="9">
        <v>3283</v>
      </c>
      <c r="D393" s="9" t="s">
        <v>1989</v>
      </c>
      <c r="E393" s="9" t="s">
        <v>1989</v>
      </c>
      <c r="F393" s="7" t="s">
        <v>2363</v>
      </c>
      <c r="G393" s="9" t="s">
        <v>2147</v>
      </c>
    </row>
    <row r="394" spans="3:7" x14ac:dyDescent="0.2">
      <c r="C394" s="9">
        <v>3290</v>
      </c>
      <c r="D394" s="9"/>
      <c r="E394" s="9" t="s">
        <v>1989</v>
      </c>
      <c r="F394" s="7" t="s">
        <v>2364</v>
      </c>
      <c r="G394" s="9" t="s">
        <v>2147</v>
      </c>
    </row>
    <row r="395" spans="3:7" x14ac:dyDescent="0.2">
      <c r="C395" s="9">
        <v>3305</v>
      </c>
      <c r="D395" s="9" t="s">
        <v>1083</v>
      </c>
      <c r="E395" s="9" t="s">
        <v>1083</v>
      </c>
      <c r="F395" s="7" t="s">
        <v>2365</v>
      </c>
      <c r="G395" s="9" t="s">
        <v>2147</v>
      </c>
    </row>
    <row r="396" spans="3:7" x14ac:dyDescent="0.2">
      <c r="C396" s="9">
        <v>3306</v>
      </c>
      <c r="D396" s="9" t="s">
        <v>1083</v>
      </c>
      <c r="E396" s="9" t="s">
        <v>2155</v>
      </c>
      <c r="F396" s="7" t="s">
        <v>2366</v>
      </c>
      <c r="G396" s="9" t="s">
        <v>2147</v>
      </c>
    </row>
    <row r="397" spans="3:7" x14ac:dyDescent="0.2">
      <c r="C397" s="9">
        <v>3323</v>
      </c>
      <c r="D397" s="9" t="s">
        <v>1989</v>
      </c>
      <c r="E397" s="9" t="s">
        <v>1989</v>
      </c>
      <c r="F397" s="7" t="s">
        <v>2367</v>
      </c>
      <c r="G397" s="9" t="s">
        <v>2147</v>
      </c>
    </row>
    <row r="398" spans="3:7" x14ac:dyDescent="0.2">
      <c r="C398" s="9">
        <v>3332</v>
      </c>
      <c r="D398" s="9"/>
      <c r="E398" s="9" t="s">
        <v>1989</v>
      </c>
      <c r="F398" s="7" t="s">
        <v>2368</v>
      </c>
      <c r="G398" s="9" t="s">
        <v>2147</v>
      </c>
    </row>
    <row r="399" spans="3:7" x14ac:dyDescent="0.2">
      <c r="C399" s="9">
        <v>3333</v>
      </c>
      <c r="D399" s="9" t="s">
        <v>1989</v>
      </c>
      <c r="E399" s="9"/>
      <c r="F399" s="7" t="s">
        <v>2369</v>
      </c>
      <c r="G399" s="9" t="s">
        <v>2147</v>
      </c>
    </row>
    <row r="400" spans="3:7" x14ac:dyDescent="0.2">
      <c r="C400" s="9">
        <v>3333</v>
      </c>
      <c r="D400" s="9" t="s">
        <v>1989</v>
      </c>
      <c r="E400" s="9"/>
      <c r="F400" s="7" t="s">
        <v>2370</v>
      </c>
      <c r="G400" s="9" t="s">
        <v>2147</v>
      </c>
    </row>
    <row r="401" spans="3:7" x14ac:dyDescent="0.2">
      <c r="C401" s="9">
        <v>3333</v>
      </c>
      <c r="D401" s="9" t="s">
        <v>1989</v>
      </c>
      <c r="E401" s="9"/>
      <c r="F401" s="7" t="s">
        <v>2371</v>
      </c>
      <c r="G401" s="9" t="s">
        <v>2147</v>
      </c>
    </row>
    <row r="402" spans="3:7" x14ac:dyDescent="0.2">
      <c r="C402" s="9">
        <v>3351</v>
      </c>
      <c r="D402" s="9" t="s">
        <v>1989</v>
      </c>
      <c r="E402" s="9" t="s">
        <v>1989</v>
      </c>
      <c r="F402" s="7" t="s">
        <v>2220</v>
      </c>
      <c r="G402" s="9" t="s">
        <v>2147</v>
      </c>
    </row>
    <row r="403" spans="3:7" x14ac:dyDescent="0.2">
      <c r="C403" s="9">
        <v>3386</v>
      </c>
      <c r="D403" s="9" t="s">
        <v>1083</v>
      </c>
      <c r="E403" s="9" t="s">
        <v>1083</v>
      </c>
      <c r="F403" s="7" t="s">
        <v>2372</v>
      </c>
      <c r="G403" s="9" t="s">
        <v>2147</v>
      </c>
    </row>
    <row r="404" spans="3:7" x14ac:dyDescent="0.2">
      <c r="C404" s="9">
        <v>3389</v>
      </c>
      <c r="D404" s="9" t="s">
        <v>1083</v>
      </c>
      <c r="E404" s="9" t="s">
        <v>1083</v>
      </c>
      <c r="F404" s="7" t="s">
        <v>2373</v>
      </c>
      <c r="G404" s="9" t="s">
        <v>2147</v>
      </c>
    </row>
    <row r="405" spans="3:7" x14ac:dyDescent="0.2">
      <c r="C405" s="9">
        <v>3396</v>
      </c>
      <c r="D405" s="9" t="s">
        <v>1083</v>
      </c>
      <c r="E405" s="9" t="s">
        <v>1083</v>
      </c>
      <c r="F405" s="7" t="s">
        <v>2374</v>
      </c>
      <c r="G405" s="9" t="s">
        <v>2147</v>
      </c>
    </row>
    <row r="406" spans="3:7" x14ac:dyDescent="0.2">
      <c r="C406" s="9">
        <v>3412</v>
      </c>
      <c r="D406" s="9" t="s">
        <v>1083</v>
      </c>
      <c r="E406" s="9" t="s">
        <v>1083</v>
      </c>
      <c r="F406" s="7" t="s">
        <v>2375</v>
      </c>
      <c r="G406" s="9" t="s">
        <v>2147</v>
      </c>
    </row>
    <row r="407" spans="3:7" x14ac:dyDescent="0.2">
      <c r="C407" s="9">
        <v>3423</v>
      </c>
      <c r="D407" s="9" t="s">
        <v>1083</v>
      </c>
      <c r="E407" s="9"/>
      <c r="F407" s="7" t="s">
        <v>2376</v>
      </c>
      <c r="G407" s="9" t="s">
        <v>2147</v>
      </c>
    </row>
    <row r="408" spans="3:7" x14ac:dyDescent="0.2">
      <c r="C408" s="9">
        <v>3424</v>
      </c>
      <c r="D408" s="9" t="s">
        <v>1083</v>
      </c>
      <c r="E408" s="9"/>
      <c r="F408" s="7" t="s">
        <v>2377</v>
      </c>
      <c r="G408" s="9" t="s">
        <v>2147</v>
      </c>
    </row>
    <row r="409" spans="3:7" x14ac:dyDescent="0.2">
      <c r="C409" s="9">
        <v>3455</v>
      </c>
      <c r="D409" s="9" t="s">
        <v>1083</v>
      </c>
      <c r="E409" s="9" t="s">
        <v>1083</v>
      </c>
      <c r="F409" s="7" t="s">
        <v>2378</v>
      </c>
      <c r="G409" s="9" t="s">
        <v>2147</v>
      </c>
    </row>
    <row r="410" spans="3:7" x14ac:dyDescent="0.2">
      <c r="C410" s="9">
        <v>3478</v>
      </c>
      <c r="D410" s="9" t="s">
        <v>1083</v>
      </c>
      <c r="E410" s="9" t="s">
        <v>1083</v>
      </c>
      <c r="F410" s="7" t="s">
        <v>2379</v>
      </c>
      <c r="G410" s="9" t="s">
        <v>2147</v>
      </c>
    </row>
    <row r="411" spans="3:7" x14ac:dyDescent="0.2">
      <c r="C411" s="9">
        <v>3478</v>
      </c>
      <c r="D411" s="9" t="s">
        <v>1083</v>
      </c>
      <c r="E411" s="9" t="s">
        <v>1083</v>
      </c>
      <c r="F411" s="7" t="s">
        <v>2380</v>
      </c>
      <c r="G411" s="9" t="s">
        <v>2147</v>
      </c>
    </row>
    <row r="412" spans="3:7" x14ac:dyDescent="0.2">
      <c r="C412" s="9">
        <v>3478</v>
      </c>
      <c r="D412" s="9" t="s">
        <v>1083</v>
      </c>
      <c r="E412" s="9" t="s">
        <v>1083</v>
      </c>
      <c r="F412" s="7" t="s">
        <v>2381</v>
      </c>
      <c r="G412" s="9" t="s">
        <v>2147</v>
      </c>
    </row>
    <row r="413" spans="3:7" x14ac:dyDescent="0.2">
      <c r="C413" s="9">
        <v>3479</v>
      </c>
      <c r="D413" s="9" t="s">
        <v>1989</v>
      </c>
      <c r="E413" s="9" t="s">
        <v>1989</v>
      </c>
      <c r="F413" s="7" t="s">
        <v>2382</v>
      </c>
      <c r="G413" s="9" t="s">
        <v>2147</v>
      </c>
    </row>
    <row r="414" spans="3:7" x14ac:dyDescent="0.2">
      <c r="C414" s="9">
        <v>3480</v>
      </c>
      <c r="D414" s="9" t="s">
        <v>1989</v>
      </c>
      <c r="E414" s="9" t="s">
        <v>1989</v>
      </c>
      <c r="F414" s="7" t="s">
        <v>2382</v>
      </c>
      <c r="G414" s="9" t="s">
        <v>2147</v>
      </c>
    </row>
    <row r="415" spans="3:7" x14ac:dyDescent="0.2">
      <c r="C415" s="9">
        <v>3483</v>
      </c>
      <c r="D415" s="9"/>
      <c r="E415" s="9" t="s">
        <v>1083</v>
      </c>
      <c r="F415" s="7" t="s">
        <v>2383</v>
      </c>
      <c r="G415" s="9" t="s">
        <v>2147</v>
      </c>
    </row>
    <row r="416" spans="3:7" x14ac:dyDescent="0.2">
      <c r="C416" s="9">
        <v>3483</v>
      </c>
      <c r="D416" s="9" t="s">
        <v>1083</v>
      </c>
      <c r="E416" s="9"/>
      <c r="F416" s="7" t="s">
        <v>2384</v>
      </c>
      <c r="G416" s="9" t="s">
        <v>2147</v>
      </c>
    </row>
    <row r="417" spans="3:7" x14ac:dyDescent="0.2">
      <c r="C417" s="9">
        <v>3493</v>
      </c>
      <c r="D417" s="9" t="s">
        <v>1083</v>
      </c>
      <c r="E417" s="9" t="s">
        <v>1083</v>
      </c>
      <c r="F417" s="7" t="s">
        <v>2385</v>
      </c>
      <c r="G417" s="9" t="s">
        <v>2147</v>
      </c>
    </row>
    <row r="418" spans="3:7" x14ac:dyDescent="0.2">
      <c r="C418" s="9">
        <v>3503</v>
      </c>
      <c r="D418" s="9" t="s">
        <v>1083</v>
      </c>
      <c r="E418" s="9" t="s">
        <v>1083</v>
      </c>
      <c r="F418" s="7" t="s">
        <v>2386</v>
      </c>
      <c r="G418" s="9" t="s">
        <v>2147</v>
      </c>
    </row>
    <row r="419" spans="3:7" x14ac:dyDescent="0.2">
      <c r="C419" s="9">
        <v>3516</v>
      </c>
      <c r="D419" s="9" t="s">
        <v>1083</v>
      </c>
      <c r="E419" s="9" t="s">
        <v>1083</v>
      </c>
      <c r="F419" s="7" t="s">
        <v>2387</v>
      </c>
      <c r="G419" s="9" t="s">
        <v>2147</v>
      </c>
    </row>
    <row r="420" spans="3:7" x14ac:dyDescent="0.2">
      <c r="C420" s="9">
        <v>3527</v>
      </c>
      <c r="D420" s="9"/>
      <c r="E420" s="9" t="s">
        <v>1083</v>
      </c>
      <c r="F420" s="7" t="s">
        <v>2243</v>
      </c>
      <c r="G420" s="9" t="s">
        <v>2147</v>
      </c>
    </row>
    <row r="421" spans="3:7" x14ac:dyDescent="0.2">
      <c r="C421" s="9">
        <v>3535</v>
      </c>
      <c r="D421" s="9" t="s">
        <v>1989</v>
      </c>
      <c r="E421" s="9"/>
      <c r="F421" s="7" t="s">
        <v>2388</v>
      </c>
      <c r="G421" s="9" t="s">
        <v>2147</v>
      </c>
    </row>
    <row r="422" spans="3:7" x14ac:dyDescent="0.2">
      <c r="C422" s="9">
        <v>3544</v>
      </c>
      <c r="D422" s="9"/>
      <c r="E422" s="9" t="s">
        <v>1083</v>
      </c>
      <c r="F422" s="7" t="s">
        <v>2389</v>
      </c>
      <c r="G422" s="9" t="s">
        <v>2147</v>
      </c>
    </row>
    <row r="423" spans="3:7" x14ac:dyDescent="0.2">
      <c r="C423" s="9">
        <v>3632</v>
      </c>
      <c r="D423" s="9" t="s">
        <v>1083</v>
      </c>
      <c r="E423" s="9" t="s">
        <v>2155</v>
      </c>
      <c r="F423" s="7" t="s">
        <v>2390</v>
      </c>
      <c r="G423" s="9" t="s">
        <v>2147</v>
      </c>
    </row>
    <row r="424" spans="3:7" x14ac:dyDescent="0.2">
      <c r="C424" s="9">
        <v>3645</v>
      </c>
      <c r="D424" s="9" t="s">
        <v>1083</v>
      </c>
      <c r="E424" s="9" t="s">
        <v>1083</v>
      </c>
      <c r="F424" s="7" t="s">
        <v>2391</v>
      </c>
      <c r="G424" s="9" t="s">
        <v>2147</v>
      </c>
    </row>
    <row r="425" spans="3:7" x14ac:dyDescent="0.2">
      <c r="C425" s="9">
        <v>3659</v>
      </c>
      <c r="D425" s="9" t="s">
        <v>1083</v>
      </c>
      <c r="E425" s="9" t="s">
        <v>1083</v>
      </c>
      <c r="F425" s="7" t="s">
        <v>2392</v>
      </c>
      <c r="G425" s="9" t="s">
        <v>2147</v>
      </c>
    </row>
    <row r="426" spans="3:7" x14ac:dyDescent="0.2">
      <c r="C426" s="9">
        <v>3659</v>
      </c>
      <c r="D426" s="9"/>
      <c r="E426" s="9" t="s">
        <v>1989</v>
      </c>
      <c r="F426" s="7" t="s">
        <v>2393</v>
      </c>
      <c r="G426" s="9" t="s">
        <v>2147</v>
      </c>
    </row>
    <row r="427" spans="3:7" x14ac:dyDescent="0.2">
      <c r="C427" s="9">
        <v>3667</v>
      </c>
      <c r="D427" s="9" t="s">
        <v>1083</v>
      </c>
      <c r="E427" s="9" t="s">
        <v>1083</v>
      </c>
      <c r="F427" s="7" t="s">
        <v>2394</v>
      </c>
      <c r="G427" s="9" t="s">
        <v>2147</v>
      </c>
    </row>
    <row r="428" spans="3:7" x14ac:dyDescent="0.2">
      <c r="C428" s="9">
        <v>3689</v>
      </c>
      <c r="D428" s="9" t="s">
        <v>1083</v>
      </c>
      <c r="E428" s="9" t="s">
        <v>2155</v>
      </c>
      <c r="F428" s="7" t="s">
        <v>2395</v>
      </c>
      <c r="G428" s="9" t="s">
        <v>2147</v>
      </c>
    </row>
    <row r="429" spans="3:7" x14ac:dyDescent="0.2">
      <c r="C429" s="9">
        <v>3690</v>
      </c>
      <c r="D429" s="9" t="s">
        <v>1083</v>
      </c>
      <c r="E429" s="9" t="s">
        <v>1083</v>
      </c>
      <c r="F429" s="7" t="s">
        <v>2396</v>
      </c>
      <c r="G429" s="9" t="s">
        <v>2147</v>
      </c>
    </row>
    <row r="430" spans="3:7" x14ac:dyDescent="0.2">
      <c r="C430" s="9">
        <v>3702</v>
      </c>
      <c r="D430" s="9" t="s">
        <v>1083</v>
      </c>
      <c r="E430" s="9" t="s">
        <v>1083</v>
      </c>
      <c r="F430" s="7" t="s">
        <v>2397</v>
      </c>
      <c r="G430" s="9" t="s">
        <v>2147</v>
      </c>
    </row>
    <row r="431" spans="3:7" x14ac:dyDescent="0.2">
      <c r="C431" s="9">
        <v>3724</v>
      </c>
      <c r="D431" s="9" t="s">
        <v>1083</v>
      </c>
      <c r="E431" s="9" t="s">
        <v>1083</v>
      </c>
      <c r="F431" s="7" t="s">
        <v>2398</v>
      </c>
      <c r="G431" s="9" t="s">
        <v>2147</v>
      </c>
    </row>
    <row r="432" spans="3:7" x14ac:dyDescent="0.2">
      <c r="C432" s="9">
        <v>3724</v>
      </c>
      <c r="D432" s="9" t="s">
        <v>1989</v>
      </c>
      <c r="E432" s="9"/>
      <c r="F432" s="7" t="s">
        <v>2399</v>
      </c>
      <c r="G432" s="9" t="s">
        <v>2147</v>
      </c>
    </row>
    <row r="433" spans="3:7" x14ac:dyDescent="0.2">
      <c r="C433" s="9">
        <v>3725</v>
      </c>
      <c r="D433" s="9" t="s">
        <v>1083</v>
      </c>
      <c r="E433" s="9" t="s">
        <v>1083</v>
      </c>
      <c r="F433" s="7" t="s">
        <v>2400</v>
      </c>
      <c r="G433" s="9" t="s">
        <v>2147</v>
      </c>
    </row>
    <row r="434" spans="3:7" x14ac:dyDescent="0.2">
      <c r="C434" s="9">
        <v>3749</v>
      </c>
      <c r="D434" s="9" t="s">
        <v>1083</v>
      </c>
      <c r="E434" s="9" t="s">
        <v>1083</v>
      </c>
      <c r="F434" s="7" t="s">
        <v>2401</v>
      </c>
      <c r="G434" s="9" t="s">
        <v>2147</v>
      </c>
    </row>
    <row r="435" spans="3:7" x14ac:dyDescent="0.2">
      <c r="C435" s="9">
        <v>3768</v>
      </c>
      <c r="D435" s="9" t="s">
        <v>1083</v>
      </c>
      <c r="E435" s="9" t="s">
        <v>1083</v>
      </c>
      <c r="F435" s="7" t="s">
        <v>2402</v>
      </c>
      <c r="G435" s="9" t="s">
        <v>2147</v>
      </c>
    </row>
    <row r="436" spans="3:7" x14ac:dyDescent="0.2">
      <c r="C436" s="9">
        <v>3784</v>
      </c>
      <c r="D436" s="9"/>
      <c r="E436" s="9" t="s">
        <v>1083</v>
      </c>
      <c r="F436" s="7" t="s">
        <v>2403</v>
      </c>
      <c r="G436" s="9" t="s">
        <v>2147</v>
      </c>
    </row>
    <row r="437" spans="3:7" x14ac:dyDescent="0.2">
      <c r="C437" s="9">
        <v>3785</v>
      </c>
      <c r="D437" s="9"/>
      <c r="E437" s="9" t="s">
        <v>1989</v>
      </c>
      <c r="F437" s="7" t="s">
        <v>2404</v>
      </c>
      <c r="G437" s="9" t="s">
        <v>2147</v>
      </c>
    </row>
    <row r="438" spans="3:7" x14ac:dyDescent="0.2">
      <c r="C438" s="9">
        <v>3799</v>
      </c>
      <c r="D438" s="9"/>
      <c r="E438" s="9" t="s">
        <v>1083</v>
      </c>
      <c r="F438" s="7" t="s">
        <v>2405</v>
      </c>
      <c r="G438" s="9" t="s">
        <v>2147</v>
      </c>
    </row>
    <row r="439" spans="3:7" x14ac:dyDescent="0.2">
      <c r="C439" s="9">
        <v>3804</v>
      </c>
      <c r="D439" s="9" t="s">
        <v>1083</v>
      </c>
      <c r="E439" s="9" t="s">
        <v>1083</v>
      </c>
      <c r="F439" s="7" t="s">
        <v>2406</v>
      </c>
      <c r="G439" s="9" t="s">
        <v>2147</v>
      </c>
    </row>
    <row r="440" spans="3:7" x14ac:dyDescent="0.2">
      <c r="C440" s="9">
        <v>3825</v>
      </c>
      <c r="D440" s="9" t="s">
        <v>1989</v>
      </c>
      <c r="E440" s="9"/>
      <c r="F440" s="7" t="s">
        <v>2407</v>
      </c>
      <c r="G440" s="9" t="s">
        <v>2147</v>
      </c>
    </row>
    <row r="441" spans="3:7" x14ac:dyDescent="0.2">
      <c r="C441" s="9">
        <v>3826</v>
      </c>
      <c r="D441" s="9" t="s">
        <v>1083</v>
      </c>
      <c r="E441" s="9" t="s">
        <v>1083</v>
      </c>
      <c r="F441" s="7" t="s">
        <v>2408</v>
      </c>
      <c r="G441" s="9" t="s">
        <v>2147</v>
      </c>
    </row>
    <row r="442" spans="3:7" x14ac:dyDescent="0.2">
      <c r="C442" s="9">
        <v>3826</v>
      </c>
      <c r="D442" s="9" t="s">
        <v>1989</v>
      </c>
      <c r="E442" s="9"/>
      <c r="F442" s="7" t="s">
        <v>2407</v>
      </c>
      <c r="G442" s="9" t="s">
        <v>2147</v>
      </c>
    </row>
    <row r="443" spans="3:7" x14ac:dyDescent="0.2">
      <c r="C443" s="9">
        <v>3835</v>
      </c>
      <c r="D443" s="9" t="s">
        <v>1989</v>
      </c>
      <c r="E443" s="9"/>
      <c r="F443" s="7" t="s">
        <v>2407</v>
      </c>
      <c r="G443" s="9" t="s">
        <v>2147</v>
      </c>
    </row>
    <row r="444" spans="3:7" x14ac:dyDescent="0.2">
      <c r="C444" s="9">
        <v>3830</v>
      </c>
      <c r="D444" s="9" t="s">
        <v>1083</v>
      </c>
      <c r="E444" s="9" t="s">
        <v>1083</v>
      </c>
      <c r="F444" s="7" t="s">
        <v>2409</v>
      </c>
      <c r="G444" s="9" t="s">
        <v>2147</v>
      </c>
    </row>
    <row r="445" spans="3:7" x14ac:dyDescent="0.2">
      <c r="C445" s="9">
        <v>3856</v>
      </c>
      <c r="D445" s="9" t="s">
        <v>1989</v>
      </c>
      <c r="E445" s="9" t="s">
        <v>1989</v>
      </c>
      <c r="F445" s="7" t="s">
        <v>2410</v>
      </c>
      <c r="G445" s="9" t="s">
        <v>2147</v>
      </c>
    </row>
    <row r="446" spans="3:7" x14ac:dyDescent="0.2">
      <c r="C446" s="9">
        <v>3880</v>
      </c>
      <c r="D446" s="9" t="s">
        <v>1083</v>
      </c>
      <c r="E446" s="9" t="s">
        <v>1083</v>
      </c>
      <c r="F446" s="7" t="s">
        <v>2411</v>
      </c>
      <c r="G446" s="9" t="s">
        <v>2147</v>
      </c>
    </row>
    <row r="447" spans="3:7" x14ac:dyDescent="0.2">
      <c r="C447" s="9">
        <v>3868</v>
      </c>
      <c r="D447" s="9" t="s">
        <v>1083</v>
      </c>
      <c r="E447" s="9"/>
      <c r="F447" s="7" t="s">
        <v>2412</v>
      </c>
      <c r="G447" s="9" t="s">
        <v>2147</v>
      </c>
    </row>
    <row r="448" spans="3:7" x14ac:dyDescent="0.2">
      <c r="C448" s="9">
        <v>3872</v>
      </c>
      <c r="D448" s="9" t="s">
        <v>1083</v>
      </c>
      <c r="E448" s="9"/>
      <c r="F448" s="7" t="s">
        <v>2413</v>
      </c>
      <c r="G448" s="9" t="s">
        <v>2147</v>
      </c>
    </row>
    <row r="449" spans="3:7" x14ac:dyDescent="0.2">
      <c r="C449" s="9">
        <v>3900</v>
      </c>
      <c r="D449" s="9" t="s">
        <v>1083</v>
      </c>
      <c r="E449" s="9"/>
      <c r="F449" s="7" t="s">
        <v>2414</v>
      </c>
      <c r="G449" s="9" t="s">
        <v>2147</v>
      </c>
    </row>
    <row r="450" spans="3:7" x14ac:dyDescent="0.2">
      <c r="C450" s="9">
        <v>3960</v>
      </c>
      <c r="D450" s="9"/>
      <c r="E450" s="9" t="s">
        <v>1989</v>
      </c>
      <c r="F450" s="7" t="s">
        <v>2415</v>
      </c>
      <c r="G450" s="9" t="s">
        <v>2147</v>
      </c>
    </row>
    <row r="451" spans="3:7" x14ac:dyDescent="0.2">
      <c r="C451" s="9">
        <v>3962</v>
      </c>
      <c r="D451" s="9"/>
      <c r="E451" s="9" t="s">
        <v>1989</v>
      </c>
      <c r="F451" s="7" t="s">
        <v>2415</v>
      </c>
      <c r="G451" s="9" t="s">
        <v>2147</v>
      </c>
    </row>
    <row r="452" spans="3:7" x14ac:dyDescent="0.2">
      <c r="C452" s="9">
        <v>3978</v>
      </c>
      <c r="D452" s="9" t="s">
        <v>1989</v>
      </c>
      <c r="E452" s="9" t="s">
        <v>1989</v>
      </c>
      <c r="F452" s="7" t="s">
        <v>2416</v>
      </c>
      <c r="G452" s="9" t="s">
        <v>2147</v>
      </c>
    </row>
    <row r="453" spans="3:7" x14ac:dyDescent="0.2">
      <c r="C453" s="9">
        <v>3978</v>
      </c>
      <c r="D453" s="9" t="s">
        <v>1989</v>
      </c>
      <c r="E453" s="9"/>
      <c r="F453" s="7" t="s">
        <v>2417</v>
      </c>
      <c r="G453" s="9" t="s">
        <v>2147</v>
      </c>
    </row>
    <row r="454" spans="3:7" x14ac:dyDescent="0.2">
      <c r="C454" s="9">
        <v>3979</v>
      </c>
      <c r="D454" s="9" t="s">
        <v>1989</v>
      </c>
      <c r="E454" s="9" t="s">
        <v>1989</v>
      </c>
      <c r="F454" s="7" t="s">
        <v>2418</v>
      </c>
      <c r="G454" s="9" t="s">
        <v>2147</v>
      </c>
    </row>
    <row r="455" spans="3:7" x14ac:dyDescent="0.2">
      <c r="C455" s="9">
        <v>3999</v>
      </c>
      <c r="D455" s="9" t="s">
        <v>1083</v>
      </c>
      <c r="E455" s="9" t="s">
        <v>1083</v>
      </c>
      <c r="F455" s="7" t="s">
        <v>2419</v>
      </c>
      <c r="G455" s="9" t="s">
        <v>2147</v>
      </c>
    </row>
    <row r="456" spans="3:7" x14ac:dyDescent="0.2">
      <c r="C456" s="9">
        <v>4000</v>
      </c>
      <c r="D456" s="9" t="s">
        <v>1989</v>
      </c>
      <c r="E456" s="9" t="s">
        <v>1989</v>
      </c>
      <c r="F456" s="7" t="s">
        <v>2420</v>
      </c>
      <c r="G456" s="9" t="s">
        <v>2147</v>
      </c>
    </row>
    <row r="457" spans="3:7" x14ac:dyDescent="0.2">
      <c r="C457" s="9">
        <v>4001</v>
      </c>
      <c r="D457" s="9" t="s">
        <v>1989</v>
      </c>
      <c r="E457" s="9"/>
      <c r="F457" s="7" t="s">
        <v>2421</v>
      </c>
      <c r="G457" s="9" t="s">
        <v>2147</v>
      </c>
    </row>
    <row r="458" spans="3:7" x14ac:dyDescent="0.2">
      <c r="C458" s="9">
        <v>4001</v>
      </c>
      <c r="D458" s="9" t="s">
        <v>1989</v>
      </c>
      <c r="E458" s="9"/>
      <c r="F458" s="7" t="s">
        <v>2309</v>
      </c>
      <c r="G458" s="9" t="s">
        <v>2147</v>
      </c>
    </row>
    <row r="459" spans="3:7" x14ac:dyDescent="0.2">
      <c r="C459" s="9">
        <v>4018</v>
      </c>
      <c r="D459" s="9" t="s">
        <v>1083</v>
      </c>
      <c r="E459" s="9" t="s">
        <v>1083</v>
      </c>
      <c r="F459" s="7" t="s">
        <v>2422</v>
      </c>
      <c r="G459" s="9" t="s">
        <v>2147</v>
      </c>
    </row>
    <row r="460" spans="3:7" x14ac:dyDescent="0.2">
      <c r="C460" s="9">
        <v>4035</v>
      </c>
      <c r="D460" s="9" t="s">
        <v>1989</v>
      </c>
      <c r="E460" s="9"/>
      <c r="F460" s="7" t="s">
        <v>2423</v>
      </c>
      <c r="G460" s="9" t="s">
        <v>2147</v>
      </c>
    </row>
    <row r="461" spans="3:7" x14ac:dyDescent="0.2">
      <c r="C461" s="9">
        <v>4045</v>
      </c>
      <c r="D461" s="9" t="s">
        <v>1989</v>
      </c>
      <c r="E461" s="9" t="s">
        <v>1989</v>
      </c>
      <c r="F461" s="7" t="s">
        <v>2424</v>
      </c>
      <c r="G461" s="9" t="s">
        <v>2147</v>
      </c>
    </row>
    <row r="462" spans="3:7" x14ac:dyDescent="0.2">
      <c r="C462" s="9">
        <v>4050</v>
      </c>
      <c r="D462" s="9" t="s">
        <v>1989</v>
      </c>
      <c r="E462" s="9"/>
      <c r="F462" s="7" t="s">
        <v>2425</v>
      </c>
      <c r="G462" s="9" t="s">
        <v>2147</v>
      </c>
    </row>
    <row r="463" spans="3:7" x14ac:dyDescent="0.2">
      <c r="C463" s="9">
        <v>4069</v>
      </c>
      <c r="D463" s="9"/>
      <c r="E463" s="9" t="s">
        <v>1083</v>
      </c>
      <c r="F463" s="7" t="s">
        <v>2426</v>
      </c>
      <c r="G463" s="9" t="s">
        <v>2147</v>
      </c>
    </row>
    <row r="464" spans="3:7" x14ac:dyDescent="0.2">
      <c r="C464" s="9">
        <v>4070</v>
      </c>
      <c r="D464" s="9" t="s">
        <v>1989</v>
      </c>
      <c r="E464" s="9" t="s">
        <v>1989</v>
      </c>
      <c r="F464" s="7" t="s">
        <v>2427</v>
      </c>
      <c r="G464" s="9" t="s">
        <v>2147</v>
      </c>
    </row>
    <row r="465" spans="3:7" x14ac:dyDescent="0.2">
      <c r="C465" s="9">
        <v>4089</v>
      </c>
      <c r="D465" s="9" t="s">
        <v>1083</v>
      </c>
      <c r="E465" s="9" t="s">
        <v>1083</v>
      </c>
      <c r="F465" s="7" t="s">
        <v>2428</v>
      </c>
      <c r="G465" s="9" t="s">
        <v>2147</v>
      </c>
    </row>
    <row r="466" spans="3:7" x14ac:dyDescent="0.2">
      <c r="C466" s="9">
        <v>4090</v>
      </c>
      <c r="D466" s="9" t="s">
        <v>1083</v>
      </c>
      <c r="E466" s="9" t="s">
        <v>1083</v>
      </c>
      <c r="F466" s="7" t="s">
        <v>2429</v>
      </c>
      <c r="G466" s="9" t="s">
        <v>2147</v>
      </c>
    </row>
    <row r="467" spans="3:7" x14ac:dyDescent="0.2">
      <c r="C467" s="9">
        <v>4093</v>
      </c>
      <c r="D467" s="9" t="s">
        <v>1083</v>
      </c>
      <c r="E467" s="9" t="s">
        <v>1083</v>
      </c>
      <c r="F467" s="7" t="s">
        <v>2430</v>
      </c>
      <c r="G467" s="9" t="s">
        <v>2147</v>
      </c>
    </row>
    <row r="468" spans="3:7" x14ac:dyDescent="0.2">
      <c r="C468" s="9">
        <v>4096</v>
      </c>
      <c r="D468" s="9" t="s">
        <v>1083</v>
      </c>
      <c r="E468" s="9" t="s">
        <v>1083</v>
      </c>
      <c r="F468" s="7" t="s">
        <v>2431</v>
      </c>
      <c r="G468" s="9" t="s">
        <v>2147</v>
      </c>
    </row>
    <row r="469" spans="3:7" x14ac:dyDescent="0.2">
      <c r="C469" s="9">
        <v>4105</v>
      </c>
      <c r="D469" s="9" t="s">
        <v>1083</v>
      </c>
      <c r="E469" s="9" t="s">
        <v>1083</v>
      </c>
      <c r="F469" s="7" t="s">
        <v>2432</v>
      </c>
      <c r="G469" s="9" t="s">
        <v>2147</v>
      </c>
    </row>
    <row r="470" spans="3:7" x14ac:dyDescent="0.2">
      <c r="C470" s="9">
        <v>4111</v>
      </c>
      <c r="D470" s="9" t="s">
        <v>1083</v>
      </c>
      <c r="E470" s="9" t="s">
        <v>2155</v>
      </c>
      <c r="F470" s="7" t="s">
        <v>2433</v>
      </c>
      <c r="G470" s="9" t="s">
        <v>2147</v>
      </c>
    </row>
    <row r="471" spans="3:7" x14ac:dyDescent="0.2">
      <c r="C471" s="9">
        <v>4116</v>
      </c>
      <c r="D471" s="9" t="s">
        <v>1083</v>
      </c>
      <c r="E471" s="9" t="s">
        <v>1083</v>
      </c>
      <c r="F471" s="7" t="s">
        <v>2434</v>
      </c>
      <c r="G471" s="9" t="s">
        <v>2147</v>
      </c>
    </row>
    <row r="472" spans="3:7" x14ac:dyDescent="0.2">
      <c r="C472" s="9">
        <v>4125</v>
      </c>
      <c r="D472" s="9" t="s">
        <v>1989</v>
      </c>
      <c r="E472" s="9"/>
      <c r="F472" s="7" t="s">
        <v>2435</v>
      </c>
      <c r="G472" s="9" t="s">
        <v>2147</v>
      </c>
    </row>
    <row r="473" spans="3:7" x14ac:dyDescent="0.2">
      <c r="C473" s="9">
        <v>4172</v>
      </c>
      <c r="D473" s="9" t="s">
        <v>1083</v>
      </c>
      <c r="E473" s="9" t="s">
        <v>1083</v>
      </c>
      <c r="F473" s="7" t="s">
        <v>2436</v>
      </c>
      <c r="G473" s="9" t="s">
        <v>2147</v>
      </c>
    </row>
    <row r="474" spans="3:7" x14ac:dyDescent="0.2">
      <c r="C474" s="9">
        <v>4190</v>
      </c>
      <c r="D474" s="9" t="s">
        <v>1083</v>
      </c>
      <c r="E474" s="9"/>
      <c r="F474" s="7" t="s">
        <v>2437</v>
      </c>
      <c r="G474" s="9" t="s">
        <v>2147</v>
      </c>
    </row>
    <row r="475" spans="3:7" x14ac:dyDescent="0.2">
      <c r="C475" s="9">
        <v>4198</v>
      </c>
      <c r="D475" s="9" t="s">
        <v>1989</v>
      </c>
      <c r="E475" s="9" t="s">
        <v>1989</v>
      </c>
      <c r="F475" s="7" t="s">
        <v>2438</v>
      </c>
      <c r="G475" s="9" t="s">
        <v>2147</v>
      </c>
    </row>
    <row r="476" spans="3:7" x14ac:dyDescent="0.2">
      <c r="C476" s="9">
        <v>4201</v>
      </c>
      <c r="D476" s="9" t="s">
        <v>1989</v>
      </c>
      <c r="E476" s="9"/>
      <c r="F476" s="7" t="s">
        <v>2439</v>
      </c>
      <c r="G476" s="9" t="s">
        <v>2147</v>
      </c>
    </row>
    <row r="477" spans="3:7" x14ac:dyDescent="0.2">
      <c r="C477" s="9">
        <v>4222</v>
      </c>
      <c r="D477" s="9" t="s">
        <v>1989</v>
      </c>
      <c r="E477" s="9"/>
      <c r="F477" s="7" t="s">
        <v>2440</v>
      </c>
      <c r="G477" s="9" t="s">
        <v>2147</v>
      </c>
    </row>
    <row r="478" spans="3:7" x14ac:dyDescent="0.2">
      <c r="C478" s="9">
        <v>4226</v>
      </c>
      <c r="D478" s="9" t="s">
        <v>1989</v>
      </c>
      <c r="E478" s="9" t="s">
        <v>1989</v>
      </c>
      <c r="F478" s="7" t="s">
        <v>2441</v>
      </c>
      <c r="G478" s="9" t="s">
        <v>2147</v>
      </c>
    </row>
    <row r="479" spans="3:7" x14ac:dyDescent="0.2">
      <c r="C479" s="9">
        <v>4242</v>
      </c>
      <c r="D479" s="9" t="s">
        <v>1989</v>
      </c>
      <c r="E479" s="9"/>
      <c r="F479" s="7" t="s">
        <v>2442</v>
      </c>
      <c r="G479" s="9" t="s">
        <v>2147</v>
      </c>
    </row>
    <row r="480" spans="3:7" x14ac:dyDescent="0.2">
      <c r="C480" s="9">
        <v>4242</v>
      </c>
      <c r="D480" s="9" t="s">
        <v>1989</v>
      </c>
      <c r="E480" s="9"/>
      <c r="F480" s="7" t="s">
        <v>2443</v>
      </c>
      <c r="G480" s="9" t="s">
        <v>2147</v>
      </c>
    </row>
    <row r="481" spans="3:7" x14ac:dyDescent="0.2">
      <c r="C481" s="9">
        <v>4243</v>
      </c>
      <c r="D481" s="9" t="s">
        <v>1989</v>
      </c>
      <c r="E481" s="9"/>
      <c r="F481" s="7" t="s">
        <v>2444</v>
      </c>
      <c r="G481" s="9" t="s">
        <v>2147</v>
      </c>
    </row>
    <row r="482" spans="3:7" x14ac:dyDescent="0.2">
      <c r="C482" s="9">
        <v>4243</v>
      </c>
      <c r="D482" s="9" t="s">
        <v>1989</v>
      </c>
      <c r="E482" s="9"/>
      <c r="F482" s="7" t="s">
        <v>2445</v>
      </c>
      <c r="G482" s="9" t="s">
        <v>2147</v>
      </c>
    </row>
    <row r="483" spans="3:7" x14ac:dyDescent="0.2">
      <c r="C483" s="9">
        <v>4244</v>
      </c>
      <c r="D483" s="9" t="s">
        <v>1989</v>
      </c>
      <c r="E483" s="9" t="s">
        <v>1989</v>
      </c>
      <c r="F483" s="7" t="s">
        <v>2446</v>
      </c>
      <c r="G483" s="9" t="s">
        <v>2147</v>
      </c>
    </row>
    <row r="484" spans="3:7" x14ac:dyDescent="0.2">
      <c r="C484" s="9">
        <v>4303</v>
      </c>
      <c r="D484" s="9" t="s">
        <v>1083</v>
      </c>
      <c r="E484" s="9" t="s">
        <v>1083</v>
      </c>
      <c r="F484" s="7" t="s">
        <v>2447</v>
      </c>
      <c r="G484" s="9" t="s">
        <v>2147</v>
      </c>
    </row>
    <row r="485" spans="3:7" x14ac:dyDescent="0.2">
      <c r="C485" s="9">
        <v>4307</v>
      </c>
      <c r="D485" s="9" t="s">
        <v>1083</v>
      </c>
      <c r="E485" s="9"/>
      <c r="F485" s="7" t="s">
        <v>2448</v>
      </c>
      <c r="G485" s="9" t="s">
        <v>2147</v>
      </c>
    </row>
    <row r="486" spans="3:7" x14ac:dyDescent="0.2">
      <c r="C486" s="9">
        <v>4321</v>
      </c>
      <c r="D486" s="9" t="s">
        <v>1083</v>
      </c>
      <c r="E486" s="9"/>
      <c r="F486" s="7" t="s">
        <v>2449</v>
      </c>
      <c r="G486" s="9" t="s">
        <v>2147</v>
      </c>
    </row>
    <row r="487" spans="3:7" x14ac:dyDescent="0.2">
      <c r="C487" s="9">
        <v>4444</v>
      </c>
      <c r="D487" s="9" t="s">
        <v>1989</v>
      </c>
      <c r="E487" s="9" t="s">
        <v>1989</v>
      </c>
      <c r="F487" s="7" t="s">
        <v>2450</v>
      </c>
      <c r="G487" s="9" t="s">
        <v>2147</v>
      </c>
    </row>
    <row r="488" spans="3:7" x14ac:dyDescent="0.2">
      <c r="C488" s="9">
        <v>4444</v>
      </c>
      <c r="D488" s="9" t="s">
        <v>1989</v>
      </c>
      <c r="E488" s="9" t="s">
        <v>1989</v>
      </c>
      <c r="F488" s="7" t="s">
        <v>2451</v>
      </c>
      <c r="G488" s="9" t="s">
        <v>2147</v>
      </c>
    </row>
    <row r="489" spans="3:7" x14ac:dyDescent="0.2">
      <c r="C489" s="9">
        <v>4444</v>
      </c>
      <c r="D489" s="9" t="s">
        <v>1989</v>
      </c>
      <c r="E489" s="9" t="s">
        <v>1989</v>
      </c>
      <c r="F489" s="7" t="s">
        <v>2452</v>
      </c>
      <c r="G489" s="9" t="s">
        <v>2147</v>
      </c>
    </row>
    <row r="490" spans="3:7" x14ac:dyDescent="0.2">
      <c r="C490" s="9" t="s">
        <v>2453</v>
      </c>
      <c r="D490" s="9" t="s">
        <v>1989</v>
      </c>
      <c r="E490" s="9"/>
      <c r="F490" s="7" t="s">
        <v>2454</v>
      </c>
      <c r="G490" s="9" t="s">
        <v>2147</v>
      </c>
    </row>
    <row r="491" spans="3:7" x14ac:dyDescent="0.2">
      <c r="C491" s="9">
        <v>4486</v>
      </c>
      <c r="D491" s="9" t="s">
        <v>1083</v>
      </c>
      <c r="E491" s="9" t="s">
        <v>1083</v>
      </c>
      <c r="F491" s="7" t="s">
        <v>2455</v>
      </c>
      <c r="G491" s="9" t="s">
        <v>2147</v>
      </c>
    </row>
    <row r="492" spans="3:7" x14ac:dyDescent="0.2">
      <c r="C492" s="9">
        <v>4488</v>
      </c>
      <c r="D492" s="9" t="s">
        <v>1083</v>
      </c>
      <c r="E492" s="9" t="s">
        <v>2155</v>
      </c>
      <c r="F492" s="7" t="s">
        <v>2456</v>
      </c>
      <c r="G492" s="9" t="s">
        <v>2147</v>
      </c>
    </row>
    <row r="493" spans="3:7" x14ac:dyDescent="0.2">
      <c r="C493" s="9">
        <v>4500</v>
      </c>
      <c r="D493" s="9" t="s">
        <v>2155</v>
      </c>
      <c r="E493" s="9" t="s">
        <v>1083</v>
      </c>
      <c r="F493" s="7" t="s">
        <v>2457</v>
      </c>
      <c r="G493" s="9" t="s">
        <v>2147</v>
      </c>
    </row>
    <row r="494" spans="3:7" x14ac:dyDescent="0.2">
      <c r="C494" s="9" t="s">
        <v>2458</v>
      </c>
      <c r="D494" s="9" t="s">
        <v>1083</v>
      </c>
      <c r="E494" s="9"/>
      <c r="F494" s="7" t="s">
        <v>2459</v>
      </c>
      <c r="G494" s="9" t="s">
        <v>2147</v>
      </c>
    </row>
    <row r="495" spans="3:7" x14ac:dyDescent="0.2">
      <c r="C495" s="9" t="s">
        <v>2460</v>
      </c>
      <c r="D495" s="9" t="s">
        <v>1989</v>
      </c>
      <c r="E495" s="9"/>
      <c r="F495" s="7" t="s">
        <v>2461</v>
      </c>
      <c r="G495" s="9" t="s">
        <v>2147</v>
      </c>
    </row>
    <row r="496" spans="3:7" x14ac:dyDescent="0.2">
      <c r="C496" s="9">
        <v>4534</v>
      </c>
      <c r="D496" s="9"/>
      <c r="E496" s="9" t="s">
        <v>1989</v>
      </c>
      <c r="F496" s="7" t="s">
        <v>2462</v>
      </c>
      <c r="G496" s="9" t="s">
        <v>2147</v>
      </c>
    </row>
    <row r="497" spans="3:7" x14ac:dyDescent="0.2">
      <c r="C497" s="9">
        <v>4560</v>
      </c>
      <c r="D497" s="9" t="s">
        <v>1989</v>
      </c>
      <c r="E497" s="9"/>
      <c r="F497" s="7" t="s">
        <v>2463</v>
      </c>
      <c r="G497" s="9" t="s">
        <v>2147</v>
      </c>
    </row>
    <row r="498" spans="3:7" x14ac:dyDescent="0.2">
      <c r="C498" s="9">
        <v>4567</v>
      </c>
      <c r="D498" s="9" t="s">
        <v>1989</v>
      </c>
      <c r="E498" s="9"/>
      <c r="F498" s="7" t="s">
        <v>2464</v>
      </c>
      <c r="G498" s="9" t="s">
        <v>2147</v>
      </c>
    </row>
    <row r="499" spans="3:7" x14ac:dyDescent="0.2">
      <c r="C499" s="9">
        <v>4569</v>
      </c>
      <c r="D499" s="9"/>
      <c r="E499" s="9" t="s">
        <v>1083</v>
      </c>
      <c r="F499" s="7" t="s">
        <v>2465</v>
      </c>
      <c r="G499" s="9" t="s">
        <v>2147</v>
      </c>
    </row>
    <row r="500" spans="3:7" x14ac:dyDescent="0.2">
      <c r="C500" s="9">
        <v>4604</v>
      </c>
      <c r="D500" s="9" t="s">
        <v>1083</v>
      </c>
      <c r="E500" s="9"/>
      <c r="F500" s="7" t="s">
        <v>2466</v>
      </c>
      <c r="G500" s="9" t="s">
        <v>2147</v>
      </c>
    </row>
    <row r="501" spans="3:7" x14ac:dyDescent="0.2">
      <c r="C501" s="9">
        <v>4605</v>
      </c>
      <c r="D501" s="9" t="s">
        <v>1083</v>
      </c>
      <c r="E501" s="9"/>
      <c r="F501" s="7" t="s">
        <v>2467</v>
      </c>
      <c r="G501" s="9" t="s">
        <v>2147</v>
      </c>
    </row>
    <row r="502" spans="3:7" x14ac:dyDescent="0.2">
      <c r="C502" s="9" t="s">
        <v>2468</v>
      </c>
      <c r="D502" s="9" t="s">
        <v>1989</v>
      </c>
      <c r="E502" s="9"/>
      <c r="F502" s="7" t="s">
        <v>2469</v>
      </c>
      <c r="G502" s="9" t="s">
        <v>2147</v>
      </c>
    </row>
    <row r="503" spans="3:7" x14ac:dyDescent="0.2">
      <c r="C503" s="9">
        <v>4662</v>
      </c>
      <c r="D503" s="9" t="s">
        <v>1083</v>
      </c>
      <c r="E503" s="9" t="s">
        <v>1083</v>
      </c>
      <c r="F503" s="7" t="s">
        <v>2470</v>
      </c>
      <c r="G503" s="9" t="s">
        <v>2147</v>
      </c>
    </row>
    <row r="504" spans="3:7" x14ac:dyDescent="0.2">
      <c r="C504" s="9">
        <v>4662</v>
      </c>
      <c r="D504" s="9" t="s">
        <v>1989</v>
      </c>
      <c r="E504" s="9"/>
      <c r="F504" s="7" t="s">
        <v>2471</v>
      </c>
      <c r="G504" s="9" t="s">
        <v>2147</v>
      </c>
    </row>
    <row r="505" spans="3:7" x14ac:dyDescent="0.2">
      <c r="C505" s="9">
        <v>4664</v>
      </c>
      <c r="D505" s="9" t="s">
        <v>1989</v>
      </c>
      <c r="E505" s="9"/>
      <c r="F505" s="7" t="s">
        <v>2472</v>
      </c>
      <c r="G505" s="9" t="s">
        <v>2147</v>
      </c>
    </row>
    <row r="506" spans="3:7" x14ac:dyDescent="0.2">
      <c r="C506" s="9">
        <v>4672</v>
      </c>
      <c r="D506" s="9"/>
      <c r="E506" s="9" t="s">
        <v>1989</v>
      </c>
      <c r="F506" s="7" t="s">
        <v>2471</v>
      </c>
      <c r="G506" s="9" t="s">
        <v>2147</v>
      </c>
    </row>
    <row r="507" spans="3:7" x14ac:dyDescent="0.2">
      <c r="C507" s="9">
        <v>4711</v>
      </c>
      <c r="D507" s="9" t="s">
        <v>1989</v>
      </c>
      <c r="E507" s="9"/>
      <c r="F507" s="7" t="s">
        <v>2473</v>
      </c>
      <c r="G507" s="9" t="s">
        <v>2147</v>
      </c>
    </row>
    <row r="508" spans="3:7" x14ac:dyDescent="0.2">
      <c r="C508" s="9">
        <v>4713</v>
      </c>
      <c r="D508" s="9" t="s">
        <v>1989</v>
      </c>
      <c r="E508" s="9"/>
      <c r="F508" s="7" t="s">
        <v>2474</v>
      </c>
      <c r="G508" s="9" t="s">
        <v>2147</v>
      </c>
    </row>
    <row r="509" spans="3:7" x14ac:dyDescent="0.2">
      <c r="C509" s="9">
        <v>4728</v>
      </c>
      <c r="D509" s="9" t="s">
        <v>1083</v>
      </c>
      <c r="E509" s="9"/>
      <c r="F509" s="7" t="s">
        <v>2475</v>
      </c>
      <c r="G509" s="9" t="s">
        <v>2147</v>
      </c>
    </row>
    <row r="510" spans="3:7" x14ac:dyDescent="0.2">
      <c r="C510" s="9">
        <v>4730</v>
      </c>
      <c r="D510" s="9" t="s">
        <v>1083</v>
      </c>
      <c r="E510" s="9" t="s">
        <v>1083</v>
      </c>
      <c r="F510" s="7" t="s">
        <v>2476</v>
      </c>
      <c r="G510" s="9" t="s">
        <v>2147</v>
      </c>
    </row>
    <row r="511" spans="3:7" x14ac:dyDescent="0.2">
      <c r="C511" s="9">
        <v>4739</v>
      </c>
      <c r="D511" s="9" t="s">
        <v>1083</v>
      </c>
      <c r="E511" s="9" t="s">
        <v>1083</v>
      </c>
      <c r="F511" s="7" t="s">
        <v>2477</v>
      </c>
      <c r="G511" s="9" t="s">
        <v>2147</v>
      </c>
    </row>
    <row r="512" spans="3:7" x14ac:dyDescent="0.2">
      <c r="C512" s="9">
        <v>4747</v>
      </c>
      <c r="D512" s="9" t="s">
        <v>1989</v>
      </c>
      <c r="E512" s="9"/>
      <c r="F512" s="7" t="s">
        <v>2478</v>
      </c>
      <c r="G512" s="9" t="s">
        <v>2147</v>
      </c>
    </row>
    <row r="513" spans="3:7" x14ac:dyDescent="0.2">
      <c r="C513" s="9">
        <v>4753</v>
      </c>
      <c r="D513" s="9" t="s">
        <v>1083</v>
      </c>
      <c r="E513" s="9" t="s">
        <v>1083</v>
      </c>
      <c r="F513" s="7" t="s">
        <v>2479</v>
      </c>
      <c r="G513" s="9" t="s">
        <v>2147</v>
      </c>
    </row>
    <row r="514" spans="3:7" x14ac:dyDescent="0.2">
      <c r="C514" s="9">
        <v>4789</v>
      </c>
      <c r="D514" s="9"/>
      <c r="E514" s="9" t="s">
        <v>1083</v>
      </c>
      <c r="F514" s="7" t="s">
        <v>2480</v>
      </c>
      <c r="G514" s="9" t="s">
        <v>2147</v>
      </c>
    </row>
    <row r="515" spans="3:7" x14ac:dyDescent="0.2">
      <c r="C515" s="9">
        <v>4791</v>
      </c>
      <c r="D515" s="9"/>
      <c r="E515" s="9" t="s">
        <v>1083</v>
      </c>
      <c r="F515" s="7" t="s">
        <v>2481</v>
      </c>
      <c r="G515" s="9" t="s">
        <v>2147</v>
      </c>
    </row>
    <row r="516" spans="3:7" x14ac:dyDescent="0.2">
      <c r="C516" s="9">
        <v>4840</v>
      </c>
      <c r="D516" s="9" t="s">
        <v>1083</v>
      </c>
      <c r="E516" s="9" t="s">
        <v>1083</v>
      </c>
      <c r="F516" s="7" t="s">
        <v>2482</v>
      </c>
      <c r="G516" s="9" t="s">
        <v>2147</v>
      </c>
    </row>
    <row r="517" spans="3:7" x14ac:dyDescent="0.2">
      <c r="C517" s="9">
        <v>4843</v>
      </c>
      <c r="D517" s="9" t="s">
        <v>1083</v>
      </c>
      <c r="E517" s="9" t="s">
        <v>1083</v>
      </c>
      <c r="F517" s="7" t="s">
        <v>2483</v>
      </c>
      <c r="G517" s="9" t="s">
        <v>2147</v>
      </c>
    </row>
    <row r="518" spans="3:7" x14ac:dyDescent="0.2">
      <c r="C518" s="9">
        <v>4847</v>
      </c>
      <c r="D518" s="9" t="s">
        <v>1083</v>
      </c>
      <c r="E518" s="9" t="s">
        <v>1083</v>
      </c>
      <c r="F518" s="7" t="s">
        <v>2484</v>
      </c>
      <c r="G518" s="9" t="s">
        <v>2147</v>
      </c>
    </row>
    <row r="519" spans="3:7" x14ac:dyDescent="0.2">
      <c r="C519" s="9">
        <v>4848</v>
      </c>
      <c r="D519" s="9" t="s">
        <v>1989</v>
      </c>
      <c r="E519" s="9"/>
      <c r="F519" s="7" t="s">
        <v>2485</v>
      </c>
      <c r="G519" s="9" t="s">
        <v>2147</v>
      </c>
    </row>
    <row r="520" spans="3:7" x14ac:dyDescent="0.2">
      <c r="C520" s="9">
        <v>4894</v>
      </c>
      <c r="D520" s="9" t="s">
        <v>1083</v>
      </c>
      <c r="E520" s="9" t="s">
        <v>1083</v>
      </c>
      <c r="F520" s="7" t="s">
        <v>2486</v>
      </c>
      <c r="G520" s="9" t="s">
        <v>2147</v>
      </c>
    </row>
    <row r="521" spans="3:7" x14ac:dyDescent="0.2">
      <c r="C521" s="9">
        <v>4944</v>
      </c>
      <c r="D521" s="9" t="s">
        <v>293</v>
      </c>
      <c r="E521" s="9" t="s">
        <v>1989</v>
      </c>
      <c r="F521" s="7" t="s">
        <v>2487</v>
      </c>
      <c r="G521" s="9" t="s">
        <v>2147</v>
      </c>
    </row>
    <row r="522" spans="3:7" x14ac:dyDescent="0.2">
      <c r="C522" s="9">
        <v>4949</v>
      </c>
      <c r="D522" s="9" t="s">
        <v>1083</v>
      </c>
      <c r="E522" s="9"/>
      <c r="F522" s="7" t="s">
        <v>2488</v>
      </c>
      <c r="G522" s="9" t="s">
        <v>2147</v>
      </c>
    </row>
    <row r="523" spans="3:7" x14ac:dyDescent="0.2">
      <c r="C523" s="9">
        <v>4950</v>
      </c>
      <c r="D523" s="9" t="s">
        <v>1083</v>
      </c>
      <c r="E523" s="9" t="s">
        <v>1083</v>
      </c>
      <c r="F523" s="7" t="s">
        <v>2489</v>
      </c>
      <c r="G523" s="9" t="s">
        <v>2147</v>
      </c>
    </row>
    <row r="524" spans="3:7" x14ac:dyDescent="0.2">
      <c r="C524" s="9">
        <v>5000</v>
      </c>
      <c r="D524" s="9" t="s">
        <v>1989</v>
      </c>
      <c r="E524" s="9"/>
      <c r="F524" s="7" t="s">
        <v>2490</v>
      </c>
      <c r="G524" s="9" t="s">
        <v>2147</v>
      </c>
    </row>
    <row r="525" spans="3:7" x14ac:dyDescent="0.2">
      <c r="C525" s="9">
        <v>5000</v>
      </c>
      <c r="D525" s="9" t="s">
        <v>1989</v>
      </c>
      <c r="E525" s="9" t="s">
        <v>1989</v>
      </c>
      <c r="F525" s="7" t="s">
        <v>2491</v>
      </c>
      <c r="G525" s="9" t="s">
        <v>2147</v>
      </c>
    </row>
    <row r="526" spans="3:7" x14ac:dyDescent="0.2">
      <c r="C526" s="9">
        <v>5000</v>
      </c>
      <c r="D526" s="9" t="s">
        <v>1989</v>
      </c>
      <c r="E526" s="9"/>
      <c r="F526" s="7" t="s">
        <v>2492</v>
      </c>
      <c r="G526" s="9" t="s">
        <v>2147</v>
      </c>
    </row>
    <row r="527" spans="3:7" x14ac:dyDescent="0.2">
      <c r="C527" s="9">
        <v>5000</v>
      </c>
      <c r="D527" s="9"/>
      <c r="E527" s="9" t="s">
        <v>1989</v>
      </c>
      <c r="F527" s="7" t="s">
        <v>2493</v>
      </c>
      <c r="G527" s="9" t="s">
        <v>2147</v>
      </c>
    </row>
    <row r="528" spans="3:7" x14ac:dyDescent="0.2">
      <c r="C528" s="9">
        <v>5000</v>
      </c>
      <c r="D528" s="9" t="s">
        <v>1989</v>
      </c>
      <c r="E528" s="9"/>
      <c r="F528" s="7" t="s">
        <v>2494</v>
      </c>
      <c r="G528" s="9" t="s">
        <v>2147</v>
      </c>
    </row>
    <row r="529" spans="3:7" x14ac:dyDescent="0.2">
      <c r="C529" s="9">
        <v>5000</v>
      </c>
      <c r="D529" s="9" t="s">
        <v>1989</v>
      </c>
      <c r="E529" s="9"/>
      <c r="F529" s="7" t="s">
        <v>2495</v>
      </c>
      <c r="G529" s="9" t="s">
        <v>2147</v>
      </c>
    </row>
    <row r="530" spans="3:7" x14ac:dyDescent="0.2">
      <c r="C530" s="9">
        <v>5000</v>
      </c>
      <c r="D530" s="9" t="s">
        <v>1989</v>
      </c>
      <c r="E530" s="9"/>
      <c r="F530" s="7" t="s">
        <v>2496</v>
      </c>
      <c r="G530" s="9" t="s">
        <v>2147</v>
      </c>
    </row>
    <row r="531" spans="3:7" x14ac:dyDescent="0.2">
      <c r="C531" s="9">
        <v>5000</v>
      </c>
      <c r="D531" s="9" t="s">
        <v>1989</v>
      </c>
      <c r="E531" s="9" t="s">
        <v>1989</v>
      </c>
      <c r="F531" s="7" t="s">
        <v>2497</v>
      </c>
      <c r="G531" s="9" t="s">
        <v>2147</v>
      </c>
    </row>
    <row r="532" spans="3:7" x14ac:dyDescent="0.2">
      <c r="C532" s="9">
        <v>5000</v>
      </c>
      <c r="D532" s="9" t="s">
        <v>1989</v>
      </c>
      <c r="E532" s="9"/>
      <c r="F532" s="7" t="s">
        <v>2498</v>
      </c>
      <c r="G532" s="9" t="s">
        <v>2147</v>
      </c>
    </row>
    <row r="533" spans="3:7" x14ac:dyDescent="0.2">
      <c r="C533" s="9">
        <v>5000</v>
      </c>
      <c r="D533" s="9" t="s">
        <v>1989</v>
      </c>
      <c r="E533" s="9" t="s">
        <v>1989</v>
      </c>
      <c r="F533" s="7" t="s">
        <v>2499</v>
      </c>
      <c r="G533" s="9" t="s">
        <v>2147</v>
      </c>
    </row>
    <row r="534" spans="3:7" x14ac:dyDescent="0.2">
      <c r="C534" s="9">
        <v>5000</v>
      </c>
      <c r="D534" s="9" t="s">
        <v>1989</v>
      </c>
      <c r="E534" s="9"/>
      <c r="F534" s="7" t="s">
        <v>2500</v>
      </c>
      <c r="G534" s="9" t="s">
        <v>2147</v>
      </c>
    </row>
    <row r="535" spans="3:7" x14ac:dyDescent="0.2">
      <c r="C535" s="9">
        <v>5000</v>
      </c>
      <c r="D535" s="9" t="s">
        <v>1989</v>
      </c>
      <c r="E535" s="9"/>
      <c r="F535" s="7" t="s">
        <v>2501</v>
      </c>
      <c r="G535" s="9" t="s">
        <v>2147</v>
      </c>
    </row>
    <row r="536" spans="3:7" x14ac:dyDescent="0.2">
      <c r="C536" s="9" t="s">
        <v>2502</v>
      </c>
      <c r="D536" s="9" t="s">
        <v>293</v>
      </c>
      <c r="E536" s="9" t="s">
        <v>1989</v>
      </c>
      <c r="F536" s="7" t="s">
        <v>2503</v>
      </c>
      <c r="G536" s="9" t="s">
        <v>2147</v>
      </c>
    </row>
    <row r="537" spans="3:7" x14ac:dyDescent="0.2">
      <c r="C537" s="9">
        <v>5001</v>
      </c>
      <c r="D537" s="9" t="s">
        <v>1989</v>
      </c>
      <c r="E537" s="9"/>
      <c r="F537" s="7" t="s">
        <v>2504</v>
      </c>
      <c r="G537" s="9" t="s">
        <v>2147</v>
      </c>
    </row>
    <row r="538" spans="3:7" x14ac:dyDescent="0.2">
      <c r="C538" s="9">
        <v>5001</v>
      </c>
      <c r="D538" s="9" t="s">
        <v>1989</v>
      </c>
      <c r="E538" s="9" t="s">
        <v>1989</v>
      </c>
      <c r="F538" s="7" t="s">
        <v>2505</v>
      </c>
      <c r="G538" s="9" t="s">
        <v>2147</v>
      </c>
    </row>
    <row r="539" spans="3:7" x14ac:dyDescent="0.2">
      <c r="C539" s="9">
        <v>5001</v>
      </c>
      <c r="D539" s="9" t="s">
        <v>1989</v>
      </c>
      <c r="E539" s="9"/>
      <c r="F539" s="7" t="s">
        <v>2506</v>
      </c>
      <c r="G539" s="9" t="s">
        <v>2147</v>
      </c>
    </row>
    <row r="540" spans="3:7" x14ac:dyDescent="0.2">
      <c r="C540" s="9"/>
      <c r="D540" s="9" t="s">
        <v>1989</v>
      </c>
      <c r="E540" s="9"/>
      <c r="F540" s="7" t="s">
        <v>2507</v>
      </c>
      <c r="G540" s="9" t="s">
        <v>2147</v>
      </c>
    </row>
    <row r="541" spans="3:7" x14ac:dyDescent="0.2">
      <c r="C541" s="9">
        <v>5002</v>
      </c>
      <c r="D541" s="9" t="s">
        <v>1989</v>
      </c>
      <c r="E541" s="9"/>
      <c r="F541" s="7" t="s">
        <v>2508</v>
      </c>
      <c r="G541" s="9" t="s">
        <v>2147</v>
      </c>
    </row>
    <row r="542" spans="3:7" x14ac:dyDescent="0.2">
      <c r="C542" s="9">
        <v>5003</v>
      </c>
      <c r="D542" s="9" t="s">
        <v>1083</v>
      </c>
      <c r="E542" s="9" t="s">
        <v>2155</v>
      </c>
      <c r="F542" s="7" t="s">
        <v>2509</v>
      </c>
      <c r="G542" s="9" t="s">
        <v>2147</v>
      </c>
    </row>
    <row r="543" spans="3:7" x14ac:dyDescent="0.2">
      <c r="C543" s="9">
        <v>5004</v>
      </c>
      <c r="D543" s="9" t="s">
        <v>1083</v>
      </c>
      <c r="E543" s="9" t="s">
        <v>1083</v>
      </c>
      <c r="F543" s="7" t="s">
        <v>2510</v>
      </c>
      <c r="G543" s="9" t="s">
        <v>2147</v>
      </c>
    </row>
    <row r="544" spans="3:7" x14ac:dyDescent="0.2">
      <c r="C544" s="9">
        <v>5005</v>
      </c>
      <c r="D544" s="9" t="s">
        <v>1083</v>
      </c>
      <c r="E544" s="9" t="s">
        <v>1083</v>
      </c>
      <c r="F544" s="7" t="s">
        <v>2511</v>
      </c>
      <c r="G544" s="9" t="s">
        <v>2147</v>
      </c>
    </row>
    <row r="545" spans="3:7" x14ac:dyDescent="0.2">
      <c r="C545" s="9">
        <v>5007</v>
      </c>
      <c r="D545" s="9" t="s">
        <v>1989</v>
      </c>
      <c r="E545" s="9"/>
      <c r="F545" s="7" t="s">
        <v>2512</v>
      </c>
      <c r="G545" s="9" t="s">
        <v>2147</v>
      </c>
    </row>
    <row r="546" spans="3:7" x14ac:dyDescent="0.2">
      <c r="C546" s="9">
        <v>5010</v>
      </c>
      <c r="D546" s="9" t="s">
        <v>1083</v>
      </c>
      <c r="E546" s="9" t="s">
        <v>1083</v>
      </c>
      <c r="F546" s="7" t="s">
        <v>2513</v>
      </c>
      <c r="G546" s="9" t="s">
        <v>2147</v>
      </c>
    </row>
    <row r="547" spans="3:7" x14ac:dyDescent="0.2">
      <c r="C547" s="9">
        <v>5010</v>
      </c>
      <c r="D547" s="9" t="s">
        <v>1083</v>
      </c>
      <c r="E547" s="9" t="s">
        <v>1083</v>
      </c>
      <c r="F547" s="7" t="s">
        <v>2514</v>
      </c>
      <c r="G547" s="9" t="s">
        <v>2147</v>
      </c>
    </row>
    <row r="548" spans="3:7" x14ac:dyDescent="0.2">
      <c r="C548" s="9">
        <v>5011</v>
      </c>
      <c r="D548" s="9" t="s">
        <v>1083</v>
      </c>
      <c r="E548" s="9" t="s">
        <v>1083</v>
      </c>
      <c r="F548" s="7" t="s">
        <v>2515</v>
      </c>
      <c r="G548" s="9" t="s">
        <v>2147</v>
      </c>
    </row>
    <row r="549" spans="3:7" x14ac:dyDescent="0.2">
      <c r="C549" s="9">
        <v>5025</v>
      </c>
      <c r="D549" s="9" t="s">
        <v>1083</v>
      </c>
      <c r="E549" s="9" t="s">
        <v>1083</v>
      </c>
      <c r="F549" s="7" t="s">
        <v>2516</v>
      </c>
      <c r="G549" s="9" t="s">
        <v>2147</v>
      </c>
    </row>
    <row r="550" spans="3:7" x14ac:dyDescent="0.2">
      <c r="C550" s="9">
        <v>5029</v>
      </c>
      <c r="D550" s="9"/>
      <c r="E550" s="9" t="s">
        <v>1989</v>
      </c>
      <c r="F550" s="7" t="s">
        <v>2517</v>
      </c>
      <c r="G550" s="9" t="s">
        <v>2147</v>
      </c>
    </row>
    <row r="551" spans="3:7" x14ac:dyDescent="0.2">
      <c r="C551" s="9">
        <v>5031</v>
      </c>
      <c r="D551" s="9" t="s">
        <v>1989</v>
      </c>
      <c r="E551" s="9" t="s">
        <v>1989</v>
      </c>
      <c r="F551" s="7" t="s">
        <v>2518</v>
      </c>
      <c r="G551" s="9" t="s">
        <v>2147</v>
      </c>
    </row>
    <row r="552" spans="3:7" x14ac:dyDescent="0.2">
      <c r="C552" s="9">
        <v>5037</v>
      </c>
      <c r="D552" s="9" t="s">
        <v>1989</v>
      </c>
      <c r="E552" s="9"/>
      <c r="F552" s="7" t="s">
        <v>2519</v>
      </c>
      <c r="G552" s="9" t="s">
        <v>2147</v>
      </c>
    </row>
    <row r="553" spans="3:7" x14ac:dyDescent="0.2">
      <c r="C553" s="9">
        <v>5044</v>
      </c>
      <c r="D553" s="9" t="s">
        <v>1083</v>
      </c>
      <c r="E553" s="9"/>
      <c r="F553" s="7" t="s">
        <v>2520</v>
      </c>
      <c r="G553" s="9" t="s">
        <v>2147</v>
      </c>
    </row>
    <row r="554" spans="3:7" x14ac:dyDescent="0.2">
      <c r="C554" s="9">
        <v>5048</v>
      </c>
      <c r="D554" s="9" t="s">
        <v>1083</v>
      </c>
      <c r="E554" s="9"/>
      <c r="F554" s="7" t="s">
        <v>2521</v>
      </c>
      <c r="G554" s="9" t="s">
        <v>2147</v>
      </c>
    </row>
    <row r="555" spans="3:7" x14ac:dyDescent="0.2">
      <c r="C555" s="9">
        <v>5050</v>
      </c>
      <c r="D555" s="9" t="s">
        <v>1989</v>
      </c>
      <c r="E555" s="9"/>
      <c r="F555" s="7" t="s">
        <v>2522</v>
      </c>
      <c r="G555" s="9" t="s">
        <v>2147</v>
      </c>
    </row>
    <row r="556" spans="3:7" x14ac:dyDescent="0.2">
      <c r="C556" s="9">
        <v>5051</v>
      </c>
      <c r="D556" s="9" t="s">
        <v>1083</v>
      </c>
      <c r="E556" s="9"/>
      <c r="F556" s="7" t="s">
        <v>2523</v>
      </c>
      <c r="G556" s="9" t="s">
        <v>2147</v>
      </c>
    </row>
    <row r="557" spans="3:7" x14ac:dyDescent="0.2">
      <c r="C557" s="9">
        <v>5060</v>
      </c>
      <c r="D557" s="9" t="s">
        <v>1083</v>
      </c>
      <c r="E557" s="9" t="s">
        <v>1083</v>
      </c>
      <c r="F557" s="7" t="s">
        <v>2524</v>
      </c>
      <c r="G557" s="9" t="s">
        <v>2147</v>
      </c>
    </row>
    <row r="558" spans="3:7" x14ac:dyDescent="0.2">
      <c r="C558" s="9">
        <v>5061</v>
      </c>
      <c r="D558" s="9" t="s">
        <v>1083</v>
      </c>
      <c r="E558" s="9"/>
      <c r="F558" s="7" t="s">
        <v>2525</v>
      </c>
      <c r="G558" s="9" t="s">
        <v>2147</v>
      </c>
    </row>
    <row r="559" spans="3:7" x14ac:dyDescent="0.2">
      <c r="C559" s="9">
        <v>5062</v>
      </c>
      <c r="D559" s="9" t="s">
        <v>1083</v>
      </c>
      <c r="E559" s="9" t="s">
        <v>1083</v>
      </c>
      <c r="F559" s="7" t="s">
        <v>2526</v>
      </c>
      <c r="G559" s="9" t="s">
        <v>2147</v>
      </c>
    </row>
    <row r="560" spans="3:7" x14ac:dyDescent="0.2">
      <c r="C560" s="9">
        <v>5064</v>
      </c>
      <c r="D560" s="9" t="s">
        <v>1083</v>
      </c>
      <c r="E560" s="9" t="s">
        <v>1083</v>
      </c>
      <c r="F560" s="7" t="s">
        <v>2527</v>
      </c>
      <c r="G560" s="9" t="s">
        <v>2147</v>
      </c>
    </row>
    <row r="561" spans="3:7" x14ac:dyDescent="0.2">
      <c r="C561" s="9">
        <v>5065</v>
      </c>
      <c r="D561" s="9" t="s">
        <v>2155</v>
      </c>
      <c r="E561" s="9" t="s">
        <v>1083</v>
      </c>
      <c r="F561" s="7" t="s">
        <v>2528</v>
      </c>
      <c r="G561" s="9" t="s">
        <v>2147</v>
      </c>
    </row>
    <row r="562" spans="3:7" x14ac:dyDescent="0.2">
      <c r="C562" s="9">
        <v>5070</v>
      </c>
      <c r="D562" s="9" t="s">
        <v>1989</v>
      </c>
      <c r="E562" s="9" t="s">
        <v>293</v>
      </c>
      <c r="F562" s="7" t="s">
        <v>2529</v>
      </c>
      <c r="G562" s="9" t="s">
        <v>2147</v>
      </c>
    </row>
    <row r="563" spans="3:7" x14ac:dyDescent="0.2">
      <c r="C563" s="9">
        <v>5084</v>
      </c>
      <c r="D563" s="9" t="s">
        <v>1083</v>
      </c>
      <c r="E563" s="9" t="s">
        <v>1083</v>
      </c>
      <c r="F563" s="7" t="s">
        <v>2530</v>
      </c>
      <c r="G563" s="9" t="s">
        <v>2147</v>
      </c>
    </row>
    <row r="564" spans="3:7" x14ac:dyDescent="0.2">
      <c r="C564" s="9">
        <v>5085</v>
      </c>
      <c r="D564" s="9" t="s">
        <v>1083</v>
      </c>
      <c r="E564" s="9" t="s">
        <v>1083</v>
      </c>
      <c r="F564" s="7" t="s">
        <v>2531</v>
      </c>
      <c r="G564" s="9" t="s">
        <v>2147</v>
      </c>
    </row>
    <row r="565" spans="3:7" x14ac:dyDescent="0.2">
      <c r="C565" s="9">
        <v>5090</v>
      </c>
      <c r="D565" s="9" t="s">
        <v>1989</v>
      </c>
      <c r="E565" s="9" t="s">
        <v>1989</v>
      </c>
      <c r="F565" s="7" t="s">
        <v>2532</v>
      </c>
      <c r="G565" s="9" t="s">
        <v>2147</v>
      </c>
    </row>
    <row r="566" spans="3:7" x14ac:dyDescent="0.2">
      <c r="C566" s="9">
        <v>5093</v>
      </c>
      <c r="D566" s="9"/>
      <c r="E566" s="9" t="s">
        <v>1083</v>
      </c>
      <c r="F566" s="7" t="s">
        <v>2533</v>
      </c>
      <c r="G566" s="9" t="s">
        <v>2147</v>
      </c>
    </row>
    <row r="567" spans="3:7" x14ac:dyDescent="0.2">
      <c r="C567" s="9">
        <v>5099</v>
      </c>
      <c r="D567" s="9" t="s">
        <v>1083</v>
      </c>
      <c r="E567" s="9" t="s">
        <v>1083</v>
      </c>
      <c r="F567" s="7" t="s">
        <v>2534</v>
      </c>
      <c r="G567" s="9" t="s">
        <v>2147</v>
      </c>
    </row>
    <row r="568" spans="3:7" x14ac:dyDescent="0.2">
      <c r="C568" s="9">
        <v>5104</v>
      </c>
      <c r="D568" s="9" t="s">
        <v>1989</v>
      </c>
      <c r="E568" s="9"/>
      <c r="F568" s="7" t="s">
        <v>2535</v>
      </c>
      <c r="G568" s="9" t="s">
        <v>2147</v>
      </c>
    </row>
    <row r="569" spans="3:7" x14ac:dyDescent="0.2">
      <c r="C569" s="9">
        <v>5121</v>
      </c>
      <c r="D569" s="9" t="s">
        <v>1989</v>
      </c>
      <c r="E569" s="9"/>
      <c r="F569" s="7" t="s">
        <v>2536</v>
      </c>
      <c r="G569" s="9" t="s">
        <v>2147</v>
      </c>
    </row>
    <row r="570" spans="3:7" x14ac:dyDescent="0.2">
      <c r="C570" s="9">
        <v>5124</v>
      </c>
      <c r="D570" s="9" t="s">
        <v>1989</v>
      </c>
      <c r="E570" s="9" t="s">
        <v>1989</v>
      </c>
      <c r="F570" s="7" t="s">
        <v>2537</v>
      </c>
      <c r="G570" s="9" t="s">
        <v>2147</v>
      </c>
    </row>
    <row r="571" spans="3:7" x14ac:dyDescent="0.2">
      <c r="C571" s="9">
        <v>5125</v>
      </c>
      <c r="D571" s="9" t="s">
        <v>1989</v>
      </c>
      <c r="E571" s="9" t="s">
        <v>1989</v>
      </c>
      <c r="F571" s="7" t="s">
        <v>2538</v>
      </c>
      <c r="G571" s="9" t="s">
        <v>2147</v>
      </c>
    </row>
    <row r="572" spans="3:7" x14ac:dyDescent="0.2">
      <c r="C572" s="9">
        <v>5150</v>
      </c>
      <c r="D572" s="9" t="s">
        <v>1083</v>
      </c>
      <c r="E572" s="9" t="s">
        <v>1083</v>
      </c>
      <c r="F572" s="7" t="s">
        <v>2539</v>
      </c>
      <c r="G572" s="9" t="s">
        <v>2147</v>
      </c>
    </row>
    <row r="573" spans="3:7" x14ac:dyDescent="0.2">
      <c r="C573" s="9">
        <v>5151</v>
      </c>
      <c r="D573" s="9" t="s">
        <v>1083</v>
      </c>
      <c r="E573" s="9"/>
      <c r="F573" s="7" t="s">
        <v>2540</v>
      </c>
      <c r="G573" s="9" t="s">
        <v>2147</v>
      </c>
    </row>
    <row r="574" spans="3:7" x14ac:dyDescent="0.2">
      <c r="C574" s="9">
        <v>5151</v>
      </c>
      <c r="D574" s="9"/>
      <c r="E574" s="9" t="s">
        <v>1083</v>
      </c>
      <c r="F574" s="7" t="s">
        <v>2541</v>
      </c>
      <c r="G574" s="9" t="s">
        <v>2147</v>
      </c>
    </row>
    <row r="575" spans="3:7" x14ac:dyDescent="0.2">
      <c r="C575" s="9">
        <v>5154</v>
      </c>
      <c r="D575" s="9" t="s">
        <v>1083</v>
      </c>
      <c r="E575" s="9" t="s">
        <v>1083</v>
      </c>
      <c r="F575" s="7" t="s">
        <v>2542</v>
      </c>
      <c r="G575" s="9" t="s">
        <v>2147</v>
      </c>
    </row>
    <row r="576" spans="3:7" x14ac:dyDescent="0.2">
      <c r="C576" s="9">
        <v>5172</v>
      </c>
      <c r="D576" s="9" t="s">
        <v>1083</v>
      </c>
      <c r="E576" s="9"/>
      <c r="F576" s="7" t="s">
        <v>2543</v>
      </c>
      <c r="G576" s="9" t="s">
        <v>2147</v>
      </c>
    </row>
    <row r="577" spans="3:7" x14ac:dyDescent="0.2">
      <c r="C577" s="9">
        <v>5190</v>
      </c>
      <c r="D577" s="9" t="s">
        <v>1083</v>
      </c>
      <c r="E577" s="9" t="s">
        <v>1083</v>
      </c>
      <c r="F577" s="7" t="s">
        <v>2544</v>
      </c>
      <c r="G577" s="9" t="s">
        <v>2147</v>
      </c>
    </row>
    <row r="578" spans="3:7" x14ac:dyDescent="0.2">
      <c r="C578" s="9">
        <v>5198</v>
      </c>
      <c r="D578" s="9"/>
      <c r="E578" s="9" t="s">
        <v>1989</v>
      </c>
      <c r="F578" s="7" t="s">
        <v>2545</v>
      </c>
      <c r="G578" s="9" t="s">
        <v>2147</v>
      </c>
    </row>
    <row r="579" spans="3:7" x14ac:dyDescent="0.2">
      <c r="C579" s="9">
        <v>5199</v>
      </c>
      <c r="D579" s="9"/>
      <c r="E579" s="9" t="s">
        <v>1989</v>
      </c>
      <c r="F579" s="7" t="s">
        <v>2546</v>
      </c>
      <c r="G579" s="9" t="s">
        <v>2147</v>
      </c>
    </row>
    <row r="580" spans="3:7" x14ac:dyDescent="0.2">
      <c r="C580" s="9">
        <v>5200</v>
      </c>
      <c r="D580" s="9" t="s">
        <v>1989</v>
      </c>
      <c r="E580" s="9"/>
      <c r="F580" s="7" t="s">
        <v>2547</v>
      </c>
      <c r="G580" s="9" t="s">
        <v>2147</v>
      </c>
    </row>
    <row r="581" spans="3:7" x14ac:dyDescent="0.2">
      <c r="C581" s="9">
        <v>5201</v>
      </c>
      <c r="D581" s="9" t="s">
        <v>1989</v>
      </c>
      <c r="E581" s="9" t="s">
        <v>1989</v>
      </c>
      <c r="F581" s="7" t="s">
        <v>2548</v>
      </c>
      <c r="G581" s="9" t="s">
        <v>2147</v>
      </c>
    </row>
    <row r="582" spans="3:7" x14ac:dyDescent="0.2">
      <c r="C582" s="9">
        <v>5222</v>
      </c>
      <c r="D582" s="9" t="s">
        <v>1083</v>
      </c>
      <c r="E582" s="9" t="s">
        <v>2146</v>
      </c>
      <c r="F582" s="7" t="s">
        <v>2549</v>
      </c>
      <c r="G582" s="9" t="s">
        <v>2147</v>
      </c>
    </row>
    <row r="583" spans="3:7" x14ac:dyDescent="0.2">
      <c r="C583" s="9">
        <v>5223</v>
      </c>
      <c r="D583" s="9" t="s">
        <v>1989</v>
      </c>
      <c r="E583" s="9"/>
      <c r="F583" s="7" t="s">
        <v>2284</v>
      </c>
      <c r="G583" s="9" t="s">
        <v>2147</v>
      </c>
    </row>
    <row r="584" spans="3:7" x14ac:dyDescent="0.2">
      <c r="C584" s="9">
        <v>5223</v>
      </c>
      <c r="D584" s="9" t="s">
        <v>1989</v>
      </c>
      <c r="E584" s="9"/>
      <c r="F584" s="7" t="s">
        <v>2550</v>
      </c>
      <c r="G584" s="9" t="s">
        <v>2147</v>
      </c>
    </row>
    <row r="585" spans="3:7" x14ac:dyDescent="0.2">
      <c r="C585" s="9">
        <v>5228</v>
      </c>
      <c r="D585" s="9" t="s">
        <v>1083</v>
      </c>
      <c r="E585" s="9"/>
      <c r="F585" s="7" t="s">
        <v>2551</v>
      </c>
      <c r="G585" s="9" t="s">
        <v>2147</v>
      </c>
    </row>
    <row r="586" spans="3:7" x14ac:dyDescent="0.2">
      <c r="C586" s="9">
        <v>5228</v>
      </c>
      <c r="D586" s="9" t="s">
        <v>1989</v>
      </c>
      <c r="E586" s="9"/>
      <c r="F586" s="7" t="s">
        <v>2552</v>
      </c>
      <c r="G586" s="9" t="s">
        <v>2147</v>
      </c>
    </row>
    <row r="587" spans="3:7" x14ac:dyDescent="0.2">
      <c r="C587" s="9">
        <v>5242</v>
      </c>
      <c r="D587" s="9" t="s">
        <v>1989</v>
      </c>
      <c r="E587" s="9" t="s">
        <v>1989</v>
      </c>
      <c r="F587" s="7" t="s">
        <v>2446</v>
      </c>
      <c r="G587" s="9" t="s">
        <v>2147</v>
      </c>
    </row>
    <row r="588" spans="3:7" x14ac:dyDescent="0.2">
      <c r="C588" s="9">
        <v>5243</v>
      </c>
      <c r="D588" s="9" t="s">
        <v>1989</v>
      </c>
      <c r="E588" s="9" t="s">
        <v>1989</v>
      </c>
      <c r="F588" s="7" t="s">
        <v>2446</v>
      </c>
      <c r="G588" s="9" t="s">
        <v>2147</v>
      </c>
    </row>
    <row r="589" spans="3:7" x14ac:dyDescent="0.2">
      <c r="C589" s="9">
        <v>5246</v>
      </c>
      <c r="D589" s="9"/>
      <c r="E589" s="9" t="s">
        <v>1083</v>
      </c>
      <c r="F589" s="7" t="s">
        <v>2553</v>
      </c>
      <c r="G589" s="9" t="s">
        <v>2147</v>
      </c>
    </row>
    <row r="590" spans="3:7" x14ac:dyDescent="0.2">
      <c r="C590" s="9">
        <v>5247</v>
      </c>
      <c r="D590" s="9"/>
      <c r="E590" s="9" t="s">
        <v>1083</v>
      </c>
      <c r="F590" s="7" t="s">
        <v>2554</v>
      </c>
      <c r="G590" s="9" t="s">
        <v>2147</v>
      </c>
    </row>
    <row r="591" spans="3:7" x14ac:dyDescent="0.2">
      <c r="C591" s="9">
        <v>5269</v>
      </c>
      <c r="D591" s="9" t="s">
        <v>1083</v>
      </c>
      <c r="E591" s="9"/>
      <c r="F591" s="7" t="s">
        <v>2555</v>
      </c>
      <c r="G591" s="9" t="s">
        <v>2147</v>
      </c>
    </row>
    <row r="592" spans="3:7" x14ac:dyDescent="0.2">
      <c r="C592" s="9">
        <v>5280</v>
      </c>
      <c r="D592" s="9" t="s">
        <v>1083</v>
      </c>
      <c r="E592" s="9"/>
      <c r="F592" s="7" t="s">
        <v>2556</v>
      </c>
      <c r="G592" s="9" t="s">
        <v>2147</v>
      </c>
    </row>
    <row r="593" spans="3:7" x14ac:dyDescent="0.2">
      <c r="C593" s="9">
        <v>5281</v>
      </c>
      <c r="D593" s="9" t="s">
        <v>1989</v>
      </c>
      <c r="E593" s="9"/>
      <c r="F593" s="7" t="s">
        <v>2557</v>
      </c>
      <c r="G593" s="9" t="s">
        <v>2147</v>
      </c>
    </row>
    <row r="594" spans="3:7" x14ac:dyDescent="0.2">
      <c r="C594" s="9">
        <v>5298</v>
      </c>
      <c r="D594" s="9" t="s">
        <v>1083</v>
      </c>
      <c r="E594" s="9" t="s">
        <v>1083</v>
      </c>
      <c r="F594" s="7" t="s">
        <v>2558</v>
      </c>
      <c r="G594" s="9" t="s">
        <v>2147</v>
      </c>
    </row>
    <row r="595" spans="3:7" x14ac:dyDescent="0.2">
      <c r="C595" s="9">
        <v>5310</v>
      </c>
      <c r="D595" s="9" t="s">
        <v>2155</v>
      </c>
      <c r="E595" s="9" t="s">
        <v>1083</v>
      </c>
      <c r="F595" s="7" t="s">
        <v>2559</v>
      </c>
      <c r="G595" s="9" t="s">
        <v>2147</v>
      </c>
    </row>
    <row r="596" spans="3:7" x14ac:dyDescent="0.2">
      <c r="C596" s="9">
        <v>5318</v>
      </c>
      <c r="D596" s="9" t="s">
        <v>1083</v>
      </c>
      <c r="E596" s="9" t="s">
        <v>2146</v>
      </c>
      <c r="F596" s="7" t="s">
        <v>2560</v>
      </c>
      <c r="G596" s="9" t="s">
        <v>2147</v>
      </c>
    </row>
    <row r="597" spans="3:7" x14ac:dyDescent="0.2">
      <c r="C597" s="9">
        <v>5349</v>
      </c>
      <c r="D597" s="9" t="s">
        <v>1083</v>
      </c>
      <c r="E597" s="9" t="s">
        <v>1083</v>
      </c>
      <c r="F597" s="7" t="s">
        <v>2561</v>
      </c>
      <c r="G597" s="9" t="s">
        <v>2147</v>
      </c>
    </row>
    <row r="598" spans="3:7" x14ac:dyDescent="0.2">
      <c r="C598" s="9">
        <v>5349</v>
      </c>
      <c r="D598" s="9" t="s">
        <v>1083</v>
      </c>
      <c r="E598" s="9" t="s">
        <v>1083</v>
      </c>
      <c r="F598" s="7" t="s">
        <v>2562</v>
      </c>
      <c r="G598" s="9" t="s">
        <v>2147</v>
      </c>
    </row>
    <row r="599" spans="3:7" x14ac:dyDescent="0.2">
      <c r="C599" s="9">
        <v>5349</v>
      </c>
      <c r="D599" s="9" t="s">
        <v>1083</v>
      </c>
      <c r="E599" s="9" t="s">
        <v>2146</v>
      </c>
      <c r="F599" s="7" t="s">
        <v>2563</v>
      </c>
      <c r="G599" s="9" t="s">
        <v>2147</v>
      </c>
    </row>
    <row r="600" spans="3:7" x14ac:dyDescent="0.2">
      <c r="C600" s="9">
        <v>5351</v>
      </c>
      <c r="D600" s="9" t="s">
        <v>2146</v>
      </c>
      <c r="E600" s="9" t="s">
        <v>1083</v>
      </c>
      <c r="F600" s="7" t="s">
        <v>2564</v>
      </c>
      <c r="G600" s="9" t="s">
        <v>2147</v>
      </c>
    </row>
    <row r="601" spans="3:7" x14ac:dyDescent="0.2">
      <c r="C601" s="9">
        <v>5353</v>
      </c>
      <c r="D601" s="9" t="s">
        <v>2155</v>
      </c>
      <c r="E601" s="9" t="s">
        <v>1083</v>
      </c>
      <c r="F601" s="7" t="s">
        <v>2565</v>
      </c>
      <c r="G601" s="9" t="s">
        <v>2147</v>
      </c>
    </row>
    <row r="602" spans="3:7" x14ac:dyDescent="0.2">
      <c r="C602" s="9">
        <v>5355</v>
      </c>
      <c r="D602" s="9" t="s">
        <v>1083</v>
      </c>
      <c r="E602" s="9" t="s">
        <v>1083</v>
      </c>
      <c r="F602" s="7" t="s">
        <v>2566</v>
      </c>
      <c r="G602" s="9" t="s">
        <v>2147</v>
      </c>
    </row>
    <row r="603" spans="3:7" x14ac:dyDescent="0.2">
      <c r="C603" s="9">
        <v>5357</v>
      </c>
      <c r="D603" s="9" t="s">
        <v>1989</v>
      </c>
      <c r="E603" s="9" t="s">
        <v>1989</v>
      </c>
      <c r="F603" s="7" t="s">
        <v>2567</v>
      </c>
      <c r="G603" s="9" t="s">
        <v>2147</v>
      </c>
    </row>
    <row r="604" spans="3:7" x14ac:dyDescent="0.2">
      <c r="C604" s="9">
        <v>5358</v>
      </c>
      <c r="D604" s="9" t="s">
        <v>1989</v>
      </c>
      <c r="E604" s="9" t="s">
        <v>1989</v>
      </c>
      <c r="F604" s="7" t="s">
        <v>2568</v>
      </c>
      <c r="G604" s="9" t="s">
        <v>2147</v>
      </c>
    </row>
    <row r="605" spans="3:7" x14ac:dyDescent="0.2">
      <c r="C605" s="9">
        <v>5394</v>
      </c>
      <c r="D605" s="9"/>
      <c r="E605" s="9" t="s">
        <v>1989</v>
      </c>
      <c r="F605" s="7" t="s">
        <v>2569</v>
      </c>
      <c r="G605" s="9" t="s">
        <v>2147</v>
      </c>
    </row>
    <row r="606" spans="3:7" x14ac:dyDescent="0.2">
      <c r="C606" s="9">
        <v>5402</v>
      </c>
      <c r="D606" s="9" t="s">
        <v>1083</v>
      </c>
      <c r="E606" s="9" t="s">
        <v>1083</v>
      </c>
      <c r="F606" s="7" t="s">
        <v>2570</v>
      </c>
      <c r="G606" s="9" t="s">
        <v>2147</v>
      </c>
    </row>
    <row r="607" spans="3:7" x14ac:dyDescent="0.2">
      <c r="C607" s="9">
        <v>5405</v>
      </c>
      <c r="D607" s="9" t="s">
        <v>1083</v>
      </c>
      <c r="E607" s="9" t="s">
        <v>1083</v>
      </c>
      <c r="F607" s="7" t="s">
        <v>2571</v>
      </c>
      <c r="G607" s="9" t="s">
        <v>2147</v>
      </c>
    </row>
    <row r="608" spans="3:7" x14ac:dyDescent="0.2">
      <c r="C608" s="9">
        <v>5412</v>
      </c>
      <c r="D608" s="9" t="s">
        <v>1083</v>
      </c>
      <c r="E608" s="9" t="s">
        <v>1083</v>
      </c>
      <c r="F608" s="7" t="s">
        <v>2572</v>
      </c>
      <c r="G608" s="9" t="s">
        <v>2147</v>
      </c>
    </row>
    <row r="609" spans="3:7" x14ac:dyDescent="0.2">
      <c r="C609" s="9">
        <v>5413</v>
      </c>
      <c r="D609" s="9" t="s">
        <v>1083</v>
      </c>
      <c r="E609" s="9" t="s">
        <v>1083</v>
      </c>
      <c r="F609" s="7" t="s">
        <v>2573</v>
      </c>
      <c r="G609" s="9" t="s">
        <v>2147</v>
      </c>
    </row>
    <row r="610" spans="3:7" x14ac:dyDescent="0.2">
      <c r="C610" s="9">
        <v>5417</v>
      </c>
      <c r="D610" s="9" t="s">
        <v>1083</v>
      </c>
      <c r="E610" s="9" t="s">
        <v>1083</v>
      </c>
      <c r="F610" s="7" t="s">
        <v>2574</v>
      </c>
      <c r="G610" s="9" t="s">
        <v>2147</v>
      </c>
    </row>
    <row r="611" spans="3:7" x14ac:dyDescent="0.2">
      <c r="C611" s="9">
        <v>5421</v>
      </c>
      <c r="D611" s="9" t="s">
        <v>1083</v>
      </c>
      <c r="E611" s="9" t="s">
        <v>1083</v>
      </c>
      <c r="F611" s="7" t="s">
        <v>2571</v>
      </c>
      <c r="G611" s="9" t="s">
        <v>2147</v>
      </c>
    </row>
    <row r="612" spans="3:7" x14ac:dyDescent="0.2">
      <c r="C612" s="9">
        <v>5432</v>
      </c>
      <c r="D612" s="9" t="s">
        <v>1083</v>
      </c>
      <c r="E612" s="9" t="s">
        <v>2155</v>
      </c>
      <c r="F612" s="7" t="s">
        <v>2575</v>
      </c>
      <c r="G612" s="9" t="s">
        <v>2147</v>
      </c>
    </row>
    <row r="613" spans="3:7" x14ac:dyDescent="0.2">
      <c r="C613" s="9">
        <v>5433</v>
      </c>
      <c r="D613" s="9" t="s">
        <v>1989</v>
      </c>
      <c r="E613" s="9"/>
      <c r="F613" s="7" t="s">
        <v>2576</v>
      </c>
      <c r="G613" s="9" t="s">
        <v>2147</v>
      </c>
    </row>
    <row r="614" spans="3:7" x14ac:dyDescent="0.2">
      <c r="C614" s="9">
        <v>5445</v>
      </c>
      <c r="D614" s="9"/>
      <c r="E614" s="9" t="s">
        <v>1989</v>
      </c>
      <c r="F614" s="7" t="s">
        <v>2577</v>
      </c>
      <c r="G614" s="9" t="s">
        <v>2147</v>
      </c>
    </row>
    <row r="615" spans="3:7" x14ac:dyDescent="0.2">
      <c r="C615" s="9">
        <v>5450</v>
      </c>
      <c r="D615" s="9" t="s">
        <v>1989</v>
      </c>
      <c r="E615" s="9" t="s">
        <v>1989</v>
      </c>
      <c r="F615" s="7" t="s">
        <v>2578</v>
      </c>
      <c r="G615" s="9" t="s">
        <v>2147</v>
      </c>
    </row>
    <row r="616" spans="3:7" x14ac:dyDescent="0.2">
      <c r="C616" s="9">
        <v>5457</v>
      </c>
      <c r="D616" s="9" t="s">
        <v>1989</v>
      </c>
      <c r="E616" s="9"/>
      <c r="F616" s="7" t="s">
        <v>2579</v>
      </c>
      <c r="G616" s="9" t="s">
        <v>2147</v>
      </c>
    </row>
    <row r="617" spans="3:7" x14ac:dyDescent="0.2">
      <c r="C617" s="9">
        <v>5458</v>
      </c>
      <c r="D617" s="9" t="s">
        <v>1989</v>
      </c>
      <c r="E617" s="9"/>
      <c r="F617" s="7" t="s">
        <v>2580</v>
      </c>
      <c r="G617" s="9" t="s">
        <v>2147</v>
      </c>
    </row>
    <row r="618" spans="3:7" x14ac:dyDescent="0.2">
      <c r="C618" s="9">
        <v>5480</v>
      </c>
      <c r="D618" s="9" t="s">
        <v>1989</v>
      </c>
      <c r="E618" s="9"/>
      <c r="F618" s="7" t="s">
        <v>2581</v>
      </c>
      <c r="G618" s="9" t="s">
        <v>2147</v>
      </c>
    </row>
    <row r="619" spans="3:7" x14ac:dyDescent="0.2">
      <c r="C619" s="9">
        <v>5481</v>
      </c>
      <c r="D619" s="9" t="s">
        <v>1989</v>
      </c>
      <c r="E619" s="9"/>
      <c r="F619" s="7" t="s">
        <v>2582</v>
      </c>
      <c r="G619" s="9" t="s">
        <v>2147</v>
      </c>
    </row>
    <row r="620" spans="3:7" x14ac:dyDescent="0.2">
      <c r="C620" s="9">
        <v>5495</v>
      </c>
      <c r="D620" s="9" t="s">
        <v>1989</v>
      </c>
      <c r="E620" s="9"/>
      <c r="F620" s="7" t="s">
        <v>2583</v>
      </c>
      <c r="G620" s="9" t="s">
        <v>2147</v>
      </c>
    </row>
    <row r="621" spans="3:7" x14ac:dyDescent="0.2">
      <c r="C621" s="9">
        <v>5498</v>
      </c>
      <c r="D621" s="9" t="s">
        <v>1989</v>
      </c>
      <c r="E621" s="9"/>
      <c r="F621" s="7" t="s">
        <v>2584</v>
      </c>
      <c r="G621" s="9" t="s">
        <v>2147</v>
      </c>
    </row>
    <row r="622" spans="3:7" x14ac:dyDescent="0.2">
      <c r="C622" s="9">
        <v>5499</v>
      </c>
      <c r="D622" s="9"/>
      <c r="E622" s="9" t="s">
        <v>1989</v>
      </c>
      <c r="F622" s="7" t="s">
        <v>2585</v>
      </c>
      <c r="G622" s="9" t="s">
        <v>2147</v>
      </c>
    </row>
    <row r="623" spans="3:7" x14ac:dyDescent="0.2">
      <c r="C623" s="9">
        <v>5500</v>
      </c>
      <c r="D623" s="9" t="s">
        <v>1989</v>
      </c>
      <c r="E623" s="9"/>
      <c r="F623" s="7" t="s">
        <v>2586</v>
      </c>
      <c r="G623" s="9" t="s">
        <v>2147</v>
      </c>
    </row>
    <row r="624" spans="3:7" x14ac:dyDescent="0.2">
      <c r="C624" s="9">
        <v>5500</v>
      </c>
      <c r="D624" s="9" t="s">
        <v>1989</v>
      </c>
      <c r="E624" s="9"/>
      <c r="F624" s="7" t="s">
        <v>2587</v>
      </c>
      <c r="G624" s="9" t="s">
        <v>2147</v>
      </c>
    </row>
    <row r="625" spans="3:7" x14ac:dyDescent="0.2">
      <c r="C625" s="9">
        <v>5501</v>
      </c>
      <c r="D625" s="9" t="s">
        <v>1989</v>
      </c>
      <c r="E625" s="9"/>
      <c r="F625" s="7" t="s">
        <v>2588</v>
      </c>
      <c r="G625" s="9" t="s">
        <v>2147</v>
      </c>
    </row>
    <row r="626" spans="3:7" x14ac:dyDescent="0.2">
      <c r="C626" s="9">
        <v>5517</v>
      </c>
      <c r="D626" s="9" t="s">
        <v>1989</v>
      </c>
      <c r="E626" s="9"/>
      <c r="F626" s="7" t="s">
        <v>2589</v>
      </c>
      <c r="G626" s="9" t="s">
        <v>2147</v>
      </c>
    </row>
    <row r="627" spans="3:7" x14ac:dyDescent="0.2">
      <c r="C627" s="9">
        <v>5550</v>
      </c>
      <c r="D627" s="9" t="s">
        <v>1989</v>
      </c>
      <c r="E627" s="9"/>
      <c r="F627" s="7" t="s">
        <v>2590</v>
      </c>
      <c r="G627" s="9" t="s">
        <v>2147</v>
      </c>
    </row>
    <row r="628" spans="3:7" x14ac:dyDescent="0.2">
      <c r="C628" s="9">
        <v>5554</v>
      </c>
      <c r="D628" s="9" t="s">
        <v>1989</v>
      </c>
      <c r="E628" s="9" t="s">
        <v>1989</v>
      </c>
      <c r="F628" s="7" t="s">
        <v>2591</v>
      </c>
      <c r="G628" s="9" t="s">
        <v>2147</v>
      </c>
    </row>
    <row r="629" spans="3:7" x14ac:dyDescent="0.2">
      <c r="C629" s="9">
        <v>5555</v>
      </c>
      <c r="D629" s="9" t="s">
        <v>1989</v>
      </c>
      <c r="E629" s="9" t="s">
        <v>1989</v>
      </c>
      <c r="F629" s="7" t="s">
        <v>2592</v>
      </c>
      <c r="G629" s="9" t="s">
        <v>2147</v>
      </c>
    </row>
    <row r="630" spans="3:7" x14ac:dyDescent="0.2">
      <c r="C630" s="9">
        <v>5555</v>
      </c>
      <c r="D630" s="9" t="s">
        <v>1989</v>
      </c>
      <c r="E630" s="9"/>
      <c r="F630" s="7" t="s">
        <v>2593</v>
      </c>
      <c r="G630" s="9" t="s">
        <v>2147</v>
      </c>
    </row>
    <row r="631" spans="3:7" x14ac:dyDescent="0.2">
      <c r="C631" s="9">
        <v>5556</v>
      </c>
      <c r="D631" s="9" t="s">
        <v>1083</v>
      </c>
      <c r="E631" s="9" t="s">
        <v>1083</v>
      </c>
      <c r="F631" s="7" t="s">
        <v>2594</v>
      </c>
      <c r="G631" s="9" t="s">
        <v>2147</v>
      </c>
    </row>
    <row r="632" spans="3:7" x14ac:dyDescent="0.2">
      <c r="C632" s="9">
        <v>5568</v>
      </c>
      <c r="D632" s="9" t="s">
        <v>1083</v>
      </c>
      <c r="E632" s="9" t="s">
        <v>1083</v>
      </c>
      <c r="F632" s="7" t="s">
        <v>2595</v>
      </c>
      <c r="G632" s="9" t="s">
        <v>2147</v>
      </c>
    </row>
    <row r="633" spans="3:7" x14ac:dyDescent="0.2">
      <c r="C633" s="9">
        <v>5601</v>
      </c>
      <c r="D633" s="9" t="s">
        <v>1989</v>
      </c>
      <c r="E633" s="9"/>
      <c r="F633" s="7" t="s">
        <v>2596</v>
      </c>
      <c r="G633" s="9" t="s">
        <v>2147</v>
      </c>
    </row>
    <row r="634" spans="3:7" x14ac:dyDescent="0.2">
      <c r="C634" s="9">
        <v>5631</v>
      </c>
      <c r="D634" s="9" t="s">
        <v>1083</v>
      </c>
      <c r="E634" s="9"/>
      <c r="F634" s="7" t="s">
        <v>2597</v>
      </c>
      <c r="G634" s="9" t="s">
        <v>2147</v>
      </c>
    </row>
    <row r="635" spans="3:7" x14ac:dyDescent="0.2">
      <c r="C635" s="9">
        <v>5632</v>
      </c>
      <c r="D635" s="9"/>
      <c r="E635" s="9" t="s">
        <v>1083</v>
      </c>
      <c r="F635" s="7" t="s">
        <v>2598</v>
      </c>
      <c r="G635" s="9" t="s">
        <v>2147</v>
      </c>
    </row>
    <row r="636" spans="3:7" x14ac:dyDescent="0.2">
      <c r="C636" s="9">
        <v>5656</v>
      </c>
      <c r="D636" s="9" t="s">
        <v>1989</v>
      </c>
      <c r="E636" s="9"/>
      <c r="F636" s="7" t="s">
        <v>2599</v>
      </c>
      <c r="G636" s="9" t="s">
        <v>2147</v>
      </c>
    </row>
    <row r="637" spans="3:7" x14ac:dyDescent="0.2">
      <c r="C637" s="9">
        <v>5666</v>
      </c>
      <c r="D637" s="9" t="s">
        <v>1989</v>
      </c>
      <c r="E637" s="9"/>
      <c r="F637" s="7" t="s">
        <v>2600</v>
      </c>
      <c r="G637" s="9" t="s">
        <v>2147</v>
      </c>
    </row>
    <row r="638" spans="3:7" x14ac:dyDescent="0.2">
      <c r="C638" s="9">
        <v>5667</v>
      </c>
      <c r="D638" s="9" t="s">
        <v>1989</v>
      </c>
      <c r="E638" s="9"/>
      <c r="F638" s="7" t="s">
        <v>2601</v>
      </c>
      <c r="G638" s="9" t="s">
        <v>2147</v>
      </c>
    </row>
    <row r="639" spans="3:7" x14ac:dyDescent="0.2">
      <c r="C639" s="9">
        <v>5670</v>
      </c>
      <c r="D639" s="9" t="s">
        <v>1083</v>
      </c>
      <c r="E639" s="9"/>
      <c r="F639" s="7" t="s">
        <v>2602</v>
      </c>
      <c r="G639" s="9" t="s">
        <v>2147</v>
      </c>
    </row>
    <row r="640" spans="3:7" x14ac:dyDescent="0.2">
      <c r="C640" s="9">
        <v>5670</v>
      </c>
      <c r="D640" s="9"/>
      <c r="E640" s="9" t="s">
        <v>1083</v>
      </c>
      <c r="F640" s="7" t="s">
        <v>2603</v>
      </c>
      <c r="G640" s="9" t="s">
        <v>2147</v>
      </c>
    </row>
    <row r="641" spans="3:7" x14ac:dyDescent="0.2">
      <c r="C641" s="9">
        <v>5671</v>
      </c>
      <c r="D641" s="9" t="s">
        <v>1083</v>
      </c>
      <c r="E641" s="9" t="s">
        <v>2155</v>
      </c>
      <c r="F641" s="7" t="s">
        <v>2604</v>
      </c>
      <c r="G641" s="9" t="s">
        <v>2147</v>
      </c>
    </row>
    <row r="642" spans="3:7" x14ac:dyDescent="0.2">
      <c r="C642" s="9">
        <v>5672</v>
      </c>
      <c r="D642" s="9" t="s">
        <v>1083</v>
      </c>
      <c r="E642" s="9" t="s">
        <v>2155</v>
      </c>
      <c r="F642" s="7" t="s">
        <v>2605</v>
      </c>
      <c r="G642" s="9" t="s">
        <v>2147</v>
      </c>
    </row>
    <row r="643" spans="3:7" x14ac:dyDescent="0.2">
      <c r="C643" s="9">
        <v>5683</v>
      </c>
      <c r="D643" s="9" t="s">
        <v>1083</v>
      </c>
      <c r="E643" s="9" t="s">
        <v>1083</v>
      </c>
      <c r="F643" s="7" t="s">
        <v>2606</v>
      </c>
      <c r="G643" s="9" t="s">
        <v>2147</v>
      </c>
    </row>
    <row r="644" spans="3:7" x14ac:dyDescent="0.2">
      <c r="C644" s="9">
        <v>5684</v>
      </c>
      <c r="D644" s="9" t="s">
        <v>1083</v>
      </c>
      <c r="E644" s="9" t="s">
        <v>1083</v>
      </c>
      <c r="F644" s="7" t="s">
        <v>2607</v>
      </c>
      <c r="G644" s="9" t="s">
        <v>2147</v>
      </c>
    </row>
    <row r="645" spans="3:7" x14ac:dyDescent="0.2">
      <c r="C645" s="9">
        <v>5693</v>
      </c>
      <c r="D645" s="9" t="s">
        <v>1989</v>
      </c>
      <c r="E645" s="9"/>
      <c r="F645" s="7" t="s">
        <v>2608</v>
      </c>
      <c r="G645" s="9" t="s">
        <v>2147</v>
      </c>
    </row>
    <row r="646" spans="3:7" x14ac:dyDescent="0.2">
      <c r="C646" s="9">
        <v>5701</v>
      </c>
      <c r="D646" s="9" t="s">
        <v>1989</v>
      </c>
      <c r="E646" s="9"/>
      <c r="F646" s="7" t="s">
        <v>2609</v>
      </c>
      <c r="G646" s="9" t="s">
        <v>2147</v>
      </c>
    </row>
    <row r="647" spans="3:7" x14ac:dyDescent="0.2">
      <c r="C647" s="9">
        <v>5722</v>
      </c>
      <c r="D647" s="9" t="s">
        <v>1083</v>
      </c>
      <c r="E647" s="9" t="s">
        <v>1083</v>
      </c>
      <c r="F647" s="7" t="s">
        <v>2610</v>
      </c>
      <c r="G647" s="9" t="s">
        <v>2147</v>
      </c>
    </row>
    <row r="648" spans="3:7" x14ac:dyDescent="0.2">
      <c r="C648" s="9">
        <v>5718</v>
      </c>
      <c r="D648" s="9" t="s">
        <v>1989</v>
      </c>
      <c r="E648" s="9"/>
      <c r="F648" s="7" t="s">
        <v>2611</v>
      </c>
      <c r="G648" s="9" t="s">
        <v>2147</v>
      </c>
    </row>
    <row r="649" spans="3:7" x14ac:dyDescent="0.2">
      <c r="C649" s="9">
        <v>5719</v>
      </c>
      <c r="D649" s="9" t="s">
        <v>1989</v>
      </c>
      <c r="E649" s="9"/>
      <c r="F649" s="7" t="s">
        <v>2612</v>
      </c>
      <c r="G649" s="9" t="s">
        <v>2147</v>
      </c>
    </row>
    <row r="650" spans="3:7" x14ac:dyDescent="0.2">
      <c r="C650" s="9">
        <v>5723</v>
      </c>
      <c r="D650" s="9" t="s">
        <v>1989</v>
      </c>
      <c r="E650" s="9"/>
      <c r="F650" s="7" t="s">
        <v>2613</v>
      </c>
      <c r="G650" s="9" t="s">
        <v>2147</v>
      </c>
    </row>
    <row r="651" spans="3:7" x14ac:dyDescent="0.2">
      <c r="C651" s="9">
        <v>5724</v>
      </c>
      <c r="D651" s="9" t="s">
        <v>1989</v>
      </c>
      <c r="E651" s="9"/>
      <c r="F651" s="7" t="s">
        <v>2614</v>
      </c>
      <c r="G651" s="9" t="s">
        <v>2147</v>
      </c>
    </row>
    <row r="652" spans="3:7" x14ac:dyDescent="0.2">
      <c r="C652" s="9">
        <v>5741</v>
      </c>
      <c r="D652" s="9" t="s">
        <v>1083</v>
      </c>
      <c r="E652" s="9" t="s">
        <v>1083</v>
      </c>
      <c r="F652" s="7" t="s">
        <v>2615</v>
      </c>
      <c r="G652" s="9" t="s">
        <v>2147</v>
      </c>
    </row>
    <row r="653" spans="3:7" x14ac:dyDescent="0.2">
      <c r="C653" s="9">
        <v>5742</v>
      </c>
      <c r="D653" s="9" t="s">
        <v>1083</v>
      </c>
      <c r="E653" s="9" t="s">
        <v>1083</v>
      </c>
      <c r="F653" s="7" t="s">
        <v>2616</v>
      </c>
      <c r="G653" s="9" t="s">
        <v>2147</v>
      </c>
    </row>
    <row r="654" spans="3:7" x14ac:dyDescent="0.2">
      <c r="C654" s="9">
        <v>5800</v>
      </c>
      <c r="D654" s="9" t="s">
        <v>1989</v>
      </c>
      <c r="E654" s="9"/>
      <c r="F654" s="7" t="s">
        <v>2617</v>
      </c>
      <c r="G654" s="9" t="s">
        <v>2147</v>
      </c>
    </row>
    <row r="655" spans="3:7" x14ac:dyDescent="0.2">
      <c r="C655" s="9">
        <v>5800</v>
      </c>
      <c r="D655" s="9" t="s">
        <v>1989</v>
      </c>
      <c r="E655" s="9"/>
      <c r="F655" s="7" t="s">
        <v>2618</v>
      </c>
      <c r="G655" s="9" t="s">
        <v>2147</v>
      </c>
    </row>
    <row r="656" spans="3:7" x14ac:dyDescent="0.2">
      <c r="C656" s="9">
        <v>5900</v>
      </c>
      <c r="D656" s="9" t="s">
        <v>1083</v>
      </c>
      <c r="E656" s="9" t="s">
        <v>1083</v>
      </c>
      <c r="F656" s="7" t="s">
        <v>2619</v>
      </c>
      <c r="G656" s="9" t="s">
        <v>2147</v>
      </c>
    </row>
    <row r="657" spans="3:7" x14ac:dyDescent="0.2">
      <c r="C657" s="9">
        <v>5900</v>
      </c>
      <c r="D657" s="9" t="s">
        <v>1989</v>
      </c>
      <c r="E657" s="9"/>
      <c r="F657" s="7" t="s">
        <v>2620</v>
      </c>
      <c r="G657" s="9" t="s">
        <v>2147</v>
      </c>
    </row>
    <row r="658" spans="3:7" x14ac:dyDescent="0.2">
      <c r="C658" s="9">
        <v>5905</v>
      </c>
      <c r="D658" s="9" t="s">
        <v>1989</v>
      </c>
      <c r="E658" s="9"/>
      <c r="F658" s="7" t="s">
        <v>2621</v>
      </c>
      <c r="G658" s="9" t="s">
        <v>2147</v>
      </c>
    </row>
    <row r="659" spans="3:7" x14ac:dyDescent="0.2">
      <c r="C659" s="9">
        <v>5931</v>
      </c>
      <c r="D659" s="9" t="s">
        <v>1083</v>
      </c>
      <c r="E659" s="9" t="s">
        <v>1083</v>
      </c>
      <c r="F659" s="7" t="s">
        <v>2622</v>
      </c>
      <c r="G659" s="9" t="s">
        <v>2147</v>
      </c>
    </row>
    <row r="660" spans="3:7" x14ac:dyDescent="0.2">
      <c r="C660" s="9">
        <v>5938</v>
      </c>
      <c r="D660" s="9" t="s">
        <v>1989</v>
      </c>
      <c r="E660" s="9" t="s">
        <v>1989</v>
      </c>
      <c r="F660" s="7" t="s">
        <v>2623</v>
      </c>
      <c r="G660" s="9" t="s">
        <v>2147</v>
      </c>
    </row>
    <row r="661" spans="3:7" x14ac:dyDescent="0.2">
      <c r="C661" s="9">
        <v>5984</v>
      </c>
      <c r="D661" s="9" t="s">
        <v>1083</v>
      </c>
      <c r="E661" s="9" t="s">
        <v>1083</v>
      </c>
      <c r="F661" s="7" t="s">
        <v>2624</v>
      </c>
      <c r="G661" s="9" t="s">
        <v>2147</v>
      </c>
    </row>
    <row r="662" spans="3:7" x14ac:dyDescent="0.2">
      <c r="C662" s="9">
        <v>5985</v>
      </c>
      <c r="D662" s="9" t="s">
        <v>1083</v>
      </c>
      <c r="E662" s="9"/>
      <c r="F662" s="7" t="s">
        <v>2625</v>
      </c>
      <c r="G662" s="9" t="s">
        <v>2147</v>
      </c>
    </row>
    <row r="663" spans="3:7" x14ac:dyDescent="0.2">
      <c r="C663" s="9">
        <v>5986</v>
      </c>
      <c r="D663" s="9" t="s">
        <v>1083</v>
      </c>
      <c r="E663" s="9"/>
      <c r="F663" s="7" t="s">
        <v>2626</v>
      </c>
      <c r="G663" s="9" t="s">
        <v>2147</v>
      </c>
    </row>
    <row r="664" spans="3:7" x14ac:dyDescent="0.2">
      <c r="C664" s="9" t="s">
        <v>2627</v>
      </c>
      <c r="D664" s="9" t="s">
        <v>1083</v>
      </c>
      <c r="E664" s="9"/>
      <c r="F664" s="7" t="s">
        <v>2628</v>
      </c>
      <c r="G664" s="9" t="s">
        <v>2147</v>
      </c>
    </row>
    <row r="665" spans="3:7" x14ac:dyDescent="0.2">
      <c r="C665" s="9" t="s">
        <v>2629</v>
      </c>
      <c r="D665" s="9" t="s">
        <v>1083</v>
      </c>
      <c r="E665" s="9" t="s">
        <v>1083</v>
      </c>
      <c r="F665" s="7" t="s">
        <v>2630</v>
      </c>
      <c r="G665" s="9" t="s">
        <v>2147</v>
      </c>
    </row>
    <row r="666" spans="3:7" x14ac:dyDescent="0.2">
      <c r="C666" s="9">
        <v>6005</v>
      </c>
      <c r="D666" s="9" t="s">
        <v>1989</v>
      </c>
      <c r="E666" s="9"/>
      <c r="F666" s="7" t="s">
        <v>2631</v>
      </c>
      <c r="G666" s="9" t="s">
        <v>2147</v>
      </c>
    </row>
    <row r="667" spans="3:7" x14ac:dyDescent="0.2">
      <c r="C667" s="9">
        <v>6005</v>
      </c>
      <c r="D667" s="9" t="s">
        <v>1989</v>
      </c>
      <c r="E667" s="9"/>
      <c r="F667" s="7" t="s">
        <v>2632</v>
      </c>
      <c r="G667" s="9" t="s">
        <v>2147</v>
      </c>
    </row>
    <row r="668" spans="3:7" x14ac:dyDescent="0.2">
      <c r="C668" s="9">
        <v>6009</v>
      </c>
      <c r="D668" s="9" t="s">
        <v>1989</v>
      </c>
      <c r="E668" s="9"/>
      <c r="F668" s="7" t="s">
        <v>2633</v>
      </c>
      <c r="G668" s="9" t="s">
        <v>2147</v>
      </c>
    </row>
    <row r="669" spans="3:7" x14ac:dyDescent="0.2">
      <c r="C669" s="9">
        <v>6050</v>
      </c>
      <c r="D669" s="9" t="s">
        <v>1989</v>
      </c>
      <c r="E669" s="9"/>
      <c r="F669" s="7" t="s">
        <v>2634</v>
      </c>
      <c r="G669" s="9" t="s">
        <v>2147</v>
      </c>
    </row>
    <row r="670" spans="3:7" x14ac:dyDescent="0.2">
      <c r="C670" s="9">
        <v>6051</v>
      </c>
      <c r="D670" s="9" t="s">
        <v>1989</v>
      </c>
      <c r="E670" s="9"/>
      <c r="F670" s="7" t="s">
        <v>2635</v>
      </c>
      <c r="G670" s="9" t="s">
        <v>2147</v>
      </c>
    </row>
    <row r="671" spans="3:7" x14ac:dyDescent="0.2">
      <c r="C671" s="9">
        <v>6086</v>
      </c>
      <c r="D671" s="9" t="s">
        <v>1083</v>
      </c>
      <c r="E671" s="9"/>
      <c r="F671" s="7" t="s">
        <v>2636</v>
      </c>
      <c r="G671" s="9" t="s">
        <v>2147</v>
      </c>
    </row>
    <row r="672" spans="3:7" x14ac:dyDescent="0.2">
      <c r="C672" s="9">
        <v>6100</v>
      </c>
      <c r="D672" s="9" t="s">
        <v>1989</v>
      </c>
      <c r="E672" s="9"/>
      <c r="F672" s="7" t="s">
        <v>2637</v>
      </c>
      <c r="G672" s="9" t="s">
        <v>2147</v>
      </c>
    </row>
    <row r="673" spans="3:7" x14ac:dyDescent="0.2">
      <c r="C673" s="9">
        <v>6100</v>
      </c>
      <c r="D673" s="9" t="s">
        <v>1989</v>
      </c>
      <c r="E673" s="9"/>
      <c r="F673" s="7" t="s">
        <v>2638</v>
      </c>
      <c r="G673" s="9" t="s">
        <v>2147</v>
      </c>
    </row>
    <row r="674" spans="3:7" x14ac:dyDescent="0.2">
      <c r="C674" s="9">
        <v>6101</v>
      </c>
      <c r="D674" s="9" t="s">
        <v>1989</v>
      </c>
      <c r="E674" s="9"/>
      <c r="F674" s="7" t="s">
        <v>2639</v>
      </c>
      <c r="G674" s="9" t="s">
        <v>2147</v>
      </c>
    </row>
    <row r="675" spans="3:7" x14ac:dyDescent="0.2">
      <c r="C675" s="9">
        <v>6110</v>
      </c>
      <c r="D675" s="9" t="s">
        <v>1083</v>
      </c>
      <c r="E675" s="9" t="s">
        <v>1083</v>
      </c>
      <c r="F675" s="7" t="s">
        <v>2640</v>
      </c>
      <c r="G675" s="9" t="s">
        <v>2147</v>
      </c>
    </row>
    <row r="676" spans="3:7" x14ac:dyDescent="0.2">
      <c r="C676" s="9">
        <v>6111</v>
      </c>
      <c r="D676" s="9" t="s">
        <v>1083</v>
      </c>
      <c r="E676" s="9" t="s">
        <v>1083</v>
      </c>
      <c r="F676" s="7" t="s">
        <v>2641</v>
      </c>
      <c r="G676" s="9" t="s">
        <v>2147</v>
      </c>
    </row>
    <row r="677" spans="3:7" x14ac:dyDescent="0.2">
      <c r="C677" s="9">
        <v>6112</v>
      </c>
      <c r="D677" s="9" t="s">
        <v>1083</v>
      </c>
      <c r="E677" s="9" t="s">
        <v>1083</v>
      </c>
      <c r="F677" s="7" t="s">
        <v>2642</v>
      </c>
      <c r="G677" s="9" t="s">
        <v>2147</v>
      </c>
    </row>
    <row r="678" spans="3:7" x14ac:dyDescent="0.2">
      <c r="C678" s="9">
        <v>6112</v>
      </c>
      <c r="D678" s="9" t="s">
        <v>1989</v>
      </c>
      <c r="E678" s="9" t="s">
        <v>1989</v>
      </c>
      <c r="F678" s="7" t="s">
        <v>2643</v>
      </c>
      <c r="G678" s="9" t="s">
        <v>2147</v>
      </c>
    </row>
    <row r="679" spans="3:7" x14ac:dyDescent="0.2">
      <c r="C679" s="9">
        <v>6112</v>
      </c>
      <c r="D679" s="9" t="s">
        <v>1989</v>
      </c>
      <c r="E679" s="9"/>
      <c r="F679" s="7" t="s">
        <v>2399</v>
      </c>
      <c r="G679" s="9" t="s">
        <v>2147</v>
      </c>
    </row>
    <row r="680" spans="3:7" x14ac:dyDescent="0.2">
      <c r="C680" s="9">
        <v>6113</v>
      </c>
      <c r="D680" s="9" t="s">
        <v>1989</v>
      </c>
      <c r="E680" s="9"/>
      <c r="F680" s="7" t="s">
        <v>2644</v>
      </c>
      <c r="G680" s="9" t="s">
        <v>2147</v>
      </c>
    </row>
    <row r="681" spans="3:7" x14ac:dyDescent="0.2">
      <c r="C681" s="9">
        <v>6136</v>
      </c>
      <c r="D681" s="9" t="s">
        <v>1989</v>
      </c>
      <c r="E681" s="9"/>
      <c r="F681" s="7" t="s">
        <v>2645</v>
      </c>
      <c r="G681" s="9" t="s">
        <v>2147</v>
      </c>
    </row>
    <row r="682" spans="3:7" x14ac:dyDescent="0.2">
      <c r="C682" s="9">
        <v>6159</v>
      </c>
      <c r="D682" s="9" t="s">
        <v>1083</v>
      </c>
      <c r="E682" s="9"/>
      <c r="F682" s="7" t="s">
        <v>2646</v>
      </c>
      <c r="G682" s="9" t="s">
        <v>2147</v>
      </c>
    </row>
    <row r="683" spans="3:7" x14ac:dyDescent="0.2">
      <c r="C683" s="9">
        <v>6200</v>
      </c>
      <c r="D683" s="9" t="s">
        <v>1989</v>
      </c>
      <c r="E683" s="9"/>
      <c r="F683" s="7" t="s">
        <v>2647</v>
      </c>
      <c r="G683" s="9" t="s">
        <v>2147</v>
      </c>
    </row>
    <row r="684" spans="3:7" x14ac:dyDescent="0.2">
      <c r="C684" s="9">
        <v>6201</v>
      </c>
      <c r="D684" s="9" t="s">
        <v>2155</v>
      </c>
      <c r="E684" s="9" t="s">
        <v>2155</v>
      </c>
      <c r="F684" s="7" t="s">
        <v>2648</v>
      </c>
      <c r="G684" s="9" t="s">
        <v>2147</v>
      </c>
    </row>
    <row r="685" spans="3:7" x14ac:dyDescent="0.2">
      <c r="C685" s="9">
        <v>6201</v>
      </c>
      <c r="D685" s="9" t="s">
        <v>1989</v>
      </c>
      <c r="E685" s="9"/>
      <c r="F685" s="7" t="s">
        <v>2649</v>
      </c>
      <c r="G685" s="9" t="s">
        <v>2147</v>
      </c>
    </row>
    <row r="686" spans="3:7" x14ac:dyDescent="0.2">
      <c r="C686" s="9">
        <v>6225</v>
      </c>
      <c r="D686" s="9" t="s">
        <v>1989</v>
      </c>
      <c r="E686" s="9"/>
      <c r="F686" s="7" t="s">
        <v>2650</v>
      </c>
      <c r="G686" s="9" t="s">
        <v>2147</v>
      </c>
    </row>
    <row r="687" spans="3:7" x14ac:dyDescent="0.2">
      <c r="C687" s="9">
        <v>6227</v>
      </c>
      <c r="D687" s="9" t="s">
        <v>1989</v>
      </c>
      <c r="E687" s="9"/>
      <c r="F687" s="7" t="s">
        <v>2651</v>
      </c>
      <c r="G687" s="9" t="s">
        <v>2147</v>
      </c>
    </row>
    <row r="688" spans="3:7" x14ac:dyDescent="0.2">
      <c r="C688" s="9">
        <v>6240</v>
      </c>
      <c r="D688" s="9" t="s">
        <v>1989</v>
      </c>
      <c r="E688" s="9"/>
      <c r="F688" s="7" t="s">
        <v>2652</v>
      </c>
      <c r="G688" s="9" t="s">
        <v>2147</v>
      </c>
    </row>
    <row r="689" spans="3:7" x14ac:dyDescent="0.2">
      <c r="C689" s="9">
        <v>6244</v>
      </c>
      <c r="D689" s="9" t="s">
        <v>1989</v>
      </c>
      <c r="E689" s="9" t="s">
        <v>1989</v>
      </c>
      <c r="F689" s="7" t="s">
        <v>2653</v>
      </c>
      <c r="G689" s="9" t="s">
        <v>2147</v>
      </c>
    </row>
    <row r="690" spans="3:7" x14ac:dyDescent="0.2">
      <c r="C690" s="9">
        <v>6255</v>
      </c>
      <c r="D690" s="9" t="s">
        <v>1989</v>
      </c>
      <c r="E690" s="9" t="s">
        <v>1989</v>
      </c>
      <c r="F690" s="7" t="s">
        <v>2654</v>
      </c>
      <c r="G690" s="9" t="s">
        <v>2147</v>
      </c>
    </row>
    <row r="691" spans="3:7" x14ac:dyDescent="0.2">
      <c r="C691" s="9">
        <v>6257</v>
      </c>
      <c r="D691" s="9"/>
      <c r="E691" s="9" t="s">
        <v>1989</v>
      </c>
      <c r="F691" s="7" t="s">
        <v>2655</v>
      </c>
      <c r="G691" s="9" t="s">
        <v>2147</v>
      </c>
    </row>
    <row r="692" spans="3:7" x14ac:dyDescent="0.2">
      <c r="C692" s="9">
        <v>6260</v>
      </c>
      <c r="D692" s="9" t="s">
        <v>1989</v>
      </c>
      <c r="E692" s="9" t="s">
        <v>1989</v>
      </c>
      <c r="F692" s="7" t="s">
        <v>2656</v>
      </c>
      <c r="G692" s="9" t="s">
        <v>2147</v>
      </c>
    </row>
    <row r="693" spans="3:7" x14ac:dyDescent="0.2">
      <c r="C693" s="9">
        <v>6262</v>
      </c>
      <c r="D693" s="9" t="s">
        <v>1989</v>
      </c>
      <c r="E693" s="9"/>
      <c r="F693" s="7" t="s">
        <v>2657</v>
      </c>
      <c r="G693" s="9" t="s">
        <v>2147</v>
      </c>
    </row>
    <row r="694" spans="3:7" x14ac:dyDescent="0.2">
      <c r="C694" s="9">
        <v>6343</v>
      </c>
      <c r="D694" s="9"/>
      <c r="E694" s="9" t="s">
        <v>1083</v>
      </c>
      <c r="F694" s="7" t="s">
        <v>2658</v>
      </c>
      <c r="G694" s="9" t="s">
        <v>2147</v>
      </c>
    </row>
    <row r="695" spans="3:7" x14ac:dyDescent="0.2">
      <c r="C695" s="9">
        <v>6346</v>
      </c>
      <c r="D695" s="9" t="s">
        <v>1083</v>
      </c>
      <c r="E695" s="9" t="s">
        <v>1083</v>
      </c>
      <c r="F695" s="7" t="s">
        <v>2659</v>
      </c>
      <c r="G695" s="9" t="s">
        <v>2147</v>
      </c>
    </row>
    <row r="696" spans="3:7" x14ac:dyDescent="0.2">
      <c r="C696" s="9">
        <v>6347</v>
      </c>
      <c r="D696" s="9" t="s">
        <v>1083</v>
      </c>
      <c r="E696" s="9" t="s">
        <v>1083</v>
      </c>
      <c r="F696" s="7" t="s">
        <v>2660</v>
      </c>
      <c r="G696" s="9" t="s">
        <v>2147</v>
      </c>
    </row>
    <row r="697" spans="3:7" x14ac:dyDescent="0.2">
      <c r="C697" s="9">
        <v>6350</v>
      </c>
      <c r="D697" s="9" t="s">
        <v>1083</v>
      </c>
      <c r="E697" s="9" t="s">
        <v>1083</v>
      </c>
      <c r="F697" s="7" t="s">
        <v>2661</v>
      </c>
      <c r="G697" s="9" t="s">
        <v>2147</v>
      </c>
    </row>
    <row r="698" spans="3:7" x14ac:dyDescent="0.2">
      <c r="C698" s="9">
        <v>6379</v>
      </c>
      <c r="D698" s="9" t="s">
        <v>1083</v>
      </c>
      <c r="E698" s="9"/>
      <c r="F698" s="7" t="s">
        <v>2662</v>
      </c>
      <c r="G698" s="9" t="s">
        <v>2147</v>
      </c>
    </row>
    <row r="699" spans="3:7" x14ac:dyDescent="0.2">
      <c r="C699" s="9">
        <v>6389</v>
      </c>
      <c r="D699" s="9" t="s">
        <v>1989</v>
      </c>
      <c r="E699" s="9"/>
      <c r="F699" s="7" t="s">
        <v>2663</v>
      </c>
      <c r="G699" s="9" t="s">
        <v>2147</v>
      </c>
    </row>
    <row r="700" spans="3:7" x14ac:dyDescent="0.2">
      <c r="C700" s="9">
        <v>6432</v>
      </c>
      <c r="D700" s="9" t="s">
        <v>1083</v>
      </c>
      <c r="E700" s="9"/>
      <c r="F700" s="7" t="s">
        <v>2664</v>
      </c>
      <c r="G700" s="9" t="s">
        <v>2147</v>
      </c>
    </row>
    <row r="701" spans="3:7" x14ac:dyDescent="0.2">
      <c r="C701" s="9">
        <v>6436</v>
      </c>
      <c r="D701" s="9" t="s">
        <v>1989</v>
      </c>
      <c r="E701" s="9"/>
      <c r="F701" s="7" t="s">
        <v>2665</v>
      </c>
      <c r="G701" s="9" t="s">
        <v>2147</v>
      </c>
    </row>
    <row r="702" spans="3:7" x14ac:dyDescent="0.2">
      <c r="C702" s="9">
        <v>6437</v>
      </c>
      <c r="D702" s="9" t="s">
        <v>1989</v>
      </c>
      <c r="E702" s="9"/>
      <c r="F702" s="7" t="s">
        <v>2666</v>
      </c>
      <c r="G702" s="9" t="s">
        <v>2147</v>
      </c>
    </row>
    <row r="703" spans="3:7" x14ac:dyDescent="0.2">
      <c r="C703" s="9">
        <v>6444</v>
      </c>
      <c r="D703" s="9" t="s">
        <v>1083</v>
      </c>
      <c r="E703" s="9" t="s">
        <v>1083</v>
      </c>
      <c r="F703" s="7" t="s">
        <v>2667</v>
      </c>
      <c r="G703" s="9" t="s">
        <v>2147</v>
      </c>
    </row>
    <row r="704" spans="3:7" x14ac:dyDescent="0.2">
      <c r="C704" s="9">
        <v>6445</v>
      </c>
      <c r="D704" s="9" t="s">
        <v>1083</v>
      </c>
      <c r="E704" s="9" t="s">
        <v>1083</v>
      </c>
      <c r="F704" s="7" t="s">
        <v>2668</v>
      </c>
      <c r="G704" s="9" t="s">
        <v>2147</v>
      </c>
    </row>
    <row r="705" spans="3:7" x14ac:dyDescent="0.2">
      <c r="C705" s="9" t="s">
        <v>2669</v>
      </c>
      <c r="D705" s="9" t="s">
        <v>1989</v>
      </c>
      <c r="E705" s="9"/>
      <c r="F705" s="7" t="s">
        <v>2670</v>
      </c>
      <c r="G705" s="9" t="s">
        <v>2147</v>
      </c>
    </row>
    <row r="706" spans="3:7" x14ac:dyDescent="0.2">
      <c r="C706" s="9">
        <v>6464</v>
      </c>
      <c r="D706" s="9" t="s">
        <v>1083</v>
      </c>
      <c r="E706" s="9" t="s">
        <v>1083</v>
      </c>
      <c r="F706" s="7" t="s">
        <v>2671</v>
      </c>
      <c r="G706" s="9" t="s">
        <v>2147</v>
      </c>
    </row>
    <row r="707" spans="3:7" x14ac:dyDescent="0.2">
      <c r="C707" s="9">
        <v>6502</v>
      </c>
      <c r="D707" s="9" t="s">
        <v>1989</v>
      </c>
      <c r="E707" s="9" t="s">
        <v>1989</v>
      </c>
      <c r="F707" s="7" t="s">
        <v>2254</v>
      </c>
      <c r="G707" s="9" t="s">
        <v>2147</v>
      </c>
    </row>
    <row r="708" spans="3:7" x14ac:dyDescent="0.2">
      <c r="C708" s="9">
        <v>6513</v>
      </c>
      <c r="D708" s="9" t="s">
        <v>1083</v>
      </c>
      <c r="E708" s="9"/>
      <c r="F708" s="7" t="s">
        <v>2672</v>
      </c>
      <c r="G708" s="9" t="s">
        <v>2147</v>
      </c>
    </row>
    <row r="709" spans="3:7" x14ac:dyDescent="0.2">
      <c r="C709" s="9">
        <v>6514</v>
      </c>
      <c r="D709" s="9" t="s">
        <v>1083</v>
      </c>
      <c r="E709" s="9"/>
      <c r="F709" s="7" t="s">
        <v>2673</v>
      </c>
      <c r="G709" s="9" t="s">
        <v>2147</v>
      </c>
    </row>
    <row r="710" spans="3:7" x14ac:dyDescent="0.2">
      <c r="C710" s="9">
        <v>6515</v>
      </c>
      <c r="D710" s="9" t="s">
        <v>1083</v>
      </c>
      <c r="E710" s="9" t="s">
        <v>1083</v>
      </c>
      <c r="F710" s="7" t="s">
        <v>2674</v>
      </c>
      <c r="G710" s="9" t="s">
        <v>2147</v>
      </c>
    </row>
    <row r="711" spans="3:7" x14ac:dyDescent="0.2">
      <c r="C711" s="9">
        <v>6516</v>
      </c>
      <c r="D711" s="9" t="s">
        <v>1989</v>
      </c>
      <c r="E711" s="9" t="s">
        <v>1989</v>
      </c>
      <c r="F711" s="7" t="s">
        <v>2675</v>
      </c>
      <c r="G711" s="9" t="s">
        <v>2147</v>
      </c>
    </row>
    <row r="712" spans="3:7" x14ac:dyDescent="0.2">
      <c r="C712" s="9">
        <v>6543</v>
      </c>
      <c r="D712" s="9" t="s">
        <v>1989</v>
      </c>
      <c r="E712" s="9"/>
      <c r="F712" s="7" t="s">
        <v>2676</v>
      </c>
      <c r="G712" s="9" t="s">
        <v>2147</v>
      </c>
    </row>
    <row r="713" spans="3:7" x14ac:dyDescent="0.2">
      <c r="C713" s="9">
        <v>6556</v>
      </c>
      <c r="D713" s="9" t="s">
        <v>1989</v>
      </c>
      <c r="E713" s="9"/>
      <c r="F713" s="7" t="s">
        <v>2677</v>
      </c>
      <c r="G713" s="9" t="s">
        <v>2147</v>
      </c>
    </row>
    <row r="714" spans="3:7" x14ac:dyDescent="0.2">
      <c r="C714" s="9">
        <v>6566</v>
      </c>
      <c r="D714" s="9" t="s">
        <v>1083</v>
      </c>
      <c r="E714" s="9"/>
      <c r="F714" s="7" t="s">
        <v>2678</v>
      </c>
      <c r="G714" s="9" t="s">
        <v>2147</v>
      </c>
    </row>
    <row r="715" spans="3:7" x14ac:dyDescent="0.2">
      <c r="C715" s="9" t="s">
        <v>2679</v>
      </c>
      <c r="D715" s="9" t="s">
        <v>1989</v>
      </c>
      <c r="E715" s="9"/>
      <c r="F715" s="7" t="s">
        <v>2680</v>
      </c>
      <c r="G715" s="9" t="s">
        <v>2147</v>
      </c>
    </row>
    <row r="716" spans="3:7" x14ac:dyDescent="0.2">
      <c r="C716" s="9">
        <v>6571</v>
      </c>
      <c r="D716" s="9" t="s">
        <v>1989</v>
      </c>
      <c r="E716" s="9" t="s">
        <v>1989</v>
      </c>
      <c r="F716" s="7" t="s">
        <v>2681</v>
      </c>
      <c r="G716" s="9" t="s">
        <v>2147</v>
      </c>
    </row>
    <row r="717" spans="3:7" x14ac:dyDescent="0.2">
      <c r="C717" s="9">
        <v>6600</v>
      </c>
      <c r="D717" s="9" t="s">
        <v>1083</v>
      </c>
      <c r="E717" s="9"/>
      <c r="F717" s="7" t="s">
        <v>2682</v>
      </c>
      <c r="G717" s="9" t="s">
        <v>2147</v>
      </c>
    </row>
    <row r="718" spans="3:7" x14ac:dyDescent="0.2">
      <c r="C718" s="9">
        <v>6600</v>
      </c>
      <c r="D718" s="9" t="s">
        <v>1989</v>
      </c>
      <c r="E718" s="9"/>
      <c r="F718" s="7" t="s">
        <v>2683</v>
      </c>
      <c r="G718" s="9" t="s">
        <v>2147</v>
      </c>
    </row>
    <row r="719" spans="3:7" x14ac:dyDescent="0.2">
      <c r="C719" s="9">
        <v>6601</v>
      </c>
      <c r="D719" s="9" t="s">
        <v>1083</v>
      </c>
      <c r="E719" s="9"/>
      <c r="F719" s="7" t="s">
        <v>2684</v>
      </c>
      <c r="G719" s="9" t="s">
        <v>2147</v>
      </c>
    </row>
    <row r="720" spans="3:7" x14ac:dyDescent="0.2">
      <c r="C720" s="9">
        <v>6602</v>
      </c>
      <c r="D720" s="9" t="s">
        <v>1083</v>
      </c>
      <c r="E720" s="9"/>
      <c r="F720" s="7" t="s">
        <v>2685</v>
      </c>
      <c r="G720" s="9" t="s">
        <v>2147</v>
      </c>
    </row>
    <row r="721" spans="3:7" x14ac:dyDescent="0.2">
      <c r="C721" s="9">
        <v>6619</v>
      </c>
      <c r="D721" s="9" t="s">
        <v>1083</v>
      </c>
      <c r="E721" s="9" t="s">
        <v>1083</v>
      </c>
      <c r="F721" s="7" t="s">
        <v>2686</v>
      </c>
      <c r="G721" s="9" t="s">
        <v>2147</v>
      </c>
    </row>
    <row r="722" spans="3:7" x14ac:dyDescent="0.2">
      <c r="C722" s="9">
        <v>6622</v>
      </c>
      <c r="D722" s="9" t="s">
        <v>1083</v>
      </c>
      <c r="E722" s="9" t="s">
        <v>1083</v>
      </c>
      <c r="F722" s="7" t="s">
        <v>2687</v>
      </c>
      <c r="G722" s="9" t="s">
        <v>2147</v>
      </c>
    </row>
    <row r="723" spans="3:7" x14ac:dyDescent="0.2">
      <c r="C723" s="9">
        <v>6653</v>
      </c>
      <c r="D723" s="9" t="s">
        <v>1083</v>
      </c>
      <c r="E723" s="9" t="s">
        <v>2155</v>
      </c>
      <c r="F723" s="7" t="s">
        <v>2688</v>
      </c>
      <c r="G723" s="9" t="s">
        <v>2147</v>
      </c>
    </row>
    <row r="724" spans="3:7" x14ac:dyDescent="0.2">
      <c r="C724" s="9" t="s">
        <v>2689</v>
      </c>
      <c r="D724" s="9" t="s">
        <v>1989</v>
      </c>
      <c r="E724" s="9"/>
      <c r="F724" s="7" t="s">
        <v>2690</v>
      </c>
      <c r="G724" s="9" t="s">
        <v>2147</v>
      </c>
    </row>
    <row r="725" spans="3:7" x14ac:dyDescent="0.2">
      <c r="C725" s="9" t="s">
        <v>2691</v>
      </c>
      <c r="D725" s="9" t="s">
        <v>1083</v>
      </c>
      <c r="E725" s="9"/>
      <c r="F725" s="7" t="s">
        <v>2690</v>
      </c>
      <c r="G725" s="9" t="s">
        <v>2147</v>
      </c>
    </row>
    <row r="726" spans="3:7" x14ac:dyDescent="0.2">
      <c r="C726" s="9">
        <v>6679</v>
      </c>
      <c r="D726" s="9" t="s">
        <v>1083</v>
      </c>
      <c r="E726" s="9" t="s">
        <v>1083</v>
      </c>
      <c r="F726" s="7" t="s">
        <v>2692</v>
      </c>
      <c r="G726" s="9" t="s">
        <v>2147</v>
      </c>
    </row>
    <row r="727" spans="3:7" x14ac:dyDescent="0.2">
      <c r="C727" s="9">
        <v>6679</v>
      </c>
      <c r="D727" s="9" t="s">
        <v>1989</v>
      </c>
      <c r="E727" s="9"/>
      <c r="F727" s="7" t="s">
        <v>2693</v>
      </c>
      <c r="G727" s="9" t="s">
        <v>2147</v>
      </c>
    </row>
    <row r="728" spans="3:7" x14ac:dyDescent="0.2">
      <c r="C728" s="9">
        <v>6690</v>
      </c>
      <c r="D728" s="9" t="s">
        <v>1989</v>
      </c>
      <c r="E728" s="9"/>
      <c r="F728" s="7" t="s">
        <v>2694</v>
      </c>
      <c r="G728" s="9" t="s">
        <v>2147</v>
      </c>
    </row>
    <row r="729" spans="3:7" x14ac:dyDescent="0.2">
      <c r="C729" s="9">
        <v>6697</v>
      </c>
      <c r="D729" s="9" t="s">
        <v>1083</v>
      </c>
      <c r="E729" s="9"/>
      <c r="F729" s="7" t="s">
        <v>2693</v>
      </c>
      <c r="G729" s="9" t="s">
        <v>2147</v>
      </c>
    </row>
    <row r="730" spans="3:7" x14ac:dyDescent="0.2">
      <c r="C730" s="9">
        <v>6699</v>
      </c>
      <c r="D730" s="9" t="s">
        <v>1989</v>
      </c>
      <c r="E730" s="9"/>
      <c r="F730" s="7" t="s">
        <v>2695</v>
      </c>
      <c r="G730" s="9" t="s">
        <v>2147</v>
      </c>
    </row>
    <row r="731" spans="3:7" x14ac:dyDescent="0.2">
      <c r="C731" s="9">
        <v>6715</v>
      </c>
      <c r="D731" s="9" t="s">
        <v>1989</v>
      </c>
      <c r="E731" s="9"/>
      <c r="F731" s="7" t="s">
        <v>2696</v>
      </c>
      <c r="G731" s="9" t="s">
        <v>2147</v>
      </c>
    </row>
    <row r="732" spans="3:7" x14ac:dyDescent="0.2">
      <c r="C732" s="9">
        <v>6771</v>
      </c>
      <c r="D732" s="9"/>
      <c r="E732" s="9" t="s">
        <v>1989</v>
      </c>
      <c r="F732" s="7" t="s">
        <v>2697</v>
      </c>
      <c r="G732" s="9" t="s">
        <v>2147</v>
      </c>
    </row>
    <row r="733" spans="3:7" x14ac:dyDescent="0.2">
      <c r="C733" s="9" t="s">
        <v>2698</v>
      </c>
      <c r="D733" s="9" t="s">
        <v>1989</v>
      </c>
      <c r="E733" s="9"/>
      <c r="F733" s="7" t="s">
        <v>2699</v>
      </c>
      <c r="G733" s="9" t="s">
        <v>2147</v>
      </c>
    </row>
    <row r="734" spans="3:7" x14ac:dyDescent="0.2">
      <c r="C734" s="9" t="s">
        <v>2700</v>
      </c>
      <c r="D734" s="9" t="s">
        <v>1989</v>
      </c>
      <c r="E734" s="9" t="s">
        <v>1989</v>
      </c>
      <c r="F734" s="7" t="s">
        <v>2701</v>
      </c>
      <c r="G734" s="9" t="s">
        <v>2147</v>
      </c>
    </row>
    <row r="735" spans="3:7" x14ac:dyDescent="0.2">
      <c r="C735" s="9">
        <v>6888</v>
      </c>
      <c r="D735" s="9" t="s">
        <v>1083</v>
      </c>
      <c r="E735" s="9" t="s">
        <v>1083</v>
      </c>
      <c r="F735" s="7" t="s">
        <v>2702</v>
      </c>
      <c r="G735" s="9" t="s">
        <v>2147</v>
      </c>
    </row>
    <row r="736" spans="3:7" x14ac:dyDescent="0.2">
      <c r="C736" s="9">
        <v>6888</v>
      </c>
      <c r="D736" s="9" t="s">
        <v>1989</v>
      </c>
      <c r="E736" s="9" t="s">
        <v>1989</v>
      </c>
      <c r="F736" s="7" t="s">
        <v>2703</v>
      </c>
      <c r="G736" s="9" t="s">
        <v>2147</v>
      </c>
    </row>
    <row r="737" spans="3:7" x14ac:dyDescent="0.2">
      <c r="C737" s="9" t="s">
        <v>2704</v>
      </c>
      <c r="D737" s="9" t="s">
        <v>1989</v>
      </c>
      <c r="E737" s="9" t="s">
        <v>1989</v>
      </c>
      <c r="F737" s="7" t="s">
        <v>2703</v>
      </c>
      <c r="G737" s="9" t="s">
        <v>2147</v>
      </c>
    </row>
    <row r="738" spans="3:7" x14ac:dyDescent="0.2">
      <c r="C738" s="9" t="s">
        <v>2705</v>
      </c>
      <c r="D738" s="9" t="s">
        <v>1989</v>
      </c>
      <c r="E738" s="9" t="s">
        <v>1989</v>
      </c>
      <c r="F738" s="7" t="s">
        <v>2703</v>
      </c>
      <c r="G738" s="9" t="s">
        <v>2147</v>
      </c>
    </row>
    <row r="739" spans="3:7" x14ac:dyDescent="0.2">
      <c r="C739" s="9" t="s">
        <v>2705</v>
      </c>
      <c r="D739" s="9" t="s">
        <v>1989</v>
      </c>
      <c r="E739" s="9" t="s">
        <v>1989</v>
      </c>
      <c r="F739" s="7" t="s">
        <v>2706</v>
      </c>
      <c r="G739" s="9" t="s">
        <v>2147</v>
      </c>
    </row>
    <row r="740" spans="3:7" x14ac:dyDescent="0.2">
      <c r="C740" s="9">
        <v>6901</v>
      </c>
      <c r="D740" s="9" t="s">
        <v>1989</v>
      </c>
      <c r="E740" s="9" t="s">
        <v>1989</v>
      </c>
      <c r="F740" s="7" t="s">
        <v>2707</v>
      </c>
      <c r="G740" s="9" t="s">
        <v>2147</v>
      </c>
    </row>
    <row r="741" spans="3:7" x14ac:dyDescent="0.2">
      <c r="C741" s="9">
        <v>6901</v>
      </c>
      <c r="D741" s="9" t="s">
        <v>1989</v>
      </c>
      <c r="E741" s="9" t="s">
        <v>1989</v>
      </c>
      <c r="F741" s="7" t="s">
        <v>2703</v>
      </c>
      <c r="G741" s="9" t="s">
        <v>2147</v>
      </c>
    </row>
    <row r="742" spans="3:7" x14ac:dyDescent="0.2">
      <c r="C742" s="9" t="s">
        <v>2708</v>
      </c>
      <c r="D742" s="9" t="s">
        <v>1989</v>
      </c>
      <c r="E742" s="9" t="s">
        <v>1989</v>
      </c>
      <c r="F742" s="7" t="s">
        <v>2703</v>
      </c>
      <c r="G742" s="9" t="s">
        <v>2147</v>
      </c>
    </row>
    <row r="743" spans="3:7" x14ac:dyDescent="0.2">
      <c r="C743" s="9">
        <v>6924</v>
      </c>
      <c r="D743" s="9" t="s">
        <v>1083</v>
      </c>
      <c r="E743" s="9" t="s">
        <v>1083</v>
      </c>
      <c r="F743" s="7" t="s">
        <v>2709</v>
      </c>
      <c r="G743" s="9" t="s">
        <v>2147</v>
      </c>
    </row>
    <row r="744" spans="3:7" x14ac:dyDescent="0.2">
      <c r="C744" s="9">
        <v>6969</v>
      </c>
      <c r="D744" s="9" t="s">
        <v>1083</v>
      </c>
      <c r="E744" s="9" t="s">
        <v>1083</v>
      </c>
      <c r="F744" s="7" t="s">
        <v>2710</v>
      </c>
      <c r="G744" s="9" t="s">
        <v>2147</v>
      </c>
    </row>
    <row r="745" spans="3:7" x14ac:dyDescent="0.2">
      <c r="C745" s="9">
        <v>6969</v>
      </c>
      <c r="D745" s="9" t="s">
        <v>1989</v>
      </c>
      <c r="E745" s="9"/>
      <c r="F745" s="7" t="s">
        <v>2711</v>
      </c>
      <c r="G745" s="9" t="s">
        <v>2147</v>
      </c>
    </row>
    <row r="746" spans="3:7" x14ac:dyDescent="0.2">
      <c r="C746" s="9" t="s">
        <v>2712</v>
      </c>
      <c r="D746" s="9" t="s">
        <v>1989</v>
      </c>
      <c r="E746" s="9" t="s">
        <v>1989</v>
      </c>
      <c r="F746" s="7" t="s">
        <v>2703</v>
      </c>
      <c r="G746" s="9" t="s">
        <v>2147</v>
      </c>
    </row>
    <row r="747" spans="3:7" x14ac:dyDescent="0.2">
      <c r="C747" s="9">
        <v>6999</v>
      </c>
      <c r="D747" s="9"/>
      <c r="E747" s="9" t="s">
        <v>1989</v>
      </c>
      <c r="F747" s="7" t="s">
        <v>2713</v>
      </c>
      <c r="G747" s="9" t="s">
        <v>2147</v>
      </c>
    </row>
    <row r="748" spans="3:7" x14ac:dyDescent="0.2">
      <c r="C748" s="9">
        <v>7000</v>
      </c>
      <c r="D748" s="9" t="s">
        <v>1989</v>
      </c>
      <c r="E748" s="9"/>
      <c r="F748" s="7" t="s">
        <v>2714</v>
      </c>
      <c r="G748" s="9" t="s">
        <v>2147</v>
      </c>
    </row>
    <row r="749" spans="3:7" x14ac:dyDescent="0.2">
      <c r="C749" s="9">
        <v>7000</v>
      </c>
      <c r="D749" s="9" t="s">
        <v>1989</v>
      </c>
      <c r="E749" s="9"/>
      <c r="F749" s="7" t="s">
        <v>2715</v>
      </c>
      <c r="G749" s="9" t="s">
        <v>2147</v>
      </c>
    </row>
    <row r="750" spans="3:7" x14ac:dyDescent="0.2">
      <c r="C750" s="9">
        <v>7001</v>
      </c>
      <c r="D750" s="9" t="s">
        <v>1989</v>
      </c>
      <c r="E750" s="9"/>
      <c r="F750" s="7" t="s">
        <v>2716</v>
      </c>
      <c r="G750" s="9" t="s">
        <v>2147</v>
      </c>
    </row>
    <row r="751" spans="3:7" x14ac:dyDescent="0.2">
      <c r="C751" s="9">
        <v>7001</v>
      </c>
      <c r="D751" s="9" t="s">
        <v>1989</v>
      </c>
      <c r="E751" s="9"/>
      <c r="F751" s="7" t="s">
        <v>2717</v>
      </c>
      <c r="G751" s="9" t="s">
        <v>2147</v>
      </c>
    </row>
    <row r="752" spans="3:7" x14ac:dyDescent="0.2">
      <c r="C752" s="9">
        <v>7002</v>
      </c>
      <c r="D752" s="9" t="s">
        <v>1989</v>
      </c>
      <c r="E752" s="9"/>
      <c r="F752" s="7" t="s">
        <v>2718</v>
      </c>
      <c r="G752" s="9" t="s">
        <v>2147</v>
      </c>
    </row>
    <row r="753" spans="3:7" x14ac:dyDescent="0.2">
      <c r="C753" s="9">
        <v>7005</v>
      </c>
      <c r="D753" s="9" t="s">
        <v>1989</v>
      </c>
      <c r="E753" s="9"/>
      <c r="F753" s="7" t="s">
        <v>2719</v>
      </c>
      <c r="G753" s="9" t="s">
        <v>2147</v>
      </c>
    </row>
    <row r="754" spans="3:7" x14ac:dyDescent="0.2">
      <c r="C754" s="9">
        <v>7006</v>
      </c>
      <c r="D754" s="9" t="s">
        <v>1989</v>
      </c>
      <c r="E754" s="9"/>
      <c r="F754" s="7" t="s">
        <v>2720</v>
      </c>
      <c r="G754" s="9" t="s">
        <v>2147</v>
      </c>
    </row>
    <row r="755" spans="3:7" x14ac:dyDescent="0.2">
      <c r="C755" s="9">
        <v>7010</v>
      </c>
      <c r="D755" s="9" t="s">
        <v>1989</v>
      </c>
      <c r="E755" s="9"/>
      <c r="F755" s="7" t="s">
        <v>2721</v>
      </c>
      <c r="G755" s="9" t="s">
        <v>2147</v>
      </c>
    </row>
    <row r="756" spans="3:7" x14ac:dyDescent="0.2">
      <c r="C756" s="9">
        <v>7022</v>
      </c>
      <c r="D756" s="9" t="s">
        <v>1989</v>
      </c>
      <c r="E756" s="9"/>
      <c r="F756" s="7" t="s">
        <v>2722</v>
      </c>
      <c r="G756" s="9" t="s">
        <v>2147</v>
      </c>
    </row>
    <row r="757" spans="3:7" x14ac:dyDescent="0.2">
      <c r="C757" s="9">
        <v>7023</v>
      </c>
      <c r="D757" s="9"/>
      <c r="E757" s="9" t="s">
        <v>1083</v>
      </c>
      <c r="F757" s="7" t="s">
        <v>2723</v>
      </c>
      <c r="G757" s="9" t="s">
        <v>2147</v>
      </c>
    </row>
    <row r="758" spans="3:7" x14ac:dyDescent="0.2">
      <c r="C758" s="9">
        <v>7025</v>
      </c>
      <c r="D758" s="9" t="s">
        <v>1989</v>
      </c>
      <c r="E758" s="9"/>
      <c r="F758" s="7" t="s">
        <v>2724</v>
      </c>
      <c r="G758" s="9" t="s">
        <v>2147</v>
      </c>
    </row>
    <row r="759" spans="3:7" x14ac:dyDescent="0.2">
      <c r="C759" s="9">
        <v>7047</v>
      </c>
      <c r="D759" s="9" t="s">
        <v>1989</v>
      </c>
      <c r="E759" s="9"/>
      <c r="F759" s="7" t="s">
        <v>2725</v>
      </c>
      <c r="G759" s="9" t="s">
        <v>2147</v>
      </c>
    </row>
    <row r="760" spans="3:7" x14ac:dyDescent="0.2">
      <c r="C760" s="9">
        <v>7070</v>
      </c>
      <c r="D760" s="9" t="s">
        <v>1989</v>
      </c>
      <c r="E760" s="9" t="s">
        <v>1989</v>
      </c>
      <c r="F760" s="7" t="s">
        <v>2726</v>
      </c>
      <c r="G760" s="9" t="s">
        <v>2147</v>
      </c>
    </row>
    <row r="761" spans="3:7" x14ac:dyDescent="0.2">
      <c r="C761" s="9">
        <v>7133</v>
      </c>
      <c r="D761" s="9" t="s">
        <v>1989</v>
      </c>
      <c r="E761" s="9"/>
      <c r="F761" s="7" t="s">
        <v>2727</v>
      </c>
      <c r="G761" s="9" t="s">
        <v>2147</v>
      </c>
    </row>
    <row r="762" spans="3:7" x14ac:dyDescent="0.2">
      <c r="C762" s="9">
        <v>7144</v>
      </c>
      <c r="D762" s="9" t="s">
        <v>1989</v>
      </c>
      <c r="E762" s="9"/>
      <c r="F762" s="7" t="s">
        <v>2728</v>
      </c>
      <c r="G762" s="9" t="s">
        <v>2147</v>
      </c>
    </row>
    <row r="763" spans="3:7" x14ac:dyDescent="0.2">
      <c r="C763" s="9">
        <v>7145</v>
      </c>
      <c r="D763" s="9" t="s">
        <v>1989</v>
      </c>
      <c r="E763" s="9"/>
      <c r="F763" s="7" t="s">
        <v>2728</v>
      </c>
      <c r="G763" s="9" t="s">
        <v>2147</v>
      </c>
    </row>
    <row r="764" spans="3:7" x14ac:dyDescent="0.2">
      <c r="C764" s="9">
        <v>7171</v>
      </c>
      <c r="D764" s="9" t="s">
        <v>1989</v>
      </c>
      <c r="E764" s="9"/>
      <c r="F764" s="7" t="s">
        <v>2729</v>
      </c>
      <c r="G764" s="9" t="s">
        <v>2147</v>
      </c>
    </row>
    <row r="765" spans="3:7" x14ac:dyDescent="0.2">
      <c r="C765" s="9">
        <v>7262</v>
      </c>
      <c r="D765" s="9" t="s">
        <v>1083</v>
      </c>
      <c r="E765" s="9" t="s">
        <v>1083</v>
      </c>
      <c r="F765" s="7" t="s">
        <v>2730</v>
      </c>
      <c r="G765" s="9" t="s">
        <v>2147</v>
      </c>
    </row>
    <row r="766" spans="3:7" x14ac:dyDescent="0.2">
      <c r="C766" s="9">
        <v>7272</v>
      </c>
      <c r="D766" s="9" t="s">
        <v>1083</v>
      </c>
      <c r="E766" s="9" t="s">
        <v>1083</v>
      </c>
      <c r="F766" s="7" t="s">
        <v>2731</v>
      </c>
      <c r="G766" s="9" t="s">
        <v>2147</v>
      </c>
    </row>
    <row r="767" spans="3:7" x14ac:dyDescent="0.2">
      <c r="C767" s="9">
        <v>7306</v>
      </c>
      <c r="D767" s="9" t="s">
        <v>1989</v>
      </c>
      <c r="E767" s="9"/>
      <c r="F767" s="7" t="s">
        <v>2732</v>
      </c>
      <c r="G767" s="9" t="s">
        <v>2147</v>
      </c>
    </row>
    <row r="768" spans="3:7" x14ac:dyDescent="0.2">
      <c r="C768" s="9">
        <v>7307</v>
      </c>
      <c r="D768" s="9" t="s">
        <v>1989</v>
      </c>
      <c r="E768" s="9"/>
      <c r="F768" s="7" t="s">
        <v>2733</v>
      </c>
      <c r="G768" s="9" t="s">
        <v>2147</v>
      </c>
    </row>
    <row r="769" spans="3:7" x14ac:dyDescent="0.2">
      <c r="C769" s="9">
        <v>7312</v>
      </c>
      <c r="D769" s="9"/>
      <c r="E769" s="9" t="s">
        <v>1989</v>
      </c>
      <c r="F769" s="7" t="s">
        <v>2734</v>
      </c>
      <c r="G769" s="9" t="s">
        <v>2147</v>
      </c>
    </row>
    <row r="770" spans="3:7" x14ac:dyDescent="0.2">
      <c r="C770" s="9">
        <v>7396</v>
      </c>
      <c r="D770" s="9" t="s">
        <v>1989</v>
      </c>
      <c r="E770" s="9"/>
      <c r="F770" s="7" t="s">
        <v>2735</v>
      </c>
      <c r="G770" s="9" t="s">
        <v>2147</v>
      </c>
    </row>
    <row r="771" spans="3:7" x14ac:dyDescent="0.2">
      <c r="C771" s="9">
        <v>7400</v>
      </c>
      <c r="D771" s="9" t="s">
        <v>1083</v>
      </c>
      <c r="E771" s="9" t="s">
        <v>1083</v>
      </c>
      <c r="F771" s="7" t="s">
        <v>2736</v>
      </c>
      <c r="G771" s="9" t="s">
        <v>2147</v>
      </c>
    </row>
    <row r="772" spans="3:7" x14ac:dyDescent="0.2">
      <c r="C772" s="9">
        <v>7401</v>
      </c>
      <c r="D772" s="9" t="s">
        <v>1083</v>
      </c>
      <c r="E772" s="9" t="s">
        <v>1083</v>
      </c>
      <c r="F772" s="7" t="s">
        <v>2737</v>
      </c>
      <c r="G772" s="9" t="s">
        <v>2147</v>
      </c>
    </row>
    <row r="773" spans="3:7" x14ac:dyDescent="0.2">
      <c r="C773" s="9">
        <v>7402</v>
      </c>
      <c r="D773" s="9" t="s">
        <v>1083</v>
      </c>
      <c r="E773" s="9" t="s">
        <v>1083</v>
      </c>
      <c r="F773" s="7" t="s">
        <v>2738</v>
      </c>
      <c r="G773" s="9" t="s">
        <v>2147</v>
      </c>
    </row>
    <row r="774" spans="3:7" x14ac:dyDescent="0.2">
      <c r="C774" s="9">
        <v>7471</v>
      </c>
      <c r="D774" s="9" t="s">
        <v>1989</v>
      </c>
      <c r="E774" s="9"/>
      <c r="F774" s="7" t="s">
        <v>2739</v>
      </c>
      <c r="G774" s="9" t="s">
        <v>2147</v>
      </c>
    </row>
    <row r="775" spans="3:7" x14ac:dyDescent="0.2">
      <c r="C775" s="9">
        <v>7473</v>
      </c>
      <c r="D775" s="9" t="s">
        <v>1083</v>
      </c>
      <c r="E775" s="9"/>
      <c r="F775" s="7" t="s">
        <v>2740</v>
      </c>
      <c r="G775" s="9" t="s">
        <v>2147</v>
      </c>
    </row>
    <row r="776" spans="3:7" x14ac:dyDescent="0.2">
      <c r="C776" s="9">
        <v>7474</v>
      </c>
      <c r="D776" s="9" t="s">
        <v>1083</v>
      </c>
      <c r="E776" s="9"/>
      <c r="F776" s="7" t="s">
        <v>2741</v>
      </c>
      <c r="G776" s="9" t="s">
        <v>2147</v>
      </c>
    </row>
    <row r="777" spans="3:7" x14ac:dyDescent="0.2">
      <c r="C777" s="9">
        <v>7478</v>
      </c>
      <c r="D777" s="9" t="s">
        <v>1083</v>
      </c>
      <c r="E777" s="9"/>
      <c r="F777" s="7" t="s">
        <v>2742</v>
      </c>
      <c r="G777" s="9" t="s">
        <v>2147</v>
      </c>
    </row>
    <row r="778" spans="3:7" x14ac:dyDescent="0.2">
      <c r="C778" s="9">
        <v>7542</v>
      </c>
      <c r="D778" s="9" t="s">
        <v>1083</v>
      </c>
      <c r="E778" s="9" t="s">
        <v>1083</v>
      </c>
      <c r="F778" s="7" t="s">
        <v>2743</v>
      </c>
      <c r="G778" s="9" t="s">
        <v>2147</v>
      </c>
    </row>
    <row r="779" spans="3:7" x14ac:dyDescent="0.2">
      <c r="C779" s="9">
        <v>7547</v>
      </c>
      <c r="D779" s="9" t="s">
        <v>1083</v>
      </c>
      <c r="E779" s="9" t="s">
        <v>1083</v>
      </c>
      <c r="F779" s="7" t="s">
        <v>2744</v>
      </c>
      <c r="G779" s="9" t="s">
        <v>2147</v>
      </c>
    </row>
    <row r="780" spans="3:7" x14ac:dyDescent="0.2">
      <c r="C780" s="9">
        <v>7575</v>
      </c>
      <c r="D780" s="9"/>
      <c r="E780" s="9" t="s">
        <v>1989</v>
      </c>
      <c r="F780" s="7" t="s">
        <v>2745</v>
      </c>
      <c r="G780" s="9" t="s">
        <v>2147</v>
      </c>
    </row>
    <row r="781" spans="3:7" x14ac:dyDescent="0.2">
      <c r="C781" s="9">
        <v>7624</v>
      </c>
      <c r="D781" s="9" t="s">
        <v>1083</v>
      </c>
      <c r="E781" s="9" t="s">
        <v>1083</v>
      </c>
      <c r="F781" s="7" t="s">
        <v>2746</v>
      </c>
      <c r="G781" s="9" t="s">
        <v>2147</v>
      </c>
    </row>
    <row r="782" spans="3:7" x14ac:dyDescent="0.2">
      <c r="C782" s="9">
        <v>7631</v>
      </c>
      <c r="D782" s="9" t="s">
        <v>1083</v>
      </c>
      <c r="E782" s="9"/>
      <c r="F782" s="7" t="s">
        <v>2747</v>
      </c>
      <c r="G782" s="9" t="s">
        <v>2147</v>
      </c>
    </row>
    <row r="783" spans="3:7" x14ac:dyDescent="0.2">
      <c r="C783" s="9">
        <v>7634</v>
      </c>
      <c r="D783" s="9" t="s">
        <v>1989</v>
      </c>
      <c r="E783" s="9"/>
      <c r="F783" s="7" t="s">
        <v>2748</v>
      </c>
      <c r="G783" s="9" t="s">
        <v>2147</v>
      </c>
    </row>
    <row r="784" spans="3:7" x14ac:dyDescent="0.2">
      <c r="C784" s="9" t="s">
        <v>2749</v>
      </c>
      <c r="D784" s="9" t="s">
        <v>1989</v>
      </c>
      <c r="E784" s="9"/>
      <c r="F784" s="7" t="s">
        <v>2750</v>
      </c>
      <c r="G784" s="9" t="s">
        <v>2147</v>
      </c>
    </row>
    <row r="785" spans="3:7" x14ac:dyDescent="0.2">
      <c r="C785" s="9">
        <v>7655</v>
      </c>
      <c r="D785" s="9"/>
      <c r="E785" s="9" t="s">
        <v>1989</v>
      </c>
      <c r="F785" s="7" t="s">
        <v>2751</v>
      </c>
      <c r="G785" s="9" t="s">
        <v>2147</v>
      </c>
    </row>
    <row r="786" spans="3:7" x14ac:dyDescent="0.2">
      <c r="C786" s="9" t="s">
        <v>2752</v>
      </c>
      <c r="D786" s="9" t="s">
        <v>1989</v>
      </c>
      <c r="E786" s="9"/>
      <c r="F786" s="7" t="s">
        <v>2753</v>
      </c>
      <c r="G786" s="9" t="s">
        <v>2147</v>
      </c>
    </row>
    <row r="787" spans="3:7" x14ac:dyDescent="0.2">
      <c r="C787" s="9">
        <v>7670</v>
      </c>
      <c r="D787" s="9" t="s">
        <v>1989</v>
      </c>
      <c r="E787" s="9"/>
      <c r="F787" s="7" t="s">
        <v>2754</v>
      </c>
      <c r="G787" s="9" t="s">
        <v>2147</v>
      </c>
    </row>
    <row r="788" spans="3:7" x14ac:dyDescent="0.2">
      <c r="C788" s="9">
        <v>7680</v>
      </c>
      <c r="D788" s="9" t="s">
        <v>1989</v>
      </c>
      <c r="E788" s="9"/>
      <c r="F788" s="7" t="s">
        <v>2755</v>
      </c>
      <c r="G788" s="9" t="s">
        <v>2147</v>
      </c>
    </row>
    <row r="789" spans="3:7" x14ac:dyDescent="0.2">
      <c r="C789" s="9">
        <v>7687</v>
      </c>
      <c r="D789" s="9" t="s">
        <v>1083</v>
      </c>
      <c r="E789" s="9"/>
      <c r="F789" s="7" t="s">
        <v>2756</v>
      </c>
      <c r="G789" s="9" t="s">
        <v>2147</v>
      </c>
    </row>
    <row r="790" spans="3:7" x14ac:dyDescent="0.2">
      <c r="C790" s="9" t="s">
        <v>2757</v>
      </c>
      <c r="D790" s="9"/>
      <c r="E790" s="9" t="s">
        <v>1989</v>
      </c>
      <c r="F790" s="7" t="s">
        <v>2758</v>
      </c>
      <c r="G790" s="9" t="s">
        <v>2147</v>
      </c>
    </row>
    <row r="791" spans="3:7" x14ac:dyDescent="0.2">
      <c r="C791" s="9">
        <v>7717</v>
      </c>
      <c r="D791" s="9"/>
      <c r="E791" s="9" t="s">
        <v>1989</v>
      </c>
      <c r="F791" s="7" t="s">
        <v>2758</v>
      </c>
      <c r="G791" s="9" t="s">
        <v>2147</v>
      </c>
    </row>
    <row r="792" spans="3:7" x14ac:dyDescent="0.2">
      <c r="C792" s="9">
        <v>7777</v>
      </c>
      <c r="D792" s="9" t="s">
        <v>1989</v>
      </c>
      <c r="E792" s="9"/>
      <c r="F792" s="7" t="s">
        <v>2759</v>
      </c>
      <c r="G792" s="9" t="s">
        <v>2147</v>
      </c>
    </row>
    <row r="793" spans="3:7" x14ac:dyDescent="0.2">
      <c r="C793" s="9">
        <v>7777</v>
      </c>
      <c r="D793" s="9" t="s">
        <v>1989</v>
      </c>
      <c r="E793" s="9"/>
      <c r="F793" s="7" t="s">
        <v>2760</v>
      </c>
      <c r="G793" s="9" t="s">
        <v>2147</v>
      </c>
    </row>
    <row r="794" spans="3:7" x14ac:dyDescent="0.2">
      <c r="C794" s="9">
        <v>7777</v>
      </c>
      <c r="D794" s="9" t="s">
        <v>1989</v>
      </c>
      <c r="E794" s="9"/>
      <c r="F794" s="7" t="s">
        <v>2761</v>
      </c>
      <c r="G794" s="9" t="s">
        <v>2147</v>
      </c>
    </row>
    <row r="795" spans="3:7" x14ac:dyDescent="0.2">
      <c r="C795" s="9">
        <v>7777</v>
      </c>
      <c r="D795" s="9" t="s">
        <v>1989</v>
      </c>
      <c r="E795" s="9"/>
      <c r="F795" s="7" t="s">
        <v>2762</v>
      </c>
      <c r="G795" s="9" t="s">
        <v>2147</v>
      </c>
    </row>
    <row r="796" spans="3:7" x14ac:dyDescent="0.2">
      <c r="C796" s="9">
        <v>7777</v>
      </c>
      <c r="D796" s="9" t="s">
        <v>1989</v>
      </c>
      <c r="E796" s="9"/>
      <c r="F796" s="7" t="s">
        <v>2763</v>
      </c>
      <c r="G796" s="9" t="s">
        <v>2147</v>
      </c>
    </row>
    <row r="797" spans="3:7" x14ac:dyDescent="0.2">
      <c r="C797" s="9">
        <v>7777</v>
      </c>
      <c r="D797" s="9"/>
      <c r="E797" s="9" t="s">
        <v>1989</v>
      </c>
      <c r="F797" s="7" t="s">
        <v>2764</v>
      </c>
      <c r="G797" s="9" t="s">
        <v>2147</v>
      </c>
    </row>
    <row r="798" spans="3:7" x14ac:dyDescent="0.2">
      <c r="C798" s="9">
        <v>7777</v>
      </c>
      <c r="D798" s="9"/>
      <c r="E798" s="9" t="s">
        <v>1989</v>
      </c>
      <c r="F798" s="7" t="s">
        <v>2765</v>
      </c>
      <c r="G798" s="9" t="s">
        <v>2147</v>
      </c>
    </row>
    <row r="799" spans="3:7" x14ac:dyDescent="0.2">
      <c r="C799" s="9" t="s">
        <v>2766</v>
      </c>
      <c r="D799" s="9" t="s">
        <v>1989</v>
      </c>
      <c r="E799" s="9" t="s">
        <v>1989</v>
      </c>
      <c r="F799" s="7" t="s">
        <v>2767</v>
      </c>
      <c r="G799" s="9" t="s">
        <v>2147</v>
      </c>
    </row>
    <row r="800" spans="3:7" x14ac:dyDescent="0.2">
      <c r="C800" s="9">
        <v>7831</v>
      </c>
      <c r="D800" s="9" t="s">
        <v>1989</v>
      </c>
      <c r="E800" s="9"/>
      <c r="F800" s="7" t="s">
        <v>2768</v>
      </c>
      <c r="G800" s="9" t="s">
        <v>2147</v>
      </c>
    </row>
    <row r="801" spans="3:7" x14ac:dyDescent="0.2">
      <c r="C801" s="9">
        <v>7880</v>
      </c>
      <c r="D801" s="9" t="s">
        <v>1989</v>
      </c>
      <c r="E801" s="9" t="s">
        <v>1989</v>
      </c>
      <c r="F801" s="7" t="s">
        <v>2769</v>
      </c>
      <c r="G801" s="9" t="s">
        <v>2147</v>
      </c>
    </row>
    <row r="802" spans="3:7" x14ac:dyDescent="0.2">
      <c r="C802" s="9">
        <v>7890</v>
      </c>
      <c r="D802" s="9" t="s">
        <v>1989</v>
      </c>
      <c r="E802" s="9"/>
      <c r="F802" s="7" t="s">
        <v>2770</v>
      </c>
      <c r="G802" s="9" t="s">
        <v>2147</v>
      </c>
    </row>
    <row r="803" spans="3:7" x14ac:dyDescent="0.2">
      <c r="C803" s="9">
        <v>7915</v>
      </c>
      <c r="D803" s="9" t="s">
        <v>1989</v>
      </c>
      <c r="E803" s="9"/>
      <c r="F803" s="7" t="s">
        <v>2771</v>
      </c>
      <c r="G803" s="9" t="s">
        <v>2147</v>
      </c>
    </row>
    <row r="804" spans="3:7" x14ac:dyDescent="0.2">
      <c r="C804" s="9">
        <v>7935</v>
      </c>
      <c r="D804" s="9" t="s">
        <v>1989</v>
      </c>
      <c r="E804" s="9"/>
      <c r="F804" s="7" t="s">
        <v>2772</v>
      </c>
      <c r="G804" s="9" t="s">
        <v>2147</v>
      </c>
    </row>
    <row r="805" spans="3:7" x14ac:dyDescent="0.2">
      <c r="C805" s="9">
        <v>7946</v>
      </c>
      <c r="D805" s="9" t="s">
        <v>1989</v>
      </c>
      <c r="E805" s="9" t="s">
        <v>1989</v>
      </c>
      <c r="F805" s="7" t="s">
        <v>2773</v>
      </c>
      <c r="G805" s="9" t="s">
        <v>2147</v>
      </c>
    </row>
    <row r="806" spans="3:7" x14ac:dyDescent="0.2">
      <c r="C806" s="9">
        <v>7979</v>
      </c>
      <c r="D806" s="9"/>
      <c r="E806" s="9" t="s">
        <v>1989</v>
      </c>
      <c r="F806" s="7" t="s">
        <v>2774</v>
      </c>
      <c r="G806" s="9" t="s">
        <v>2147</v>
      </c>
    </row>
    <row r="807" spans="3:7" x14ac:dyDescent="0.2">
      <c r="C807" s="9">
        <v>7990</v>
      </c>
      <c r="D807" s="9" t="s">
        <v>1989</v>
      </c>
      <c r="E807" s="9"/>
      <c r="F807" s="7" t="s">
        <v>2775</v>
      </c>
      <c r="G807" s="9" t="s">
        <v>2147</v>
      </c>
    </row>
    <row r="808" spans="3:7" x14ac:dyDescent="0.2">
      <c r="C808" s="9">
        <v>8000</v>
      </c>
      <c r="D808" s="9" t="s">
        <v>1989</v>
      </c>
      <c r="E808" s="9"/>
      <c r="F808" s="7" t="s">
        <v>2776</v>
      </c>
      <c r="G808" s="9" t="s">
        <v>2147</v>
      </c>
    </row>
    <row r="809" spans="3:7" x14ac:dyDescent="0.2">
      <c r="C809" s="9">
        <v>8000</v>
      </c>
      <c r="D809" s="9" t="s">
        <v>1989</v>
      </c>
      <c r="E809" s="9" t="s">
        <v>1989</v>
      </c>
      <c r="F809" s="7" t="s">
        <v>2777</v>
      </c>
      <c r="G809" s="9" t="s">
        <v>2147</v>
      </c>
    </row>
    <row r="810" spans="3:7" x14ac:dyDescent="0.2">
      <c r="C810" s="9">
        <v>8000</v>
      </c>
      <c r="D810" s="9" t="s">
        <v>1989</v>
      </c>
      <c r="E810" s="9" t="s">
        <v>1989</v>
      </c>
      <c r="F810" s="7" t="s">
        <v>2778</v>
      </c>
      <c r="G810" s="9" t="s">
        <v>2147</v>
      </c>
    </row>
    <row r="811" spans="3:7" x14ac:dyDescent="0.2">
      <c r="C811" s="9">
        <v>8005</v>
      </c>
      <c r="D811" s="9" t="s">
        <v>1989</v>
      </c>
      <c r="E811" s="9"/>
      <c r="F811" s="7" t="s">
        <v>2779</v>
      </c>
      <c r="G811" s="9" t="s">
        <v>2147</v>
      </c>
    </row>
    <row r="812" spans="3:7" x14ac:dyDescent="0.2">
      <c r="C812" s="9">
        <v>8006</v>
      </c>
      <c r="D812" s="9" t="s">
        <v>1989</v>
      </c>
      <c r="E812" s="9"/>
      <c r="F812" s="7" t="s">
        <v>2780</v>
      </c>
      <c r="G812" s="9" t="s">
        <v>2147</v>
      </c>
    </row>
    <row r="813" spans="3:7" x14ac:dyDescent="0.2">
      <c r="C813" s="9">
        <v>8006</v>
      </c>
      <c r="D813" s="9" t="s">
        <v>1989</v>
      </c>
      <c r="E813" s="9" t="s">
        <v>293</v>
      </c>
      <c r="F813" s="7" t="s">
        <v>2781</v>
      </c>
      <c r="G813" s="9" t="s">
        <v>2147</v>
      </c>
    </row>
    <row r="814" spans="3:7" x14ac:dyDescent="0.2">
      <c r="C814" s="9">
        <v>8007</v>
      </c>
      <c r="D814" s="9" t="s">
        <v>1989</v>
      </c>
      <c r="E814" s="9"/>
      <c r="F814" s="7" t="s">
        <v>2782</v>
      </c>
      <c r="G814" s="9" t="s">
        <v>2147</v>
      </c>
    </row>
    <row r="815" spans="3:7" x14ac:dyDescent="0.2">
      <c r="C815" s="9">
        <v>8007</v>
      </c>
      <c r="D815" s="9" t="s">
        <v>1083</v>
      </c>
      <c r="E815" s="9"/>
      <c r="F815" s="7" t="s">
        <v>2783</v>
      </c>
      <c r="G815" s="9" t="s">
        <v>2147</v>
      </c>
    </row>
    <row r="816" spans="3:7" x14ac:dyDescent="0.2">
      <c r="C816" s="9">
        <v>8008</v>
      </c>
      <c r="D816" s="9" t="s">
        <v>1989</v>
      </c>
      <c r="E816" s="9" t="s">
        <v>1989</v>
      </c>
      <c r="F816" s="7" t="s">
        <v>2784</v>
      </c>
      <c r="G816" s="9" t="s">
        <v>2147</v>
      </c>
    </row>
    <row r="817" spans="3:7" x14ac:dyDescent="0.2">
      <c r="C817" s="9">
        <v>8008</v>
      </c>
      <c r="D817" s="9" t="s">
        <v>1989</v>
      </c>
      <c r="E817" s="9"/>
      <c r="F817" s="7" t="s">
        <v>2785</v>
      </c>
      <c r="G817" s="9" t="s">
        <v>2147</v>
      </c>
    </row>
    <row r="818" spans="3:7" x14ac:dyDescent="0.2">
      <c r="C818" s="9">
        <v>8008</v>
      </c>
      <c r="D818" s="9" t="s">
        <v>1989</v>
      </c>
      <c r="E818" s="9"/>
      <c r="F818" s="7" t="s">
        <v>2786</v>
      </c>
      <c r="G818" s="9" t="s">
        <v>2147</v>
      </c>
    </row>
    <row r="819" spans="3:7" x14ac:dyDescent="0.2">
      <c r="C819" s="9">
        <v>8008</v>
      </c>
      <c r="D819" s="9" t="s">
        <v>1989</v>
      </c>
      <c r="E819" s="9" t="s">
        <v>293</v>
      </c>
      <c r="F819" s="7" t="s">
        <v>2787</v>
      </c>
      <c r="G819" s="9" t="s">
        <v>2147</v>
      </c>
    </row>
    <row r="820" spans="3:7" x14ac:dyDescent="0.2">
      <c r="C820" s="9">
        <v>8009</v>
      </c>
      <c r="D820" s="9" t="s">
        <v>1989</v>
      </c>
      <c r="E820" s="9"/>
      <c r="F820" s="7" t="s">
        <v>2788</v>
      </c>
      <c r="G820" s="9" t="s">
        <v>2147</v>
      </c>
    </row>
    <row r="821" spans="3:7" x14ac:dyDescent="0.2">
      <c r="C821" s="9">
        <v>8010</v>
      </c>
      <c r="D821" s="9" t="s">
        <v>1989</v>
      </c>
      <c r="E821" s="9" t="s">
        <v>293</v>
      </c>
      <c r="F821" s="7" t="s">
        <v>2789</v>
      </c>
      <c r="G821" s="9" t="s">
        <v>2147</v>
      </c>
    </row>
    <row r="822" spans="3:7" x14ac:dyDescent="0.2">
      <c r="C822" s="9">
        <v>8042</v>
      </c>
      <c r="D822" s="9" t="s">
        <v>1989</v>
      </c>
      <c r="E822" s="9" t="s">
        <v>1989</v>
      </c>
      <c r="F822" s="7" t="s">
        <v>2790</v>
      </c>
      <c r="G822" s="9" t="s">
        <v>2147</v>
      </c>
    </row>
    <row r="823" spans="3:7" x14ac:dyDescent="0.2">
      <c r="C823" s="9">
        <v>8069</v>
      </c>
      <c r="D823" s="9" t="s">
        <v>1989</v>
      </c>
      <c r="E823" s="9"/>
      <c r="F823" s="7" t="s">
        <v>2791</v>
      </c>
      <c r="G823" s="9" t="s">
        <v>2147</v>
      </c>
    </row>
    <row r="824" spans="3:7" x14ac:dyDescent="0.2">
      <c r="C824" s="9">
        <v>8070</v>
      </c>
      <c r="D824" s="9" t="s">
        <v>1989</v>
      </c>
      <c r="E824" s="9"/>
      <c r="F824" s="7" t="s">
        <v>2792</v>
      </c>
      <c r="G824" s="9" t="s">
        <v>2147</v>
      </c>
    </row>
    <row r="825" spans="3:7" x14ac:dyDescent="0.2">
      <c r="C825" s="9">
        <v>8074</v>
      </c>
      <c r="D825" s="9" t="s">
        <v>1083</v>
      </c>
      <c r="E825" s="9" t="s">
        <v>1083</v>
      </c>
      <c r="F825" s="7" t="s">
        <v>2793</v>
      </c>
      <c r="G825" s="9" t="s">
        <v>2147</v>
      </c>
    </row>
    <row r="826" spans="3:7" x14ac:dyDescent="0.2">
      <c r="C826" s="9">
        <v>8075</v>
      </c>
      <c r="D826" s="9" t="s">
        <v>1989</v>
      </c>
      <c r="E826" s="9"/>
      <c r="F826" s="7" t="s">
        <v>2794</v>
      </c>
      <c r="G826" s="9" t="s">
        <v>2147</v>
      </c>
    </row>
    <row r="827" spans="3:7" x14ac:dyDescent="0.2">
      <c r="C827" s="9">
        <v>8080</v>
      </c>
      <c r="D827" s="9" t="s">
        <v>1083</v>
      </c>
      <c r="E827" s="9" t="s">
        <v>1083</v>
      </c>
      <c r="F827" s="7" t="s">
        <v>2795</v>
      </c>
      <c r="G827" s="9" t="s">
        <v>2147</v>
      </c>
    </row>
    <row r="828" spans="3:7" x14ac:dyDescent="0.2">
      <c r="C828" s="9">
        <v>8080</v>
      </c>
      <c r="D828" s="9" t="s">
        <v>1989</v>
      </c>
      <c r="E828" s="9"/>
      <c r="F828" s="7" t="s">
        <v>2796</v>
      </c>
      <c r="G828" s="9" t="s">
        <v>2147</v>
      </c>
    </row>
    <row r="829" spans="3:7" x14ac:dyDescent="0.2">
      <c r="C829" s="9">
        <v>8080</v>
      </c>
      <c r="D829" s="9" t="s">
        <v>1989</v>
      </c>
      <c r="E829" s="9"/>
      <c r="F829" s="7" t="s">
        <v>2797</v>
      </c>
      <c r="G829" s="9" t="s">
        <v>2147</v>
      </c>
    </row>
    <row r="830" spans="3:7" x14ac:dyDescent="0.2">
      <c r="C830" s="9">
        <v>8088</v>
      </c>
      <c r="D830" s="9" t="s">
        <v>1989</v>
      </c>
      <c r="E830" s="9"/>
      <c r="F830" s="7" t="s">
        <v>2798</v>
      </c>
      <c r="G830" s="9" t="s">
        <v>2147</v>
      </c>
    </row>
    <row r="831" spans="3:7" x14ac:dyDescent="0.2">
      <c r="C831" s="9">
        <v>8089</v>
      </c>
      <c r="D831" s="9" t="s">
        <v>1989</v>
      </c>
      <c r="E831" s="9" t="s">
        <v>293</v>
      </c>
      <c r="F831" s="7" t="s">
        <v>2799</v>
      </c>
      <c r="G831" s="9" t="s">
        <v>2147</v>
      </c>
    </row>
    <row r="832" spans="3:7" x14ac:dyDescent="0.2">
      <c r="C832" s="9">
        <v>8089</v>
      </c>
      <c r="D832" s="9" t="s">
        <v>1989</v>
      </c>
      <c r="E832" s="9"/>
      <c r="F832" s="7" t="s">
        <v>2800</v>
      </c>
      <c r="G832" s="9" t="s">
        <v>2147</v>
      </c>
    </row>
    <row r="833" spans="3:7" x14ac:dyDescent="0.2">
      <c r="C833" s="9">
        <v>8090</v>
      </c>
      <c r="D833" s="9" t="s">
        <v>1989</v>
      </c>
      <c r="E833" s="9" t="s">
        <v>1989</v>
      </c>
      <c r="F833" s="7" t="s">
        <v>2801</v>
      </c>
      <c r="G833" s="9" t="s">
        <v>2147</v>
      </c>
    </row>
    <row r="834" spans="3:7" x14ac:dyDescent="0.2">
      <c r="C834" s="9">
        <v>8090</v>
      </c>
      <c r="D834" s="9" t="s">
        <v>1989</v>
      </c>
      <c r="E834" s="9"/>
      <c r="F834" s="7" t="s">
        <v>2802</v>
      </c>
      <c r="G834" s="9" t="s">
        <v>2147</v>
      </c>
    </row>
    <row r="835" spans="3:7" x14ac:dyDescent="0.2">
      <c r="C835" s="9">
        <v>8090</v>
      </c>
      <c r="D835" s="9" t="s">
        <v>1989</v>
      </c>
      <c r="E835" s="9" t="s">
        <v>1989</v>
      </c>
      <c r="F835" s="7" t="s">
        <v>2803</v>
      </c>
      <c r="G835" s="9" t="s">
        <v>2147</v>
      </c>
    </row>
    <row r="836" spans="3:7" x14ac:dyDescent="0.2">
      <c r="C836" s="9">
        <v>8091</v>
      </c>
      <c r="D836" s="9" t="s">
        <v>1989</v>
      </c>
      <c r="E836" s="9" t="s">
        <v>1989</v>
      </c>
      <c r="F836" s="7" t="s">
        <v>2804</v>
      </c>
      <c r="G836" s="9" t="s">
        <v>2147</v>
      </c>
    </row>
    <row r="837" spans="3:7" x14ac:dyDescent="0.2">
      <c r="C837" s="9">
        <v>8092</v>
      </c>
      <c r="D837" s="9" t="s">
        <v>1989</v>
      </c>
      <c r="E837" s="9" t="s">
        <v>1989</v>
      </c>
      <c r="F837" s="7" t="s">
        <v>2805</v>
      </c>
      <c r="G837" s="9" t="s">
        <v>2147</v>
      </c>
    </row>
    <row r="838" spans="3:7" x14ac:dyDescent="0.2">
      <c r="C838" s="9">
        <v>8111</v>
      </c>
      <c r="D838" s="9" t="s">
        <v>1989</v>
      </c>
      <c r="E838" s="9"/>
      <c r="F838" s="7" t="s">
        <v>2806</v>
      </c>
      <c r="G838" s="9" t="s">
        <v>2147</v>
      </c>
    </row>
    <row r="839" spans="3:7" x14ac:dyDescent="0.2">
      <c r="C839" s="9">
        <v>8112</v>
      </c>
      <c r="D839" s="9" t="s">
        <v>1989</v>
      </c>
      <c r="E839" s="9"/>
      <c r="F839" s="7" t="s">
        <v>2807</v>
      </c>
      <c r="G839" s="9" t="s">
        <v>2147</v>
      </c>
    </row>
    <row r="840" spans="3:7" x14ac:dyDescent="0.2">
      <c r="C840" s="9">
        <v>8116</v>
      </c>
      <c r="D840" s="9"/>
      <c r="E840" s="9" t="s">
        <v>1989</v>
      </c>
      <c r="F840" s="7" t="s">
        <v>2808</v>
      </c>
      <c r="G840" s="9" t="s">
        <v>2147</v>
      </c>
    </row>
    <row r="841" spans="3:7" x14ac:dyDescent="0.2">
      <c r="C841" s="9">
        <v>8118</v>
      </c>
      <c r="D841" s="9" t="s">
        <v>1083</v>
      </c>
      <c r="E841" s="9"/>
      <c r="F841" s="7" t="s">
        <v>2809</v>
      </c>
      <c r="G841" s="9" t="s">
        <v>2147</v>
      </c>
    </row>
    <row r="842" spans="3:7" x14ac:dyDescent="0.2">
      <c r="C842" s="9">
        <v>8123</v>
      </c>
      <c r="D842" s="9" t="s">
        <v>1083</v>
      </c>
      <c r="E842" s="9"/>
      <c r="F842" s="7" t="s">
        <v>2810</v>
      </c>
      <c r="G842" s="9" t="s">
        <v>2147</v>
      </c>
    </row>
    <row r="843" spans="3:7" x14ac:dyDescent="0.2">
      <c r="C843" s="9">
        <v>8123</v>
      </c>
      <c r="D843" s="9" t="s">
        <v>1989</v>
      </c>
      <c r="E843" s="9"/>
      <c r="F843" s="7" t="s">
        <v>2811</v>
      </c>
      <c r="G843" s="9" t="s">
        <v>2147</v>
      </c>
    </row>
    <row r="844" spans="3:7" x14ac:dyDescent="0.2">
      <c r="C844" s="9">
        <v>8124</v>
      </c>
      <c r="D844" s="9" t="s">
        <v>1989</v>
      </c>
      <c r="E844" s="9"/>
      <c r="F844" s="7" t="s">
        <v>2812</v>
      </c>
      <c r="G844" s="9" t="s">
        <v>2147</v>
      </c>
    </row>
    <row r="845" spans="3:7" x14ac:dyDescent="0.2">
      <c r="C845" s="9">
        <v>8125</v>
      </c>
      <c r="D845" s="9" t="s">
        <v>1989</v>
      </c>
      <c r="E845" s="9"/>
      <c r="F845" s="7" t="s">
        <v>2813</v>
      </c>
      <c r="G845" s="9" t="s">
        <v>2147</v>
      </c>
    </row>
    <row r="846" spans="3:7" x14ac:dyDescent="0.2">
      <c r="C846" s="9">
        <v>8139</v>
      </c>
      <c r="D846" s="9" t="s">
        <v>1989</v>
      </c>
      <c r="E846" s="9"/>
      <c r="F846" s="7" t="s">
        <v>2814</v>
      </c>
      <c r="G846" s="9" t="s">
        <v>2147</v>
      </c>
    </row>
    <row r="847" spans="3:7" x14ac:dyDescent="0.2">
      <c r="C847" s="9">
        <v>8140</v>
      </c>
      <c r="D847" s="9" t="s">
        <v>1083</v>
      </c>
      <c r="E847" s="9"/>
      <c r="F847" s="7" t="s">
        <v>2815</v>
      </c>
      <c r="G847" s="9" t="s">
        <v>2147</v>
      </c>
    </row>
    <row r="848" spans="3:7" x14ac:dyDescent="0.2">
      <c r="C848" s="9">
        <v>8172</v>
      </c>
      <c r="D848" s="9" t="s">
        <v>1989</v>
      </c>
      <c r="E848" s="9"/>
      <c r="F848" s="7" t="s">
        <v>2816</v>
      </c>
      <c r="G848" s="9" t="s">
        <v>2147</v>
      </c>
    </row>
    <row r="849" spans="3:7" x14ac:dyDescent="0.2">
      <c r="C849" s="9">
        <v>8184</v>
      </c>
      <c r="D849" s="9" t="s">
        <v>1989</v>
      </c>
      <c r="E849" s="9"/>
      <c r="F849" s="7" t="s">
        <v>2817</v>
      </c>
      <c r="G849" s="9" t="s">
        <v>2147</v>
      </c>
    </row>
    <row r="850" spans="3:7" x14ac:dyDescent="0.2">
      <c r="C850" s="9" t="s">
        <v>2818</v>
      </c>
      <c r="D850" s="9" t="s">
        <v>1083</v>
      </c>
      <c r="E850" s="9" t="s">
        <v>1083</v>
      </c>
      <c r="F850" s="7" t="s">
        <v>2819</v>
      </c>
      <c r="G850" s="9" t="s">
        <v>2147</v>
      </c>
    </row>
    <row r="851" spans="3:7" x14ac:dyDescent="0.2">
      <c r="C851" s="9">
        <v>8200</v>
      </c>
      <c r="D851" s="9" t="s">
        <v>1989</v>
      </c>
      <c r="E851" s="9"/>
      <c r="F851" s="7" t="s">
        <v>2820</v>
      </c>
      <c r="G851" s="9" t="s">
        <v>2147</v>
      </c>
    </row>
    <row r="852" spans="3:7" x14ac:dyDescent="0.2">
      <c r="C852" s="9">
        <v>8200</v>
      </c>
      <c r="D852" s="9" t="s">
        <v>1989</v>
      </c>
      <c r="E852" s="9"/>
      <c r="F852" s="7" t="s">
        <v>2821</v>
      </c>
      <c r="G852" s="9" t="s">
        <v>2147</v>
      </c>
    </row>
    <row r="853" spans="3:7" x14ac:dyDescent="0.2">
      <c r="C853" s="9">
        <v>8222</v>
      </c>
      <c r="D853" s="9" t="s">
        <v>1989</v>
      </c>
      <c r="E853" s="9" t="s">
        <v>1989</v>
      </c>
      <c r="F853" s="7" t="s">
        <v>2822</v>
      </c>
      <c r="G853" s="9" t="s">
        <v>2147</v>
      </c>
    </row>
    <row r="854" spans="3:7" x14ac:dyDescent="0.2">
      <c r="C854" s="9">
        <v>8243</v>
      </c>
      <c r="D854" s="9" t="s">
        <v>1083</v>
      </c>
      <c r="E854" s="9" t="s">
        <v>1083</v>
      </c>
      <c r="F854" s="7" t="s">
        <v>2823</v>
      </c>
      <c r="G854" s="9" t="s">
        <v>2147</v>
      </c>
    </row>
    <row r="855" spans="3:7" x14ac:dyDescent="0.2">
      <c r="C855" s="9">
        <v>8245</v>
      </c>
      <c r="D855" s="9" t="s">
        <v>1989</v>
      </c>
      <c r="E855" s="9"/>
      <c r="F855" s="7" t="s">
        <v>2824</v>
      </c>
      <c r="G855" s="9" t="s">
        <v>2147</v>
      </c>
    </row>
    <row r="856" spans="3:7" x14ac:dyDescent="0.2">
      <c r="C856" s="9">
        <v>8280</v>
      </c>
      <c r="D856" s="9" t="s">
        <v>1083</v>
      </c>
      <c r="E856" s="9" t="s">
        <v>1083</v>
      </c>
      <c r="F856" s="7" t="s">
        <v>2825</v>
      </c>
      <c r="G856" s="9" t="s">
        <v>2147</v>
      </c>
    </row>
    <row r="857" spans="3:7" x14ac:dyDescent="0.2">
      <c r="C857" s="9">
        <v>8281</v>
      </c>
      <c r="D857" s="9" t="s">
        <v>1989</v>
      </c>
      <c r="E857" s="9"/>
      <c r="F857" s="7" t="s">
        <v>2826</v>
      </c>
      <c r="G857" s="9" t="s">
        <v>2147</v>
      </c>
    </row>
    <row r="858" spans="3:7" x14ac:dyDescent="0.2">
      <c r="C858" s="9">
        <v>8291</v>
      </c>
      <c r="D858" s="9" t="s">
        <v>1989</v>
      </c>
      <c r="E858" s="9"/>
      <c r="F858" s="7" t="s">
        <v>2827</v>
      </c>
      <c r="G858" s="9" t="s">
        <v>2147</v>
      </c>
    </row>
    <row r="859" spans="3:7" x14ac:dyDescent="0.2">
      <c r="C859" s="9">
        <v>8303</v>
      </c>
      <c r="D859" s="9"/>
      <c r="E859" s="9" t="s">
        <v>1989</v>
      </c>
      <c r="F859" s="7" t="s">
        <v>2828</v>
      </c>
      <c r="G859" s="9" t="s">
        <v>2147</v>
      </c>
    </row>
    <row r="860" spans="3:7" x14ac:dyDescent="0.2">
      <c r="C860" s="9">
        <v>8332</v>
      </c>
      <c r="D860" s="9" t="s">
        <v>1989</v>
      </c>
      <c r="E860" s="9"/>
      <c r="F860" s="7" t="s">
        <v>2829</v>
      </c>
      <c r="G860" s="9" t="s">
        <v>2147</v>
      </c>
    </row>
    <row r="861" spans="3:7" x14ac:dyDescent="0.2">
      <c r="C861" s="9">
        <v>8333</v>
      </c>
      <c r="D861" s="9" t="s">
        <v>1989</v>
      </c>
      <c r="E861" s="9"/>
      <c r="F861" s="7" t="s">
        <v>2830</v>
      </c>
      <c r="G861" s="9" t="s">
        <v>2147</v>
      </c>
    </row>
    <row r="862" spans="3:7" x14ac:dyDescent="0.2">
      <c r="C862" s="9">
        <v>8333</v>
      </c>
      <c r="D862" s="9" t="s">
        <v>1989</v>
      </c>
      <c r="E862" s="9" t="s">
        <v>1989</v>
      </c>
      <c r="F862" s="7" t="s">
        <v>2831</v>
      </c>
      <c r="G862" s="9" t="s">
        <v>2147</v>
      </c>
    </row>
    <row r="863" spans="3:7" x14ac:dyDescent="0.2">
      <c r="C863" s="9">
        <v>8337</v>
      </c>
      <c r="D863" s="9" t="s">
        <v>1989</v>
      </c>
      <c r="E863" s="9"/>
      <c r="F863" s="7" t="s">
        <v>2832</v>
      </c>
      <c r="G863" s="9" t="s">
        <v>2147</v>
      </c>
    </row>
    <row r="864" spans="3:7" x14ac:dyDescent="0.2">
      <c r="C864" s="9">
        <v>8384</v>
      </c>
      <c r="D864" s="9" t="s">
        <v>1989</v>
      </c>
      <c r="E864" s="9"/>
      <c r="F864" s="7" t="s">
        <v>2833</v>
      </c>
      <c r="G864" s="9" t="s">
        <v>2147</v>
      </c>
    </row>
    <row r="865" spans="3:7" x14ac:dyDescent="0.2">
      <c r="C865" s="9">
        <v>8388</v>
      </c>
      <c r="D865" s="9" t="s">
        <v>1989</v>
      </c>
      <c r="E865" s="9"/>
      <c r="F865" s="7" t="s">
        <v>2834</v>
      </c>
      <c r="G865" s="9" t="s">
        <v>2147</v>
      </c>
    </row>
    <row r="866" spans="3:7" x14ac:dyDescent="0.2">
      <c r="C866" s="9">
        <v>8400</v>
      </c>
      <c r="D866" s="9" t="s">
        <v>1083</v>
      </c>
      <c r="E866" s="9"/>
      <c r="F866" s="7" t="s">
        <v>2835</v>
      </c>
      <c r="G866" s="9" t="s">
        <v>2147</v>
      </c>
    </row>
    <row r="867" spans="3:7" x14ac:dyDescent="0.2">
      <c r="C867" s="9">
        <v>8401</v>
      </c>
      <c r="D867" s="9" t="s">
        <v>1083</v>
      </c>
      <c r="E867" s="9"/>
      <c r="F867" s="7" t="s">
        <v>2836</v>
      </c>
      <c r="G867" s="9" t="s">
        <v>2147</v>
      </c>
    </row>
    <row r="868" spans="3:7" x14ac:dyDescent="0.2">
      <c r="C868" s="9">
        <v>8403</v>
      </c>
      <c r="D868" s="9" t="s">
        <v>1083</v>
      </c>
      <c r="E868" s="9"/>
      <c r="F868" s="7" t="s">
        <v>2837</v>
      </c>
      <c r="G868" s="9" t="s">
        <v>2147</v>
      </c>
    </row>
    <row r="869" spans="3:7" x14ac:dyDescent="0.2">
      <c r="C869" s="9">
        <v>8443</v>
      </c>
      <c r="D869" s="9" t="s">
        <v>1989</v>
      </c>
      <c r="E869" s="9"/>
      <c r="F869" s="7" t="s">
        <v>2838</v>
      </c>
      <c r="G869" s="9" t="s">
        <v>2147</v>
      </c>
    </row>
    <row r="870" spans="3:7" x14ac:dyDescent="0.2">
      <c r="C870" s="9">
        <v>8443</v>
      </c>
      <c r="D870" s="9" t="s">
        <v>1989</v>
      </c>
      <c r="E870" s="9"/>
      <c r="F870" s="7" t="s">
        <v>2839</v>
      </c>
      <c r="G870" s="9" t="s">
        <v>2147</v>
      </c>
    </row>
    <row r="871" spans="3:7" x14ac:dyDescent="0.2">
      <c r="C871" s="9">
        <v>8443</v>
      </c>
      <c r="D871" s="9" t="s">
        <v>1989</v>
      </c>
      <c r="E871" s="9"/>
      <c r="F871" s="7" t="s">
        <v>2840</v>
      </c>
      <c r="G871" s="9" t="s">
        <v>2147</v>
      </c>
    </row>
    <row r="872" spans="3:7" x14ac:dyDescent="0.2">
      <c r="C872" s="9">
        <v>8443</v>
      </c>
      <c r="D872" s="9" t="s">
        <v>1989</v>
      </c>
      <c r="E872" s="9"/>
      <c r="F872" s="7" t="s">
        <v>2841</v>
      </c>
      <c r="G872" s="9" t="s">
        <v>2147</v>
      </c>
    </row>
    <row r="873" spans="3:7" x14ac:dyDescent="0.2">
      <c r="C873" s="9">
        <v>8443</v>
      </c>
      <c r="D873" s="9" t="s">
        <v>1989</v>
      </c>
      <c r="E873" s="9"/>
      <c r="F873" s="7" t="s">
        <v>2842</v>
      </c>
      <c r="G873" s="9" t="s">
        <v>2147</v>
      </c>
    </row>
    <row r="874" spans="3:7" x14ac:dyDescent="0.2">
      <c r="C874" s="9">
        <v>8444</v>
      </c>
      <c r="D874" s="9" t="s">
        <v>1989</v>
      </c>
      <c r="E874" s="9"/>
      <c r="F874" s="7" t="s">
        <v>2843</v>
      </c>
      <c r="G874" s="9" t="s">
        <v>2147</v>
      </c>
    </row>
    <row r="875" spans="3:7" x14ac:dyDescent="0.2">
      <c r="C875" s="9">
        <v>8448</v>
      </c>
      <c r="D875" s="9" t="s">
        <v>1989</v>
      </c>
      <c r="E875" s="9" t="s">
        <v>293</v>
      </c>
      <c r="F875" s="7" t="s">
        <v>2844</v>
      </c>
      <c r="G875" s="9" t="s">
        <v>2147</v>
      </c>
    </row>
    <row r="876" spans="3:7" x14ac:dyDescent="0.2">
      <c r="C876" s="9">
        <v>8484</v>
      </c>
      <c r="D876" s="9" t="s">
        <v>1989</v>
      </c>
      <c r="E876" s="9"/>
      <c r="F876" s="7" t="s">
        <v>2845</v>
      </c>
      <c r="G876" s="9" t="s">
        <v>2147</v>
      </c>
    </row>
    <row r="877" spans="3:7" x14ac:dyDescent="0.2">
      <c r="C877" s="9">
        <v>8500</v>
      </c>
      <c r="D877" s="9" t="s">
        <v>1989</v>
      </c>
      <c r="E877" s="9"/>
      <c r="F877" s="7" t="s">
        <v>2846</v>
      </c>
      <c r="G877" s="9" t="s">
        <v>2147</v>
      </c>
    </row>
    <row r="878" spans="3:7" x14ac:dyDescent="0.2">
      <c r="C878" s="9">
        <v>8530</v>
      </c>
      <c r="D878" s="9" t="s">
        <v>1989</v>
      </c>
      <c r="E878" s="9" t="s">
        <v>1989</v>
      </c>
      <c r="F878" s="7" t="s">
        <v>2847</v>
      </c>
      <c r="G878" s="9" t="s">
        <v>2147</v>
      </c>
    </row>
    <row r="879" spans="3:7" x14ac:dyDescent="0.2">
      <c r="C879" s="9">
        <v>8531</v>
      </c>
      <c r="D879" s="9" t="s">
        <v>1989</v>
      </c>
      <c r="E879" s="9" t="s">
        <v>1989</v>
      </c>
      <c r="F879" s="7" t="s">
        <v>2848</v>
      </c>
      <c r="G879" s="9" t="s">
        <v>2147</v>
      </c>
    </row>
    <row r="880" spans="3:7" x14ac:dyDescent="0.2">
      <c r="C880" s="9">
        <v>8580</v>
      </c>
      <c r="D880" s="9" t="s">
        <v>1989</v>
      </c>
      <c r="E880" s="9" t="s">
        <v>1989</v>
      </c>
      <c r="F880" s="7" t="s">
        <v>2849</v>
      </c>
      <c r="G880" s="9" t="s">
        <v>2147</v>
      </c>
    </row>
    <row r="881" spans="3:7" x14ac:dyDescent="0.2">
      <c r="C881" s="9">
        <v>8629</v>
      </c>
      <c r="D881" s="9" t="s">
        <v>1989</v>
      </c>
      <c r="E881" s="9"/>
      <c r="F881" s="7" t="s">
        <v>2850</v>
      </c>
      <c r="G881" s="9" t="s">
        <v>2147</v>
      </c>
    </row>
    <row r="882" spans="3:7" x14ac:dyDescent="0.2">
      <c r="C882" s="9">
        <v>8642</v>
      </c>
      <c r="D882" s="9" t="s">
        <v>1989</v>
      </c>
      <c r="E882" s="9"/>
      <c r="F882" s="7" t="s">
        <v>2851</v>
      </c>
      <c r="G882" s="9" t="s">
        <v>2147</v>
      </c>
    </row>
    <row r="883" spans="3:7" x14ac:dyDescent="0.2">
      <c r="C883" s="9">
        <v>8691</v>
      </c>
      <c r="D883" s="9" t="s">
        <v>1989</v>
      </c>
      <c r="E883" s="9"/>
      <c r="F883" s="7" t="s">
        <v>2852</v>
      </c>
      <c r="G883" s="9" t="s">
        <v>2147</v>
      </c>
    </row>
    <row r="884" spans="3:7" x14ac:dyDescent="0.2">
      <c r="C884" s="9">
        <v>8765</v>
      </c>
      <c r="D884" s="9" t="s">
        <v>1989</v>
      </c>
      <c r="E884" s="9" t="s">
        <v>293</v>
      </c>
      <c r="F884" s="7" t="s">
        <v>2853</v>
      </c>
      <c r="G884" s="9" t="s">
        <v>2147</v>
      </c>
    </row>
    <row r="885" spans="3:7" x14ac:dyDescent="0.2">
      <c r="C885" s="9">
        <v>8767</v>
      </c>
      <c r="D885" s="9"/>
      <c r="E885" s="9" t="s">
        <v>1989</v>
      </c>
      <c r="F885" s="7" t="s">
        <v>2854</v>
      </c>
      <c r="G885" s="9" t="s">
        <v>2147</v>
      </c>
    </row>
    <row r="886" spans="3:7" x14ac:dyDescent="0.2">
      <c r="C886" s="9">
        <v>8834</v>
      </c>
      <c r="D886" s="9" t="s">
        <v>1989</v>
      </c>
      <c r="E886" s="9" t="s">
        <v>1989</v>
      </c>
      <c r="F886" s="7" t="s">
        <v>2855</v>
      </c>
      <c r="G886" s="9" t="s">
        <v>2147</v>
      </c>
    </row>
    <row r="887" spans="3:7" x14ac:dyDescent="0.2">
      <c r="C887" s="9">
        <v>8840</v>
      </c>
      <c r="D887" s="9" t="s">
        <v>1989</v>
      </c>
      <c r="E887" s="9" t="s">
        <v>1989</v>
      </c>
      <c r="F887" s="7" t="s">
        <v>2856</v>
      </c>
      <c r="G887" s="9" t="s">
        <v>2147</v>
      </c>
    </row>
    <row r="888" spans="3:7" x14ac:dyDescent="0.2">
      <c r="C888" s="9">
        <v>8880</v>
      </c>
      <c r="D888" s="9" t="s">
        <v>1083</v>
      </c>
      <c r="E888" s="9"/>
      <c r="F888" s="7" t="s">
        <v>2857</v>
      </c>
      <c r="G888" s="9" t="s">
        <v>2147</v>
      </c>
    </row>
    <row r="889" spans="3:7" x14ac:dyDescent="0.2">
      <c r="C889" s="9">
        <v>8880</v>
      </c>
      <c r="D889" s="9" t="s">
        <v>1989</v>
      </c>
      <c r="E889" s="9" t="s">
        <v>1989</v>
      </c>
      <c r="F889" s="7" t="s">
        <v>2858</v>
      </c>
      <c r="G889" s="9" t="s">
        <v>2147</v>
      </c>
    </row>
    <row r="890" spans="3:7" x14ac:dyDescent="0.2">
      <c r="C890" s="9">
        <v>8883</v>
      </c>
      <c r="D890" s="9" t="s">
        <v>1083</v>
      </c>
      <c r="E890" s="9" t="s">
        <v>1083</v>
      </c>
      <c r="F890" s="7" t="s">
        <v>2859</v>
      </c>
      <c r="G890" s="9" t="s">
        <v>2147</v>
      </c>
    </row>
    <row r="891" spans="3:7" x14ac:dyDescent="0.2">
      <c r="C891" s="9">
        <v>8887</v>
      </c>
      <c r="D891" s="9" t="s">
        <v>1989</v>
      </c>
      <c r="E891" s="9" t="s">
        <v>1989</v>
      </c>
      <c r="F891" s="7" t="s">
        <v>2860</v>
      </c>
      <c r="G891" s="9" t="s">
        <v>2147</v>
      </c>
    </row>
    <row r="892" spans="3:7" x14ac:dyDescent="0.2">
      <c r="C892" s="9">
        <v>8888</v>
      </c>
      <c r="D892" s="9" t="s">
        <v>1989</v>
      </c>
      <c r="E892" s="9" t="s">
        <v>1989</v>
      </c>
      <c r="F892" s="7" t="s">
        <v>2861</v>
      </c>
      <c r="G892" s="9" t="s">
        <v>2147</v>
      </c>
    </row>
    <row r="893" spans="3:7" x14ac:dyDescent="0.2">
      <c r="C893" s="9">
        <v>8888</v>
      </c>
      <c r="D893" s="9" t="s">
        <v>1989</v>
      </c>
      <c r="E893" s="9" t="s">
        <v>293</v>
      </c>
      <c r="F893" s="7" t="s">
        <v>2862</v>
      </c>
      <c r="G893" s="9" t="s">
        <v>2147</v>
      </c>
    </row>
    <row r="894" spans="3:7" x14ac:dyDescent="0.2">
      <c r="C894" s="9">
        <v>8888</v>
      </c>
      <c r="D894" s="9" t="s">
        <v>1989</v>
      </c>
      <c r="E894" s="9" t="s">
        <v>1989</v>
      </c>
      <c r="F894" s="7" t="s">
        <v>2863</v>
      </c>
      <c r="G894" s="9" t="s">
        <v>2147</v>
      </c>
    </row>
    <row r="895" spans="3:7" x14ac:dyDescent="0.2">
      <c r="C895" s="9">
        <v>8888</v>
      </c>
      <c r="D895" s="9" t="s">
        <v>1989</v>
      </c>
      <c r="E895" s="9" t="s">
        <v>1989</v>
      </c>
      <c r="F895" s="7" t="s">
        <v>2864</v>
      </c>
      <c r="G895" s="9" t="s">
        <v>2147</v>
      </c>
    </row>
    <row r="896" spans="3:7" x14ac:dyDescent="0.2">
      <c r="C896" s="9">
        <v>8889</v>
      </c>
      <c r="D896" s="9" t="s">
        <v>1989</v>
      </c>
      <c r="E896" s="9" t="s">
        <v>1989</v>
      </c>
      <c r="F896" s="7" t="s">
        <v>2864</v>
      </c>
      <c r="G896" s="9" t="s">
        <v>2147</v>
      </c>
    </row>
    <row r="897" spans="3:7" x14ac:dyDescent="0.2">
      <c r="C897" s="9">
        <v>8983</v>
      </c>
      <c r="D897" s="9" t="s">
        <v>1989</v>
      </c>
      <c r="E897" s="9" t="s">
        <v>1989</v>
      </c>
      <c r="F897" s="7" t="s">
        <v>2865</v>
      </c>
      <c r="G897" s="9" t="s">
        <v>2147</v>
      </c>
    </row>
    <row r="898" spans="3:7" x14ac:dyDescent="0.2">
      <c r="C898" s="9">
        <v>8997</v>
      </c>
      <c r="D898" s="9" t="s">
        <v>1989</v>
      </c>
      <c r="E898" s="9" t="s">
        <v>1989</v>
      </c>
      <c r="F898" s="7" t="s">
        <v>2866</v>
      </c>
      <c r="G898" s="9" t="s">
        <v>2147</v>
      </c>
    </row>
    <row r="899" spans="3:7" x14ac:dyDescent="0.2">
      <c r="C899" s="9">
        <v>8998</v>
      </c>
      <c r="D899" s="9" t="s">
        <v>1989</v>
      </c>
      <c r="E899" s="9" t="s">
        <v>1989</v>
      </c>
      <c r="F899" s="7" t="s">
        <v>2867</v>
      </c>
      <c r="G899" s="9" t="s">
        <v>2147</v>
      </c>
    </row>
    <row r="900" spans="3:7" x14ac:dyDescent="0.2">
      <c r="C900" s="9">
        <v>8999</v>
      </c>
      <c r="D900" s="9" t="s">
        <v>1989</v>
      </c>
      <c r="E900" s="9" t="s">
        <v>1989</v>
      </c>
      <c r="F900" s="7" t="s">
        <v>2868</v>
      </c>
      <c r="G900" s="9" t="s">
        <v>2147</v>
      </c>
    </row>
    <row r="901" spans="3:7" x14ac:dyDescent="0.2">
      <c r="C901" s="9">
        <v>9000</v>
      </c>
      <c r="D901" s="9" t="s">
        <v>1989</v>
      </c>
      <c r="E901" s="9"/>
      <c r="F901" s="7" t="s">
        <v>2869</v>
      </c>
      <c r="G901" s="9" t="s">
        <v>2147</v>
      </c>
    </row>
    <row r="902" spans="3:7" x14ac:dyDescent="0.2">
      <c r="C902" s="9">
        <v>9000</v>
      </c>
      <c r="D902" s="9" t="s">
        <v>1989</v>
      </c>
      <c r="E902" s="9"/>
      <c r="F902" s="7" t="s">
        <v>2870</v>
      </c>
      <c r="G902" s="9" t="s">
        <v>2147</v>
      </c>
    </row>
    <row r="903" spans="3:7" x14ac:dyDescent="0.2">
      <c r="C903" s="9">
        <v>9000</v>
      </c>
      <c r="D903" s="9" t="s">
        <v>1989</v>
      </c>
      <c r="E903" s="9"/>
      <c r="F903" s="7" t="s">
        <v>2871</v>
      </c>
      <c r="G903" s="9" t="s">
        <v>2147</v>
      </c>
    </row>
    <row r="904" spans="3:7" x14ac:dyDescent="0.2">
      <c r="C904" s="9">
        <v>9000</v>
      </c>
      <c r="D904" s="9"/>
      <c r="E904" s="9" t="s">
        <v>1989</v>
      </c>
      <c r="F904" s="7" t="s">
        <v>2872</v>
      </c>
      <c r="G904" s="9" t="s">
        <v>2147</v>
      </c>
    </row>
    <row r="905" spans="3:7" x14ac:dyDescent="0.2">
      <c r="C905" s="9">
        <v>9000</v>
      </c>
      <c r="D905" s="9" t="s">
        <v>1989</v>
      </c>
      <c r="E905" s="9"/>
      <c r="F905" s="7" t="s">
        <v>2873</v>
      </c>
      <c r="G905" s="9" t="s">
        <v>2147</v>
      </c>
    </row>
    <row r="906" spans="3:7" x14ac:dyDescent="0.2">
      <c r="C906" s="9">
        <v>9000</v>
      </c>
      <c r="D906" s="9" t="s">
        <v>1989</v>
      </c>
      <c r="E906" s="9"/>
      <c r="F906" s="7" t="s">
        <v>2874</v>
      </c>
      <c r="G906" s="9" t="s">
        <v>2147</v>
      </c>
    </row>
    <row r="907" spans="3:7" x14ac:dyDescent="0.2">
      <c r="C907" s="9">
        <v>9000</v>
      </c>
      <c r="D907" s="9" t="s">
        <v>1989</v>
      </c>
      <c r="E907" s="9"/>
      <c r="F907" s="7" t="s">
        <v>2875</v>
      </c>
      <c r="G907" s="9" t="s">
        <v>2147</v>
      </c>
    </row>
    <row r="908" spans="3:7" x14ac:dyDescent="0.2">
      <c r="C908" s="9">
        <v>9000</v>
      </c>
      <c r="D908" s="9" t="s">
        <v>1989</v>
      </c>
      <c r="E908" s="9"/>
      <c r="F908" s="7" t="s">
        <v>2876</v>
      </c>
      <c r="G908" s="9" t="s">
        <v>2147</v>
      </c>
    </row>
    <row r="909" spans="3:7" x14ac:dyDescent="0.2">
      <c r="C909" s="9">
        <v>9001</v>
      </c>
      <c r="D909" s="9" t="s">
        <v>1083</v>
      </c>
      <c r="E909" s="9" t="s">
        <v>1083</v>
      </c>
      <c r="F909" s="7" t="s">
        <v>2877</v>
      </c>
      <c r="G909" s="9" t="s">
        <v>2147</v>
      </c>
    </row>
    <row r="910" spans="3:7" x14ac:dyDescent="0.2">
      <c r="C910" s="9">
        <v>9001</v>
      </c>
      <c r="D910" s="9" t="s">
        <v>1989</v>
      </c>
      <c r="E910" s="9" t="s">
        <v>1989</v>
      </c>
      <c r="F910" s="7" t="s">
        <v>2878</v>
      </c>
      <c r="G910" s="9" t="s">
        <v>2147</v>
      </c>
    </row>
    <row r="911" spans="3:7" x14ac:dyDescent="0.2">
      <c r="C911" s="9">
        <v>9001</v>
      </c>
      <c r="D911" s="9" t="s">
        <v>1989</v>
      </c>
      <c r="E911" s="9" t="s">
        <v>1989</v>
      </c>
      <c r="F911" s="7" t="s">
        <v>2879</v>
      </c>
      <c r="G911" s="9" t="s">
        <v>2147</v>
      </c>
    </row>
    <row r="912" spans="3:7" x14ac:dyDescent="0.2">
      <c r="C912" s="9">
        <v>9001</v>
      </c>
      <c r="D912" s="9" t="s">
        <v>1989</v>
      </c>
      <c r="E912" s="9" t="s">
        <v>1989</v>
      </c>
      <c r="F912" s="7" t="s">
        <v>2880</v>
      </c>
      <c r="G912" s="9" t="s">
        <v>2147</v>
      </c>
    </row>
    <row r="913" spans="3:7" x14ac:dyDescent="0.2">
      <c r="C913" s="9">
        <v>9001</v>
      </c>
      <c r="D913" s="9" t="s">
        <v>1989</v>
      </c>
      <c r="E913" s="9"/>
      <c r="F913" s="7" t="s">
        <v>2881</v>
      </c>
      <c r="G913" s="9" t="s">
        <v>2147</v>
      </c>
    </row>
    <row r="914" spans="3:7" x14ac:dyDescent="0.2">
      <c r="C914" s="9">
        <v>9001</v>
      </c>
      <c r="D914" s="9" t="s">
        <v>1989</v>
      </c>
      <c r="E914" s="9"/>
      <c r="F914" s="7" t="s">
        <v>2882</v>
      </c>
      <c r="G914" s="9" t="s">
        <v>2147</v>
      </c>
    </row>
    <row r="915" spans="3:7" x14ac:dyDescent="0.2">
      <c r="C915" s="9">
        <v>9002</v>
      </c>
      <c r="D915" s="9" t="s">
        <v>1989</v>
      </c>
      <c r="E915" s="9" t="s">
        <v>1989</v>
      </c>
      <c r="F915" s="7" t="s">
        <v>2883</v>
      </c>
      <c r="G915" s="9" t="s">
        <v>2147</v>
      </c>
    </row>
    <row r="916" spans="3:7" x14ac:dyDescent="0.2">
      <c r="C916" s="9">
        <v>9006</v>
      </c>
      <c r="D916" s="9" t="s">
        <v>2884</v>
      </c>
      <c r="E916" s="9"/>
      <c r="F916" s="7"/>
      <c r="G916" s="9" t="s">
        <v>2147</v>
      </c>
    </row>
    <row r="917" spans="3:7" x14ac:dyDescent="0.2">
      <c r="C917" s="9">
        <v>9006</v>
      </c>
      <c r="D917" s="9" t="s">
        <v>1989</v>
      </c>
      <c r="E917" s="9"/>
      <c r="F917" s="7" t="s">
        <v>2885</v>
      </c>
      <c r="G917" s="9" t="s">
        <v>2147</v>
      </c>
    </row>
    <row r="918" spans="3:7" x14ac:dyDescent="0.2">
      <c r="C918" s="9">
        <v>9030</v>
      </c>
      <c r="D918" s="9" t="s">
        <v>1989</v>
      </c>
      <c r="E918" s="9"/>
      <c r="F918" s="7" t="s">
        <v>2886</v>
      </c>
      <c r="G918" s="9" t="s">
        <v>2147</v>
      </c>
    </row>
    <row r="919" spans="3:7" x14ac:dyDescent="0.2">
      <c r="C919" s="9">
        <v>9042</v>
      </c>
      <c r="D919" s="9" t="s">
        <v>1989</v>
      </c>
      <c r="E919" s="9"/>
      <c r="F919" s="7" t="s">
        <v>2887</v>
      </c>
      <c r="G919" s="9" t="s">
        <v>2147</v>
      </c>
    </row>
    <row r="920" spans="3:7" x14ac:dyDescent="0.2">
      <c r="C920" s="9">
        <v>9043</v>
      </c>
      <c r="D920" s="9" t="s">
        <v>1989</v>
      </c>
      <c r="E920" s="9"/>
      <c r="F920" s="7" t="s">
        <v>2888</v>
      </c>
      <c r="G920" s="9" t="s">
        <v>2147</v>
      </c>
    </row>
    <row r="921" spans="3:7" x14ac:dyDescent="0.2">
      <c r="C921" s="9" t="s">
        <v>2889</v>
      </c>
      <c r="D921" s="9" t="s">
        <v>1989</v>
      </c>
      <c r="E921" s="9"/>
      <c r="F921" s="7" t="s">
        <v>2890</v>
      </c>
      <c r="G921" s="9" t="s">
        <v>2147</v>
      </c>
    </row>
    <row r="922" spans="3:7" x14ac:dyDescent="0.2">
      <c r="C922" s="9">
        <v>9060</v>
      </c>
      <c r="D922" s="9" t="s">
        <v>1989</v>
      </c>
      <c r="E922" s="9"/>
      <c r="F922" s="7" t="s">
        <v>2891</v>
      </c>
      <c r="G922" s="9" t="s">
        <v>2147</v>
      </c>
    </row>
    <row r="923" spans="3:7" x14ac:dyDescent="0.2">
      <c r="C923" s="9">
        <v>9080</v>
      </c>
      <c r="D923" s="9" t="s">
        <v>1083</v>
      </c>
      <c r="E923" s="9" t="s">
        <v>1083</v>
      </c>
      <c r="F923" s="7" t="s">
        <v>2892</v>
      </c>
      <c r="G923" s="9" t="s">
        <v>2147</v>
      </c>
    </row>
    <row r="924" spans="3:7" x14ac:dyDescent="0.2">
      <c r="C924" s="9">
        <v>9080</v>
      </c>
      <c r="D924" s="9" t="s">
        <v>1989</v>
      </c>
      <c r="E924" s="9"/>
      <c r="F924" s="7" t="s">
        <v>2893</v>
      </c>
      <c r="G924" s="9" t="s">
        <v>2147</v>
      </c>
    </row>
    <row r="925" spans="3:7" x14ac:dyDescent="0.2">
      <c r="C925" s="9">
        <v>9080</v>
      </c>
      <c r="D925" s="9" t="s">
        <v>1989</v>
      </c>
      <c r="E925" s="9"/>
      <c r="F925" s="7" t="s">
        <v>2894</v>
      </c>
      <c r="G925" s="9" t="s">
        <v>2147</v>
      </c>
    </row>
    <row r="926" spans="3:7" x14ac:dyDescent="0.2">
      <c r="C926" s="9">
        <v>9080</v>
      </c>
      <c r="D926" s="9" t="s">
        <v>1989</v>
      </c>
      <c r="E926" s="9"/>
      <c r="F926" s="7" t="s">
        <v>2895</v>
      </c>
      <c r="G926" s="9" t="s">
        <v>2147</v>
      </c>
    </row>
    <row r="927" spans="3:7" x14ac:dyDescent="0.2">
      <c r="C927" s="9">
        <v>9090</v>
      </c>
      <c r="D927" s="9" t="s">
        <v>1989</v>
      </c>
      <c r="E927" s="9"/>
      <c r="F927" s="7" t="s">
        <v>2896</v>
      </c>
      <c r="G927" s="9" t="s">
        <v>2147</v>
      </c>
    </row>
    <row r="928" spans="3:7" x14ac:dyDescent="0.2">
      <c r="C928" s="9">
        <v>9090</v>
      </c>
      <c r="D928" s="9" t="s">
        <v>1989</v>
      </c>
      <c r="E928" s="9"/>
      <c r="F928" s="7" t="s">
        <v>2897</v>
      </c>
      <c r="G928" s="9" t="s">
        <v>2147</v>
      </c>
    </row>
    <row r="929" spans="3:7" x14ac:dyDescent="0.2">
      <c r="C929" s="9">
        <v>9090</v>
      </c>
      <c r="D929" s="9" t="s">
        <v>1989</v>
      </c>
      <c r="E929" s="9"/>
      <c r="F929" s="7" t="s">
        <v>2898</v>
      </c>
      <c r="G929" s="9" t="s">
        <v>2147</v>
      </c>
    </row>
    <row r="930" spans="3:7" x14ac:dyDescent="0.2">
      <c r="C930" s="9">
        <v>9090</v>
      </c>
      <c r="D930" s="9" t="s">
        <v>1989</v>
      </c>
      <c r="E930" s="9"/>
      <c r="F930" s="7" t="s">
        <v>2899</v>
      </c>
      <c r="G930" s="9" t="s">
        <v>2147</v>
      </c>
    </row>
    <row r="931" spans="3:7" x14ac:dyDescent="0.2">
      <c r="C931" s="9">
        <v>9091</v>
      </c>
      <c r="D931" s="9" t="s">
        <v>1989</v>
      </c>
      <c r="E931" s="9"/>
      <c r="F931" s="7" t="s">
        <v>2900</v>
      </c>
      <c r="G931" s="9" t="s">
        <v>2147</v>
      </c>
    </row>
    <row r="932" spans="3:7" x14ac:dyDescent="0.2">
      <c r="C932" s="9">
        <v>9091</v>
      </c>
      <c r="D932" s="9" t="s">
        <v>1989</v>
      </c>
      <c r="E932" s="9"/>
      <c r="F932" s="7" t="s">
        <v>2901</v>
      </c>
      <c r="G932" s="9" t="s">
        <v>2147</v>
      </c>
    </row>
    <row r="933" spans="3:7" x14ac:dyDescent="0.2">
      <c r="C933" s="9">
        <v>9092</v>
      </c>
      <c r="D933" s="9" t="s">
        <v>1989</v>
      </c>
      <c r="E933" s="9"/>
      <c r="F933" s="7" t="s">
        <v>2902</v>
      </c>
      <c r="G933" s="9" t="s">
        <v>2147</v>
      </c>
    </row>
    <row r="934" spans="3:7" x14ac:dyDescent="0.2">
      <c r="C934" s="9">
        <v>9092</v>
      </c>
      <c r="D934" s="9" t="s">
        <v>1989</v>
      </c>
      <c r="E934" s="9"/>
      <c r="F934" s="7" t="s">
        <v>2903</v>
      </c>
      <c r="G934" s="9" t="s">
        <v>2147</v>
      </c>
    </row>
    <row r="935" spans="3:7" x14ac:dyDescent="0.2">
      <c r="C935" s="9">
        <v>9100</v>
      </c>
      <c r="D935" s="9" t="s">
        <v>1083</v>
      </c>
      <c r="E935" s="9" t="s">
        <v>2155</v>
      </c>
      <c r="F935" s="7" t="s">
        <v>2904</v>
      </c>
      <c r="G935" s="9" t="s">
        <v>2147</v>
      </c>
    </row>
    <row r="936" spans="3:7" x14ac:dyDescent="0.2">
      <c r="C936" s="9">
        <v>9101</v>
      </c>
      <c r="D936" s="9" t="s">
        <v>1083</v>
      </c>
      <c r="E936" s="9" t="s">
        <v>1083</v>
      </c>
      <c r="F936" s="7" t="s">
        <v>2905</v>
      </c>
      <c r="G936" s="9" t="s">
        <v>2147</v>
      </c>
    </row>
    <row r="937" spans="3:7" x14ac:dyDescent="0.2">
      <c r="C937" s="9">
        <v>9102</v>
      </c>
      <c r="D937" s="9" t="s">
        <v>1083</v>
      </c>
      <c r="E937" s="9" t="s">
        <v>1083</v>
      </c>
      <c r="F937" s="7" t="s">
        <v>2906</v>
      </c>
      <c r="G937" s="9" t="s">
        <v>2147</v>
      </c>
    </row>
    <row r="938" spans="3:7" x14ac:dyDescent="0.2">
      <c r="C938" s="9">
        <v>9103</v>
      </c>
      <c r="D938" s="9" t="s">
        <v>1083</v>
      </c>
      <c r="E938" s="9" t="s">
        <v>1083</v>
      </c>
      <c r="F938" s="7" t="s">
        <v>2907</v>
      </c>
      <c r="G938" s="9" t="s">
        <v>2147</v>
      </c>
    </row>
    <row r="939" spans="3:7" x14ac:dyDescent="0.2">
      <c r="C939" s="9">
        <v>9119</v>
      </c>
      <c r="D939" s="9" t="s">
        <v>1083</v>
      </c>
      <c r="E939" s="9" t="s">
        <v>1083</v>
      </c>
      <c r="F939" s="7" t="s">
        <v>2908</v>
      </c>
      <c r="G939" s="9" t="s">
        <v>2147</v>
      </c>
    </row>
    <row r="940" spans="3:7" x14ac:dyDescent="0.2">
      <c r="C940" s="9">
        <v>9150</v>
      </c>
      <c r="D940" s="9" t="s">
        <v>1989</v>
      </c>
      <c r="E940" s="9"/>
      <c r="F940" s="7" t="s">
        <v>2909</v>
      </c>
      <c r="G940" s="9" t="s">
        <v>2147</v>
      </c>
    </row>
    <row r="941" spans="3:7" x14ac:dyDescent="0.2">
      <c r="C941" s="9">
        <v>9191</v>
      </c>
      <c r="D941" s="9" t="s">
        <v>1989</v>
      </c>
      <c r="E941" s="9"/>
      <c r="F941" s="7" t="s">
        <v>2910</v>
      </c>
      <c r="G941" s="9" t="s">
        <v>2147</v>
      </c>
    </row>
    <row r="942" spans="3:7" x14ac:dyDescent="0.2">
      <c r="C942" s="9">
        <v>9199</v>
      </c>
      <c r="D942" s="9" t="s">
        <v>1989</v>
      </c>
      <c r="E942" s="9"/>
      <c r="F942" s="7" t="s">
        <v>2911</v>
      </c>
      <c r="G942" s="9" t="s">
        <v>2147</v>
      </c>
    </row>
    <row r="943" spans="3:7" x14ac:dyDescent="0.2">
      <c r="C943" s="9">
        <v>9200</v>
      </c>
      <c r="D943" s="9" t="s">
        <v>1989</v>
      </c>
      <c r="E943" s="9"/>
      <c r="F943" s="7" t="s">
        <v>2912</v>
      </c>
      <c r="G943" s="9" t="s">
        <v>2147</v>
      </c>
    </row>
    <row r="944" spans="3:7" x14ac:dyDescent="0.2">
      <c r="C944" s="9">
        <v>9217</v>
      </c>
      <c r="D944" s="9" t="s">
        <v>1989</v>
      </c>
      <c r="E944" s="9"/>
      <c r="F944" s="7" t="s">
        <v>2913</v>
      </c>
      <c r="G944" s="9" t="s">
        <v>2147</v>
      </c>
    </row>
    <row r="945" spans="3:7" x14ac:dyDescent="0.2">
      <c r="C945" s="9">
        <v>9293</v>
      </c>
      <c r="D945" s="9" t="s">
        <v>1989</v>
      </c>
      <c r="E945" s="9"/>
      <c r="F945" s="7" t="s">
        <v>2914</v>
      </c>
      <c r="G945" s="9" t="s">
        <v>2147</v>
      </c>
    </row>
    <row r="946" spans="3:7" x14ac:dyDescent="0.2">
      <c r="C946" s="9">
        <v>9300</v>
      </c>
      <c r="D946" s="9" t="s">
        <v>1989</v>
      </c>
      <c r="E946" s="9"/>
      <c r="F946" s="7" t="s">
        <v>2915</v>
      </c>
      <c r="G946" s="9" t="s">
        <v>2147</v>
      </c>
    </row>
    <row r="947" spans="3:7" x14ac:dyDescent="0.2">
      <c r="C947" s="9">
        <v>9303</v>
      </c>
      <c r="D947" s="9"/>
      <c r="E947" s="9" t="s">
        <v>1989</v>
      </c>
      <c r="F947" s="7" t="s">
        <v>2916</v>
      </c>
      <c r="G947" s="9" t="s">
        <v>2147</v>
      </c>
    </row>
    <row r="948" spans="3:7" x14ac:dyDescent="0.2">
      <c r="C948" s="9">
        <v>9306</v>
      </c>
      <c r="D948" s="9" t="s">
        <v>1083</v>
      </c>
      <c r="E948" s="9"/>
      <c r="F948" s="7" t="s">
        <v>2917</v>
      </c>
      <c r="G948" s="9" t="s">
        <v>2147</v>
      </c>
    </row>
    <row r="949" spans="3:7" x14ac:dyDescent="0.2">
      <c r="C949" s="9">
        <v>9309</v>
      </c>
      <c r="D949" s="9" t="s">
        <v>1989</v>
      </c>
      <c r="E949" s="9" t="s">
        <v>1989</v>
      </c>
      <c r="F949" s="7" t="s">
        <v>2918</v>
      </c>
      <c r="G949" s="9" t="s">
        <v>2147</v>
      </c>
    </row>
    <row r="950" spans="3:7" x14ac:dyDescent="0.2">
      <c r="C950" s="9">
        <v>9312</v>
      </c>
      <c r="D950" s="9" t="s">
        <v>1083</v>
      </c>
      <c r="E950" s="9"/>
      <c r="F950" s="7" t="s">
        <v>2919</v>
      </c>
      <c r="G950" s="9" t="s">
        <v>2147</v>
      </c>
    </row>
    <row r="951" spans="3:7" x14ac:dyDescent="0.2">
      <c r="C951" s="9">
        <v>9332</v>
      </c>
      <c r="D951" s="9" t="s">
        <v>1989</v>
      </c>
      <c r="E951" s="9"/>
      <c r="F951" s="7" t="s">
        <v>2920</v>
      </c>
      <c r="G951" s="9" t="s">
        <v>2147</v>
      </c>
    </row>
    <row r="952" spans="3:7" x14ac:dyDescent="0.2">
      <c r="C952" s="9">
        <v>9333</v>
      </c>
      <c r="D952" s="9" t="s">
        <v>1989</v>
      </c>
      <c r="E952" s="9"/>
      <c r="F952" s="7" t="s">
        <v>2921</v>
      </c>
      <c r="G952" s="9" t="s">
        <v>2147</v>
      </c>
    </row>
    <row r="953" spans="3:7" x14ac:dyDescent="0.2">
      <c r="C953" s="9">
        <v>9339</v>
      </c>
      <c r="D953" s="9" t="s">
        <v>1989</v>
      </c>
      <c r="E953" s="9"/>
      <c r="F953" s="7" t="s">
        <v>2922</v>
      </c>
      <c r="G953" s="9" t="s">
        <v>2147</v>
      </c>
    </row>
    <row r="954" spans="3:7" x14ac:dyDescent="0.2">
      <c r="C954" s="9">
        <v>9389</v>
      </c>
      <c r="D954" s="9" t="s">
        <v>1083</v>
      </c>
      <c r="E954" s="9" t="s">
        <v>1083</v>
      </c>
      <c r="F954" s="7" t="s">
        <v>2923</v>
      </c>
      <c r="G954" s="9" t="s">
        <v>2147</v>
      </c>
    </row>
    <row r="955" spans="3:7" x14ac:dyDescent="0.2">
      <c r="C955" s="9">
        <v>9392</v>
      </c>
      <c r="D955" s="9" t="s">
        <v>1989</v>
      </c>
      <c r="E955" s="9" t="s">
        <v>293</v>
      </c>
      <c r="F955" s="7" t="s">
        <v>2924</v>
      </c>
      <c r="G955" s="9" t="s">
        <v>2147</v>
      </c>
    </row>
    <row r="956" spans="3:7" x14ac:dyDescent="0.2">
      <c r="C956" s="9">
        <v>9418</v>
      </c>
      <c r="D956" s="9" t="s">
        <v>1083</v>
      </c>
      <c r="E956" s="9" t="s">
        <v>1083</v>
      </c>
      <c r="F956" s="7" t="s">
        <v>2925</v>
      </c>
      <c r="G956" s="9" t="s">
        <v>2147</v>
      </c>
    </row>
    <row r="957" spans="3:7" x14ac:dyDescent="0.2">
      <c r="C957" s="9">
        <v>9419</v>
      </c>
      <c r="D957" s="9" t="s">
        <v>1989</v>
      </c>
      <c r="E957" s="9"/>
      <c r="F957" s="7" t="s">
        <v>2926</v>
      </c>
      <c r="G957" s="9" t="s">
        <v>2147</v>
      </c>
    </row>
    <row r="958" spans="3:7" x14ac:dyDescent="0.2">
      <c r="C958" s="9">
        <v>9420</v>
      </c>
      <c r="D958" s="9" t="s">
        <v>1989</v>
      </c>
      <c r="E958" s="9"/>
      <c r="F958" s="7" t="s">
        <v>2927</v>
      </c>
      <c r="G958" s="9" t="s">
        <v>2147</v>
      </c>
    </row>
    <row r="959" spans="3:7" x14ac:dyDescent="0.2">
      <c r="C959" s="9">
        <v>9421</v>
      </c>
      <c r="D959" s="9" t="s">
        <v>1989</v>
      </c>
      <c r="E959" s="9"/>
      <c r="F959" s="7" t="s">
        <v>2928</v>
      </c>
      <c r="G959" s="9" t="s">
        <v>2147</v>
      </c>
    </row>
    <row r="960" spans="3:7" x14ac:dyDescent="0.2">
      <c r="C960" s="9">
        <v>9422</v>
      </c>
      <c r="D960" s="9" t="s">
        <v>1989</v>
      </c>
      <c r="E960" s="9"/>
      <c r="F960" s="7" t="s">
        <v>2929</v>
      </c>
      <c r="G960" s="9" t="s">
        <v>2147</v>
      </c>
    </row>
    <row r="961" spans="3:7" x14ac:dyDescent="0.2">
      <c r="C961" s="9">
        <v>9425</v>
      </c>
      <c r="D961" s="9" t="s">
        <v>1989</v>
      </c>
      <c r="E961" s="9"/>
      <c r="F961" s="7" t="s">
        <v>2930</v>
      </c>
      <c r="G961" s="9" t="s">
        <v>2147</v>
      </c>
    </row>
    <row r="962" spans="3:7" x14ac:dyDescent="0.2">
      <c r="C962" s="9">
        <v>9443</v>
      </c>
      <c r="D962" s="9" t="s">
        <v>1989</v>
      </c>
      <c r="E962" s="9"/>
      <c r="F962" s="7" t="s">
        <v>2931</v>
      </c>
      <c r="G962" s="9" t="s">
        <v>2147</v>
      </c>
    </row>
    <row r="963" spans="3:7" x14ac:dyDescent="0.2">
      <c r="C963" s="9">
        <v>9443</v>
      </c>
      <c r="D963" s="9" t="s">
        <v>1989</v>
      </c>
      <c r="E963" s="9"/>
      <c r="F963" s="7" t="s">
        <v>2932</v>
      </c>
      <c r="G963" s="9" t="s">
        <v>2147</v>
      </c>
    </row>
    <row r="964" spans="3:7" x14ac:dyDescent="0.2">
      <c r="C964" s="9">
        <v>9535</v>
      </c>
      <c r="D964" s="9" t="s">
        <v>1083</v>
      </c>
      <c r="E964" s="9" t="s">
        <v>1083</v>
      </c>
      <c r="F964" s="7" t="s">
        <v>2933</v>
      </c>
      <c r="G964" s="9" t="s">
        <v>2147</v>
      </c>
    </row>
    <row r="965" spans="3:7" x14ac:dyDescent="0.2">
      <c r="C965" s="9">
        <v>9536</v>
      </c>
      <c r="D965" s="9" t="s">
        <v>1083</v>
      </c>
      <c r="E965" s="9" t="s">
        <v>1083</v>
      </c>
      <c r="F965" s="7" t="s">
        <v>2934</v>
      </c>
      <c r="G965" s="9" t="s">
        <v>2147</v>
      </c>
    </row>
    <row r="966" spans="3:7" x14ac:dyDescent="0.2">
      <c r="C966" s="9">
        <v>9600</v>
      </c>
      <c r="D966" s="9" t="s">
        <v>293</v>
      </c>
      <c r="E966" s="9" t="s">
        <v>1989</v>
      </c>
      <c r="F966" s="7" t="s">
        <v>2935</v>
      </c>
      <c r="G966" s="9" t="s">
        <v>2147</v>
      </c>
    </row>
    <row r="967" spans="3:7" x14ac:dyDescent="0.2">
      <c r="C967" s="9">
        <v>9669</v>
      </c>
      <c r="D967" s="9" t="s">
        <v>1989</v>
      </c>
      <c r="E967" s="9" t="s">
        <v>293</v>
      </c>
      <c r="F967" s="7" t="s">
        <v>2936</v>
      </c>
      <c r="G967" s="9" t="s">
        <v>2147</v>
      </c>
    </row>
    <row r="968" spans="3:7" x14ac:dyDescent="0.2">
      <c r="C968" s="9">
        <v>9675</v>
      </c>
      <c r="D968" s="9" t="s">
        <v>1989</v>
      </c>
      <c r="E968" s="9" t="s">
        <v>1989</v>
      </c>
      <c r="F968" s="7" t="s">
        <v>2937</v>
      </c>
      <c r="G968" s="9" t="s">
        <v>2147</v>
      </c>
    </row>
    <row r="969" spans="3:7" x14ac:dyDescent="0.2">
      <c r="C969" s="9">
        <v>9676</v>
      </c>
      <c r="D969" s="9" t="s">
        <v>1989</v>
      </c>
      <c r="E969" s="9" t="s">
        <v>1989</v>
      </c>
      <c r="F969" s="7" t="s">
        <v>2937</v>
      </c>
      <c r="G969" s="9" t="s">
        <v>2147</v>
      </c>
    </row>
    <row r="970" spans="3:7" x14ac:dyDescent="0.2">
      <c r="C970" s="9">
        <v>9695</v>
      </c>
      <c r="D970" s="9" t="s">
        <v>1083</v>
      </c>
      <c r="E970" s="9" t="s">
        <v>1083</v>
      </c>
      <c r="F970" s="7" t="s">
        <v>2938</v>
      </c>
      <c r="G970" s="9" t="s">
        <v>2147</v>
      </c>
    </row>
    <row r="971" spans="3:7" x14ac:dyDescent="0.2">
      <c r="C971" s="9">
        <v>9785</v>
      </c>
      <c r="D971" s="9" t="s">
        <v>1989</v>
      </c>
      <c r="E971" s="9" t="s">
        <v>1989</v>
      </c>
      <c r="F971" s="7" t="s">
        <v>2446</v>
      </c>
      <c r="G971" s="9" t="s">
        <v>2147</v>
      </c>
    </row>
    <row r="972" spans="3:7" x14ac:dyDescent="0.2">
      <c r="C972" s="9">
        <v>9800</v>
      </c>
      <c r="D972" s="9" t="s">
        <v>1083</v>
      </c>
      <c r="E972" s="9" t="s">
        <v>1083</v>
      </c>
      <c r="F972" s="7" t="s">
        <v>2939</v>
      </c>
      <c r="G972" s="9" t="s">
        <v>2147</v>
      </c>
    </row>
    <row r="973" spans="3:7" x14ac:dyDescent="0.2">
      <c r="C973" s="9">
        <v>9800</v>
      </c>
      <c r="D973" s="9" t="s">
        <v>1989</v>
      </c>
      <c r="E973" s="9" t="s">
        <v>1989</v>
      </c>
      <c r="F973" s="7" t="s">
        <v>2940</v>
      </c>
      <c r="G973" s="9" t="s">
        <v>2147</v>
      </c>
    </row>
    <row r="974" spans="3:7" x14ac:dyDescent="0.2">
      <c r="C974" s="9">
        <v>9875</v>
      </c>
      <c r="D974" s="9" t="s">
        <v>1989</v>
      </c>
      <c r="E974" s="9"/>
      <c r="F974" s="7" t="s">
        <v>2399</v>
      </c>
      <c r="G974" s="9" t="s">
        <v>2147</v>
      </c>
    </row>
    <row r="975" spans="3:7" x14ac:dyDescent="0.2">
      <c r="C975" s="9">
        <v>9898</v>
      </c>
      <c r="D975" s="9" t="s">
        <v>1989</v>
      </c>
      <c r="E975" s="9"/>
      <c r="F975" s="7" t="s">
        <v>2941</v>
      </c>
      <c r="G975" s="9" t="s">
        <v>2147</v>
      </c>
    </row>
    <row r="976" spans="3:7" x14ac:dyDescent="0.2">
      <c r="C976" s="9">
        <v>9899</v>
      </c>
      <c r="D976" s="9"/>
      <c r="E976" s="9" t="s">
        <v>1083</v>
      </c>
      <c r="F976" s="7" t="s">
        <v>2942</v>
      </c>
      <c r="G976" s="9" t="s">
        <v>2147</v>
      </c>
    </row>
    <row r="977" spans="3:7" x14ac:dyDescent="0.2">
      <c r="C977" s="9">
        <v>9901</v>
      </c>
      <c r="D977" s="9" t="s">
        <v>1989</v>
      </c>
      <c r="E977" s="9"/>
      <c r="F977" s="7" t="s">
        <v>2943</v>
      </c>
      <c r="G977" s="9" t="s">
        <v>2147</v>
      </c>
    </row>
    <row r="978" spans="3:7" x14ac:dyDescent="0.2">
      <c r="C978" s="9">
        <v>9981</v>
      </c>
      <c r="D978" s="9" t="s">
        <v>1989</v>
      </c>
      <c r="E978" s="9"/>
      <c r="F978" s="7" t="s">
        <v>2944</v>
      </c>
      <c r="G978" s="9" t="s">
        <v>2147</v>
      </c>
    </row>
    <row r="979" spans="3:7" x14ac:dyDescent="0.2">
      <c r="C979" s="9">
        <v>9982</v>
      </c>
      <c r="D979" s="9" t="s">
        <v>1989</v>
      </c>
      <c r="E979" s="9"/>
      <c r="F979" s="7" t="s">
        <v>2945</v>
      </c>
      <c r="G979" s="9" t="s">
        <v>2147</v>
      </c>
    </row>
    <row r="980" spans="3:7" x14ac:dyDescent="0.2">
      <c r="C980" s="9">
        <v>9987</v>
      </c>
      <c r="D980" s="9" t="s">
        <v>1989</v>
      </c>
      <c r="E980" s="9" t="s">
        <v>293</v>
      </c>
      <c r="F980" s="7" t="s">
        <v>2946</v>
      </c>
      <c r="G980" s="9" t="s">
        <v>2147</v>
      </c>
    </row>
    <row r="981" spans="3:7" x14ac:dyDescent="0.2">
      <c r="C981" s="9">
        <v>9993</v>
      </c>
      <c r="D981" s="9"/>
      <c r="E981" s="9" t="s">
        <v>1989</v>
      </c>
      <c r="F981" s="7" t="s">
        <v>2947</v>
      </c>
      <c r="G981" s="9" t="s">
        <v>2147</v>
      </c>
    </row>
    <row r="982" spans="3:7" x14ac:dyDescent="0.2">
      <c r="C982" s="9">
        <v>9997</v>
      </c>
      <c r="D982" s="9" t="s">
        <v>1989</v>
      </c>
      <c r="E982" s="9"/>
      <c r="F982" s="7" t="s">
        <v>2948</v>
      </c>
      <c r="G982" s="9" t="s">
        <v>2147</v>
      </c>
    </row>
    <row r="983" spans="3:7" x14ac:dyDescent="0.2">
      <c r="C983" s="9">
        <v>9999</v>
      </c>
      <c r="D983" s="9" t="s">
        <v>1989</v>
      </c>
      <c r="E983" s="9" t="s">
        <v>1989</v>
      </c>
      <c r="F983" s="7" t="s">
        <v>2949</v>
      </c>
      <c r="G983" s="9" t="s">
        <v>2147</v>
      </c>
    </row>
    <row r="984" spans="3:7" x14ac:dyDescent="0.2">
      <c r="C984" s="9">
        <v>9999</v>
      </c>
      <c r="D984" s="9" t="s">
        <v>1989</v>
      </c>
      <c r="E984" s="9"/>
      <c r="F984" s="7" t="s">
        <v>2950</v>
      </c>
      <c r="G984" s="9" t="s">
        <v>2147</v>
      </c>
    </row>
    <row r="985" spans="3:7" x14ac:dyDescent="0.2">
      <c r="C985" s="9">
        <v>10000</v>
      </c>
      <c r="D985" s="9" t="s">
        <v>1083</v>
      </c>
      <c r="E985" s="9" t="s">
        <v>1083</v>
      </c>
      <c r="F985" s="7" t="s">
        <v>2951</v>
      </c>
      <c r="G985" s="9" t="s">
        <v>2147</v>
      </c>
    </row>
    <row r="986" spans="3:7" x14ac:dyDescent="0.2">
      <c r="C986" s="9">
        <v>10000</v>
      </c>
      <c r="D986" s="9" t="s">
        <v>1989</v>
      </c>
      <c r="E986" s="9" t="s">
        <v>1989</v>
      </c>
      <c r="F986" s="7" t="s">
        <v>2952</v>
      </c>
      <c r="G986" s="9" t="s">
        <v>2147</v>
      </c>
    </row>
    <row r="987" spans="3:7" x14ac:dyDescent="0.2">
      <c r="C987" s="9">
        <v>10000</v>
      </c>
      <c r="D987" s="9" t="s">
        <v>1989</v>
      </c>
      <c r="E987" s="9" t="s">
        <v>1989</v>
      </c>
      <c r="F987" s="7" t="s">
        <v>2953</v>
      </c>
      <c r="G987" s="9" t="s">
        <v>2147</v>
      </c>
    </row>
    <row r="988" spans="3:7" x14ac:dyDescent="0.2">
      <c r="C988" s="9" t="s">
        <v>2954</v>
      </c>
      <c r="D988" s="9" t="s">
        <v>293</v>
      </c>
      <c r="E988" s="9" t="s">
        <v>1989</v>
      </c>
      <c r="F988" s="7" t="s">
        <v>2955</v>
      </c>
      <c r="G988" s="9" t="s">
        <v>2147</v>
      </c>
    </row>
    <row r="989" spans="3:7" x14ac:dyDescent="0.2">
      <c r="C989" s="9">
        <v>10001</v>
      </c>
      <c r="D989" s="9"/>
      <c r="E989" s="9" t="s">
        <v>1989</v>
      </c>
      <c r="F989" s="7" t="s">
        <v>2956</v>
      </c>
      <c r="G989" s="9" t="s">
        <v>2147</v>
      </c>
    </row>
    <row r="990" spans="3:7" x14ac:dyDescent="0.2">
      <c r="C990" s="9">
        <v>10009</v>
      </c>
      <c r="D990" s="9" t="s">
        <v>1989</v>
      </c>
      <c r="E990" s="9" t="s">
        <v>1989</v>
      </c>
      <c r="F990" s="7" t="s">
        <v>2957</v>
      </c>
      <c r="G990" s="9" t="s">
        <v>2147</v>
      </c>
    </row>
    <row r="991" spans="3:7" x14ac:dyDescent="0.2">
      <c r="C991" s="9">
        <v>10011</v>
      </c>
      <c r="D991" s="9" t="s">
        <v>1989</v>
      </c>
      <c r="E991" s="9" t="s">
        <v>293</v>
      </c>
      <c r="F991" s="7" t="s">
        <v>2958</v>
      </c>
      <c r="G991" s="9" t="s">
        <v>2147</v>
      </c>
    </row>
    <row r="992" spans="3:7" x14ac:dyDescent="0.2">
      <c r="C992" s="9">
        <v>10024</v>
      </c>
      <c r="D992" s="9" t="s">
        <v>1989</v>
      </c>
      <c r="E992" s="9"/>
      <c r="F992" s="7" t="s">
        <v>2959</v>
      </c>
      <c r="G992" s="9" t="s">
        <v>2147</v>
      </c>
    </row>
    <row r="993" spans="3:7" x14ac:dyDescent="0.2">
      <c r="C993" s="9">
        <v>10025</v>
      </c>
      <c r="D993" s="9" t="s">
        <v>1989</v>
      </c>
      <c r="E993" s="9"/>
      <c r="F993" s="7" t="s">
        <v>2960</v>
      </c>
      <c r="G993" s="9" t="s">
        <v>2147</v>
      </c>
    </row>
    <row r="994" spans="3:7" x14ac:dyDescent="0.2">
      <c r="C994" s="9">
        <v>10042</v>
      </c>
      <c r="D994" s="9" t="s">
        <v>1989</v>
      </c>
      <c r="E994" s="9"/>
      <c r="F994" s="7" t="s">
        <v>2961</v>
      </c>
      <c r="G994" s="9" t="s">
        <v>2147</v>
      </c>
    </row>
    <row r="995" spans="3:7" x14ac:dyDescent="0.2">
      <c r="C995" s="9">
        <v>10050</v>
      </c>
      <c r="D995" s="9" t="s">
        <v>1083</v>
      </c>
      <c r="E995" s="9" t="s">
        <v>1083</v>
      </c>
      <c r="F995" s="7" t="s">
        <v>2962</v>
      </c>
      <c r="G995" s="9" t="s">
        <v>2147</v>
      </c>
    </row>
    <row r="996" spans="3:7" x14ac:dyDescent="0.2">
      <c r="C996" s="9">
        <v>10051</v>
      </c>
      <c r="D996" s="9" t="s">
        <v>1083</v>
      </c>
      <c r="E996" s="9" t="s">
        <v>1083</v>
      </c>
      <c r="F996" s="7" t="s">
        <v>2963</v>
      </c>
      <c r="G996" s="9" t="s">
        <v>2147</v>
      </c>
    </row>
    <row r="997" spans="3:7" x14ac:dyDescent="0.2">
      <c r="C997" s="9">
        <v>10110</v>
      </c>
      <c r="D997" s="9" t="s">
        <v>1083</v>
      </c>
      <c r="E997" s="9" t="s">
        <v>1083</v>
      </c>
      <c r="F997" s="7" t="s">
        <v>2964</v>
      </c>
      <c r="G997" s="9" t="s">
        <v>2147</v>
      </c>
    </row>
    <row r="998" spans="3:7" x14ac:dyDescent="0.2">
      <c r="C998" s="9">
        <v>10172</v>
      </c>
      <c r="D998" s="9" t="s">
        <v>1989</v>
      </c>
      <c r="E998" s="9"/>
      <c r="F998" s="7" t="s">
        <v>2965</v>
      </c>
      <c r="G998" s="9" t="s">
        <v>2147</v>
      </c>
    </row>
    <row r="999" spans="3:7" x14ac:dyDescent="0.2">
      <c r="C999" s="9">
        <v>10200</v>
      </c>
      <c r="D999" s="9" t="s">
        <v>1989</v>
      </c>
      <c r="E999" s="9"/>
      <c r="F999" s="7" t="s">
        <v>2966</v>
      </c>
      <c r="G999" s="9" t="s">
        <v>2147</v>
      </c>
    </row>
    <row r="1000" spans="3:7" x14ac:dyDescent="0.2">
      <c r="C1000" s="9">
        <v>10200</v>
      </c>
      <c r="D1000" s="9" t="s">
        <v>1989</v>
      </c>
      <c r="E1000" s="9"/>
      <c r="F1000" s="7" t="s">
        <v>2967</v>
      </c>
      <c r="G1000" s="9" t="s">
        <v>2147</v>
      </c>
    </row>
    <row r="1001" spans="3:7" x14ac:dyDescent="0.2">
      <c r="C1001" s="9" t="s">
        <v>2968</v>
      </c>
      <c r="D1001" s="9" t="s">
        <v>1989</v>
      </c>
      <c r="E1001" s="9"/>
      <c r="F1001" s="7" t="s">
        <v>2967</v>
      </c>
      <c r="G1001" s="9" t="s">
        <v>2147</v>
      </c>
    </row>
    <row r="1002" spans="3:7" x14ac:dyDescent="0.2">
      <c r="C1002" s="9">
        <v>10212</v>
      </c>
      <c r="D1002" s="9" t="s">
        <v>1083</v>
      </c>
      <c r="E1002" s="9"/>
      <c r="F1002" s="7" t="s">
        <v>2969</v>
      </c>
      <c r="G1002" s="9" t="s">
        <v>2147</v>
      </c>
    </row>
    <row r="1003" spans="3:7" x14ac:dyDescent="0.2">
      <c r="C1003" s="9">
        <v>10308</v>
      </c>
      <c r="D1003" s="9" t="s">
        <v>1989</v>
      </c>
      <c r="E1003" s="9" t="s">
        <v>1989</v>
      </c>
      <c r="F1003" s="7" t="s">
        <v>2970</v>
      </c>
      <c r="G1003" s="9" t="s">
        <v>2147</v>
      </c>
    </row>
    <row r="1004" spans="3:7" x14ac:dyDescent="0.2">
      <c r="C1004" s="9">
        <v>10480</v>
      </c>
      <c r="D1004" s="9" t="s">
        <v>1989</v>
      </c>
      <c r="E1004" s="9" t="s">
        <v>1989</v>
      </c>
      <c r="F1004" s="7" t="s">
        <v>2971</v>
      </c>
      <c r="G1004" s="9" t="s">
        <v>2147</v>
      </c>
    </row>
    <row r="1005" spans="3:7" x14ac:dyDescent="0.2">
      <c r="C1005" s="9">
        <v>10505</v>
      </c>
      <c r="D1005" s="9"/>
      <c r="E1005" s="9" t="s">
        <v>1989</v>
      </c>
      <c r="F1005" s="7" t="s">
        <v>2972</v>
      </c>
      <c r="G1005" s="9" t="s">
        <v>2147</v>
      </c>
    </row>
    <row r="1006" spans="3:7" x14ac:dyDescent="0.2">
      <c r="C1006" s="9">
        <v>10514</v>
      </c>
      <c r="D1006" s="9" t="s">
        <v>1989</v>
      </c>
      <c r="E1006" s="9" t="s">
        <v>1989</v>
      </c>
      <c r="F1006" s="7" t="s">
        <v>2973</v>
      </c>
      <c r="G1006" s="9" t="s">
        <v>2147</v>
      </c>
    </row>
    <row r="1007" spans="3:7" x14ac:dyDescent="0.2">
      <c r="C1007" s="9">
        <v>10800</v>
      </c>
      <c r="D1007" s="9" t="s">
        <v>1989</v>
      </c>
      <c r="E1007" s="9"/>
      <c r="F1007" s="7" t="s">
        <v>2974</v>
      </c>
      <c r="G1007" s="9" t="s">
        <v>2147</v>
      </c>
    </row>
    <row r="1008" spans="3:7" x14ac:dyDescent="0.2">
      <c r="C1008" s="9">
        <v>10823</v>
      </c>
      <c r="D1008" s="9"/>
      <c r="E1008" s="9" t="s">
        <v>1989</v>
      </c>
      <c r="F1008" s="7" t="s">
        <v>2975</v>
      </c>
      <c r="G1008" s="9" t="s">
        <v>2147</v>
      </c>
    </row>
    <row r="1009" spans="3:7" x14ac:dyDescent="0.2">
      <c r="C1009" s="9">
        <v>10891</v>
      </c>
      <c r="D1009" s="9" t="s">
        <v>1989</v>
      </c>
      <c r="E1009" s="9"/>
      <c r="F1009" s="7" t="s">
        <v>2976</v>
      </c>
      <c r="G1009" s="9" t="s">
        <v>2147</v>
      </c>
    </row>
    <row r="1010" spans="3:7" x14ac:dyDescent="0.2">
      <c r="C1010" s="9">
        <v>10933</v>
      </c>
      <c r="D1010" s="9" t="s">
        <v>1083</v>
      </c>
      <c r="E1010" s="9" t="s">
        <v>293</v>
      </c>
      <c r="F1010" s="7" t="s">
        <v>2977</v>
      </c>
      <c r="G1010" s="9" t="s">
        <v>2147</v>
      </c>
    </row>
    <row r="1011" spans="3:7" x14ac:dyDescent="0.2">
      <c r="C1011" s="9">
        <v>11001</v>
      </c>
      <c r="D1011" s="9" t="s">
        <v>1083</v>
      </c>
      <c r="E1011" s="9" t="s">
        <v>1083</v>
      </c>
      <c r="F1011" s="7" t="s">
        <v>2978</v>
      </c>
      <c r="G1011" s="9" t="s">
        <v>2147</v>
      </c>
    </row>
    <row r="1012" spans="3:7" x14ac:dyDescent="0.2">
      <c r="C1012" s="9">
        <v>11100</v>
      </c>
      <c r="D1012" s="9" t="s">
        <v>293</v>
      </c>
      <c r="E1012" s="9" t="s">
        <v>1989</v>
      </c>
      <c r="F1012" s="7" t="s">
        <v>2979</v>
      </c>
      <c r="G1012" s="9" t="s">
        <v>2147</v>
      </c>
    </row>
    <row r="1013" spans="3:7" x14ac:dyDescent="0.2">
      <c r="C1013" s="9">
        <v>11111</v>
      </c>
      <c r="D1013" s="9" t="s">
        <v>1989</v>
      </c>
      <c r="E1013" s="9"/>
      <c r="F1013" s="7" t="s">
        <v>2980</v>
      </c>
      <c r="G1013" s="9" t="s">
        <v>2147</v>
      </c>
    </row>
    <row r="1014" spans="3:7" x14ac:dyDescent="0.2">
      <c r="C1014" s="9">
        <v>11112</v>
      </c>
      <c r="D1014" s="9" t="s">
        <v>1083</v>
      </c>
      <c r="E1014" s="9" t="s">
        <v>1083</v>
      </c>
      <c r="F1014" s="7" t="s">
        <v>2981</v>
      </c>
      <c r="G1014" s="9" t="s">
        <v>2147</v>
      </c>
    </row>
    <row r="1015" spans="3:7" x14ac:dyDescent="0.2">
      <c r="C1015" s="9">
        <v>11211</v>
      </c>
      <c r="D1015" s="9" t="s">
        <v>1989</v>
      </c>
      <c r="E1015" s="9" t="s">
        <v>1989</v>
      </c>
      <c r="F1015" s="7" t="s">
        <v>2982</v>
      </c>
      <c r="G1015" s="9" t="s">
        <v>2147</v>
      </c>
    </row>
    <row r="1016" spans="3:7" x14ac:dyDescent="0.2">
      <c r="C1016" s="9">
        <v>11214</v>
      </c>
      <c r="D1016" s="9" t="s">
        <v>1989</v>
      </c>
      <c r="E1016" s="9" t="s">
        <v>1989</v>
      </c>
      <c r="F1016" s="7" t="s">
        <v>2983</v>
      </c>
      <c r="G1016" s="9" t="s">
        <v>2147</v>
      </c>
    </row>
    <row r="1017" spans="3:7" x14ac:dyDescent="0.2">
      <c r="C1017" s="9">
        <v>11215</v>
      </c>
      <c r="D1017" s="9" t="s">
        <v>1989</v>
      </c>
      <c r="E1017" s="9" t="s">
        <v>1989</v>
      </c>
      <c r="F1017" s="7" t="s">
        <v>2984</v>
      </c>
      <c r="G1017" s="9" t="s">
        <v>2147</v>
      </c>
    </row>
    <row r="1018" spans="3:7" x14ac:dyDescent="0.2">
      <c r="C1018" s="9">
        <v>11235</v>
      </c>
      <c r="D1018" s="9" t="s">
        <v>1989</v>
      </c>
      <c r="E1018" s="9" t="s">
        <v>1989</v>
      </c>
      <c r="F1018" s="7" t="s">
        <v>2985</v>
      </c>
      <c r="G1018" s="9" t="s">
        <v>2147</v>
      </c>
    </row>
    <row r="1019" spans="3:7" x14ac:dyDescent="0.2">
      <c r="C1019" s="9">
        <v>11311</v>
      </c>
      <c r="D1019" s="9" t="s">
        <v>1989</v>
      </c>
      <c r="E1019" s="9" t="s">
        <v>1989</v>
      </c>
      <c r="F1019" s="7" t="s">
        <v>2986</v>
      </c>
      <c r="G1019" s="9" t="s">
        <v>2147</v>
      </c>
    </row>
    <row r="1020" spans="3:7" x14ac:dyDescent="0.2">
      <c r="C1020" s="9">
        <v>11371</v>
      </c>
      <c r="D1020" s="9" t="s">
        <v>1083</v>
      </c>
      <c r="E1020" s="9" t="s">
        <v>1083</v>
      </c>
      <c r="F1020" s="7" t="s">
        <v>2987</v>
      </c>
      <c r="G1020" s="9" t="s">
        <v>2147</v>
      </c>
    </row>
    <row r="1021" spans="3:7" x14ac:dyDescent="0.2">
      <c r="C1021" s="9">
        <v>11753</v>
      </c>
      <c r="D1021" s="9" t="s">
        <v>1989</v>
      </c>
      <c r="E1021" s="9"/>
      <c r="F1021" s="7" t="s">
        <v>2988</v>
      </c>
      <c r="G1021" s="9" t="s">
        <v>2147</v>
      </c>
    </row>
    <row r="1022" spans="3:7" x14ac:dyDescent="0.2">
      <c r="C1022" s="9">
        <v>12000</v>
      </c>
      <c r="D1022" s="9" t="s">
        <v>1989</v>
      </c>
      <c r="E1022" s="9" t="s">
        <v>1989</v>
      </c>
      <c r="F1022" s="7" t="s">
        <v>2989</v>
      </c>
      <c r="G1022" s="9" t="s">
        <v>2147</v>
      </c>
    </row>
    <row r="1023" spans="3:7" x14ac:dyDescent="0.2">
      <c r="C1023" s="9">
        <v>12012</v>
      </c>
      <c r="D1023" s="9"/>
      <c r="E1023" s="9" t="s">
        <v>1989</v>
      </c>
      <c r="F1023" s="7" t="s">
        <v>2990</v>
      </c>
      <c r="G1023" s="9" t="s">
        <v>2147</v>
      </c>
    </row>
    <row r="1024" spans="3:7" x14ac:dyDescent="0.2">
      <c r="C1024" s="9">
        <v>12013</v>
      </c>
      <c r="D1024" s="9" t="s">
        <v>1989</v>
      </c>
      <c r="E1024" s="9" t="s">
        <v>1989</v>
      </c>
      <c r="F1024" s="7" t="s">
        <v>2991</v>
      </c>
      <c r="G1024" s="9" t="s">
        <v>2147</v>
      </c>
    </row>
    <row r="1025" spans="3:7" x14ac:dyDescent="0.2">
      <c r="C1025" s="9">
        <v>12035</v>
      </c>
      <c r="D1025" s="9"/>
      <c r="E1025" s="9" t="s">
        <v>1989</v>
      </c>
      <c r="F1025" s="7" t="s">
        <v>2992</v>
      </c>
      <c r="G1025" s="9" t="s">
        <v>2147</v>
      </c>
    </row>
    <row r="1026" spans="3:7" x14ac:dyDescent="0.2">
      <c r="C1026" s="9">
        <v>12043</v>
      </c>
      <c r="D1026" s="9" t="s">
        <v>1989</v>
      </c>
      <c r="E1026" s="9"/>
      <c r="F1026" s="7" t="s">
        <v>2993</v>
      </c>
      <c r="G1026" s="9" t="s">
        <v>2147</v>
      </c>
    </row>
    <row r="1027" spans="3:7" x14ac:dyDescent="0.2">
      <c r="C1027" s="9">
        <v>12046</v>
      </c>
      <c r="D1027" s="9" t="s">
        <v>1989</v>
      </c>
      <c r="E1027" s="9"/>
      <c r="F1027" s="7" t="s">
        <v>2994</v>
      </c>
      <c r="G1027" s="9" t="s">
        <v>2147</v>
      </c>
    </row>
    <row r="1028" spans="3:7" x14ac:dyDescent="0.2">
      <c r="C1028" s="9">
        <v>12201</v>
      </c>
      <c r="D1028" s="9" t="s">
        <v>1989</v>
      </c>
      <c r="E1028" s="9" t="s">
        <v>1989</v>
      </c>
      <c r="F1028" s="7" t="s">
        <v>2995</v>
      </c>
      <c r="G1028" s="9" t="s">
        <v>2147</v>
      </c>
    </row>
    <row r="1029" spans="3:7" x14ac:dyDescent="0.2">
      <c r="C1029" s="9">
        <v>12222</v>
      </c>
      <c r="D1029" s="9"/>
      <c r="E1029" s="9" t="s">
        <v>1083</v>
      </c>
      <c r="F1029" s="7" t="s">
        <v>2996</v>
      </c>
      <c r="G1029" s="9" t="s">
        <v>2147</v>
      </c>
    </row>
    <row r="1030" spans="3:7" x14ac:dyDescent="0.2">
      <c r="C1030" s="9">
        <v>12223</v>
      </c>
      <c r="D1030" s="9"/>
      <c r="E1030" s="9" t="s">
        <v>1083</v>
      </c>
      <c r="F1030" s="7" t="s">
        <v>2997</v>
      </c>
      <c r="G1030" s="9" t="s">
        <v>2147</v>
      </c>
    </row>
    <row r="1031" spans="3:7" x14ac:dyDescent="0.2">
      <c r="C1031" s="9">
        <v>12307</v>
      </c>
      <c r="D1031" s="9"/>
      <c r="E1031" s="9" t="s">
        <v>1989</v>
      </c>
      <c r="F1031" s="7" t="s">
        <v>2998</v>
      </c>
      <c r="G1031" s="9" t="s">
        <v>2147</v>
      </c>
    </row>
    <row r="1032" spans="3:7" x14ac:dyDescent="0.2">
      <c r="C1032" s="9">
        <v>12308</v>
      </c>
      <c r="D1032" s="9"/>
      <c r="E1032" s="9" t="s">
        <v>1989</v>
      </c>
      <c r="F1032" s="7" t="s">
        <v>2999</v>
      </c>
      <c r="G1032" s="9" t="s">
        <v>2147</v>
      </c>
    </row>
    <row r="1033" spans="3:7" x14ac:dyDescent="0.2">
      <c r="C1033" s="9">
        <v>12345</v>
      </c>
      <c r="D1033" s="9" t="s">
        <v>1989</v>
      </c>
      <c r="E1033" s="9" t="s">
        <v>1989</v>
      </c>
      <c r="F1033" s="7" t="s">
        <v>3000</v>
      </c>
      <c r="G1033" s="9" t="s">
        <v>2147</v>
      </c>
    </row>
    <row r="1034" spans="3:7" x14ac:dyDescent="0.2">
      <c r="C1034" s="9">
        <v>12345</v>
      </c>
      <c r="D1034" s="9" t="s">
        <v>1989</v>
      </c>
      <c r="E1034" s="9"/>
      <c r="F1034" s="7" t="s">
        <v>3001</v>
      </c>
      <c r="G1034" s="9" t="s">
        <v>2147</v>
      </c>
    </row>
    <row r="1035" spans="3:7" x14ac:dyDescent="0.2">
      <c r="C1035" s="9">
        <v>12345</v>
      </c>
      <c r="D1035" s="9" t="s">
        <v>1989</v>
      </c>
      <c r="E1035" s="9" t="s">
        <v>1989</v>
      </c>
      <c r="F1035" s="7" t="s">
        <v>3002</v>
      </c>
      <c r="G1035" s="9" t="s">
        <v>2147</v>
      </c>
    </row>
    <row r="1036" spans="3:7" x14ac:dyDescent="0.2">
      <c r="C1036" s="9">
        <v>12443</v>
      </c>
      <c r="D1036" s="9" t="s">
        <v>1989</v>
      </c>
      <c r="E1036" s="9"/>
      <c r="F1036" s="7" t="s">
        <v>3003</v>
      </c>
      <c r="G1036" s="9" t="s">
        <v>2147</v>
      </c>
    </row>
    <row r="1037" spans="3:7" x14ac:dyDescent="0.2">
      <c r="C1037" s="9">
        <v>12489</v>
      </c>
      <c r="D1037" s="9" t="s">
        <v>1989</v>
      </c>
      <c r="E1037" s="9"/>
      <c r="F1037" s="7" t="s">
        <v>3004</v>
      </c>
      <c r="G1037" s="9" t="s">
        <v>2147</v>
      </c>
    </row>
    <row r="1038" spans="3:7" x14ac:dyDescent="0.2">
      <c r="C1038" s="9">
        <v>12975</v>
      </c>
      <c r="D1038" s="9" t="s">
        <v>1989</v>
      </c>
      <c r="E1038" s="9"/>
      <c r="F1038" s="7" t="s">
        <v>3005</v>
      </c>
      <c r="G1038" s="9" t="s">
        <v>2147</v>
      </c>
    </row>
    <row r="1039" spans="3:7" x14ac:dyDescent="0.2">
      <c r="C1039" s="9" t="s">
        <v>3006</v>
      </c>
      <c r="D1039" s="9"/>
      <c r="E1039" s="9" t="s">
        <v>1989</v>
      </c>
      <c r="F1039" s="7" t="s">
        <v>3007</v>
      </c>
      <c r="G1039" s="9" t="s">
        <v>2147</v>
      </c>
    </row>
    <row r="1040" spans="3:7" x14ac:dyDescent="0.2">
      <c r="C1040" s="9">
        <v>13008</v>
      </c>
      <c r="D1040" s="9" t="s">
        <v>1989</v>
      </c>
      <c r="E1040" s="9" t="s">
        <v>1989</v>
      </c>
      <c r="F1040" s="7" t="s">
        <v>2957</v>
      </c>
      <c r="G1040" s="9" t="s">
        <v>2147</v>
      </c>
    </row>
    <row r="1041" spans="3:7" x14ac:dyDescent="0.2">
      <c r="C1041" s="9">
        <v>13075</v>
      </c>
      <c r="D1041" s="9" t="s">
        <v>1083</v>
      </c>
      <c r="E1041" s="9"/>
      <c r="F1041" s="7" t="s">
        <v>3008</v>
      </c>
      <c r="G1041" s="9" t="s">
        <v>2147</v>
      </c>
    </row>
    <row r="1042" spans="3:7" x14ac:dyDescent="0.2">
      <c r="C1042" s="9">
        <v>13400</v>
      </c>
      <c r="D1042" s="9" t="s">
        <v>1083</v>
      </c>
      <c r="E1042" s="9" t="s">
        <v>1083</v>
      </c>
      <c r="F1042" s="7" t="s">
        <v>3009</v>
      </c>
      <c r="G1042" s="9" t="s">
        <v>2147</v>
      </c>
    </row>
    <row r="1043" spans="3:7" x14ac:dyDescent="0.2">
      <c r="C1043" s="9">
        <v>13720</v>
      </c>
      <c r="D1043" s="9" t="s">
        <v>1083</v>
      </c>
      <c r="E1043" s="9" t="s">
        <v>1083</v>
      </c>
      <c r="F1043" s="7" t="s">
        <v>3010</v>
      </c>
      <c r="G1043" s="9" t="s">
        <v>2147</v>
      </c>
    </row>
    <row r="1044" spans="3:7" x14ac:dyDescent="0.2">
      <c r="C1044" s="9">
        <v>13721</v>
      </c>
      <c r="D1044" s="9" t="s">
        <v>1083</v>
      </c>
      <c r="E1044" s="9" t="s">
        <v>1083</v>
      </c>
      <c r="F1044" s="7" t="s">
        <v>3011</v>
      </c>
      <c r="G1044" s="9" t="s">
        <v>2147</v>
      </c>
    </row>
    <row r="1045" spans="3:7" x14ac:dyDescent="0.2">
      <c r="C1045" s="9">
        <v>13724</v>
      </c>
      <c r="D1045" s="9" t="s">
        <v>1083</v>
      </c>
      <c r="E1045" s="9" t="s">
        <v>1083</v>
      </c>
      <c r="F1045" s="7" t="s">
        <v>3012</v>
      </c>
      <c r="G1045" s="9" t="s">
        <v>2147</v>
      </c>
    </row>
    <row r="1046" spans="3:7" x14ac:dyDescent="0.2">
      <c r="C1046" s="9">
        <v>13782</v>
      </c>
      <c r="D1046" s="9" t="s">
        <v>1083</v>
      </c>
      <c r="E1046" s="9" t="s">
        <v>1083</v>
      </c>
      <c r="F1046" s="7" t="s">
        <v>3013</v>
      </c>
      <c r="G1046" s="9" t="s">
        <v>2147</v>
      </c>
    </row>
    <row r="1047" spans="3:7" x14ac:dyDescent="0.2">
      <c r="C1047" s="9">
        <v>13783</v>
      </c>
      <c r="D1047" s="9" t="s">
        <v>1083</v>
      </c>
      <c r="E1047" s="9" t="s">
        <v>1083</v>
      </c>
      <c r="F1047" s="7" t="s">
        <v>3014</v>
      </c>
      <c r="G1047" s="9" t="s">
        <v>2147</v>
      </c>
    </row>
    <row r="1048" spans="3:7" x14ac:dyDescent="0.2">
      <c r="C1048" s="9">
        <v>13785</v>
      </c>
      <c r="D1048" s="9" t="s">
        <v>1083</v>
      </c>
      <c r="E1048" s="9" t="s">
        <v>1083</v>
      </c>
      <c r="F1048" s="7" t="s">
        <v>3015</v>
      </c>
      <c r="G1048" s="9" t="s">
        <v>2147</v>
      </c>
    </row>
    <row r="1049" spans="3:7" x14ac:dyDescent="0.2">
      <c r="C1049" s="9">
        <v>13786</v>
      </c>
      <c r="D1049" s="9" t="s">
        <v>1083</v>
      </c>
      <c r="E1049" s="9" t="s">
        <v>1083</v>
      </c>
      <c r="F1049" s="7" t="s">
        <v>3016</v>
      </c>
      <c r="G1049" s="9" t="s">
        <v>2147</v>
      </c>
    </row>
    <row r="1050" spans="3:7" x14ac:dyDescent="0.2">
      <c r="C1050" s="9">
        <v>14550</v>
      </c>
      <c r="D1050" s="9"/>
      <c r="E1050" s="9" t="s">
        <v>1989</v>
      </c>
      <c r="F1050" s="7" t="s">
        <v>3017</v>
      </c>
      <c r="G1050" s="9" t="s">
        <v>2147</v>
      </c>
    </row>
    <row r="1051" spans="3:7" x14ac:dyDescent="0.2">
      <c r="C1051" s="9">
        <v>14567</v>
      </c>
      <c r="D1051" s="9"/>
      <c r="E1051" s="9" t="s">
        <v>1989</v>
      </c>
      <c r="F1051" s="7" t="s">
        <v>3018</v>
      </c>
      <c r="G1051" s="9" t="s">
        <v>2147</v>
      </c>
    </row>
    <row r="1052" spans="3:7" x14ac:dyDescent="0.2">
      <c r="C1052" s="9">
        <v>14800</v>
      </c>
      <c r="D1052" s="9" t="s">
        <v>1989</v>
      </c>
      <c r="E1052" s="9"/>
      <c r="F1052" s="7" t="s">
        <v>3019</v>
      </c>
      <c r="G1052" s="9" t="s">
        <v>2147</v>
      </c>
    </row>
    <row r="1053" spans="3:7" x14ac:dyDescent="0.2">
      <c r="C1053" s="9">
        <v>15000</v>
      </c>
      <c r="D1053" s="9" t="s">
        <v>1989</v>
      </c>
      <c r="E1053" s="9"/>
      <c r="F1053" s="7" t="s">
        <v>3020</v>
      </c>
      <c r="G1053" s="9" t="s">
        <v>2147</v>
      </c>
    </row>
    <row r="1054" spans="3:7" x14ac:dyDescent="0.2">
      <c r="C1054" s="9">
        <v>15000</v>
      </c>
      <c r="D1054" s="9" t="s">
        <v>1989</v>
      </c>
      <c r="E1054" s="9"/>
      <c r="F1054" s="7" t="s">
        <v>3021</v>
      </c>
      <c r="G1054" s="9" t="s">
        <v>2147</v>
      </c>
    </row>
    <row r="1055" spans="3:7" x14ac:dyDescent="0.2">
      <c r="C1055" s="9">
        <v>15000</v>
      </c>
      <c r="D1055" s="9" t="s">
        <v>1989</v>
      </c>
      <c r="E1055" s="9"/>
      <c r="F1055" s="7" t="s">
        <v>3022</v>
      </c>
      <c r="G1055" s="9" t="s">
        <v>2147</v>
      </c>
    </row>
    <row r="1056" spans="3:7" x14ac:dyDescent="0.2">
      <c r="C1056" s="9">
        <v>15000</v>
      </c>
      <c r="D1056" s="9"/>
      <c r="E1056" s="9" t="s">
        <v>1989</v>
      </c>
      <c r="F1056" s="7" t="s">
        <v>3023</v>
      </c>
      <c r="G1056" s="9" t="s">
        <v>2147</v>
      </c>
    </row>
    <row r="1057" spans="3:7" x14ac:dyDescent="0.2">
      <c r="C1057" s="9">
        <v>15009</v>
      </c>
      <c r="D1057" s="9" t="s">
        <v>1989</v>
      </c>
      <c r="E1057" s="9" t="s">
        <v>1989</v>
      </c>
      <c r="F1057" s="7" t="s">
        <v>3023</v>
      </c>
      <c r="G1057" s="9" t="s">
        <v>2147</v>
      </c>
    </row>
    <row r="1058" spans="3:7" x14ac:dyDescent="0.2">
      <c r="C1058" s="9">
        <v>15010</v>
      </c>
      <c r="D1058" s="9" t="s">
        <v>1989</v>
      </c>
      <c r="E1058" s="9" t="s">
        <v>1989</v>
      </c>
      <c r="F1058" s="7" t="s">
        <v>3023</v>
      </c>
      <c r="G1058" s="9" t="s">
        <v>2147</v>
      </c>
    </row>
    <row r="1059" spans="3:7" x14ac:dyDescent="0.2">
      <c r="C1059" s="9">
        <v>15441</v>
      </c>
      <c r="D1059" s="9" t="s">
        <v>1989</v>
      </c>
      <c r="E1059" s="9" t="s">
        <v>1989</v>
      </c>
      <c r="F1059" s="7" t="s">
        <v>3024</v>
      </c>
      <c r="G1059" s="9" t="s">
        <v>2147</v>
      </c>
    </row>
    <row r="1060" spans="3:7" x14ac:dyDescent="0.2">
      <c r="C1060" s="9">
        <v>15567</v>
      </c>
      <c r="D1060" s="9"/>
      <c r="E1060" s="9" t="s">
        <v>1989</v>
      </c>
      <c r="F1060" s="7" t="s">
        <v>3025</v>
      </c>
      <c r="G1060" s="9" t="s">
        <v>2147</v>
      </c>
    </row>
    <row r="1061" spans="3:7" x14ac:dyDescent="0.2">
      <c r="C1061" s="9">
        <v>15345</v>
      </c>
      <c r="D1061" s="9" t="s">
        <v>1083</v>
      </c>
      <c r="E1061" s="9" t="s">
        <v>1083</v>
      </c>
      <c r="F1061" s="7" t="s">
        <v>3026</v>
      </c>
      <c r="G1061" s="9" t="s">
        <v>2147</v>
      </c>
    </row>
    <row r="1062" spans="3:7" x14ac:dyDescent="0.2">
      <c r="C1062" s="9">
        <v>15672</v>
      </c>
      <c r="D1062" s="9" t="s">
        <v>1989</v>
      </c>
      <c r="E1062" s="9" t="s">
        <v>293</v>
      </c>
      <c r="F1062" s="7" t="s">
        <v>3027</v>
      </c>
      <c r="G1062" s="9" t="s">
        <v>2147</v>
      </c>
    </row>
    <row r="1063" spans="3:7" x14ac:dyDescent="0.2">
      <c r="C1063" s="9">
        <v>16000</v>
      </c>
      <c r="D1063" s="9" t="s">
        <v>1989</v>
      </c>
      <c r="E1063" s="9"/>
      <c r="F1063" s="7" t="s">
        <v>3028</v>
      </c>
      <c r="G1063" s="9" t="s">
        <v>2147</v>
      </c>
    </row>
    <row r="1064" spans="3:7" x14ac:dyDescent="0.2">
      <c r="C1064" s="9">
        <v>16000</v>
      </c>
      <c r="D1064" s="9" t="s">
        <v>1989</v>
      </c>
      <c r="E1064" s="9"/>
      <c r="F1064" s="7" t="s">
        <v>3029</v>
      </c>
      <c r="G1064" s="9" t="s">
        <v>2147</v>
      </c>
    </row>
    <row r="1065" spans="3:7" x14ac:dyDescent="0.2">
      <c r="C1065" s="9">
        <v>16080</v>
      </c>
      <c r="D1065" s="9" t="s">
        <v>1989</v>
      </c>
      <c r="E1065" s="9"/>
      <c r="F1065" s="7" t="s">
        <v>3030</v>
      </c>
      <c r="G1065" s="9" t="s">
        <v>2147</v>
      </c>
    </row>
    <row r="1066" spans="3:7" x14ac:dyDescent="0.2">
      <c r="C1066" s="9">
        <v>16200</v>
      </c>
      <c r="D1066" s="9" t="s">
        <v>1989</v>
      </c>
      <c r="E1066" s="9"/>
      <c r="F1066" s="7" t="s">
        <v>3031</v>
      </c>
      <c r="G1066" s="9" t="s">
        <v>2147</v>
      </c>
    </row>
    <row r="1067" spans="3:7" x14ac:dyDescent="0.2">
      <c r="C1067" s="9">
        <v>16225</v>
      </c>
      <c r="D1067" s="9" t="s">
        <v>1989</v>
      </c>
      <c r="E1067" s="9"/>
      <c r="F1067" s="7" t="s">
        <v>3032</v>
      </c>
      <c r="G1067" s="9" t="s">
        <v>2147</v>
      </c>
    </row>
    <row r="1068" spans="3:7" x14ac:dyDescent="0.2">
      <c r="C1068" s="9">
        <v>16250</v>
      </c>
      <c r="D1068" s="9" t="s">
        <v>1989</v>
      </c>
      <c r="E1068" s="9"/>
      <c r="F1068" s="7" t="s">
        <v>3033</v>
      </c>
      <c r="G1068" s="9" t="s">
        <v>2147</v>
      </c>
    </row>
    <row r="1069" spans="3:7" x14ac:dyDescent="0.2">
      <c r="C1069" s="9">
        <v>16261</v>
      </c>
      <c r="D1069" s="9" t="s">
        <v>1989</v>
      </c>
      <c r="E1069" s="9" t="s">
        <v>1989</v>
      </c>
      <c r="F1069" s="7" t="s">
        <v>3034</v>
      </c>
      <c r="G1069" s="9" t="s">
        <v>2147</v>
      </c>
    </row>
    <row r="1070" spans="3:7" x14ac:dyDescent="0.2">
      <c r="C1070" s="9">
        <v>16300</v>
      </c>
      <c r="D1070" s="9" t="s">
        <v>1989</v>
      </c>
      <c r="E1070" s="9"/>
      <c r="F1070" s="7" t="s">
        <v>3035</v>
      </c>
      <c r="G1070" s="9" t="s">
        <v>2147</v>
      </c>
    </row>
    <row r="1071" spans="3:7" x14ac:dyDescent="0.2">
      <c r="C1071" s="9">
        <v>16384</v>
      </c>
      <c r="D1071" s="9"/>
      <c r="E1071" s="9" t="s">
        <v>1989</v>
      </c>
      <c r="F1071" s="7" t="s">
        <v>3036</v>
      </c>
      <c r="G1071" s="9" t="s">
        <v>2147</v>
      </c>
    </row>
    <row r="1072" spans="3:7" x14ac:dyDescent="0.2">
      <c r="C1072" s="9" t="s">
        <v>3037</v>
      </c>
      <c r="D1072" s="9"/>
      <c r="E1072" s="9" t="s">
        <v>1989</v>
      </c>
      <c r="F1072" s="7" t="s">
        <v>3038</v>
      </c>
      <c r="G1072" s="9" t="s">
        <v>2147</v>
      </c>
    </row>
    <row r="1073" spans="3:7" x14ac:dyDescent="0.2">
      <c r="C1073" s="9" t="s">
        <v>3039</v>
      </c>
      <c r="D1073" s="9"/>
      <c r="E1073" s="9" t="s">
        <v>1989</v>
      </c>
      <c r="F1073" s="7" t="s">
        <v>3040</v>
      </c>
      <c r="G1073" s="9" t="s">
        <v>2147</v>
      </c>
    </row>
    <row r="1074" spans="3:7" x14ac:dyDescent="0.2">
      <c r="C1074" s="9" t="s">
        <v>3041</v>
      </c>
      <c r="D1074" s="9"/>
      <c r="E1074" s="9" t="s">
        <v>1989</v>
      </c>
      <c r="F1074" s="7" t="s">
        <v>3042</v>
      </c>
      <c r="G1074" s="9" t="s">
        <v>2147</v>
      </c>
    </row>
    <row r="1075" spans="3:7" x14ac:dyDescent="0.2">
      <c r="C1075" s="9" t="s">
        <v>3043</v>
      </c>
      <c r="D1075" s="9"/>
      <c r="E1075" s="9" t="s">
        <v>1989</v>
      </c>
      <c r="F1075" s="7" t="s">
        <v>3044</v>
      </c>
      <c r="G1075" s="9" t="s">
        <v>2147</v>
      </c>
    </row>
    <row r="1076" spans="3:7" x14ac:dyDescent="0.2">
      <c r="C1076" s="9">
        <v>16400</v>
      </c>
      <c r="D1076" s="9" t="s">
        <v>1989</v>
      </c>
      <c r="E1076" s="9"/>
      <c r="F1076" s="7" t="s">
        <v>3045</v>
      </c>
      <c r="G1076" s="9" t="s">
        <v>2147</v>
      </c>
    </row>
    <row r="1077" spans="3:7" x14ac:dyDescent="0.2">
      <c r="C1077" s="9">
        <v>16567</v>
      </c>
      <c r="D1077" s="9"/>
      <c r="E1077" s="9" t="s">
        <v>1989</v>
      </c>
      <c r="F1077" s="7" t="s">
        <v>3046</v>
      </c>
      <c r="G1077" s="9" t="s">
        <v>2147</v>
      </c>
    </row>
    <row r="1078" spans="3:7" x14ac:dyDescent="0.2">
      <c r="C1078" s="9">
        <v>17011</v>
      </c>
      <c r="D1078" s="9" t="s">
        <v>1989</v>
      </c>
      <c r="E1078" s="9"/>
      <c r="F1078" s="7" t="s">
        <v>3047</v>
      </c>
      <c r="G1078" s="9" t="s">
        <v>2147</v>
      </c>
    </row>
    <row r="1079" spans="3:7" x14ac:dyDescent="0.2">
      <c r="C1079" s="9">
        <v>17224</v>
      </c>
      <c r="D1079" s="9" t="s">
        <v>1083</v>
      </c>
      <c r="E1079" s="9" t="s">
        <v>1083</v>
      </c>
      <c r="F1079" s="7" t="s">
        <v>3048</v>
      </c>
      <c r="G1079" s="9" t="s">
        <v>2147</v>
      </c>
    </row>
    <row r="1080" spans="3:7" x14ac:dyDescent="0.2">
      <c r="C1080" s="9">
        <v>17225</v>
      </c>
      <c r="D1080" s="9" t="s">
        <v>1083</v>
      </c>
      <c r="E1080" s="9" t="s">
        <v>1083</v>
      </c>
      <c r="F1080" s="7" t="s">
        <v>3049</v>
      </c>
      <c r="G1080" s="9" t="s">
        <v>2147</v>
      </c>
    </row>
    <row r="1081" spans="3:7" x14ac:dyDescent="0.2">
      <c r="C1081" s="9">
        <v>17333</v>
      </c>
      <c r="D1081" s="9" t="s">
        <v>1989</v>
      </c>
      <c r="E1081" s="9"/>
      <c r="F1081" s="7" t="s">
        <v>3050</v>
      </c>
      <c r="G1081" s="9" t="s">
        <v>2147</v>
      </c>
    </row>
    <row r="1082" spans="3:7" x14ac:dyDescent="0.2">
      <c r="C1082" s="9">
        <v>17475</v>
      </c>
      <c r="D1082" s="9" t="s">
        <v>1989</v>
      </c>
      <c r="E1082" s="9"/>
      <c r="F1082" s="7" t="s">
        <v>3051</v>
      </c>
      <c r="G1082" s="9" t="s">
        <v>2147</v>
      </c>
    </row>
    <row r="1083" spans="3:7" x14ac:dyDescent="0.2">
      <c r="C1083" s="9">
        <v>17500</v>
      </c>
      <c r="D1083" s="9" t="s">
        <v>1083</v>
      </c>
      <c r="E1083" s="9" t="s">
        <v>1083</v>
      </c>
      <c r="F1083" s="7" t="s">
        <v>3052</v>
      </c>
      <c r="G1083" s="9" t="s">
        <v>2147</v>
      </c>
    </row>
    <row r="1084" spans="3:7" x14ac:dyDescent="0.2">
      <c r="C1084" s="9">
        <v>18080</v>
      </c>
      <c r="D1084" s="9" t="s">
        <v>1989</v>
      </c>
      <c r="E1084" s="9" t="s">
        <v>293</v>
      </c>
      <c r="F1084" s="7" t="s">
        <v>3053</v>
      </c>
      <c r="G1084" s="9" t="s">
        <v>2147</v>
      </c>
    </row>
    <row r="1085" spans="3:7" x14ac:dyDescent="0.2">
      <c r="C1085" s="9">
        <v>18081</v>
      </c>
      <c r="D1085" s="9" t="s">
        <v>1989</v>
      </c>
      <c r="E1085" s="9" t="s">
        <v>293</v>
      </c>
      <c r="F1085" s="7" t="s">
        <v>3054</v>
      </c>
      <c r="G1085" s="9" t="s">
        <v>2147</v>
      </c>
    </row>
    <row r="1086" spans="3:7" x14ac:dyDescent="0.2">
      <c r="C1086" s="9">
        <v>18091</v>
      </c>
      <c r="D1086" s="9" t="s">
        <v>1989</v>
      </c>
      <c r="E1086" s="9" t="s">
        <v>1989</v>
      </c>
      <c r="F1086" s="7" t="s">
        <v>3055</v>
      </c>
      <c r="G1086" s="9" t="s">
        <v>2147</v>
      </c>
    </row>
    <row r="1087" spans="3:7" x14ac:dyDescent="0.2">
      <c r="C1087" s="9">
        <v>18092</v>
      </c>
      <c r="D1087" s="9" t="s">
        <v>1989</v>
      </c>
      <c r="E1087" s="9" t="s">
        <v>1989</v>
      </c>
      <c r="F1087" s="7" t="s">
        <v>3056</v>
      </c>
      <c r="G1087" s="9" t="s">
        <v>2147</v>
      </c>
    </row>
    <row r="1088" spans="3:7" x14ac:dyDescent="0.2">
      <c r="C1088" s="9">
        <v>18104</v>
      </c>
      <c r="D1088" s="9" t="s">
        <v>1083</v>
      </c>
      <c r="E1088" s="9"/>
      <c r="F1088" s="7" t="s">
        <v>3057</v>
      </c>
      <c r="G1088" s="9" t="s">
        <v>2147</v>
      </c>
    </row>
    <row r="1089" spans="3:7" x14ac:dyDescent="0.2">
      <c r="C1089" s="9">
        <v>18200</v>
      </c>
      <c r="D1089" s="9" t="s">
        <v>1989</v>
      </c>
      <c r="E1089" s="9" t="s">
        <v>1989</v>
      </c>
      <c r="F1089" s="7" t="s">
        <v>3058</v>
      </c>
      <c r="G1089" s="9" t="s">
        <v>2147</v>
      </c>
    </row>
    <row r="1090" spans="3:7" x14ac:dyDescent="0.2">
      <c r="C1090" s="9">
        <v>18201</v>
      </c>
      <c r="D1090" s="9" t="s">
        <v>1989</v>
      </c>
      <c r="E1090" s="9" t="s">
        <v>1989</v>
      </c>
      <c r="F1090" s="7" t="s">
        <v>3059</v>
      </c>
      <c r="G1090" s="9" t="s">
        <v>2147</v>
      </c>
    </row>
    <row r="1091" spans="3:7" x14ac:dyDescent="0.2">
      <c r="C1091" s="9">
        <v>18206</v>
      </c>
      <c r="D1091" s="9" t="s">
        <v>1989</v>
      </c>
      <c r="E1091" s="9" t="s">
        <v>1989</v>
      </c>
      <c r="F1091" s="7" t="s">
        <v>3060</v>
      </c>
      <c r="G1091" s="9" t="s">
        <v>2147</v>
      </c>
    </row>
    <row r="1092" spans="3:7" x14ac:dyDescent="0.2">
      <c r="C1092" s="9">
        <v>18300</v>
      </c>
      <c r="D1092" s="9" t="s">
        <v>1989</v>
      </c>
      <c r="E1092" s="9" t="s">
        <v>1989</v>
      </c>
      <c r="F1092" s="7" t="s">
        <v>3061</v>
      </c>
      <c r="G1092" s="9" t="s">
        <v>2147</v>
      </c>
    </row>
    <row r="1093" spans="3:7" x14ac:dyDescent="0.2">
      <c r="C1093" s="9">
        <v>18301</v>
      </c>
      <c r="D1093" s="9" t="s">
        <v>1989</v>
      </c>
      <c r="E1093" s="9" t="s">
        <v>1989</v>
      </c>
      <c r="F1093" s="7" t="s">
        <v>3062</v>
      </c>
      <c r="G1093" s="9" t="s">
        <v>2147</v>
      </c>
    </row>
    <row r="1094" spans="3:7" x14ac:dyDescent="0.2">
      <c r="C1094" s="9">
        <v>18306</v>
      </c>
      <c r="D1094" s="9" t="s">
        <v>1989</v>
      </c>
      <c r="E1094" s="9" t="s">
        <v>1989</v>
      </c>
      <c r="F1094" s="7" t="s">
        <v>3063</v>
      </c>
      <c r="G1094" s="9" t="s">
        <v>2147</v>
      </c>
    </row>
    <row r="1095" spans="3:7" x14ac:dyDescent="0.2">
      <c r="C1095" s="9">
        <v>18333</v>
      </c>
      <c r="D1095" s="9" t="s">
        <v>1989</v>
      </c>
      <c r="E1095" s="9"/>
      <c r="F1095" s="7" t="s">
        <v>3064</v>
      </c>
      <c r="G1095" s="9" t="s">
        <v>2147</v>
      </c>
    </row>
    <row r="1096" spans="3:7" x14ac:dyDescent="0.2">
      <c r="C1096" s="9">
        <v>18400</v>
      </c>
      <c r="D1096" s="9" t="s">
        <v>1989</v>
      </c>
      <c r="E1096" s="9" t="s">
        <v>1989</v>
      </c>
      <c r="F1096" s="7" t="s">
        <v>3065</v>
      </c>
      <c r="G1096" s="9" t="s">
        <v>2147</v>
      </c>
    </row>
    <row r="1097" spans="3:7" x14ac:dyDescent="0.2">
      <c r="C1097" s="9">
        <v>18401</v>
      </c>
      <c r="D1097" s="9" t="s">
        <v>1989</v>
      </c>
      <c r="E1097" s="9" t="s">
        <v>1989</v>
      </c>
      <c r="F1097" s="7" t="s">
        <v>3066</v>
      </c>
      <c r="G1097" s="9" t="s">
        <v>2147</v>
      </c>
    </row>
    <row r="1098" spans="3:7" x14ac:dyDescent="0.2">
      <c r="C1098" s="9">
        <v>18505</v>
      </c>
      <c r="D1098" s="9" t="s">
        <v>1989</v>
      </c>
      <c r="E1098" s="9" t="s">
        <v>1989</v>
      </c>
      <c r="F1098" s="7" t="s">
        <v>3067</v>
      </c>
      <c r="G1098" s="9" t="s">
        <v>2147</v>
      </c>
    </row>
    <row r="1099" spans="3:7" x14ac:dyDescent="0.2">
      <c r="C1099" s="9">
        <v>18506</v>
      </c>
      <c r="D1099" s="9" t="s">
        <v>1989</v>
      </c>
      <c r="E1099" s="9" t="s">
        <v>1989</v>
      </c>
      <c r="F1099" s="7" t="s">
        <v>3068</v>
      </c>
      <c r="G1099" s="9" t="s">
        <v>2147</v>
      </c>
    </row>
    <row r="1100" spans="3:7" x14ac:dyDescent="0.2">
      <c r="C1100" s="9">
        <v>18605</v>
      </c>
      <c r="D1100" s="9" t="s">
        <v>1989</v>
      </c>
      <c r="E1100" s="9" t="s">
        <v>1989</v>
      </c>
      <c r="F1100" s="7" t="s">
        <v>3069</v>
      </c>
      <c r="G1100" s="9" t="s">
        <v>2147</v>
      </c>
    </row>
    <row r="1101" spans="3:7" x14ac:dyDescent="0.2">
      <c r="C1101" s="9">
        <v>18606</v>
      </c>
      <c r="D1101" s="9" t="s">
        <v>1989</v>
      </c>
      <c r="E1101" s="9" t="s">
        <v>1989</v>
      </c>
      <c r="F1101" s="7" t="s">
        <v>3070</v>
      </c>
      <c r="G1101" s="9" t="s">
        <v>2147</v>
      </c>
    </row>
    <row r="1102" spans="3:7" x14ac:dyDescent="0.2">
      <c r="C1102" s="9">
        <v>18676</v>
      </c>
      <c r="D1102" s="9" t="s">
        <v>1989</v>
      </c>
      <c r="E1102" s="9" t="s">
        <v>1989</v>
      </c>
      <c r="F1102" s="7" t="s">
        <v>3071</v>
      </c>
      <c r="G1102" s="9" t="s">
        <v>2147</v>
      </c>
    </row>
    <row r="1103" spans="3:7" x14ac:dyDescent="0.2">
      <c r="C1103" s="9">
        <v>19000</v>
      </c>
      <c r="D1103" s="9" t="s">
        <v>1989</v>
      </c>
      <c r="E1103" s="9" t="s">
        <v>1989</v>
      </c>
      <c r="F1103" s="7" t="s">
        <v>3072</v>
      </c>
      <c r="G1103" s="9" t="s">
        <v>2147</v>
      </c>
    </row>
    <row r="1104" spans="3:7" x14ac:dyDescent="0.2">
      <c r="C1104" s="9">
        <v>19000</v>
      </c>
      <c r="D1104" s="9"/>
      <c r="E1104" s="9" t="s">
        <v>1989</v>
      </c>
      <c r="F1104" s="7" t="s">
        <v>3073</v>
      </c>
      <c r="G1104" s="9" t="s">
        <v>2147</v>
      </c>
    </row>
    <row r="1105" spans="3:7" x14ac:dyDescent="0.2">
      <c r="C1105" s="9">
        <v>19001</v>
      </c>
      <c r="D1105" s="9" t="s">
        <v>1989</v>
      </c>
      <c r="E1105" s="9" t="s">
        <v>1989</v>
      </c>
      <c r="F1105" s="7" t="s">
        <v>3074</v>
      </c>
      <c r="G1105" s="9" t="s">
        <v>2147</v>
      </c>
    </row>
    <row r="1106" spans="3:7" x14ac:dyDescent="0.2">
      <c r="C1106" s="9">
        <v>19132</v>
      </c>
      <c r="D1106" s="9"/>
      <c r="E1106" s="9" t="s">
        <v>1989</v>
      </c>
      <c r="F1106" s="7" t="s">
        <v>3075</v>
      </c>
      <c r="G1106" s="9" t="s">
        <v>2147</v>
      </c>
    </row>
    <row r="1107" spans="3:7" x14ac:dyDescent="0.2">
      <c r="C1107" s="9">
        <v>19133</v>
      </c>
      <c r="D1107" s="9"/>
      <c r="E1107" s="9" t="s">
        <v>1989</v>
      </c>
      <c r="F1107" s="7" t="s">
        <v>3076</v>
      </c>
      <c r="G1107" s="9" t="s">
        <v>2147</v>
      </c>
    </row>
    <row r="1108" spans="3:7" x14ac:dyDescent="0.2">
      <c r="C1108" s="9">
        <v>19150</v>
      </c>
      <c r="D1108" s="9" t="s">
        <v>1989</v>
      </c>
      <c r="E1108" s="9" t="s">
        <v>1989</v>
      </c>
      <c r="F1108" s="7" t="s">
        <v>3077</v>
      </c>
      <c r="G1108" s="9" t="s">
        <v>2147</v>
      </c>
    </row>
    <row r="1109" spans="3:7" x14ac:dyDescent="0.2">
      <c r="C1109" s="9">
        <v>19226</v>
      </c>
      <c r="D1109" s="9" t="s">
        <v>1989</v>
      </c>
      <c r="E1109" s="9"/>
      <c r="F1109" s="7" t="s">
        <v>3078</v>
      </c>
      <c r="G1109" s="9" t="s">
        <v>2147</v>
      </c>
    </row>
    <row r="1110" spans="3:7" x14ac:dyDescent="0.2">
      <c r="C1110" s="9">
        <v>19294</v>
      </c>
      <c r="D1110" s="9" t="s">
        <v>1989</v>
      </c>
      <c r="E1110" s="9"/>
      <c r="F1110" s="7" t="s">
        <v>3079</v>
      </c>
      <c r="G1110" s="9" t="s">
        <v>2147</v>
      </c>
    </row>
    <row r="1111" spans="3:7" x14ac:dyDescent="0.2">
      <c r="C1111" s="9">
        <v>19295</v>
      </c>
      <c r="D1111" s="9"/>
      <c r="E1111" s="9" t="s">
        <v>1989</v>
      </c>
      <c r="F1111" s="7" t="s">
        <v>3080</v>
      </c>
      <c r="G1111" s="9" t="s">
        <v>2147</v>
      </c>
    </row>
    <row r="1112" spans="3:7" x14ac:dyDescent="0.2">
      <c r="C1112" s="9">
        <v>19302</v>
      </c>
      <c r="D1112" s="9"/>
      <c r="E1112" s="9" t="s">
        <v>1989</v>
      </c>
      <c r="F1112" s="7" t="s">
        <v>3080</v>
      </c>
      <c r="G1112" s="9" t="s">
        <v>2147</v>
      </c>
    </row>
    <row r="1113" spans="3:7" x14ac:dyDescent="0.2">
      <c r="C1113" s="9">
        <v>19531</v>
      </c>
      <c r="D1113" s="9" t="s">
        <v>1989</v>
      </c>
      <c r="E1113" s="9" t="s">
        <v>293</v>
      </c>
      <c r="F1113" s="7" t="s">
        <v>3081</v>
      </c>
      <c r="G1113" s="9" t="s">
        <v>2147</v>
      </c>
    </row>
    <row r="1114" spans="3:7" x14ac:dyDescent="0.2">
      <c r="C1114" s="9">
        <v>19532</v>
      </c>
      <c r="D1114" s="9" t="s">
        <v>1989</v>
      </c>
      <c r="E1114" s="9" t="s">
        <v>293</v>
      </c>
      <c r="F1114" s="7" t="s">
        <v>3082</v>
      </c>
      <c r="G1114" s="9" t="s">
        <v>2147</v>
      </c>
    </row>
    <row r="1115" spans="3:7" x14ac:dyDescent="0.2">
      <c r="C1115" s="9">
        <v>19812</v>
      </c>
      <c r="D1115" s="9" t="s">
        <v>1083</v>
      </c>
      <c r="E1115" s="9" t="s">
        <v>293</v>
      </c>
      <c r="F1115" s="7" t="s">
        <v>3083</v>
      </c>
      <c r="G1115" s="9" t="s">
        <v>2147</v>
      </c>
    </row>
    <row r="1116" spans="3:7" x14ac:dyDescent="0.2">
      <c r="C1116" s="9">
        <v>19813</v>
      </c>
      <c r="D1116" s="9" t="s">
        <v>1083</v>
      </c>
      <c r="E1116" s="9" t="s">
        <v>1083</v>
      </c>
      <c r="F1116" s="7" t="s">
        <v>3084</v>
      </c>
      <c r="G1116" s="9" t="s">
        <v>2147</v>
      </c>
    </row>
    <row r="1117" spans="3:7" x14ac:dyDescent="0.2">
      <c r="C1117" s="9">
        <v>19814</v>
      </c>
      <c r="D1117" s="9" t="s">
        <v>1083</v>
      </c>
      <c r="E1117" s="9"/>
      <c r="F1117" s="7" t="s">
        <v>3085</v>
      </c>
      <c r="G1117" s="9" t="s">
        <v>2147</v>
      </c>
    </row>
    <row r="1118" spans="3:7" x14ac:dyDescent="0.2">
      <c r="C1118" s="9">
        <v>19999</v>
      </c>
      <c r="D1118" s="9" t="s">
        <v>1083</v>
      </c>
      <c r="E1118" s="9" t="s">
        <v>1083</v>
      </c>
      <c r="F1118" s="7" t="s">
        <v>3086</v>
      </c>
      <c r="G1118" s="9" t="s">
        <v>2147</v>
      </c>
    </row>
    <row r="1119" spans="3:7" x14ac:dyDescent="0.2">
      <c r="C1119" s="9">
        <v>20000</v>
      </c>
      <c r="D1119" s="9" t="s">
        <v>1083</v>
      </c>
      <c r="E1119" s="9" t="s">
        <v>1083</v>
      </c>
      <c r="F1119" s="7" t="s">
        <v>3087</v>
      </c>
      <c r="G1119" s="9" t="s">
        <v>2147</v>
      </c>
    </row>
    <row r="1120" spans="3:7" x14ac:dyDescent="0.2">
      <c r="C1120" s="9">
        <v>20000</v>
      </c>
      <c r="D1120" s="9" t="s">
        <v>1989</v>
      </c>
      <c r="E1120" s="9" t="s">
        <v>1989</v>
      </c>
      <c r="F1120" s="7" t="s">
        <v>3088</v>
      </c>
      <c r="G1120" s="9" t="s">
        <v>2147</v>
      </c>
    </row>
    <row r="1121" spans="3:7" x14ac:dyDescent="0.2">
      <c r="C1121" s="9">
        <v>20000</v>
      </c>
      <c r="D1121" s="9"/>
      <c r="E1121" s="9" t="s">
        <v>1989</v>
      </c>
      <c r="F1121" s="7" t="s">
        <v>2955</v>
      </c>
      <c r="G1121" s="9" t="s">
        <v>2147</v>
      </c>
    </row>
    <row r="1122" spans="3:7" x14ac:dyDescent="0.2">
      <c r="C1122" s="9">
        <v>20560</v>
      </c>
      <c r="D1122" s="9" t="s">
        <v>1989</v>
      </c>
      <c r="E1122" s="9" t="s">
        <v>1989</v>
      </c>
      <c r="F1122" s="7" t="s">
        <v>2758</v>
      </c>
      <c r="G1122" s="9" t="s">
        <v>2147</v>
      </c>
    </row>
    <row r="1123" spans="3:7" x14ac:dyDescent="0.2">
      <c r="C1123" s="9">
        <v>20582</v>
      </c>
      <c r="D1123" s="9"/>
      <c r="E1123" s="9" t="s">
        <v>1989</v>
      </c>
      <c r="F1123" s="7" t="s">
        <v>3089</v>
      </c>
      <c r="G1123" s="9" t="s">
        <v>2147</v>
      </c>
    </row>
    <row r="1124" spans="3:7" x14ac:dyDescent="0.2">
      <c r="C1124" s="9">
        <v>20583</v>
      </c>
      <c r="D1124" s="9"/>
      <c r="E1124" s="9" t="s">
        <v>1989</v>
      </c>
      <c r="F1124" s="7" t="s">
        <v>3089</v>
      </c>
      <c r="G1124" s="9" t="s">
        <v>2147</v>
      </c>
    </row>
    <row r="1125" spans="3:7" x14ac:dyDescent="0.2">
      <c r="C1125" s="9">
        <v>20595</v>
      </c>
      <c r="D1125" s="9"/>
      <c r="E1125" s="9" t="s">
        <v>1989</v>
      </c>
      <c r="F1125" s="7" t="s">
        <v>3090</v>
      </c>
      <c r="G1125" s="9" t="s">
        <v>2147</v>
      </c>
    </row>
    <row r="1126" spans="3:7" x14ac:dyDescent="0.2">
      <c r="C1126" s="9">
        <v>20808</v>
      </c>
      <c r="D1126" s="9"/>
      <c r="E1126" s="9" t="s">
        <v>1989</v>
      </c>
      <c r="F1126" s="7" t="s">
        <v>3091</v>
      </c>
      <c r="G1126" s="9" t="s">
        <v>2147</v>
      </c>
    </row>
    <row r="1127" spans="3:7" x14ac:dyDescent="0.2">
      <c r="C1127" s="9">
        <v>21025</v>
      </c>
      <c r="D1127" s="9" t="s">
        <v>1989</v>
      </c>
      <c r="E1127" s="9"/>
      <c r="F1127" s="7" t="s">
        <v>3092</v>
      </c>
      <c r="G1127" s="9" t="s">
        <v>2147</v>
      </c>
    </row>
    <row r="1128" spans="3:7" x14ac:dyDescent="0.2">
      <c r="C1128" s="9">
        <v>22000</v>
      </c>
      <c r="D1128" s="9" t="s">
        <v>1989</v>
      </c>
      <c r="E1128" s="9"/>
      <c r="F1128" s="7" t="s">
        <v>3093</v>
      </c>
      <c r="G1128" s="9" t="s">
        <v>2147</v>
      </c>
    </row>
    <row r="1129" spans="3:7" x14ac:dyDescent="0.2">
      <c r="C1129" s="9">
        <v>22136</v>
      </c>
      <c r="D1129" s="9" t="s">
        <v>1989</v>
      </c>
      <c r="E1129" s="9"/>
      <c r="F1129" s="7" t="s">
        <v>3094</v>
      </c>
      <c r="G1129" s="9" t="s">
        <v>2147</v>
      </c>
    </row>
    <row r="1130" spans="3:7" x14ac:dyDescent="0.2">
      <c r="C1130" s="9">
        <v>22222</v>
      </c>
      <c r="D1130" s="9" t="s">
        <v>1989</v>
      </c>
      <c r="E1130" s="9"/>
      <c r="F1130" s="7" t="s">
        <v>3095</v>
      </c>
      <c r="G1130" s="9" t="s">
        <v>2147</v>
      </c>
    </row>
    <row r="1131" spans="3:7" x14ac:dyDescent="0.2">
      <c r="C1131" s="9">
        <v>23073</v>
      </c>
      <c r="D1131" s="9" t="s">
        <v>1989</v>
      </c>
      <c r="E1131" s="9" t="s">
        <v>1989</v>
      </c>
      <c r="F1131" s="7" t="s">
        <v>3096</v>
      </c>
      <c r="G1131" s="9" t="s">
        <v>2147</v>
      </c>
    </row>
    <row r="1132" spans="3:7" x14ac:dyDescent="0.2">
      <c r="C1132" s="9">
        <v>23399</v>
      </c>
      <c r="D1132" s="9" t="s">
        <v>1989</v>
      </c>
      <c r="E1132" s="9" t="s">
        <v>1989</v>
      </c>
      <c r="F1132" s="7" t="s">
        <v>3097</v>
      </c>
      <c r="G1132" s="9" t="s">
        <v>2147</v>
      </c>
    </row>
    <row r="1133" spans="3:7" x14ac:dyDescent="0.2">
      <c r="C1133" s="9">
        <v>23513</v>
      </c>
      <c r="D1133" s="9" t="s">
        <v>1989</v>
      </c>
      <c r="E1133" s="9" t="s">
        <v>1989</v>
      </c>
      <c r="F1133" s="7" t="s">
        <v>3098</v>
      </c>
      <c r="G1133" s="9" t="s">
        <v>2147</v>
      </c>
    </row>
    <row r="1134" spans="3:7" x14ac:dyDescent="0.2">
      <c r="C1134" s="9">
        <v>24441</v>
      </c>
      <c r="D1134" s="9" t="s">
        <v>1989</v>
      </c>
      <c r="E1134" s="9" t="s">
        <v>1989</v>
      </c>
      <c r="F1134" s="7" t="s">
        <v>3099</v>
      </c>
      <c r="G1134" s="9" t="s">
        <v>2147</v>
      </c>
    </row>
    <row r="1135" spans="3:7" x14ac:dyDescent="0.2">
      <c r="C1135" s="9">
        <v>24444</v>
      </c>
      <c r="D1135" s="9" t="s">
        <v>1989</v>
      </c>
      <c r="E1135" s="9" t="s">
        <v>1989</v>
      </c>
      <c r="F1135" s="7" t="s">
        <v>3100</v>
      </c>
      <c r="G1135" s="9" t="s">
        <v>2147</v>
      </c>
    </row>
    <row r="1136" spans="3:7" x14ac:dyDescent="0.2">
      <c r="C1136" s="9">
        <v>24465</v>
      </c>
      <c r="D1136" s="9" t="s">
        <v>1083</v>
      </c>
      <c r="E1136" s="9" t="s">
        <v>1083</v>
      </c>
      <c r="F1136" s="7" t="s">
        <v>3101</v>
      </c>
      <c r="G1136" s="9" t="s">
        <v>2147</v>
      </c>
    </row>
    <row r="1137" spans="3:7" x14ac:dyDescent="0.2">
      <c r="C1137" s="9">
        <v>24554</v>
      </c>
      <c r="D1137" s="9" t="s">
        <v>1083</v>
      </c>
      <c r="E1137" s="9" t="s">
        <v>1083</v>
      </c>
      <c r="F1137" s="7" t="s">
        <v>3102</v>
      </c>
      <c r="G1137" s="9" t="s">
        <v>2147</v>
      </c>
    </row>
    <row r="1138" spans="3:7" x14ac:dyDescent="0.2">
      <c r="C1138" s="9">
        <v>24800</v>
      </c>
      <c r="D1138" s="9" t="s">
        <v>1989</v>
      </c>
      <c r="E1138" s="9" t="s">
        <v>1989</v>
      </c>
      <c r="F1138" s="7" t="s">
        <v>3103</v>
      </c>
      <c r="G1138" s="9" t="s">
        <v>2147</v>
      </c>
    </row>
    <row r="1139" spans="3:7" x14ac:dyDescent="0.2">
      <c r="C1139" s="9">
        <v>24842</v>
      </c>
      <c r="D1139" s="9" t="s">
        <v>1989</v>
      </c>
      <c r="E1139" s="9" t="s">
        <v>1989</v>
      </c>
      <c r="F1139" s="7" t="s">
        <v>3104</v>
      </c>
      <c r="G1139" s="9" t="s">
        <v>2147</v>
      </c>
    </row>
    <row r="1140" spans="3:7" x14ac:dyDescent="0.2">
      <c r="C1140" s="9">
        <v>25565</v>
      </c>
      <c r="D1140" s="9" t="s">
        <v>1989</v>
      </c>
      <c r="E1140" s="9"/>
      <c r="F1140" s="7" t="s">
        <v>3105</v>
      </c>
      <c r="G1140" s="9" t="s">
        <v>2147</v>
      </c>
    </row>
    <row r="1141" spans="3:7" x14ac:dyDescent="0.2">
      <c r="C1141" s="9">
        <v>25565</v>
      </c>
      <c r="D1141" s="9"/>
      <c r="E1141" s="9" t="s">
        <v>1989</v>
      </c>
      <c r="F1141" s="7" t="s">
        <v>3106</v>
      </c>
      <c r="G1141" s="9" t="s">
        <v>2147</v>
      </c>
    </row>
    <row r="1142" spans="3:7" x14ac:dyDescent="0.2">
      <c r="C1142" s="9">
        <v>25575</v>
      </c>
      <c r="D1142" s="9"/>
      <c r="E1142" s="9" t="s">
        <v>1989</v>
      </c>
      <c r="F1142" s="7" t="s">
        <v>3107</v>
      </c>
      <c r="G1142" s="9" t="s">
        <v>2147</v>
      </c>
    </row>
    <row r="1143" spans="3:7" x14ac:dyDescent="0.2">
      <c r="C1143" s="9">
        <v>25826</v>
      </c>
      <c r="D1143" s="9"/>
      <c r="E1143" s="9" t="s">
        <v>1989</v>
      </c>
      <c r="F1143" s="7" t="s">
        <v>3108</v>
      </c>
      <c r="G1143" s="9" t="s">
        <v>2147</v>
      </c>
    </row>
    <row r="1144" spans="3:7" x14ac:dyDescent="0.2">
      <c r="C1144" s="9">
        <v>26000</v>
      </c>
      <c r="D1144" s="9" t="s">
        <v>1083</v>
      </c>
      <c r="E1144" s="9" t="s">
        <v>1083</v>
      </c>
      <c r="F1144" s="7" t="s">
        <v>3109</v>
      </c>
      <c r="G1144" s="9" t="s">
        <v>2147</v>
      </c>
    </row>
    <row r="1145" spans="3:7" x14ac:dyDescent="0.2">
      <c r="C1145" s="9">
        <v>26000</v>
      </c>
      <c r="D1145" s="9" t="s">
        <v>1989</v>
      </c>
      <c r="E1145" s="9"/>
      <c r="F1145" s="7" t="s">
        <v>3110</v>
      </c>
      <c r="G1145" s="9" t="s">
        <v>2147</v>
      </c>
    </row>
    <row r="1146" spans="3:7" x14ac:dyDescent="0.2">
      <c r="C1146" s="9">
        <v>26000</v>
      </c>
      <c r="D1146" s="9"/>
      <c r="E1146" s="9" t="s">
        <v>1989</v>
      </c>
      <c r="F1146" s="7" t="s">
        <v>3111</v>
      </c>
      <c r="G1146" s="9" t="s">
        <v>2147</v>
      </c>
    </row>
    <row r="1147" spans="3:7" x14ac:dyDescent="0.2">
      <c r="C1147" s="9">
        <v>26822</v>
      </c>
      <c r="D1147" s="9"/>
      <c r="E1147" s="9" t="s">
        <v>1989</v>
      </c>
      <c r="F1147" s="7" t="s">
        <v>3112</v>
      </c>
      <c r="G1147" s="9" t="s">
        <v>2147</v>
      </c>
    </row>
    <row r="1148" spans="3:7" x14ac:dyDescent="0.2">
      <c r="C1148" s="9" t="s">
        <v>3113</v>
      </c>
      <c r="D1148" s="9" t="s">
        <v>1989</v>
      </c>
      <c r="E1148" s="9"/>
      <c r="F1148" s="7" t="s">
        <v>3110</v>
      </c>
      <c r="G1148" s="9" t="s">
        <v>2147</v>
      </c>
    </row>
    <row r="1149" spans="3:7" x14ac:dyDescent="0.2">
      <c r="C1149" s="9" t="s">
        <v>3114</v>
      </c>
      <c r="D1149" s="9" t="s">
        <v>1989</v>
      </c>
      <c r="E1149" s="9"/>
      <c r="F1149" s="7" t="s">
        <v>3115</v>
      </c>
      <c r="G1149" s="9" t="s">
        <v>2147</v>
      </c>
    </row>
    <row r="1150" spans="3:7" x14ac:dyDescent="0.2">
      <c r="C1150" s="9">
        <v>27000</v>
      </c>
      <c r="D1150" s="9" t="s">
        <v>1989</v>
      </c>
      <c r="E1150" s="9"/>
      <c r="F1150" s="7" t="s">
        <v>3116</v>
      </c>
      <c r="G1150" s="9" t="s">
        <v>2147</v>
      </c>
    </row>
    <row r="1151" spans="3:7" x14ac:dyDescent="0.2">
      <c r="C1151" s="9" t="s">
        <v>3117</v>
      </c>
      <c r="D1151" s="9"/>
      <c r="E1151" s="9" t="s">
        <v>1989</v>
      </c>
      <c r="F1151" s="7" t="s">
        <v>3118</v>
      </c>
      <c r="G1151" s="9" t="s">
        <v>2147</v>
      </c>
    </row>
    <row r="1152" spans="3:7" x14ac:dyDescent="0.2">
      <c r="C1152" s="9" t="s">
        <v>3119</v>
      </c>
      <c r="D1152" s="9" t="s">
        <v>1083</v>
      </c>
      <c r="E1152" s="9" t="s">
        <v>1083</v>
      </c>
      <c r="F1152" s="7" t="s">
        <v>3120</v>
      </c>
      <c r="G1152" s="9" t="s">
        <v>2147</v>
      </c>
    </row>
    <row r="1153" spans="3:7" x14ac:dyDescent="0.2">
      <c r="C1153" s="9" t="s">
        <v>3121</v>
      </c>
      <c r="D1153" s="9" t="s">
        <v>293</v>
      </c>
      <c r="E1153" s="9" t="s">
        <v>1989</v>
      </c>
      <c r="F1153" s="7" t="s">
        <v>3122</v>
      </c>
      <c r="G1153" s="9" t="s">
        <v>2147</v>
      </c>
    </row>
    <row r="1154" spans="3:7" x14ac:dyDescent="0.2">
      <c r="C1154" s="9">
        <v>27015</v>
      </c>
      <c r="D1154" s="9" t="s">
        <v>293</v>
      </c>
      <c r="E1154" s="9" t="s">
        <v>1989</v>
      </c>
      <c r="F1154" s="7" t="s">
        <v>3123</v>
      </c>
      <c r="G1154" s="9" t="s">
        <v>2147</v>
      </c>
    </row>
    <row r="1155" spans="3:7" x14ac:dyDescent="0.2">
      <c r="C1155" s="9" t="s">
        <v>3124</v>
      </c>
      <c r="D1155" s="9"/>
      <c r="E1155" s="9" t="s">
        <v>1989</v>
      </c>
      <c r="F1155" s="7" t="s">
        <v>3125</v>
      </c>
      <c r="G1155" s="9" t="s">
        <v>2147</v>
      </c>
    </row>
    <row r="1156" spans="3:7" x14ac:dyDescent="0.2">
      <c r="C1156" s="9" t="s">
        <v>3126</v>
      </c>
      <c r="D1156" s="9" t="s">
        <v>293</v>
      </c>
      <c r="E1156" s="9" t="s">
        <v>1989</v>
      </c>
      <c r="F1156" s="7" t="s">
        <v>3127</v>
      </c>
      <c r="G1156" s="9" t="s">
        <v>2147</v>
      </c>
    </row>
    <row r="1157" spans="3:7" x14ac:dyDescent="0.2">
      <c r="C1157" s="9" t="s">
        <v>3126</v>
      </c>
      <c r="D1157" s="9" t="s">
        <v>1989</v>
      </c>
      <c r="E1157" s="9" t="s">
        <v>1989</v>
      </c>
      <c r="F1157" s="7" t="s">
        <v>3128</v>
      </c>
      <c r="G1157" s="9" t="s">
        <v>2147</v>
      </c>
    </row>
    <row r="1158" spans="3:7" x14ac:dyDescent="0.2">
      <c r="C1158" s="9">
        <v>27016</v>
      </c>
      <c r="D1158" s="9" t="s">
        <v>1989</v>
      </c>
      <c r="E1158" s="9" t="s">
        <v>1989</v>
      </c>
      <c r="F1158" s="7" t="s">
        <v>3129</v>
      </c>
      <c r="G1158" s="9" t="s">
        <v>2147</v>
      </c>
    </row>
    <row r="1159" spans="3:7" x14ac:dyDescent="0.2">
      <c r="C1159" s="9">
        <v>27017</v>
      </c>
      <c r="D1159" s="9" t="s">
        <v>1989</v>
      </c>
      <c r="E1159" s="9" t="s">
        <v>293</v>
      </c>
      <c r="F1159" s="7" t="s">
        <v>3130</v>
      </c>
      <c r="G1159" s="9" t="s">
        <v>2147</v>
      </c>
    </row>
    <row r="1160" spans="3:7" x14ac:dyDescent="0.2">
      <c r="C1160" s="9" t="s">
        <v>3131</v>
      </c>
      <c r="D1160" s="9" t="s">
        <v>293</v>
      </c>
      <c r="E1160" s="9" t="s">
        <v>1989</v>
      </c>
      <c r="F1160" s="7" t="s">
        <v>3132</v>
      </c>
      <c r="G1160" s="9" t="s">
        <v>2147</v>
      </c>
    </row>
    <row r="1161" spans="3:7" x14ac:dyDescent="0.2">
      <c r="C1161" s="9">
        <v>27036</v>
      </c>
      <c r="D1161" s="9" t="s">
        <v>1989</v>
      </c>
      <c r="E1161" s="9" t="s">
        <v>1989</v>
      </c>
      <c r="F1161" s="7" t="s">
        <v>3132</v>
      </c>
      <c r="G1161" s="9" t="s">
        <v>2147</v>
      </c>
    </row>
    <row r="1162" spans="3:7" x14ac:dyDescent="0.2">
      <c r="C1162" s="9">
        <v>27374</v>
      </c>
      <c r="D1162" s="9" t="s">
        <v>1989</v>
      </c>
      <c r="E1162" s="9" t="s">
        <v>1989</v>
      </c>
      <c r="F1162" s="7" t="s">
        <v>3133</v>
      </c>
      <c r="G1162" s="9" t="s">
        <v>2147</v>
      </c>
    </row>
    <row r="1163" spans="3:7" x14ac:dyDescent="0.2">
      <c r="C1163" s="9" t="s">
        <v>3134</v>
      </c>
      <c r="D1163" s="9"/>
      <c r="E1163" s="9" t="s">
        <v>1989</v>
      </c>
      <c r="F1163" s="7" t="s">
        <v>3135</v>
      </c>
      <c r="G1163" s="9" t="s">
        <v>2147</v>
      </c>
    </row>
    <row r="1164" spans="3:7" x14ac:dyDescent="0.2">
      <c r="C1164" s="9">
        <v>27888</v>
      </c>
      <c r="D1164" s="9"/>
      <c r="E1164" s="9" t="s">
        <v>1989</v>
      </c>
      <c r="F1164" s="7" t="s">
        <v>3136</v>
      </c>
      <c r="G1164" s="9" t="s">
        <v>2147</v>
      </c>
    </row>
    <row r="1165" spans="3:7" x14ac:dyDescent="0.2">
      <c r="C1165" s="9" t="s">
        <v>3137</v>
      </c>
      <c r="D1165" s="9"/>
      <c r="E1165" s="9" t="s">
        <v>1989</v>
      </c>
      <c r="F1165" s="7" t="s">
        <v>3138</v>
      </c>
      <c r="G1165" s="9" t="s">
        <v>2147</v>
      </c>
    </row>
    <row r="1166" spans="3:7" x14ac:dyDescent="0.2">
      <c r="C1166" s="9">
        <v>27950</v>
      </c>
      <c r="D1166" s="9"/>
      <c r="E1166" s="9" t="s">
        <v>1989</v>
      </c>
      <c r="F1166" s="7" t="s">
        <v>3139</v>
      </c>
      <c r="G1166" s="9" t="s">
        <v>2147</v>
      </c>
    </row>
    <row r="1167" spans="3:7" x14ac:dyDescent="0.2">
      <c r="C1167" s="9" t="s">
        <v>3140</v>
      </c>
      <c r="D1167" s="9"/>
      <c r="E1167" s="9" t="s">
        <v>1989</v>
      </c>
      <c r="F1167" s="7" t="s">
        <v>3141</v>
      </c>
      <c r="G1167" s="9" t="s">
        <v>2147</v>
      </c>
    </row>
    <row r="1168" spans="3:7" x14ac:dyDescent="0.2">
      <c r="C1168" s="9">
        <v>28000</v>
      </c>
      <c r="D1168" s="9" t="s">
        <v>1083</v>
      </c>
      <c r="E1168" s="9" t="s">
        <v>1083</v>
      </c>
      <c r="F1168" s="7" t="s">
        <v>3142</v>
      </c>
      <c r="G1168" s="9" t="s">
        <v>2147</v>
      </c>
    </row>
    <row r="1169" spans="3:7" x14ac:dyDescent="0.2">
      <c r="C1169" s="9">
        <v>28001</v>
      </c>
      <c r="D1169" s="9" t="s">
        <v>1989</v>
      </c>
      <c r="E1169" s="9" t="s">
        <v>1989</v>
      </c>
      <c r="F1169" s="7" t="s">
        <v>3143</v>
      </c>
      <c r="G1169" s="9" t="s">
        <v>2147</v>
      </c>
    </row>
    <row r="1170" spans="3:7" x14ac:dyDescent="0.2">
      <c r="C1170" s="9">
        <v>28015</v>
      </c>
      <c r="D1170" s="9"/>
      <c r="E1170" s="9" t="s">
        <v>1989</v>
      </c>
      <c r="F1170" s="7" t="s">
        <v>3144</v>
      </c>
      <c r="G1170" s="9" t="s">
        <v>2147</v>
      </c>
    </row>
    <row r="1171" spans="3:7" x14ac:dyDescent="0.2">
      <c r="C1171" s="9">
        <v>28016</v>
      </c>
      <c r="D1171" s="9"/>
      <c r="E1171" s="9" t="s">
        <v>1989</v>
      </c>
      <c r="F1171" s="7" t="s">
        <v>3145</v>
      </c>
      <c r="G1171" s="9" t="s">
        <v>2147</v>
      </c>
    </row>
    <row r="1172" spans="3:7" x14ac:dyDescent="0.2">
      <c r="C1172" s="9">
        <v>28260</v>
      </c>
      <c r="D1172" s="9" t="s">
        <v>1989</v>
      </c>
      <c r="E1172" s="9"/>
      <c r="F1172" s="7" t="s">
        <v>3146</v>
      </c>
      <c r="G1172" s="9" t="s">
        <v>2147</v>
      </c>
    </row>
    <row r="1173" spans="3:7" x14ac:dyDescent="0.2">
      <c r="C1173" s="9">
        <v>28443</v>
      </c>
      <c r="D1173" s="9" t="s">
        <v>1989</v>
      </c>
      <c r="E1173" s="9"/>
      <c r="F1173" s="7" t="s">
        <v>3147</v>
      </c>
      <c r="G1173" s="9" t="s">
        <v>2147</v>
      </c>
    </row>
    <row r="1174" spans="3:7" x14ac:dyDescent="0.2">
      <c r="C1174" s="9">
        <v>28769</v>
      </c>
      <c r="D1174" s="9" t="s">
        <v>1989</v>
      </c>
      <c r="E1174" s="9"/>
      <c r="F1174" s="7" t="s">
        <v>3148</v>
      </c>
      <c r="G1174" s="9" t="s">
        <v>2147</v>
      </c>
    </row>
    <row r="1175" spans="3:7" x14ac:dyDescent="0.2">
      <c r="C1175" s="9">
        <v>28770</v>
      </c>
      <c r="D1175" s="9" t="s">
        <v>1989</v>
      </c>
      <c r="E1175" s="9"/>
      <c r="F1175" s="7" t="s">
        <v>3149</v>
      </c>
      <c r="G1175" s="9" t="s">
        <v>2147</v>
      </c>
    </row>
    <row r="1176" spans="3:7" x14ac:dyDescent="0.2">
      <c r="C1176" s="9" t="s">
        <v>3150</v>
      </c>
      <c r="D1176" s="9"/>
      <c r="E1176" s="9" t="s">
        <v>1989</v>
      </c>
      <c r="F1176" s="7" t="s">
        <v>3151</v>
      </c>
      <c r="G1176" s="9" t="s">
        <v>2147</v>
      </c>
    </row>
    <row r="1177" spans="3:7" x14ac:dyDescent="0.2">
      <c r="C1177" s="9" t="s">
        <v>3152</v>
      </c>
      <c r="D1177" s="9"/>
      <c r="E1177" s="9" t="s">
        <v>1989</v>
      </c>
      <c r="F1177" s="7" t="s">
        <v>3153</v>
      </c>
      <c r="G1177" s="9" t="s">
        <v>2147</v>
      </c>
    </row>
    <row r="1178" spans="3:7" x14ac:dyDescent="0.2">
      <c r="C1178" s="9">
        <v>28852</v>
      </c>
      <c r="D1178" s="9" t="s">
        <v>1989</v>
      </c>
      <c r="E1178" s="9" t="s">
        <v>1989</v>
      </c>
      <c r="F1178" s="7" t="s">
        <v>3154</v>
      </c>
      <c r="G1178" s="9" t="s">
        <v>2147</v>
      </c>
    </row>
    <row r="1179" spans="3:7" x14ac:dyDescent="0.2">
      <c r="C1179" s="9">
        <v>28910</v>
      </c>
      <c r="D1179" s="9" t="s">
        <v>1989</v>
      </c>
      <c r="E1179" s="9" t="s">
        <v>1989</v>
      </c>
      <c r="F1179" s="7" t="s">
        <v>3155</v>
      </c>
      <c r="G1179" s="9" t="s">
        <v>2147</v>
      </c>
    </row>
    <row r="1180" spans="3:7" x14ac:dyDescent="0.2">
      <c r="C1180" s="9">
        <v>28960</v>
      </c>
      <c r="D1180" s="9" t="s">
        <v>1989</v>
      </c>
      <c r="E1180" s="9" t="s">
        <v>1989</v>
      </c>
      <c r="F1180" s="7" t="s">
        <v>3156</v>
      </c>
      <c r="G1180" s="9" t="s">
        <v>2147</v>
      </c>
    </row>
    <row r="1181" spans="3:7" x14ac:dyDescent="0.2">
      <c r="C1181" s="9">
        <v>29000</v>
      </c>
      <c r="D1181" s="9" t="s">
        <v>1989</v>
      </c>
      <c r="E1181" s="9" t="s">
        <v>1989</v>
      </c>
      <c r="F1181" s="7" t="s">
        <v>3157</v>
      </c>
      <c r="G1181" s="9" t="s">
        <v>2147</v>
      </c>
    </row>
    <row r="1182" spans="3:7" x14ac:dyDescent="0.2">
      <c r="C1182" s="9">
        <v>29070</v>
      </c>
      <c r="D1182" s="9" t="s">
        <v>1989</v>
      </c>
      <c r="E1182" s="9" t="s">
        <v>1989</v>
      </c>
      <c r="F1182" s="7" t="s">
        <v>3158</v>
      </c>
      <c r="G1182" s="9" t="s">
        <v>2147</v>
      </c>
    </row>
    <row r="1183" spans="3:7" x14ac:dyDescent="0.2">
      <c r="C1183" s="9" t="s">
        <v>3159</v>
      </c>
      <c r="D1183" s="9" t="s">
        <v>1989</v>
      </c>
      <c r="E1183" s="9" t="s">
        <v>1989</v>
      </c>
      <c r="F1183" s="7" t="s">
        <v>3155</v>
      </c>
      <c r="G1183" s="9" t="s">
        <v>2147</v>
      </c>
    </row>
    <row r="1184" spans="3:7" x14ac:dyDescent="0.2">
      <c r="C1184" s="9">
        <v>29920</v>
      </c>
      <c r="D1184" s="9" t="s">
        <v>1989</v>
      </c>
      <c r="E1184" s="9" t="s">
        <v>1989</v>
      </c>
      <c r="F1184" s="7" t="s">
        <v>3155</v>
      </c>
      <c r="G1184" s="9" t="s">
        <v>2147</v>
      </c>
    </row>
    <row r="1185" spans="3:7" x14ac:dyDescent="0.2">
      <c r="C1185" s="9">
        <v>30000</v>
      </c>
      <c r="D1185" s="9"/>
      <c r="E1185" s="9" t="s">
        <v>1989</v>
      </c>
      <c r="F1185" s="7" t="s">
        <v>3160</v>
      </c>
      <c r="G1185" s="9" t="s">
        <v>2147</v>
      </c>
    </row>
    <row r="1186" spans="3:7" x14ac:dyDescent="0.2">
      <c r="C1186" s="9">
        <v>30000</v>
      </c>
      <c r="D1186" s="9"/>
      <c r="E1186" s="9" t="s">
        <v>1989</v>
      </c>
      <c r="F1186" s="7" t="s">
        <v>3161</v>
      </c>
      <c r="G1186" s="9" t="s">
        <v>2147</v>
      </c>
    </row>
    <row r="1187" spans="3:7" x14ac:dyDescent="0.2">
      <c r="C1187" s="9">
        <v>30033</v>
      </c>
      <c r="D1187" s="9" t="s">
        <v>1989</v>
      </c>
      <c r="E1187" s="9" t="s">
        <v>293</v>
      </c>
      <c r="F1187" s="7" t="s">
        <v>3162</v>
      </c>
      <c r="G1187" s="9" t="s">
        <v>2147</v>
      </c>
    </row>
    <row r="1188" spans="3:7" x14ac:dyDescent="0.2">
      <c r="C1188" s="9">
        <v>30564</v>
      </c>
      <c r="D1188" s="9" t="s">
        <v>1989</v>
      </c>
      <c r="E1188" s="9"/>
      <c r="F1188" s="7" t="s">
        <v>3163</v>
      </c>
      <c r="G1188" s="9" t="s">
        <v>2147</v>
      </c>
    </row>
    <row r="1189" spans="3:7" x14ac:dyDescent="0.2">
      <c r="C1189" s="9">
        <v>31337</v>
      </c>
      <c r="D1189" s="9" t="s">
        <v>1989</v>
      </c>
      <c r="E1189" s="9"/>
      <c r="F1189" s="7" t="s">
        <v>3164</v>
      </c>
      <c r="G1189" s="9" t="s">
        <v>2147</v>
      </c>
    </row>
    <row r="1190" spans="3:7" x14ac:dyDescent="0.2">
      <c r="C1190" s="9">
        <v>31337</v>
      </c>
      <c r="D1190" s="9" t="s">
        <v>1989</v>
      </c>
      <c r="E1190" s="9" t="s">
        <v>1989</v>
      </c>
      <c r="F1190" s="7" t="s">
        <v>3165</v>
      </c>
      <c r="G1190" s="9" t="s">
        <v>2147</v>
      </c>
    </row>
    <row r="1191" spans="3:7" x14ac:dyDescent="0.2">
      <c r="C1191" s="9">
        <v>31416</v>
      </c>
      <c r="D1191" s="9" t="s">
        <v>1989</v>
      </c>
      <c r="E1191" s="9" t="s">
        <v>1989</v>
      </c>
      <c r="F1191" s="7" t="s">
        <v>3166</v>
      </c>
      <c r="G1191" s="9" t="s">
        <v>2147</v>
      </c>
    </row>
    <row r="1192" spans="3:7" x14ac:dyDescent="0.2">
      <c r="C1192" s="9">
        <v>31438</v>
      </c>
      <c r="D1192" s="9" t="s">
        <v>1989</v>
      </c>
      <c r="E1192" s="9"/>
      <c r="F1192" s="7" t="s">
        <v>3167</v>
      </c>
      <c r="G1192" s="9" t="s">
        <v>2147</v>
      </c>
    </row>
    <row r="1193" spans="3:7" x14ac:dyDescent="0.2">
      <c r="C1193" s="9">
        <v>31457</v>
      </c>
      <c r="D1193" s="9" t="s">
        <v>1083</v>
      </c>
      <c r="E1193" s="9"/>
      <c r="F1193" s="7" t="s">
        <v>3168</v>
      </c>
      <c r="G1193" s="9" t="s">
        <v>2147</v>
      </c>
    </row>
    <row r="1194" spans="3:7" x14ac:dyDescent="0.2">
      <c r="C1194" s="9">
        <v>32137</v>
      </c>
      <c r="D1194" s="9" t="s">
        <v>1989</v>
      </c>
      <c r="E1194" s="9" t="s">
        <v>1989</v>
      </c>
      <c r="F1194" s="7" t="s">
        <v>3169</v>
      </c>
      <c r="G1194" s="9" t="s">
        <v>2147</v>
      </c>
    </row>
    <row r="1195" spans="3:7" x14ac:dyDescent="0.2">
      <c r="C1195" s="9">
        <v>32400</v>
      </c>
      <c r="D1195" s="9" t="s">
        <v>1083</v>
      </c>
      <c r="E1195" s="9"/>
      <c r="F1195" s="7" t="s">
        <v>3170</v>
      </c>
      <c r="G1195" s="9" t="s">
        <v>2147</v>
      </c>
    </row>
    <row r="1196" spans="3:7" x14ac:dyDescent="0.2">
      <c r="C1196" s="9">
        <v>32764</v>
      </c>
      <c r="D1196" s="9" t="s">
        <v>1989</v>
      </c>
      <c r="E1196" s="9"/>
      <c r="F1196" s="7" t="s">
        <v>3171</v>
      </c>
      <c r="G1196" s="9" t="s">
        <v>2147</v>
      </c>
    </row>
    <row r="1197" spans="3:7" x14ac:dyDescent="0.2">
      <c r="C1197" s="9">
        <v>32887</v>
      </c>
      <c r="D1197" s="9" t="s">
        <v>1989</v>
      </c>
      <c r="E1197" s="9"/>
      <c r="F1197" s="7" t="s">
        <v>3172</v>
      </c>
      <c r="G1197" s="9" t="s">
        <v>2147</v>
      </c>
    </row>
    <row r="1198" spans="3:7" x14ac:dyDescent="0.2">
      <c r="C1198" s="9">
        <v>32976</v>
      </c>
      <c r="D1198" s="9" t="s">
        <v>1989</v>
      </c>
      <c r="E1198" s="9"/>
      <c r="F1198" s="7" t="s">
        <v>3173</v>
      </c>
      <c r="G1198" s="9" t="s">
        <v>2147</v>
      </c>
    </row>
    <row r="1199" spans="3:7" x14ac:dyDescent="0.2">
      <c r="C1199" s="9">
        <v>33434</v>
      </c>
      <c r="D1199" s="9" t="s">
        <v>1083</v>
      </c>
      <c r="E1199" s="9" t="s">
        <v>1083</v>
      </c>
      <c r="F1199" s="7" t="s">
        <v>3174</v>
      </c>
      <c r="G1199" s="9" t="s">
        <v>2147</v>
      </c>
    </row>
    <row r="1200" spans="3:7" x14ac:dyDescent="0.2">
      <c r="C1200" s="9">
        <v>33848</v>
      </c>
      <c r="D1200" s="9"/>
      <c r="E1200" s="9" t="s">
        <v>1989</v>
      </c>
      <c r="F1200" s="7" t="s">
        <v>3175</v>
      </c>
      <c r="G1200" s="9" t="s">
        <v>2147</v>
      </c>
    </row>
    <row r="1201" spans="3:7" x14ac:dyDescent="0.2">
      <c r="C1201" s="9">
        <v>34000</v>
      </c>
      <c r="D1201" s="9"/>
      <c r="E1201" s="9" t="s">
        <v>1989</v>
      </c>
      <c r="F1201" s="7" t="s">
        <v>3176</v>
      </c>
      <c r="G1201" s="9" t="s">
        <v>2147</v>
      </c>
    </row>
    <row r="1202" spans="3:7" x14ac:dyDescent="0.2">
      <c r="C1202" s="9">
        <v>34197</v>
      </c>
      <c r="D1202" s="9" t="s">
        <v>293</v>
      </c>
      <c r="E1202" s="9" t="s">
        <v>1989</v>
      </c>
      <c r="F1202" s="7" t="s">
        <v>3177</v>
      </c>
      <c r="G1202" s="9" t="s">
        <v>2147</v>
      </c>
    </row>
    <row r="1203" spans="3:7" x14ac:dyDescent="0.2">
      <c r="C1203" s="9">
        <v>35357</v>
      </c>
      <c r="D1203" s="9" t="s">
        <v>1083</v>
      </c>
      <c r="E1203" s="9"/>
      <c r="F1203" s="7" t="s">
        <v>3178</v>
      </c>
      <c r="G1203" s="9" t="s">
        <v>2147</v>
      </c>
    </row>
    <row r="1204" spans="3:7" x14ac:dyDescent="0.2">
      <c r="C1204" s="9">
        <v>36330</v>
      </c>
      <c r="D1204" s="9" t="s">
        <v>1989</v>
      </c>
      <c r="E1204" s="9"/>
      <c r="F1204" s="7" t="s">
        <v>3179</v>
      </c>
      <c r="G1204" s="9" t="s">
        <v>2147</v>
      </c>
    </row>
    <row r="1205" spans="3:7" x14ac:dyDescent="0.2">
      <c r="C1205" s="9">
        <v>37008</v>
      </c>
      <c r="D1205" s="9"/>
      <c r="E1205" s="9" t="s">
        <v>1989</v>
      </c>
      <c r="F1205" s="7" t="s">
        <v>3180</v>
      </c>
      <c r="G1205" s="9" t="s">
        <v>2147</v>
      </c>
    </row>
    <row r="1206" spans="3:7" x14ac:dyDescent="0.2">
      <c r="C1206" s="9">
        <v>40000</v>
      </c>
      <c r="D1206" s="9" t="s">
        <v>1083</v>
      </c>
      <c r="E1206" s="9" t="s">
        <v>1083</v>
      </c>
      <c r="F1206" s="7" t="s">
        <v>3181</v>
      </c>
      <c r="G1206" s="9" t="s">
        <v>2147</v>
      </c>
    </row>
    <row r="1207" spans="3:7" x14ac:dyDescent="0.2">
      <c r="C1207" s="9">
        <v>41121</v>
      </c>
      <c r="D1207" s="9" t="s">
        <v>1083</v>
      </c>
      <c r="E1207" s="9" t="s">
        <v>1083</v>
      </c>
      <c r="F1207" s="7" t="s">
        <v>3182</v>
      </c>
      <c r="G1207" s="9" t="s">
        <v>2147</v>
      </c>
    </row>
    <row r="1208" spans="3:7" x14ac:dyDescent="0.2">
      <c r="C1208" s="9">
        <v>41794</v>
      </c>
      <c r="D1208" s="9" t="s">
        <v>1083</v>
      </c>
      <c r="E1208" s="9" t="s">
        <v>1083</v>
      </c>
      <c r="F1208" s="7" t="s">
        <v>3183</v>
      </c>
      <c r="G1208" s="9" t="s">
        <v>2147</v>
      </c>
    </row>
    <row r="1209" spans="3:7" x14ac:dyDescent="0.2">
      <c r="C1209" s="9">
        <v>41795</v>
      </c>
      <c r="D1209" s="9" t="s">
        <v>1083</v>
      </c>
      <c r="E1209" s="9" t="s">
        <v>1083</v>
      </c>
      <c r="F1209" s="7" t="s">
        <v>3184</v>
      </c>
      <c r="G1209" s="9" t="s">
        <v>2147</v>
      </c>
    </row>
    <row r="1210" spans="3:7" x14ac:dyDescent="0.2">
      <c r="C1210" s="9">
        <v>41796</v>
      </c>
      <c r="D1210" s="9" t="s">
        <v>1083</v>
      </c>
      <c r="E1210" s="9" t="s">
        <v>293</v>
      </c>
      <c r="F1210" s="7" t="s">
        <v>3185</v>
      </c>
      <c r="G1210" s="9" t="s">
        <v>2147</v>
      </c>
    </row>
    <row r="1211" spans="3:7" x14ac:dyDescent="0.2">
      <c r="C1211" s="9">
        <v>41797</v>
      </c>
      <c r="D1211" s="9" t="s">
        <v>1083</v>
      </c>
      <c r="E1211" s="9" t="s">
        <v>293</v>
      </c>
      <c r="F1211" s="7" t="s">
        <v>3186</v>
      </c>
      <c r="G1211" s="9" t="s">
        <v>2147</v>
      </c>
    </row>
    <row r="1212" spans="3:7" x14ac:dyDescent="0.2">
      <c r="C1212" s="9">
        <v>43110</v>
      </c>
      <c r="D1212" s="9" t="s">
        <v>1989</v>
      </c>
      <c r="E1212" s="9"/>
      <c r="F1212" s="7" t="s">
        <v>3187</v>
      </c>
      <c r="G1212" s="9" t="s">
        <v>2147</v>
      </c>
    </row>
    <row r="1213" spans="3:7" x14ac:dyDescent="0.2">
      <c r="C1213" s="9" t="s">
        <v>3188</v>
      </c>
      <c r="D1213" s="9" t="s">
        <v>1989</v>
      </c>
      <c r="E1213" s="9" t="s">
        <v>1989</v>
      </c>
      <c r="F1213" s="7" t="s">
        <v>3189</v>
      </c>
      <c r="G1213" s="9" t="s">
        <v>2147</v>
      </c>
    </row>
    <row r="1214" spans="3:7" x14ac:dyDescent="0.2">
      <c r="C1214" s="9">
        <v>44405</v>
      </c>
      <c r="D1214" s="9" t="s">
        <v>1989</v>
      </c>
      <c r="E1214" s="9"/>
      <c r="F1214" s="7" t="s">
        <v>3190</v>
      </c>
      <c r="G1214" s="9" t="s">
        <v>2147</v>
      </c>
    </row>
    <row r="1215" spans="3:7" x14ac:dyDescent="0.2">
      <c r="C1215" s="9">
        <v>44818</v>
      </c>
      <c r="D1215" s="9" t="s">
        <v>1083</v>
      </c>
      <c r="E1215" s="9" t="s">
        <v>1083</v>
      </c>
      <c r="F1215" s="7" t="s">
        <v>3191</v>
      </c>
      <c r="G1215" s="9" t="s">
        <v>2147</v>
      </c>
    </row>
    <row r="1216" spans="3:7" x14ac:dyDescent="0.2">
      <c r="C1216" s="9" t="s">
        <v>3192</v>
      </c>
      <c r="D1216" s="9" t="s">
        <v>1083</v>
      </c>
      <c r="E1216" s="9" t="s">
        <v>1083</v>
      </c>
      <c r="F1216" s="7" t="s">
        <v>3193</v>
      </c>
      <c r="G1216" s="9" t="s">
        <v>2147</v>
      </c>
    </row>
    <row r="1217" spans="3:7" x14ac:dyDescent="0.2">
      <c r="C1217" s="9">
        <v>49151</v>
      </c>
      <c r="D1217" s="9" t="s">
        <v>2146</v>
      </c>
      <c r="E1217" s="9" t="s">
        <v>2146</v>
      </c>
      <c r="F1217" s="7" t="s">
        <v>2884</v>
      </c>
      <c r="G1217" s="9" t="s">
        <v>2147</v>
      </c>
    </row>
  </sheetData>
  <mergeCells count="1">
    <mergeCell ref="C3:G3"/>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79F7D56D3A7B438AF151649EBABC22" ma:contentTypeVersion="19" ma:contentTypeDescription="Create a new document." ma:contentTypeScope="" ma:versionID="9f78606a3c129d29a11da571b0dd1e04">
  <xsd:schema xmlns:xsd="http://www.w3.org/2001/XMLSchema" xmlns:xs="http://www.w3.org/2001/XMLSchema" xmlns:p="http://schemas.microsoft.com/office/2006/metadata/properties" xmlns:ns1="http://schemas.microsoft.com/sharepoint/v3" xmlns:ns2="d5f9d153-8b19-4d1f-8beb-540f73341324" xmlns:ns3="http://schemas.microsoft.com/sharepoint/v4" xmlns:ns4="168e0357-5b39-4600-91c2-bfff6e896513" targetNamespace="http://schemas.microsoft.com/office/2006/metadata/properties" ma:root="true" ma:fieldsID="bc92ad138feadb3bd935a22a308eaf71" ns1:_="" ns2:_="" ns3:_="" ns4:_="">
    <xsd:import namespace="http://schemas.microsoft.com/sharepoint/v3"/>
    <xsd:import namespace="d5f9d153-8b19-4d1f-8beb-540f73341324"/>
    <xsd:import namespace="http://schemas.microsoft.com/sharepoint/v4"/>
    <xsd:import namespace="168e0357-5b39-4600-91c2-bfff6e89651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Division"/>
                <xsd:element ref="ns2:Note" minOccurs="0"/>
                <xsd:element ref="ns3:IconOverlay" minOccurs="0"/>
                <xsd:element ref="ns1:_ip_UnifiedCompliancePolicyProperties" minOccurs="0"/>
                <xsd:element ref="ns1:_ip_UnifiedCompliancePolicyUIAction" minOccurs="0"/>
                <xsd:element ref="ns2:MediaServiceObjectDetectorVersions" minOccurs="0"/>
                <xsd:element ref="ns2:lcf76f155ced4ddcb4097134ff3c332f" minOccurs="0"/>
                <xsd:element ref="ns4: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5f9d153-8b19-4d1f-8beb-540f733413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ivision" ma:index="12" ma:displayName="Division" ma:format="Dropdown" ma:internalName="Division" ma:readOnly="false">
      <xsd:simpleType>
        <xsd:union memberTypes="dms:Text">
          <xsd:simpleType>
            <xsd:restriction base="dms:Choice">
              <xsd:enumeration value="Algemene applicaties"/>
              <xsd:enumeration value="Bestuurszaken"/>
              <xsd:enumeration value="DIV"/>
              <xsd:enumeration value="ERP Staven"/>
              <xsd:enumeration value="Gegevensdiensten"/>
              <xsd:enumeration value="Handhaving"/>
              <xsd:enumeration value="ICT Systeemintegratie"/>
              <xsd:enumeration value="ICT TSC"/>
              <xsd:enumeration value="ICT-Services"/>
              <xsd:enumeration value="Klant en Service"/>
              <xsd:enumeration value="SMZ"/>
              <xsd:enumeration value="Uitkeren"/>
              <xsd:enumeration value="Werkbedrijf"/>
            </xsd:restriction>
          </xsd:simpleType>
        </xsd:union>
      </xsd:simpleType>
    </xsd:element>
    <xsd:element name="Note" ma:index="13" nillable="true" ma:displayName="Note" ma:internalName="Note">
      <xsd:simpleType>
        <xsd:restriction base="dms:Note">
          <xsd:maxLength value="255"/>
        </xsd:restriction>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18f211cb-e08d-4e65-a875-32590ca7bbf7" ma:termSetId="09814cd3-568e-fe90-9814-8d621ff8fb84" ma:anchorId="fba54fb3-c3e1-fe81-a776-ca4b69148c4d" ma:open="true" ma:isKeyword="false">
      <xsd:complexType>
        <xsd:sequence>
          <xsd:element ref="pc:Terms" minOccurs="0" maxOccurs="1"/>
        </xsd:sequence>
      </xsd:complex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4"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8e0357-5b39-4600-91c2-bfff6e896513"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eb267a62-762f-44fe-9c25-31372f49bce2}" ma:internalName="TaxCatchAll" ma:showField="CatchAllData" ma:web="0cfdf060-bc0a-4801-9e40-7b8e9a723c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IconOverlay xmlns="http://schemas.microsoft.com/sharepoint/v4" xsi:nil="true"/>
    <Division xmlns="d5f9d153-8b19-4d1f-8beb-540f73341324">Gegevensdiensten</Division>
    <Note xmlns="d5f9d153-8b19-4d1f-8beb-540f73341324" xsi:nil="true"/>
    <lcf76f155ced4ddcb4097134ff3c332f xmlns="d5f9d153-8b19-4d1f-8beb-540f73341324">
      <Terms xmlns="http://schemas.microsoft.com/office/infopath/2007/PartnerControls"/>
    </lcf76f155ced4ddcb4097134ff3c332f>
    <TaxCatchAll xmlns="168e0357-5b39-4600-91c2-bfff6e896513" xsi:nil="true"/>
  </documentManagement>
</p:properties>
</file>

<file path=customXml/itemProps1.xml><?xml version="1.0" encoding="utf-8"?>
<ds:datastoreItem xmlns:ds="http://schemas.openxmlformats.org/officeDocument/2006/customXml" ds:itemID="{4E72EE50-5669-4BD8-8F36-56BC5D9EA03C}">
  <ds:schemaRefs>
    <ds:schemaRef ds:uri="http://schemas.microsoft.com/sharepoint/v3/contenttype/forms"/>
  </ds:schemaRefs>
</ds:datastoreItem>
</file>

<file path=customXml/itemProps2.xml><?xml version="1.0" encoding="utf-8"?>
<ds:datastoreItem xmlns:ds="http://schemas.openxmlformats.org/officeDocument/2006/customXml" ds:itemID="{CC708A59-221A-436E-9C92-9D4BAF19A425}"/>
</file>

<file path=customXml/itemProps3.xml><?xml version="1.0" encoding="utf-8"?>
<ds:datastoreItem xmlns:ds="http://schemas.openxmlformats.org/officeDocument/2006/customXml" ds:itemID="{A1B0278A-44EE-45DE-91CC-29C1BD1ADEC2}">
  <ds:schemaRefs>
    <ds:schemaRef ds:uri="http://schemas.microsoft.com/office/2006/documentManagement/types"/>
    <ds:schemaRef ds:uri="http://purl.org/dc/elements/1.1/"/>
    <ds:schemaRef ds:uri="http://schemas.microsoft.com/office/infopath/2007/PartnerControls"/>
    <ds:schemaRef ds:uri="http://www.w3.org/XML/1998/namespace"/>
    <ds:schemaRef ds:uri="http://purl.org/dc/terms/"/>
    <ds:schemaRef ds:uri="http://schemas.microsoft.com/office/2006/metadata/properties"/>
    <ds:schemaRef ds:uri="http://schemas.openxmlformats.org/package/2006/metadata/core-properties"/>
    <ds:schemaRef ds:uri="http://purl.org/dc/dcmitype/"/>
    <ds:schemaRef ds:uri="168e0357-5b39-4600-91c2-bfff6e896513"/>
    <ds:schemaRef ds:uri="3321ebdc-3c49-4976-959d-9e24108daa16"/>
    <ds:schemaRef ds:uri="db736ff2-86d5-492b-b182-2570050f588a"/>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Werkbladen</vt:lpstr>
      </vt:variant>
      <vt:variant>
        <vt:i4>17</vt:i4>
      </vt:variant>
    </vt:vector>
  </HeadingPairs>
  <TitlesOfParts>
    <vt:vector size="17" baseType="lpstr">
      <vt:lpstr>Versioning</vt:lpstr>
      <vt:lpstr>Legal Notice</vt:lpstr>
      <vt:lpstr>Scope &amp; Legenda</vt:lpstr>
      <vt:lpstr>Import</vt:lpstr>
      <vt:lpstr>PICs</vt:lpstr>
      <vt:lpstr>Connections DEV (CMO)</vt:lpstr>
      <vt:lpstr>Connections TST (CMO)</vt:lpstr>
      <vt:lpstr>Connections ACC (CMO)</vt:lpstr>
      <vt:lpstr>Connections PRD (CMO)</vt:lpstr>
      <vt:lpstr>Connections TST (TMO-FMO)</vt:lpstr>
      <vt:lpstr>Connections DEV (TMO-FMO)</vt:lpstr>
      <vt:lpstr>Connections ACC (TMO-FMO)</vt:lpstr>
      <vt:lpstr>Connections PRD (TMO-FMO)</vt:lpstr>
      <vt:lpstr>Tables</vt:lpstr>
      <vt:lpstr>Variables</vt:lpstr>
      <vt:lpstr>Confipedia</vt:lpstr>
      <vt:lpstr>Common Port Table</vt:lpstr>
    </vt:vector>
  </TitlesOfParts>
  <Manager/>
  <Company>CGI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Raymond Oostrum;Maarten Breugem;Hans Somers;Pieter Ilmer</dc:creator>
  <cp:keywords/>
  <dc:description/>
  <cp:lastModifiedBy>Gerald Croes</cp:lastModifiedBy>
  <cp:revision/>
  <dcterms:created xsi:type="dcterms:W3CDTF">2020-01-13T08:08:24Z</dcterms:created>
  <dcterms:modified xsi:type="dcterms:W3CDTF">2023-05-15T09:18:06Z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0x0101008E79F7D56D3A7B438AF151649EBABC22</vt:lpwstr>
  </property>
  <property fmtid="{D5CDD505-2E9C-101B-9397-08002B2CF9AE}" pid="3" name="MediaServiceImageTags">
    <vt:lpwstr/>
  </property>
  <property fmtid="{D5CDD505-2E9C-101B-9397-08002B2CF9AE}" pid="4" name="Order">
    <vt:r8>12545300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Imported">
    <vt:bool>true</vt:bool>
  </property>
  <property fmtid="{D5CDD505-2E9C-101B-9397-08002B2CF9AE}" pid="13" name="TriggerFlowInfo">
    <vt:lpwstr/>
  </property>
</Properties>
</file>